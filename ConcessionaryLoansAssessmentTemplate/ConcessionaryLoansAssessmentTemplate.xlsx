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cattonw\git\machine-readable-xlsx\ConcessionaryLoansAssessmentTemplate\"/>
    </mc:Choice>
  </mc:AlternateContent>
  <xr:revisionPtr revIDLastSave="0" documentId="8_{D3ABED0B-9147-40B1-B725-2BB9B55223C8}" xr6:coauthVersionLast="47" xr6:coauthVersionMax="47" xr10:uidLastSave="{00000000-0000-0000-0000-000000000000}"/>
  <bookViews>
    <workbookView xWindow="-120" yWindow="-120" windowWidth="51840" windowHeight="21120" xr2:uid="{7CA3AF15-4103-4742-BA90-438600ABBA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9" i="1" l="1"/>
  <c r="AD19" i="1"/>
  <c r="AC19" i="1"/>
  <c r="AB19" i="1"/>
  <c r="AA19" i="1"/>
  <c r="Z19" i="1"/>
  <c r="Y19" i="1"/>
  <c r="X19" i="1"/>
  <c r="W19" i="1"/>
  <c r="V19" i="1"/>
  <c r="U19" i="1"/>
  <c r="T19" i="1"/>
  <c r="S19" i="1"/>
  <c r="R19" i="1"/>
  <c r="Q19" i="1"/>
  <c r="P19" i="1"/>
  <c r="O19" i="1"/>
  <c r="N19" i="1"/>
  <c r="M19" i="1"/>
  <c r="L19" i="1"/>
  <c r="K19" i="1"/>
  <c r="J19" i="1"/>
  <c r="I19" i="1"/>
  <c r="H19" i="1"/>
  <c r="G19" i="1"/>
  <c r="C19" i="1"/>
  <c r="AE10" i="1"/>
  <c r="AD10" i="1"/>
  <c r="AC10" i="1"/>
  <c r="AB10" i="1"/>
  <c r="AA10" i="1"/>
  <c r="Z10" i="1"/>
  <c r="Y10" i="1"/>
  <c r="X10" i="1"/>
  <c r="W10" i="1"/>
  <c r="V10" i="1"/>
  <c r="U10" i="1"/>
  <c r="T10" i="1"/>
  <c r="S10" i="1"/>
  <c r="R10" i="1"/>
  <c r="Q10" i="1"/>
  <c r="P10" i="1"/>
  <c r="O10" i="1"/>
  <c r="N10" i="1"/>
  <c r="M10" i="1"/>
  <c r="L10" i="1"/>
  <c r="K10" i="1"/>
  <c r="J10" i="1"/>
  <c r="I10" i="1"/>
  <c r="H10" i="1"/>
  <c r="G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tc={47017F65-3691-42C3-BA12-675DB71D3F59}</author>
    <author>tc={7DD67CE3-A84C-4C74-9600-D4BFAFB2613B}</author>
    <author>tc={7B0F80EF-37EB-4776-A66D-7093D74A5EAD}</author>
  </authors>
  <commentList>
    <comment ref="A2" authorId="0" shapeId="0" xr:uid="{47017F65-3691-42C3-BA12-675DB71D3F59}">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F3" authorId="1" shapeId="0" xr:uid="{7DD67CE3-A84C-4C74-9600-D4BFAFB2613B}">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F12" authorId="2" shapeId="0" xr:uid="{7B0F80EF-37EB-4776-A66D-7093D74A5EA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sharedStrings.xml><?xml version="1.0" encoding="utf-8"?>
<sst xmlns="http://schemas.openxmlformats.org/spreadsheetml/2006/main" count="79" uniqueCount="37">
  <si>
    <t>2) Operating &amp; Maintenance Expenditure (OPEX) ($) - please enter all costs as positive numbers</t>
  </si>
  <si>
    <t>2a) Non-fuel opex</t>
  </si>
  <si>
    <t>Proposed Project (PP)</t>
  </si>
  <si>
    <t>Opex item</t>
  </si>
  <si>
    <t>Value basis</t>
  </si>
  <si>
    <t>Base year</t>
  </si>
  <si>
    <t>Applicant comment</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</si>
  <si>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</si>
  <si>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</si>
  <si>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</si>
  <si>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</si>
  <si>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</si>
  <si>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</si>
  <si>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</si>
  <si>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</si>
  <si>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</si>
  <si>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</si>
  <si>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</si>
  <si>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</si>
  <si>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</si>
  <si>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</si>
  <si>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</si>
  <si>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</si>
  <si>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</si>
  <si>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</si>
  <si>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</si>
  <si>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</si>
  <si>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</si>
  <si>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</si>
  <si>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</si>
  <si>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</si>
  <si>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</si>
  <si>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Expand if more items</t>
  </si>
  <si>
    <t>Operations</t>
  </si>
  <si>
    <t>Real</t>
  </si>
  <si>
    <t>Total non-fuel opex in current dollars</t>
  </si>
  <si>
    <t>Base Case (BC)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</si>
</sst>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4"/>
      <color theme="1"/>
      <name val="Aptos Narrow"/>
      <family val="2"/>
      <scheme val="minor"/>
    </font>
    <font>
      <sz val="9"/>
      <color theme="1"/>
      <name val="Aptos Narrow"/>
      <family val="2"/>
      <scheme val="minor"/>
    </font>
    <font>
      <b/>
      <i/>
      <sz val="11"/>
      <color theme="1"/>
      <name val="Aptos Narrow"/>
      <family val="2"/>
      <scheme val="minor"/>
    </font>
    <font>
      <b/>
      <sz val="11"/>
      <color rgb="FF00B050"/>
      <name val="Aptos Narrow"/>
      <family val="2"/>
      <scheme val="minor"/>
    </font>
    <font>
      <b/>
      <sz val="11"/>
      <name val="Aptos Narrow"/>
      <family val="2"/>
      <scheme val="minor"/>
    </font>
    <font>
      <sz val="11"/>
      <name val="Aptos Narrow"/>
      <family val="2"/>
      <scheme val="minor"/>
    </font>
    <font>
      <sz val="11"/>
      <color rgb="FF00B050"/>
      <name val="Aptos Narrow"/>
      <family val="2"/>
      <scheme val="minor"/>
    </font>
    <font>
      <sz val="9"/>
      <color rgb="FF00B050"/>
      <name val="Aptos Narrow"/>
      <family val="2"/>
      <scheme val="minor"/>
    </font>
    <font>
      <b/>
      <sz val="11"/>
      <color rgb="FFFF0000"/>
      <name val="Aptos Narrow"/>
      <family val="2"/>
      <scheme val="minor"/>
    </font>
    <font>
      <sz val="9"/>
      <color rgb="FFFF0000"/>
      <name val="Aptos Narrow"/>
      <family val="2"/>
      <scheme val="minor"/>
    </font>
    <font>
      <sz val="9"/>
      <color indexed="81"/>
      <name val="Tahoma"/>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3" fillId="2" borderId="0" xfId="0" applyFont="1" applyFill="1"/>
    <xf numFmtId="0" fontId="0" fillId="2" borderId="0" xfId="0" applyFill="1"/>
    <xf numFmtId="43" fontId="4" fillId="2" borderId="0" xfId="1" applyFont="1" applyFill="1"/>
    <xf numFmtId="0" fontId="5" fillId="2" borderId="0" xfId="0" applyFont="1" applyFill="1"/>
    <xf numFmtId="0" fontId="6" fillId="2" borderId="1" xfId="0" applyFont="1" applyFill="1" applyBorder="1"/>
    <xf numFmtId="0" fontId="3" fillId="2" borderId="1" xfId="0" applyFont="1" applyFill="1" applyBorder="1"/>
    <xf numFmtId="0" fontId="7" fillId="2" borderId="1" xfId="0" applyFont="1" applyFill="1" applyBorder="1"/>
    <xf numFmtId="0" fontId="7" fillId="2" borderId="1" xfId="0" applyFont="1" applyFill="1" applyBorder="1" applyAlignment="1">
      <alignment wrapText="1"/>
    </xf>
    <xf numFmtId="0" fontId="7" fillId="2" borderId="0" xfId="0" applyFont="1" applyFill="1" applyAlignment="1">
      <alignment wrapText="1"/>
    </xf>
    <xf numFmtId="0" fontId="8" fillId="2" borderId="1" xfId="0" applyFont="1" applyFill="1" applyBorder="1" applyAlignment="1">
      <alignment wrapText="1"/>
    </xf>
    <xf numFmtId="0" fontId="8" fillId="2" borderId="1" xfId="0" applyFont="1" applyFill="1" applyBorder="1"/>
    <xf numFmtId="0" fontId="9" fillId="0" borderId="0" xfId="0" applyFont="1" applyProtection="1">
      <protection locked="0"/>
    </xf>
    <xf numFmtId="0" fontId="0" fillId="0" borderId="0" xfId="0" applyProtection="1">
      <protection locked="0"/>
    </xf>
    <xf numFmtId="3" fontId="10" fillId="0" borderId="0" xfId="1" applyNumberFormat="1" applyFont="1" applyFill="1" applyProtection="1">
      <protection locked="0"/>
    </xf>
    <xf numFmtId="0" fontId="9" fillId="2" borderId="0" xfId="0" applyFont="1" applyFill="1"/>
    <xf numFmtId="3" fontId="10" fillId="2" borderId="0" xfId="1" applyNumberFormat="1" applyFont="1" applyFill="1" applyBorder="1"/>
    <xf numFmtId="0" fontId="11" fillId="2" borderId="1" xfId="0" applyFont="1" applyFill="1" applyBorder="1"/>
    <xf numFmtId="0" fontId="11" fillId="2"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xf numFmtId="0" fontId="2" fillId="0" borderId="0" xfId="0" applyFont="1" applyProtection="1">
      <protection locked="0"/>
    </xf>
    <xf numFmtId="3" fontId="12" fillId="0" borderId="0" xfId="1" applyNumberFormat="1" applyFont="1" applyFill="1" applyProtection="1">
      <protection locked="0"/>
    </xf>
    <xf numFmtId="0" fontId="2" fillId="2" borderId="0" xfId="0" applyFont="1" applyFill="1"/>
    <xf numFmtId="3" fontId="12" fillId="2" borderId="0" xfId="1" applyNumberFormat="1" applyFont="1" applyFill="1" applyBorder="1"/>
  </cellXfs>
  <cellStyles count="2">
    <cellStyle name="Comma" xfId="1" builtinId="3"/>
    <cellStyle name="Normal" xfId="0" builtinId="0"/>
  </cellStyles>
  <dxfs count="66">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1"/>
        <color rgb="FFFF0000"/>
        <name val="Aptos Narrow"/>
        <family val="2"/>
        <scheme val="minor"/>
      </font>
      <protection locked="0" hidden="0"/>
    </dxf>
    <dxf>
      <font>
        <strike val="0"/>
        <outline val="0"/>
        <shadow val="0"/>
        <u val="none"/>
        <vertAlign val="baseline"/>
        <sz val="11"/>
        <color rgb="FFFF0000"/>
        <name val="Aptos Narrow"/>
        <family val="2"/>
        <scheme val="minor"/>
      </font>
      <protection locked="0" hidden="0"/>
    </dxf>
    <dxf>
      <font>
        <b val="0"/>
        <i val="0"/>
        <strike val="0"/>
        <condense val="0"/>
        <extend val="0"/>
        <outline val="0"/>
        <shadow val="0"/>
        <u val="none"/>
        <vertAlign val="baseline"/>
        <sz val="11"/>
        <color rgb="FFFF0000"/>
        <name val="Aptos Narrow"/>
        <family val="2"/>
        <scheme val="minor"/>
      </font>
      <protection locked="0" hidden="0"/>
    </dxf>
    <dxf>
      <font>
        <b val="0"/>
        <i val="0"/>
        <strike val="0"/>
        <condense val="0"/>
        <extend val="0"/>
        <outline val="0"/>
        <shadow val="0"/>
        <u val="none"/>
        <vertAlign val="baseline"/>
        <sz val="11"/>
        <color rgb="FFFF0000"/>
        <name val="Aptos Narrow"/>
        <family val="2"/>
        <scheme val="minor"/>
      </font>
      <protection locked="0" hidden="0"/>
    </dxf>
    <dxf>
      <border outline="0">
        <bottom style="thin">
          <color indexed="64"/>
        </bottom>
      </border>
    </dxf>
    <dxf>
      <border outline="0">
        <bottom style="thin">
          <color indexed="64"/>
        </bottom>
      </border>
    </dxf>
    <dxf>
      <font>
        <b val="0"/>
        <i val="0"/>
        <strike val="0"/>
        <condense val="0"/>
        <extend val="0"/>
        <outline val="0"/>
        <shadow val="0"/>
        <u val="none"/>
        <vertAlign val="baseline"/>
        <sz val="9"/>
        <color rgb="FFFF0000"/>
        <name val="Aptos Narrow"/>
        <family val="2"/>
        <scheme val="minor"/>
      </font>
      <fill>
        <patternFill patternType="none">
          <fgColor indexed="64"/>
          <bgColor indexed="65"/>
        </patternFill>
      </fill>
      <protection locked="0" hidden="0"/>
    </dxf>
    <dxf>
      <fill>
        <patternFill patternType="solid">
          <fgColor indexed="64"/>
          <bgColor theme="0" tint="-4.9989318521683403E-2"/>
        </patternFill>
      </fill>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protection locked="0" hidden="0"/>
    </dxf>
    <dxf>
      <protection locked="0" hidden="0"/>
    </dxf>
    <dxf>
      <font>
        <strike val="0"/>
        <outline val="0"/>
        <shadow val="0"/>
        <u val="none"/>
        <vertAlign val="baseline"/>
        <sz val="11"/>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1"/>
        <color rgb="FF00B050"/>
        <name val="Aptos Narrow"/>
        <family val="2"/>
        <scheme val="minor"/>
      </font>
      <protection locked="0" hidden="0"/>
    </dxf>
    <dxf>
      <font>
        <b val="0"/>
        <i val="0"/>
        <strike val="0"/>
        <condense val="0"/>
        <extend val="0"/>
        <outline val="0"/>
        <shadow val="0"/>
        <u val="none"/>
        <vertAlign val="baseline"/>
        <sz val="11"/>
        <color rgb="FF00B050"/>
        <name val="Aptos Narrow"/>
        <family val="2"/>
        <scheme val="minor"/>
      </font>
      <protection locked="0" hidden="0"/>
    </dxf>
    <dxf>
      <border outline="0">
        <bottom style="thin">
          <color indexed="64"/>
        </bottom>
      </border>
    </dxf>
    <dxf>
      <border outline="0">
        <bottom style="thin">
          <color indexed="64"/>
        </bottom>
      </border>
    </dxf>
    <dxf>
      <font>
        <b val="0"/>
        <i val="0"/>
        <strike val="0"/>
        <condense val="0"/>
        <extend val="0"/>
        <outline val="0"/>
        <shadow val="0"/>
        <u val="none"/>
        <vertAlign val="baseline"/>
        <sz val="9"/>
        <color rgb="FF00B050"/>
        <name val="Aptos Narrow"/>
        <family val="2"/>
        <scheme val="minor"/>
      </font>
      <fill>
        <patternFill patternType="none">
          <fgColor indexed="64"/>
          <bgColor indexed="65"/>
        </patternFill>
      </fill>
      <protection locked="0" hidden="0"/>
    </dxf>
    <dxf>
      <font>
        <strike val="0"/>
        <outline val="0"/>
        <shadow val="0"/>
        <u val="none"/>
        <vertAlign val="baseline"/>
        <sz val="11"/>
        <color auto="1"/>
        <name val="Aptos Narrow"/>
        <family val="2"/>
        <scheme val="minor"/>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CG722" id="{F6577AFD-D646-4219-910D-73C503CB7D01}" userId="CCG722"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C2DBD-C697-497D-8A1C-365778DBB135}" name="OPEX_NonFuel_PP" displayName="OPEX_NonFuel_PP" ref="C3:AE9" totalsRowShown="0" headerRowDxfId="65" dataDxfId="64" headerRowBorderDxfId="62" tableBorderDxfId="63" dataCellStyle="Comma">
  <autoFilter ref="C3:AE9" xr:uid="{105C2DBD-C697-497D-8A1C-365778DBB135}"/>
  <tableColumns count="29">
    <tableColumn id="1" xr3:uid="{7B8F3B55-B465-4BDF-9C87-FDA17F886CE2}" name="Opex item" dataDxfId="61"/>
    <tableColumn id="2" xr3:uid="{D3470B50-7107-4259-BCE9-671A8E6A275E}" name="Value basis" dataDxfId="60"/>
    <tableColumn id="3" xr3:uid="{85C00430-2021-42AC-ABC5-C42A32C99F47}" name="Base year" dataDxfId="59" dataCellStyle="Comma">
      <calculatedColumnFormula>#REF!</calculatedColumnFormula>
    </tableColumn>
    <tableColumn id="4" xr3:uid="{248872C0-2E8D-4AF7-84E5-28AC50D694F3}" name="Applicant comment" dataDxfId="58"/>
    <tableColumn id="5" xr3:uid="{F5C8373F-82B3-43FA-9E5E-D3DD89F82B89}" name="2026" dataDxfId="57" dataCellStyle="Comma"/>
    <tableColumn id="6" xr3:uid="{F8762EBE-D16C-4DBA-B7BE-66572030A47F}" name="2027" dataDxfId="56" dataCellStyle="Comma"/>
    <tableColumn id="7" xr3:uid="{3FF8B7A4-25F6-4272-9D70-73A2714967DE}" name="2028" dataDxfId="55" dataCellStyle="Comma"/>
    <tableColumn id="8" xr3:uid="{5D26CB28-6A5F-46D4-A943-5D4899012903}" name="2029" dataDxfId="54" dataCellStyle="Comma"/>
    <tableColumn id="9" xr3:uid="{526C2CC8-D569-4319-87F6-2FC321B878D1}" name="2030" dataDxfId="53" dataCellStyle="Comma"/>
    <tableColumn id="10" xr3:uid="{2F77BD2C-4946-4D94-AD68-3704090A369B}" name="2031" dataDxfId="52" dataCellStyle="Comma"/>
    <tableColumn id="11" xr3:uid="{1770D72F-ECE0-4FBC-AB85-BABD618C1A6A}" name="2032" dataDxfId="51" dataCellStyle="Comma"/>
    <tableColumn id="12" xr3:uid="{63B7F811-0E65-4ECA-93B3-F658A93AC901}" name="2033" dataDxfId="50" dataCellStyle="Comma"/>
    <tableColumn id="13" xr3:uid="{2BFAF9D4-8479-4AAA-BFFC-2E5B825B9D31}" name="2034" dataDxfId="49" dataCellStyle="Comma"/>
    <tableColumn id="14" xr3:uid="{1B19AE3E-EE53-456D-AC43-C0E67E53CC67}" name="2035" dataDxfId="48" dataCellStyle="Comma"/>
    <tableColumn id="15" xr3:uid="{69A0DE01-70BC-449F-A8A2-EFC690D89164}" name="2036" dataDxfId="47" dataCellStyle="Comma"/>
    <tableColumn id="16" xr3:uid="{8C357226-5D25-4719-82C6-703F6F760FBA}" name="2037" dataDxfId="46" dataCellStyle="Comma"/>
    <tableColumn id="17" xr3:uid="{3B07C50F-A6D2-48B5-B769-6FDC70F75AC8}" name="2038" dataDxfId="45" dataCellStyle="Comma"/>
    <tableColumn id="18" xr3:uid="{7DADD2E6-3568-456E-9E0F-0EACE899978B}" name="2039" dataDxfId="44" dataCellStyle="Comma"/>
    <tableColumn id="19" xr3:uid="{DF06ADC0-A0A3-4912-88CF-97BAA1967F80}" name="2040" dataDxfId="43" dataCellStyle="Comma"/>
    <tableColumn id="20" xr3:uid="{B137EEB8-710D-48B4-96E8-CD8714A35CFE}" name="2041" dataDxfId="42" dataCellStyle="Comma"/>
    <tableColumn id="21" xr3:uid="{738F05E5-4127-4622-9F62-61816581E752}" name="2042" dataDxfId="41" dataCellStyle="Comma"/>
    <tableColumn id="22" xr3:uid="{9D1126AE-CCF6-4983-A476-991BF8DBE6FF}" name="2043" dataDxfId="40" dataCellStyle="Comma"/>
    <tableColumn id="23" xr3:uid="{9F035EA0-8162-4D59-B6CD-CB1B6DBB42B9}" name="2044" dataDxfId="39" dataCellStyle="Comma"/>
    <tableColumn id="24" xr3:uid="{81C3CF07-2447-48C5-BC07-F0BBE85C2447}" name="2045" dataDxfId="38" dataCellStyle="Comma"/>
    <tableColumn id="25" xr3:uid="{67EBD76F-E250-4978-96BF-DD0DDFC6A2C9}" name="2046" dataDxfId="37" dataCellStyle="Comma"/>
    <tableColumn id="26" xr3:uid="{1CE8E069-7553-4370-95DD-311E67CD8047}" name="2047" dataDxfId="36" dataCellStyle="Comma"/>
    <tableColumn id="27" xr3:uid="{2B46FB3A-401B-4197-B12E-C8231D24F548}" name="2048" dataDxfId="35" dataCellStyle="Comma"/>
    <tableColumn id="28" xr3:uid="{C72D9976-C633-4B63-826B-967C3780EFCC}" name="2049" dataDxfId="34" dataCellStyle="Comma"/>
    <tableColumn id="29" xr3:uid="{28027292-B45A-4688-9E11-B8CA7EAA278B}" name="2050" dataDxfId="33"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0735A-8310-4618-8305-6A28283CBFF4}" name="OPEX_NonFuel_BC" displayName="OPEX_NonFuel_BC" ref="C12:AE18" totalsRowShown="0" headerRowDxfId="32" dataDxfId="31" headerRowBorderDxfId="29" tableBorderDxfId="30" dataCellStyle="Comma">
  <autoFilter ref="C12:AE18" xr:uid="{DC00735A-8310-4618-8305-6A28283CBFF4}"/>
  <tableColumns count="29">
    <tableColumn id="1" xr3:uid="{942BCBCC-D553-4F2E-B73E-25B22813DEB0}" name="Opex item" dataDxfId="28"/>
    <tableColumn id="2" xr3:uid="{F7E2AB08-0B6D-4783-9610-23780CB0D01D}" name="Value basis" dataDxfId="27"/>
    <tableColumn id="3" xr3:uid="{BDF4D336-0E56-4344-8821-8CF27704CE29}" name="Base year" dataDxfId="26"/>
    <tableColumn id="4" xr3:uid="{5DC79F67-F811-4971-A765-23D4D039DA87}" name="Applicant comment" dataDxfId="25"/>
    <tableColumn id="5" xr3:uid="{20B235FB-EDAF-43FA-AD26-6070CDE201CB}" name="2026" dataDxfId="24" dataCellStyle="Comma"/>
    <tableColumn id="6" xr3:uid="{C703C280-AF53-4A0A-B39C-522DCBAC0790}" name="2027" dataDxfId="23" dataCellStyle="Comma"/>
    <tableColumn id="7" xr3:uid="{12C09175-F48A-4ABF-B574-3CC1C0D0BA6A}" name="2028" dataDxfId="22" dataCellStyle="Comma"/>
    <tableColumn id="8" xr3:uid="{A4767152-30AC-4086-ADCE-DE2E8C980CE0}" name="2029" dataDxfId="21" dataCellStyle="Comma"/>
    <tableColumn id="9" xr3:uid="{FCFDA82D-8547-408B-904A-9A84A28A46AF}" name="2030" dataDxfId="20" dataCellStyle="Comma"/>
    <tableColumn id="10" xr3:uid="{21A973A0-ED49-4309-A1B2-1EDA2F23AF46}" name="2031" dataDxfId="19" dataCellStyle="Comma"/>
    <tableColumn id="11" xr3:uid="{B0E934E2-B90F-4016-BEC5-E4AE5B80B4F3}" name="2032" dataDxfId="18" dataCellStyle="Comma"/>
    <tableColumn id="12" xr3:uid="{99715343-A9EB-4C5A-842D-7390B156CA80}" name="2033" dataDxfId="17" dataCellStyle="Comma"/>
    <tableColumn id="13" xr3:uid="{F287C2BB-769D-4EA6-AA98-8AC34A70D604}" name="2034" dataDxfId="16" dataCellStyle="Comma"/>
    <tableColumn id="14" xr3:uid="{903F6341-3F5A-463B-B379-09FDAF03884A}" name="2035" dataDxfId="15" dataCellStyle="Comma"/>
    <tableColumn id="15" xr3:uid="{733B0C78-BFFE-4510-8529-D2D3D40697F7}" name="2036" dataDxfId="14" dataCellStyle="Comma"/>
    <tableColumn id="16" xr3:uid="{C138C2B9-B460-4266-835F-E0B5A9DE40ED}" name="2037" dataDxfId="13" dataCellStyle="Comma"/>
    <tableColumn id="17" xr3:uid="{F81706C7-36D3-4483-96F9-64DC9DFFC935}" name="2038" dataDxfId="12" dataCellStyle="Comma"/>
    <tableColumn id="18" xr3:uid="{BD497551-D42E-4544-9FAF-29F021B54114}" name="2039" dataDxfId="11" dataCellStyle="Comma"/>
    <tableColumn id="19" xr3:uid="{C33D45E6-448E-483E-94A2-7893AB328BD1}" name="2040" dataDxfId="10" dataCellStyle="Comma"/>
    <tableColumn id="20" xr3:uid="{1B6675F0-C102-4B3C-B846-7BF16BA8D7DA}" name="2041" dataDxfId="9" dataCellStyle="Comma"/>
    <tableColumn id="21" xr3:uid="{BDF80F48-DB65-4E46-9588-389E4AE3401B}" name="2042" dataDxfId="8" dataCellStyle="Comma"/>
    <tableColumn id="22" xr3:uid="{DB5D0FB2-8094-404C-B24A-8C358DDE0A90}" name="2043" dataDxfId="7" dataCellStyle="Comma"/>
    <tableColumn id="23" xr3:uid="{C638530B-A976-4553-B7CF-38308730A80B}" name="2044" dataDxfId="6" dataCellStyle="Comma"/>
    <tableColumn id="24" xr3:uid="{3C6133D4-16F2-4460-A958-05AC9C2C225A}" name="2045" dataDxfId="5" dataCellStyle="Comma"/>
    <tableColumn id="25" xr3:uid="{BF1BFF4A-32EE-4A9F-B867-7BF315B662EC}" name="2046" dataDxfId="4" dataCellStyle="Comma"/>
    <tableColumn id="26" xr3:uid="{0E92C1CC-80D4-48BF-AB7C-FFB637B6CC7D}" name="2047" dataDxfId="3" dataCellStyle="Comma"/>
    <tableColumn id="27" xr3:uid="{FF07197E-5EB8-43A6-BCD1-271E5F8F03D7}" name="2048" dataDxfId="2" dataCellStyle="Comma"/>
    <tableColumn id="28" xr3:uid="{D6F06C99-463C-4CD6-BD79-7D260B589CD9}" name="2049" dataDxfId="1" dataCellStyle="Comma"/>
    <tableColumn id="29" xr3:uid="{91607484-DD7D-48ED-B34A-398EB6FE4CDC}" name="2050"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2-05-11T21:34:41.57" personId="{F6577AFD-D646-4219-910D-73C503CB7D01}" id="{47017F65-3691-42C3-BA12-675DB71D3F59}">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F3" dT="2022-05-12T23:12:13.77" personId="{F6577AFD-D646-4219-910D-73C503CB7D01}" id="{7DD67CE3-A84C-4C74-9600-D4BFAFB2613B}">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F12" dT="2022-05-12T23:12:13.77" personId="{F6577AFD-D646-4219-910D-73C503CB7D01}" id="{7B0F80EF-37EB-4776-A66D-7093D74A5EA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0536-DF14-4085-AD13-14774426F98F}">
  <dimension ref="A1:AE19"/>
  <sheetViews>
    <sheetView tabSelected="1" workbookViewId="0">
      <selection activeCell="AK30" sqref="AK30"/>
    </sheetView>
  </sheetViews>
  <sheetFormatPr defaultRowHeight="15" x14ac:dyDescent="0.25"/>
  <cols>
    <col min="1" max="1" width="109.85546875" bestFit="1" customWidth="1"/>
    <col min="3" max="3" width="34.28515625" bestFit="1" customWidth="1"/>
    <col min="4" max="4" width="8.28515625" bestFit="1" customWidth="1"/>
    <col min="5" max="5" width="7.5703125" bestFit="1" customWidth="1"/>
    <col min="6" max="6" width="11.140625" bestFit="1" customWidth="1"/>
    <col min="7" max="31" width="7.28515625" bestFit="1" customWidth="1"/>
  </cols>
  <sheetData>
    <row r="1" spans="1:31" ht="18.75" x14ac:dyDescent="0.3">
      <c r="A1" s="1" t="s">
        <v>0</v>
      </c>
      <c r="B1" s="1"/>
      <c r="C1" s="1"/>
      <c r="D1" s="2"/>
      <c r="E1" s="2"/>
      <c r="F1" s="2"/>
      <c r="G1" s="3"/>
      <c r="H1" s="3"/>
      <c r="I1" s="3"/>
      <c r="J1" s="3"/>
      <c r="K1" s="3"/>
      <c r="L1" s="3"/>
      <c r="M1" s="3"/>
      <c r="N1" s="3"/>
      <c r="O1" s="3"/>
      <c r="P1" s="3"/>
      <c r="Q1" s="3"/>
      <c r="R1" s="3"/>
      <c r="S1" s="3"/>
      <c r="T1" s="3"/>
      <c r="U1" s="3"/>
      <c r="V1" s="3"/>
      <c r="W1" s="3"/>
      <c r="X1" s="3"/>
      <c r="Y1" s="3"/>
      <c r="Z1" s="3"/>
      <c r="AA1" s="3"/>
      <c r="AB1" s="3"/>
      <c r="AC1" s="3"/>
      <c r="AD1" s="3"/>
      <c r="AE1" s="3"/>
    </row>
    <row r="2" spans="1:31" ht="18.75" x14ac:dyDescent="0.3">
      <c r="A2" s="4" t="s">
        <v>1</v>
      </c>
      <c r="B2" s="1"/>
      <c r="C2" s="2"/>
      <c r="D2" s="2"/>
      <c r="E2" s="2"/>
      <c r="F2" s="2"/>
      <c r="G2" s="3"/>
      <c r="H2" s="3"/>
      <c r="I2" s="3"/>
      <c r="J2" s="3"/>
      <c r="K2" s="3"/>
      <c r="L2" s="3"/>
      <c r="M2" s="3"/>
      <c r="N2" s="3"/>
      <c r="O2" s="3"/>
      <c r="P2" s="3"/>
      <c r="Q2" s="3"/>
      <c r="R2" s="3"/>
      <c r="S2" s="3"/>
      <c r="T2" s="3"/>
      <c r="U2" s="3"/>
      <c r="V2" s="3"/>
      <c r="W2" s="3"/>
      <c r="X2" s="3"/>
      <c r="Y2" s="3"/>
      <c r="Z2" s="3"/>
      <c r="AA2" s="3"/>
      <c r="AB2" s="3"/>
      <c r="AC2" s="3"/>
      <c r="AD2" s="3"/>
      <c r="AE2" s="3"/>
    </row>
    <row r="3" spans="1:31" ht="60.75" x14ac:dyDescent="0.3">
      <c r="A3" s="5" t="s">
        <v>2</v>
      </c>
      <c r="B3" s="6"/>
      <c r="C3" s="7" t="s">
        <v>3</v>
      </c>
      <c r="D3" s="8" t="s">
        <v>4</v>
      </c>
      <c r="E3" s="9" t="s">
        <v>5</v>
      </c>
      <c r="F3" s="10"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c r="U3" s="11" t="s">
        <v>21</v>
      </c>
      <c r="V3" s="11" t="s">
        <v>22</v>
      </c>
      <c r="W3" s="11" t="s">
        <v>23</v>
      </c>
      <c r="X3" s="11" t="s">
        <v>24</v>
      </c>
      <c r="Y3" s="11" t="s">
        <v>25</v>
      </c>
      <c r="Z3" s="11" t="s">
        <v>26</v>
      </c>
      <c r="AA3" s="11" t="s">
        <v>27</v>
      </c>
      <c r="AB3" s="11" t="s">
        <v>28</v>
      </c>
      <c r="AC3" s="11" t="s">
        <v>29</v>
      </c>
      <c r="AD3" s="11" t="s">
        <v>30</v>
      </c>
      <c r="AE3" s="11" t="s">
        <v>31</v>
      </c>
    </row>
    <row r="4" spans="1:31" ht="18.75" x14ac:dyDescent="0.3">
      <c r="A4" s="3" t="s">
        <v>32</v>
      </c>
      <c r="B4" s="1"/>
      <c r="C4" s="12" t="s">
        <v>33</v>
      </c>
      <c r="D4" s="12" t="s">
        <v>34</v>
      </c>
      <c r="E4" s="12">
        <v>2025</v>
      </c>
      <c r="F4" s="13"/>
      <c r="G4" s="14">
        <v>100000</v>
      </c>
      <c r="H4" s="14">
        <v>100000</v>
      </c>
      <c r="I4" s="14">
        <v>100000</v>
      </c>
      <c r="J4" s="14">
        <v>100000</v>
      </c>
      <c r="K4" s="14">
        <v>100000</v>
      </c>
      <c r="L4" s="14">
        <v>100000</v>
      </c>
      <c r="M4" s="14">
        <v>100000</v>
      </c>
      <c r="N4" s="14">
        <v>100000</v>
      </c>
      <c r="O4" s="14">
        <v>100000</v>
      </c>
      <c r="P4" s="14">
        <v>100000</v>
      </c>
      <c r="Q4" s="14">
        <v>100000</v>
      </c>
      <c r="R4" s="14">
        <v>100000</v>
      </c>
      <c r="S4" s="14">
        <v>100000</v>
      </c>
      <c r="T4" s="14">
        <v>100000</v>
      </c>
      <c r="U4" s="14">
        <v>100000</v>
      </c>
      <c r="V4" s="14">
        <v>100000</v>
      </c>
      <c r="W4" s="14">
        <v>100000</v>
      </c>
      <c r="X4" s="14">
        <v>100000</v>
      </c>
      <c r="Y4" s="14">
        <v>100000</v>
      </c>
      <c r="Z4" s="14">
        <v>100000</v>
      </c>
      <c r="AA4" s="14">
        <v>100000</v>
      </c>
      <c r="AB4" s="14">
        <v>100000</v>
      </c>
      <c r="AC4" s="14">
        <v>100000</v>
      </c>
      <c r="AD4" s="14">
        <v>100000</v>
      </c>
      <c r="AE4" s="14">
        <v>100000</v>
      </c>
    </row>
    <row r="5" spans="1:31" ht="18.75" x14ac:dyDescent="0.3">
      <c r="A5" s="3"/>
      <c r="B5" s="1"/>
      <c r="C5" s="12"/>
      <c r="D5" s="12" t="s">
        <v>34</v>
      </c>
      <c r="E5" s="12">
        <v>2025</v>
      </c>
      <c r="F5" s="13"/>
      <c r="G5" s="14"/>
      <c r="H5" s="14"/>
      <c r="I5" s="14"/>
      <c r="J5" s="14"/>
      <c r="K5" s="14"/>
      <c r="L5" s="14"/>
      <c r="M5" s="14"/>
      <c r="N5" s="14"/>
      <c r="O5" s="14"/>
      <c r="P5" s="14"/>
      <c r="Q5" s="14"/>
      <c r="R5" s="14"/>
      <c r="S5" s="14"/>
      <c r="T5" s="14"/>
      <c r="U5" s="14"/>
      <c r="V5" s="14"/>
      <c r="W5" s="14"/>
      <c r="X5" s="14"/>
      <c r="Y5" s="14"/>
      <c r="Z5" s="14"/>
      <c r="AA5" s="14"/>
      <c r="AB5" s="14"/>
      <c r="AC5" s="14"/>
      <c r="AD5" s="14"/>
      <c r="AE5" s="14"/>
    </row>
    <row r="6" spans="1:31" ht="18.75" x14ac:dyDescent="0.3">
      <c r="A6" s="3"/>
      <c r="B6" s="1"/>
      <c r="C6" s="12"/>
      <c r="D6" s="12" t="s">
        <v>34</v>
      </c>
      <c r="E6" s="12">
        <v>2025</v>
      </c>
      <c r="F6" s="13"/>
      <c r="G6" s="14"/>
      <c r="H6" s="14"/>
      <c r="I6" s="14"/>
      <c r="J6" s="14"/>
      <c r="K6" s="14"/>
      <c r="L6" s="14"/>
      <c r="M6" s="14"/>
      <c r="N6" s="14"/>
      <c r="O6" s="14"/>
      <c r="P6" s="14"/>
      <c r="Q6" s="14"/>
      <c r="R6" s="14"/>
      <c r="S6" s="14"/>
      <c r="T6" s="14"/>
      <c r="U6" s="14"/>
      <c r="V6" s="14"/>
      <c r="W6" s="14"/>
      <c r="X6" s="14"/>
      <c r="Y6" s="14"/>
      <c r="Z6" s="14"/>
      <c r="AA6" s="14"/>
      <c r="AB6" s="14"/>
      <c r="AC6" s="14"/>
      <c r="AD6" s="14"/>
      <c r="AE6" s="14"/>
    </row>
    <row r="7" spans="1:31" ht="18.75" x14ac:dyDescent="0.3">
      <c r="A7" s="3"/>
      <c r="B7" s="1"/>
      <c r="C7" s="12"/>
      <c r="D7" s="12" t="s">
        <v>34</v>
      </c>
      <c r="E7" s="12">
        <v>2025</v>
      </c>
      <c r="F7" s="13"/>
      <c r="G7" s="14"/>
      <c r="H7" s="14"/>
      <c r="I7" s="14"/>
      <c r="J7" s="14"/>
      <c r="K7" s="14"/>
      <c r="L7" s="14"/>
      <c r="M7" s="14"/>
      <c r="N7" s="14"/>
      <c r="O7" s="14"/>
      <c r="P7" s="14"/>
      <c r="Q7" s="14"/>
      <c r="R7" s="14"/>
      <c r="S7" s="14"/>
      <c r="T7" s="14"/>
      <c r="U7" s="14"/>
      <c r="V7" s="14"/>
      <c r="W7" s="14"/>
      <c r="X7" s="14"/>
      <c r="Y7" s="14"/>
      <c r="Z7" s="14"/>
      <c r="AA7" s="14"/>
      <c r="AB7" s="14"/>
      <c r="AC7" s="14"/>
      <c r="AD7" s="14"/>
      <c r="AE7" s="14"/>
    </row>
    <row r="8" spans="1:31" ht="18.75" x14ac:dyDescent="0.3">
      <c r="A8" s="3"/>
      <c r="B8" s="1"/>
      <c r="C8" s="12"/>
      <c r="D8" s="12" t="s">
        <v>34</v>
      </c>
      <c r="E8" s="12">
        <v>2025</v>
      </c>
      <c r="F8" s="13"/>
      <c r="G8" s="14"/>
      <c r="H8" s="14"/>
      <c r="I8" s="14"/>
      <c r="J8" s="14"/>
      <c r="K8" s="14"/>
      <c r="L8" s="14"/>
      <c r="M8" s="14"/>
      <c r="N8" s="14"/>
      <c r="O8" s="14"/>
      <c r="P8" s="14"/>
      <c r="Q8" s="14"/>
      <c r="R8" s="14"/>
      <c r="S8" s="14"/>
      <c r="T8" s="14"/>
      <c r="U8" s="14"/>
      <c r="V8" s="14"/>
      <c r="W8" s="14"/>
      <c r="X8" s="14"/>
      <c r="Y8" s="14"/>
      <c r="Z8" s="14"/>
      <c r="AA8" s="14"/>
      <c r="AB8" s="14"/>
      <c r="AC8" s="14"/>
      <c r="AD8" s="14"/>
      <c r="AE8" s="14"/>
    </row>
    <row r="9" spans="1:31" ht="18.75" x14ac:dyDescent="0.3">
      <c r="A9" s="3"/>
      <c r="B9" s="1"/>
      <c r="C9" s="12"/>
      <c r="D9" s="12" t="s">
        <v>34</v>
      </c>
      <c r="E9" s="12">
        <v>2025</v>
      </c>
      <c r="F9" s="13"/>
      <c r="G9" s="14"/>
      <c r="H9" s="14"/>
      <c r="I9" s="14"/>
      <c r="J9" s="14"/>
      <c r="K9" s="14"/>
      <c r="L9" s="14"/>
      <c r="M9" s="14"/>
      <c r="N9" s="14"/>
      <c r="O9" s="14"/>
      <c r="P9" s="14"/>
      <c r="Q9" s="14"/>
      <c r="R9" s="14"/>
      <c r="S9" s="14"/>
      <c r="T9" s="14"/>
      <c r="U9" s="14"/>
      <c r="V9" s="14"/>
      <c r="W9" s="14"/>
      <c r="X9" s="14"/>
      <c r="Y9" s="14"/>
      <c r="Z9" s="14"/>
      <c r="AA9" s="14"/>
      <c r="AB9" s="14"/>
      <c r="AC9" s="14"/>
      <c r="AD9" s="14"/>
      <c r="AE9" s="14"/>
    </row>
    <row r="10" spans="1:31" ht="18.75" x14ac:dyDescent="0.3">
      <c r="A10" s="3"/>
      <c r="B10" s="1"/>
      <c r="C10" s="15" t="s">
        <v>35</v>
      </c>
      <c r="D10" s="15"/>
      <c r="E10" s="15"/>
      <c r="F10" s="15"/>
      <c r="G10" s="16">
        <f>SUMIFS(G4:G9,$D4:$D9,"Real")+SUMIFS(G4:G9,$D4:$D9,"Nominal")*G$7</f>
        <v>100000</v>
      </c>
      <c r="H10" s="16">
        <f t="shared" ref="H10:AE10" si="0">SUMIFS(H4:H9,$D4:$D9,"Real")+SUMIFS(H4:H9,$D4:$D9,"Nominal")*H$7</f>
        <v>100000</v>
      </c>
      <c r="I10" s="16">
        <f t="shared" si="0"/>
        <v>100000</v>
      </c>
      <c r="J10" s="16">
        <f t="shared" si="0"/>
        <v>100000</v>
      </c>
      <c r="K10" s="16">
        <f t="shared" si="0"/>
        <v>100000</v>
      </c>
      <c r="L10" s="16">
        <f t="shared" si="0"/>
        <v>100000</v>
      </c>
      <c r="M10" s="16">
        <f t="shared" si="0"/>
        <v>100000</v>
      </c>
      <c r="N10" s="16">
        <f t="shared" si="0"/>
        <v>100000</v>
      </c>
      <c r="O10" s="16">
        <f t="shared" si="0"/>
        <v>100000</v>
      </c>
      <c r="P10" s="16">
        <f t="shared" si="0"/>
        <v>100000</v>
      </c>
      <c r="Q10" s="16">
        <f t="shared" si="0"/>
        <v>100000</v>
      </c>
      <c r="R10" s="16">
        <f t="shared" si="0"/>
        <v>100000</v>
      </c>
      <c r="S10" s="16">
        <f t="shared" si="0"/>
        <v>100000</v>
      </c>
      <c r="T10" s="16">
        <f t="shared" si="0"/>
        <v>100000</v>
      </c>
      <c r="U10" s="16">
        <f t="shared" si="0"/>
        <v>100000</v>
      </c>
      <c r="V10" s="16">
        <f t="shared" si="0"/>
        <v>100000</v>
      </c>
      <c r="W10" s="16">
        <f t="shared" si="0"/>
        <v>100000</v>
      </c>
      <c r="X10" s="16">
        <f t="shared" si="0"/>
        <v>100000</v>
      </c>
      <c r="Y10" s="16">
        <f t="shared" si="0"/>
        <v>100000</v>
      </c>
      <c r="Z10" s="16">
        <f t="shared" si="0"/>
        <v>100000</v>
      </c>
      <c r="AA10" s="16">
        <f t="shared" si="0"/>
        <v>100000</v>
      </c>
      <c r="AB10" s="16">
        <f t="shared" si="0"/>
        <v>100000</v>
      </c>
      <c r="AC10" s="16">
        <f t="shared" si="0"/>
        <v>100000</v>
      </c>
      <c r="AD10" s="16">
        <f t="shared" si="0"/>
        <v>100000</v>
      </c>
      <c r="AE10" s="16">
        <f t="shared" si="0"/>
        <v>100000</v>
      </c>
    </row>
    <row r="11" spans="1:31" ht="18.75" x14ac:dyDescent="0.3">
      <c r="A11" s="3"/>
      <c r="B11" s="1"/>
      <c r="C11" s="2"/>
      <c r="D11" s="2"/>
      <c r="E11" s="2"/>
      <c r="F11" s="2"/>
      <c r="G11" s="3"/>
      <c r="H11" s="3"/>
      <c r="I11" s="3"/>
      <c r="J11" s="3"/>
      <c r="K11" s="3"/>
      <c r="L11" s="3"/>
      <c r="M11" s="3"/>
      <c r="N11" s="3"/>
      <c r="O11" s="3"/>
      <c r="P11" s="3"/>
      <c r="Q11" s="3"/>
      <c r="R11" s="3"/>
      <c r="S11" s="3"/>
      <c r="T11" s="3"/>
      <c r="U11" s="3"/>
      <c r="V11" s="3"/>
      <c r="W11" s="3"/>
      <c r="X11" s="3"/>
      <c r="Y11" s="3"/>
      <c r="Z11" s="3"/>
      <c r="AA11" s="3"/>
      <c r="AB11" s="3"/>
      <c r="AC11" s="3"/>
      <c r="AD11" s="3"/>
      <c r="AE11" s="3"/>
    </row>
    <row r="12" spans="1:31" ht="60.75" x14ac:dyDescent="0.3">
      <c r="A12" s="17" t="s">
        <v>36</v>
      </c>
      <c r="B12" s="6"/>
      <c r="C12" s="17" t="s">
        <v>3</v>
      </c>
      <c r="D12" s="18" t="s">
        <v>4</v>
      </c>
      <c r="E12" s="18" t="s">
        <v>5</v>
      </c>
      <c r="F12" s="19" t="s">
        <v>6</v>
      </c>
      <c r="G12" s="20" t="s">
        <v>7</v>
      </c>
      <c r="H12" s="20" t="s">
        <v>8</v>
      </c>
      <c r="I12" s="20" t="s">
        <v>9</v>
      </c>
      <c r="J12" s="20" t="s">
        <v>10</v>
      </c>
      <c r="K12" s="20" t="s">
        <v>11</v>
      </c>
      <c r="L12" s="20" t="s">
        <v>12</v>
      </c>
      <c r="M12" s="20" t="s">
        <v>13</v>
      </c>
      <c r="N12" s="20" t="s">
        <v>14</v>
      </c>
      <c r="O12" s="20" t="s">
        <v>15</v>
      </c>
      <c r="P12" s="20" t="s">
        <v>16</v>
      </c>
      <c r="Q12" s="20" t="s">
        <v>17</v>
      </c>
      <c r="R12" s="20" t="s">
        <v>18</v>
      </c>
      <c r="S12" s="20" t="s">
        <v>19</v>
      </c>
      <c r="T12" s="20" t="s">
        <v>20</v>
      </c>
      <c r="U12" s="20" t="s">
        <v>21</v>
      </c>
      <c r="V12" s="20" t="s">
        <v>22</v>
      </c>
      <c r="W12" s="20" t="s">
        <v>23</v>
      </c>
      <c r="X12" s="20" t="s">
        <v>24</v>
      </c>
      <c r="Y12" s="20" t="s">
        <v>25</v>
      </c>
      <c r="Z12" s="20" t="s">
        <v>26</v>
      </c>
      <c r="AA12" s="20" t="s">
        <v>27</v>
      </c>
      <c r="AB12" s="20" t="s">
        <v>28</v>
      </c>
      <c r="AC12" s="20" t="s">
        <v>29</v>
      </c>
      <c r="AD12" s="20" t="s">
        <v>30</v>
      </c>
      <c r="AE12" s="20" t="s">
        <v>31</v>
      </c>
    </row>
    <row r="13" spans="1:31" ht="18.75" x14ac:dyDescent="0.3">
      <c r="A13" s="3" t="s">
        <v>32</v>
      </c>
      <c r="B13" s="1"/>
      <c r="C13" s="21" t="s">
        <v>33</v>
      </c>
      <c r="D13" s="21" t="s">
        <v>34</v>
      </c>
      <c r="E13" s="21">
        <v>2025</v>
      </c>
      <c r="F13" s="21"/>
      <c r="G13" s="22">
        <v>90000</v>
      </c>
      <c r="H13" s="22">
        <v>90000</v>
      </c>
      <c r="I13" s="22">
        <v>90000</v>
      </c>
      <c r="J13" s="22">
        <v>90000</v>
      </c>
      <c r="K13" s="22">
        <v>90000</v>
      </c>
      <c r="L13" s="22">
        <v>90000</v>
      </c>
      <c r="M13" s="22">
        <v>90000</v>
      </c>
      <c r="N13" s="22">
        <v>90000</v>
      </c>
      <c r="O13" s="22">
        <v>90000</v>
      </c>
      <c r="P13" s="22">
        <v>90000</v>
      </c>
      <c r="Q13" s="22">
        <v>90000</v>
      </c>
      <c r="R13" s="22">
        <v>90000</v>
      </c>
      <c r="S13" s="22">
        <v>90000</v>
      </c>
      <c r="T13" s="22">
        <v>90000</v>
      </c>
      <c r="U13" s="22">
        <v>90000</v>
      </c>
      <c r="V13" s="22">
        <v>90000</v>
      </c>
      <c r="W13" s="22">
        <v>90000</v>
      </c>
      <c r="X13" s="22">
        <v>90000</v>
      </c>
      <c r="Y13" s="22">
        <v>90000</v>
      </c>
      <c r="Z13" s="22">
        <v>90000</v>
      </c>
      <c r="AA13" s="22">
        <v>90000</v>
      </c>
      <c r="AB13" s="22">
        <v>90000</v>
      </c>
      <c r="AC13" s="22">
        <v>90000</v>
      </c>
      <c r="AD13" s="22">
        <v>90000</v>
      </c>
      <c r="AE13" s="22">
        <v>90000</v>
      </c>
    </row>
    <row r="14" spans="1:31" ht="18.75" x14ac:dyDescent="0.3">
      <c r="A14" s="3"/>
      <c r="B14" s="1"/>
      <c r="C14" s="21"/>
      <c r="D14" s="21" t="s">
        <v>34</v>
      </c>
      <c r="E14" s="21">
        <v>2025</v>
      </c>
      <c r="F14" s="21"/>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row>
    <row r="15" spans="1:31" ht="18.75" x14ac:dyDescent="0.3">
      <c r="A15" s="3"/>
      <c r="B15" s="1"/>
      <c r="C15" s="21"/>
      <c r="D15" s="21" t="s">
        <v>34</v>
      </c>
      <c r="E15" s="21">
        <v>2025</v>
      </c>
      <c r="F15" s="21"/>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row>
    <row r="16" spans="1:31" ht="18.75" x14ac:dyDescent="0.3">
      <c r="A16" s="3"/>
      <c r="B16" s="1"/>
      <c r="C16" s="21"/>
      <c r="D16" s="21" t="s">
        <v>34</v>
      </c>
      <c r="E16" s="21">
        <v>2025</v>
      </c>
      <c r="F16" s="21"/>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row>
    <row r="17" spans="1:31" ht="18.75" x14ac:dyDescent="0.3">
      <c r="A17" s="3"/>
      <c r="B17" s="1"/>
      <c r="C17" s="21"/>
      <c r="D17" s="21" t="s">
        <v>34</v>
      </c>
      <c r="E17" s="21">
        <v>2025</v>
      </c>
      <c r="F17" s="21"/>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row>
    <row r="18" spans="1:31" ht="18.75" x14ac:dyDescent="0.3">
      <c r="A18" s="3"/>
      <c r="B18" s="1"/>
      <c r="C18" s="21"/>
      <c r="D18" s="21" t="s">
        <v>34</v>
      </c>
      <c r="E18" s="21">
        <v>2025</v>
      </c>
      <c r="F18" s="21"/>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row>
    <row r="19" spans="1:31" ht="18.75" x14ac:dyDescent="0.3">
      <c r="A19" s="3"/>
      <c r="B19" s="1"/>
      <c r="C19" s="23" t="str">
        <f>C10</f>
        <v>Total non-fuel opex in current dollars</v>
      </c>
      <c r="D19" s="23"/>
      <c r="E19" s="23"/>
      <c r="F19" s="23"/>
      <c r="G19" s="24">
        <f>SUMIFS(G13:G18,$D13:$D18,"Real")+SUMIFS(G13:G18,$D13:$D18,"Nominal")*G$7</f>
        <v>90000</v>
      </c>
      <c r="H19" s="24">
        <f t="shared" ref="H19:AE19" si="1">SUMIFS(H13:H18,$D13:$D18,"Real")+SUMIFS(H13:H18,$D13:$D18,"Nominal")*H$7</f>
        <v>90000</v>
      </c>
      <c r="I19" s="24">
        <f t="shared" si="1"/>
        <v>90000</v>
      </c>
      <c r="J19" s="24">
        <f t="shared" si="1"/>
        <v>90000</v>
      </c>
      <c r="K19" s="24">
        <f t="shared" si="1"/>
        <v>90000</v>
      </c>
      <c r="L19" s="24">
        <f t="shared" si="1"/>
        <v>90000</v>
      </c>
      <c r="M19" s="24">
        <f t="shared" si="1"/>
        <v>90000</v>
      </c>
      <c r="N19" s="24">
        <f t="shared" si="1"/>
        <v>90000</v>
      </c>
      <c r="O19" s="24">
        <f t="shared" si="1"/>
        <v>90000</v>
      </c>
      <c r="P19" s="24">
        <f t="shared" si="1"/>
        <v>90000</v>
      </c>
      <c r="Q19" s="24">
        <f t="shared" si="1"/>
        <v>90000</v>
      </c>
      <c r="R19" s="24">
        <f t="shared" si="1"/>
        <v>90000</v>
      </c>
      <c r="S19" s="24">
        <f t="shared" si="1"/>
        <v>90000</v>
      </c>
      <c r="T19" s="24">
        <f t="shared" si="1"/>
        <v>90000</v>
      </c>
      <c r="U19" s="24">
        <f t="shared" si="1"/>
        <v>90000</v>
      </c>
      <c r="V19" s="24">
        <f t="shared" si="1"/>
        <v>90000</v>
      </c>
      <c r="W19" s="24">
        <f t="shared" si="1"/>
        <v>90000</v>
      </c>
      <c r="X19" s="24">
        <f t="shared" si="1"/>
        <v>90000</v>
      </c>
      <c r="Y19" s="24">
        <f t="shared" si="1"/>
        <v>90000</v>
      </c>
      <c r="Z19" s="24">
        <f t="shared" si="1"/>
        <v>90000</v>
      </c>
      <c r="AA19" s="24">
        <f t="shared" si="1"/>
        <v>90000</v>
      </c>
      <c r="AB19" s="24">
        <f t="shared" si="1"/>
        <v>90000</v>
      </c>
      <c r="AC19" s="24">
        <f t="shared" si="1"/>
        <v>90000</v>
      </c>
      <c r="AD19" s="24">
        <f t="shared" si="1"/>
        <v>90000</v>
      </c>
      <c r="AE19" s="24">
        <f t="shared" si="1"/>
        <v>90000</v>
      </c>
    </row>
  </sheetData>
  <dataValidations count="1">
    <dataValidation type="list" allowBlank="1" showInputMessage="1" showErrorMessage="1" sqref="D4:D9 D13:D18" xr:uid="{10A6BC80-DD67-413A-92F9-AB58134B0507}">
      <formula1>"Real,nominal"</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Catton</dc:creator>
  <cp:lastModifiedBy>Will Catton</cp:lastModifiedBy>
  <dcterms:created xsi:type="dcterms:W3CDTF">2025-02-04T03:34:24Z</dcterms:created>
  <dcterms:modified xsi:type="dcterms:W3CDTF">2025-02-04T03:35:19Z</dcterms:modified>
</cp:coreProperties>
</file>