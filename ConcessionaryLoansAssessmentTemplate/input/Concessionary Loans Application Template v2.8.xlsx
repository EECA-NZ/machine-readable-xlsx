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eecagovtnz-my.sharepoint.com/personal/jared_braggins_eeca_govt_nz/Documents/Documents/"/>
    </mc:Choice>
  </mc:AlternateContent>
  <xr:revisionPtr revIDLastSave="817" documentId="8_{96A91061-E5A2-45DA-853F-35525375B723}" xr6:coauthVersionLast="47" xr6:coauthVersionMax="47" xr10:uidLastSave="{D600C8BC-FCD4-425C-B382-B039AF81FD3C}"/>
  <bookViews>
    <workbookView xWindow="28680" yWindow="-120" windowWidth="29040" windowHeight="15720" activeTab="1" xr2:uid="{7468444B-38F4-40DC-B04E-B4E942B6977E}"/>
  </bookViews>
  <sheets>
    <sheet name="Guidance" sheetId="9" r:id="rId1"/>
    <sheet name="Project description" sheetId="1" r:id="rId2"/>
    <sheet name="Inputs" sheetId="3" r:id="rId3"/>
    <sheet name="Scratch" sheetId="10" r:id="rId4"/>
    <sheet name="Real values" sheetId="7" r:id="rId5"/>
    <sheet name="Results" sheetId="8" r:id="rId6"/>
    <sheet name="Calculations" sheetId="4" state="hidden" r:id="rId7"/>
    <sheet name="Data" sheetId="2" state="hidden" r:id="rId8"/>
    <sheet name="Lists" sheetId="5" state="hidden" r:id="rId9"/>
    <sheet name="Output" sheetId="6" state="hidden" r:id="rId10"/>
  </sheets>
  <definedNames>
    <definedName name="Analysis_year">'Project description'!$B$13</definedName>
    <definedName name="FinalYear_BC">Calculations!$B$3</definedName>
    <definedName name="FinalYear_PP">Calculations!$B$2</definedName>
    <definedName name="HurdleRateBasis">'Project description'!$B$29</definedName>
    <definedName name="Occasion">Lists!$A$21:$A$32</definedName>
    <definedName name="ReturnType">'Project description'!$B$30</definedName>
    <definedName name="Start_Yr">'Project description'!$B$11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60" i="7" l="1"/>
  <c r="M160" i="7"/>
  <c r="N160" i="7"/>
  <c r="O160" i="7"/>
  <c r="P160" i="7"/>
  <c r="Q160" i="7"/>
  <c r="R160" i="7"/>
  <c r="S160" i="7"/>
  <c r="T160" i="7"/>
  <c r="U160" i="7"/>
  <c r="V160" i="7"/>
  <c r="W160" i="7"/>
  <c r="X160" i="7"/>
  <c r="Y160" i="7"/>
  <c r="Z160" i="7"/>
  <c r="AA160" i="7"/>
  <c r="AB160" i="7"/>
  <c r="AC160" i="7"/>
  <c r="AD160" i="7"/>
  <c r="AE160" i="7"/>
  <c r="AF160" i="7"/>
  <c r="AG160" i="7"/>
  <c r="AH160" i="7"/>
  <c r="AI160" i="7"/>
  <c r="AJ160" i="7"/>
  <c r="AK160" i="7"/>
  <c r="AL160" i="7"/>
  <c r="AM160" i="7"/>
  <c r="AN160" i="7"/>
  <c r="AO160" i="7"/>
  <c r="AP160" i="7"/>
  <c r="AQ160" i="7"/>
  <c r="AR160" i="7"/>
  <c r="AS160" i="7"/>
  <c r="AT160" i="7"/>
  <c r="AU160" i="7"/>
  <c r="AV160" i="7"/>
  <c r="AW160" i="7"/>
  <c r="AX160" i="7"/>
  <c r="AY160" i="7"/>
  <c r="AZ160" i="7"/>
  <c r="BA160" i="7"/>
  <c r="BB160" i="7"/>
  <c r="BC160" i="7"/>
  <c r="BD160" i="7"/>
  <c r="L160" i="7"/>
  <c r="BE157" i="7"/>
  <c r="M157" i="7"/>
  <c r="N157" i="7"/>
  <c r="O157" i="7"/>
  <c r="P157" i="7"/>
  <c r="Q157" i="7"/>
  <c r="R157" i="7"/>
  <c r="S157" i="7"/>
  <c r="T157" i="7"/>
  <c r="U157" i="7"/>
  <c r="V157" i="7"/>
  <c r="W157" i="7"/>
  <c r="X157" i="7"/>
  <c r="Y157" i="7"/>
  <c r="Z157" i="7"/>
  <c r="AA157" i="7"/>
  <c r="AB157" i="7"/>
  <c r="AC157" i="7"/>
  <c r="AD157" i="7"/>
  <c r="AE157" i="7"/>
  <c r="AF157" i="7"/>
  <c r="AG157" i="7"/>
  <c r="AH157" i="7"/>
  <c r="AI157" i="7"/>
  <c r="AJ157" i="7"/>
  <c r="AK157" i="7"/>
  <c r="AL157" i="7"/>
  <c r="AM157" i="7"/>
  <c r="AN157" i="7"/>
  <c r="AO157" i="7"/>
  <c r="AP157" i="7"/>
  <c r="AQ157" i="7"/>
  <c r="AR157" i="7"/>
  <c r="AS157" i="7"/>
  <c r="AT157" i="7"/>
  <c r="AU157" i="7"/>
  <c r="AV157" i="7"/>
  <c r="AW157" i="7"/>
  <c r="AX157" i="7"/>
  <c r="AY157" i="7"/>
  <c r="AZ157" i="7"/>
  <c r="BA157" i="7"/>
  <c r="BB157" i="7"/>
  <c r="BC157" i="7"/>
  <c r="BD157" i="7"/>
  <c r="L157" i="7"/>
  <c r="M41" i="7"/>
  <c r="M42" i="7"/>
  <c r="M43" i="7"/>
  <c r="M44" i="7"/>
  <c r="M45" i="7"/>
  <c r="M46" i="7"/>
  <c r="N41" i="7"/>
  <c r="N42" i="7"/>
  <c r="N43" i="7"/>
  <c r="N44" i="7"/>
  <c r="N45" i="7"/>
  <c r="N46" i="7"/>
  <c r="O41" i="7"/>
  <c r="O42" i="7"/>
  <c r="O43" i="7"/>
  <c r="O44" i="7"/>
  <c r="O45" i="7"/>
  <c r="O46" i="7"/>
  <c r="Q41" i="7"/>
  <c r="Q42" i="7"/>
  <c r="Q43" i="7"/>
  <c r="Q44" i="7"/>
  <c r="Q45" i="7"/>
  <c r="Q46" i="7"/>
  <c r="P41" i="7"/>
  <c r="P42" i="7"/>
  <c r="P43" i="7"/>
  <c r="P44" i="7"/>
  <c r="P45" i="7"/>
  <c r="P46" i="7"/>
  <c r="R41" i="7"/>
  <c r="R42" i="7"/>
  <c r="R43" i="7"/>
  <c r="R44" i="7"/>
  <c r="R45" i="7"/>
  <c r="R46" i="7"/>
  <c r="S41" i="7"/>
  <c r="S42" i="7"/>
  <c r="S43" i="7"/>
  <c r="S44" i="7"/>
  <c r="S45" i="7"/>
  <c r="S46" i="7"/>
  <c r="T41" i="7"/>
  <c r="T42" i="7"/>
  <c r="T43" i="7"/>
  <c r="T44" i="7"/>
  <c r="T45" i="7"/>
  <c r="T46" i="7"/>
  <c r="U41" i="7"/>
  <c r="U42" i="7"/>
  <c r="U43" i="7"/>
  <c r="U44" i="7"/>
  <c r="U45" i="7"/>
  <c r="U46" i="7"/>
  <c r="V41" i="7"/>
  <c r="V42" i="7"/>
  <c r="V43" i="7"/>
  <c r="V44" i="7"/>
  <c r="V45" i="7"/>
  <c r="V46" i="7"/>
  <c r="W41" i="7"/>
  <c r="W42" i="7"/>
  <c r="W43" i="7"/>
  <c r="W44" i="7"/>
  <c r="W45" i="7"/>
  <c r="W46" i="7"/>
  <c r="X41" i="7"/>
  <c r="X42" i="7"/>
  <c r="X43" i="7"/>
  <c r="X44" i="7"/>
  <c r="X45" i="7"/>
  <c r="X46" i="7"/>
  <c r="Y41" i="7"/>
  <c r="Y42" i="7"/>
  <c r="Y43" i="7"/>
  <c r="Y44" i="7"/>
  <c r="Y45" i="7"/>
  <c r="Y46" i="7"/>
  <c r="Z41" i="7"/>
  <c r="Z42" i="7"/>
  <c r="Z43" i="7"/>
  <c r="Z44" i="7"/>
  <c r="Z45" i="7"/>
  <c r="Z46" i="7"/>
  <c r="AA41" i="7"/>
  <c r="AA42" i="7"/>
  <c r="AA43" i="7"/>
  <c r="AA44" i="7"/>
  <c r="AA45" i="7"/>
  <c r="AA46" i="7"/>
  <c r="AB41" i="7"/>
  <c r="AB42" i="7"/>
  <c r="AB43" i="7"/>
  <c r="AB44" i="7"/>
  <c r="AB45" i="7"/>
  <c r="AB46" i="7"/>
  <c r="AC41" i="7"/>
  <c r="AC42" i="7"/>
  <c r="AC43" i="7"/>
  <c r="AC44" i="7"/>
  <c r="AC45" i="7"/>
  <c r="AC46" i="7"/>
  <c r="AD41" i="7"/>
  <c r="AD42" i="7"/>
  <c r="AD43" i="7"/>
  <c r="AD44" i="7"/>
  <c r="AD45" i="7"/>
  <c r="AD46" i="7"/>
  <c r="AE41" i="7"/>
  <c r="AE42" i="7"/>
  <c r="AE43" i="7"/>
  <c r="AE44" i="7"/>
  <c r="AE45" i="7"/>
  <c r="AE46" i="7"/>
  <c r="AF41" i="7"/>
  <c r="AF42" i="7"/>
  <c r="AF43" i="7"/>
  <c r="AF44" i="7"/>
  <c r="AF45" i="7"/>
  <c r="AF46" i="7"/>
  <c r="AG41" i="7"/>
  <c r="AG42" i="7"/>
  <c r="AG43" i="7"/>
  <c r="AG44" i="7"/>
  <c r="AG45" i="7"/>
  <c r="AG46" i="7"/>
  <c r="AH41" i="7"/>
  <c r="AH42" i="7"/>
  <c r="AH43" i="7"/>
  <c r="AH44" i="7"/>
  <c r="AH45" i="7"/>
  <c r="AH46" i="7"/>
  <c r="AI41" i="7"/>
  <c r="AI42" i="7"/>
  <c r="AI43" i="7"/>
  <c r="AI44" i="7"/>
  <c r="AI45" i="7"/>
  <c r="AI46" i="7"/>
  <c r="AJ41" i="7"/>
  <c r="AJ42" i="7"/>
  <c r="AJ43" i="7"/>
  <c r="AJ44" i="7"/>
  <c r="AJ45" i="7"/>
  <c r="AJ46" i="7"/>
  <c r="AK41" i="7"/>
  <c r="AK42" i="7"/>
  <c r="AK43" i="7"/>
  <c r="AK44" i="7"/>
  <c r="AK45" i="7"/>
  <c r="AK46" i="7"/>
  <c r="AL41" i="7"/>
  <c r="AL42" i="7"/>
  <c r="AL43" i="7"/>
  <c r="AL44" i="7"/>
  <c r="AL45" i="7"/>
  <c r="AL46" i="7"/>
  <c r="AM41" i="7"/>
  <c r="AM42" i="7"/>
  <c r="AM43" i="7"/>
  <c r="AM44" i="7"/>
  <c r="AM45" i="7"/>
  <c r="AM46" i="7"/>
  <c r="AN41" i="7"/>
  <c r="AN42" i="7"/>
  <c r="AN43" i="7"/>
  <c r="AN44" i="7"/>
  <c r="AN45" i="7"/>
  <c r="AN46" i="7"/>
  <c r="AO41" i="7"/>
  <c r="AO42" i="7"/>
  <c r="AO43" i="7"/>
  <c r="AO44" i="7"/>
  <c r="AO45" i="7"/>
  <c r="AO46" i="7"/>
  <c r="AP41" i="7"/>
  <c r="AP42" i="7"/>
  <c r="AP43" i="7"/>
  <c r="AP44" i="7"/>
  <c r="AP45" i="7"/>
  <c r="AP46" i="7"/>
  <c r="AQ41" i="7"/>
  <c r="AQ42" i="7"/>
  <c r="AQ43" i="7"/>
  <c r="AQ44" i="7"/>
  <c r="AQ45" i="7"/>
  <c r="AQ46" i="7"/>
  <c r="AR41" i="7"/>
  <c r="AR42" i="7"/>
  <c r="AR43" i="7"/>
  <c r="AR44" i="7"/>
  <c r="AR45" i="7"/>
  <c r="AR46" i="7"/>
  <c r="AS41" i="7"/>
  <c r="AS42" i="7"/>
  <c r="AS43" i="7"/>
  <c r="AS44" i="7"/>
  <c r="AS45" i="7"/>
  <c r="AS46" i="7"/>
  <c r="AT41" i="7"/>
  <c r="AT42" i="7"/>
  <c r="AT43" i="7"/>
  <c r="AT44" i="7"/>
  <c r="AT45" i="7"/>
  <c r="AT46" i="7"/>
  <c r="AU41" i="7"/>
  <c r="AU42" i="7"/>
  <c r="AU43" i="7"/>
  <c r="AU44" i="7"/>
  <c r="AU45" i="7"/>
  <c r="AU46" i="7"/>
  <c r="AV41" i="7"/>
  <c r="AV42" i="7"/>
  <c r="AV43" i="7"/>
  <c r="AV44" i="7"/>
  <c r="AV45" i="7"/>
  <c r="AV46" i="7"/>
  <c r="AW41" i="7"/>
  <c r="AW42" i="7"/>
  <c r="AW43" i="7"/>
  <c r="AW44" i="7"/>
  <c r="AW45" i="7"/>
  <c r="AW46" i="7"/>
  <c r="AX41" i="7"/>
  <c r="AX42" i="7"/>
  <c r="AX43" i="7"/>
  <c r="AX44" i="7"/>
  <c r="AX45" i="7"/>
  <c r="AX46" i="7"/>
  <c r="AY41" i="7"/>
  <c r="AY42" i="7"/>
  <c r="AY43" i="7"/>
  <c r="AY44" i="7"/>
  <c r="AY45" i="7"/>
  <c r="AY46" i="7"/>
  <c r="AZ41" i="7"/>
  <c r="AZ42" i="7"/>
  <c r="AZ43" i="7"/>
  <c r="AZ44" i="7"/>
  <c r="AZ45" i="7"/>
  <c r="AZ46" i="7"/>
  <c r="BA41" i="7"/>
  <c r="BA42" i="7"/>
  <c r="BA43" i="7"/>
  <c r="BA44" i="7"/>
  <c r="BA45" i="7"/>
  <c r="BA46" i="7"/>
  <c r="BB41" i="7"/>
  <c r="BB42" i="7"/>
  <c r="BB43" i="7"/>
  <c r="BB44" i="7"/>
  <c r="BB45" i="7"/>
  <c r="BB46" i="7"/>
  <c r="BC41" i="7"/>
  <c r="BC42" i="7"/>
  <c r="BC43" i="7"/>
  <c r="BC44" i="7"/>
  <c r="BC45" i="7"/>
  <c r="BC46" i="7"/>
  <c r="BD41" i="7"/>
  <c r="BD42" i="7"/>
  <c r="BD43" i="7"/>
  <c r="BD44" i="7"/>
  <c r="BD45" i="7"/>
  <c r="BD46" i="7"/>
  <c r="BE41" i="7"/>
  <c r="BE42" i="7"/>
  <c r="BE43" i="7"/>
  <c r="BE44" i="7"/>
  <c r="BE45" i="7"/>
  <c r="BE46" i="7"/>
  <c r="L41" i="7"/>
  <c r="L42" i="7"/>
  <c r="L43" i="7"/>
  <c r="L44" i="7"/>
  <c r="L45" i="7"/>
  <c r="L46" i="7"/>
  <c r="BA24" i="7"/>
  <c r="BD25" i="7"/>
  <c r="BE24" i="7"/>
  <c r="BE20" i="7"/>
  <c r="BE21" i="7"/>
  <c r="BE22" i="7"/>
  <c r="BE23" i="7"/>
  <c r="BE25" i="7"/>
  <c r="BE26" i="7"/>
  <c r="BD20" i="7"/>
  <c r="BD21" i="7"/>
  <c r="BD22" i="7"/>
  <c r="BD23" i="7"/>
  <c r="BD24" i="7"/>
  <c r="BD26" i="7"/>
  <c r="BC20" i="7"/>
  <c r="BC21" i="7"/>
  <c r="BC22" i="7"/>
  <c r="BC23" i="7"/>
  <c r="BC24" i="7"/>
  <c r="BC25" i="7"/>
  <c r="BC26" i="7"/>
  <c r="BB20" i="7"/>
  <c r="BB21" i="7"/>
  <c r="BB22" i="7"/>
  <c r="BB23" i="7"/>
  <c r="BB24" i="7"/>
  <c r="BB25" i="7"/>
  <c r="BB26" i="7"/>
  <c r="BA20" i="7"/>
  <c r="BA21" i="7"/>
  <c r="BA22" i="7"/>
  <c r="BA23" i="7"/>
  <c r="BA25" i="7"/>
  <c r="BA26" i="7"/>
  <c r="AZ20" i="7"/>
  <c r="AZ21" i="7"/>
  <c r="AZ22" i="7"/>
  <c r="AZ23" i="7"/>
  <c r="AZ24" i="7"/>
  <c r="AZ25" i="7"/>
  <c r="AZ26" i="7"/>
  <c r="AY20" i="7"/>
  <c r="AY21" i="7"/>
  <c r="AY22" i="7"/>
  <c r="AY23" i="7"/>
  <c r="AY24" i="7"/>
  <c r="AY25" i="7"/>
  <c r="AY26" i="7"/>
  <c r="AX20" i="7"/>
  <c r="AX21" i="7"/>
  <c r="AX22" i="7"/>
  <c r="AX23" i="7"/>
  <c r="AX24" i="7"/>
  <c r="AX25" i="7"/>
  <c r="AX26" i="7"/>
  <c r="AW20" i="7"/>
  <c r="AW21" i="7"/>
  <c r="AW22" i="7"/>
  <c r="AW23" i="7"/>
  <c r="AW24" i="7"/>
  <c r="AW25" i="7"/>
  <c r="AW26" i="7"/>
  <c r="AV20" i="7"/>
  <c r="AV21" i="7"/>
  <c r="AV22" i="7"/>
  <c r="AV23" i="7"/>
  <c r="AV24" i="7"/>
  <c r="AV25" i="7"/>
  <c r="AV26" i="7"/>
  <c r="AU20" i="7"/>
  <c r="AU21" i="7"/>
  <c r="AU22" i="7"/>
  <c r="AU23" i="7"/>
  <c r="AU24" i="7"/>
  <c r="AU25" i="7"/>
  <c r="AU26" i="7"/>
  <c r="AT20" i="7"/>
  <c r="AT21" i="7"/>
  <c r="AT22" i="7"/>
  <c r="AT23" i="7"/>
  <c r="AT24" i="7"/>
  <c r="AT25" i="7"/>
  <c r="AT26" i="7"/>
  <c r="AS20" i="7"/>
  <c r="AS21" i="7"/>
  <c r="AS22" i="7"/>
  <c r="AS23" i="7"/>
  <c r="AS24" i="7"/>
  <c r="AS25" i="7"/>
  <c r="AS26" i="7"/>
  <c r="AR20" i="7"/>
  <c r="AR21" i="7"/>
  <c r="AR22" i="7"/>
  <c r="AR23" i="7"/>
  <c r="AR24" i="7"/>
  <c r="AR25" i="7"/>
  <c r="AR26" i="7"/>
  <c r="AQ20" i="7"/>
  <c r="AQ21" i="7"/>
  <c r="AQ22" i="7"/>
  <c r="AQ23" i="7"/>
  <c r="AQ24" i="7"/>
  <c r="AQ25" i="7"/>
  <c r="AQ26" i="7"/>
  <c r="AP20" i="7"/>
  <c r="AP21" i="7"/>
  <c r="AP22" i="7"/>
  <c r="AP23" i="7"/>
  <c r="AP24" i="7"/>
  <c r="AP25" i="7"/>
  <c r="AP26" i="7"/>
  <c r="AO20" i="7"/>
  <c r="AO21" i="7"/>
  <c r="AO22" i="7"/>
  <c r="AO23" i="7"/>
  <c r="AO24" i="7"/>
  <c r="AO25" i="7"/>
  <c r="AO26" i="7"/>
  <c r="AN20" i="7"/>
  <c r="AN21" i="7"/>
  <c r="AN22" i="7"/>
  <c r="AN23" i="7"/>
  <c r="AN24" i="7"/>
  <c r="AN25" i="7"/>
  <c r="AN26" i="7"/>
  <c r="AM20" i="7"/>
  <c r="AM21" i="7"/>
  <c r="AM22" i="7"/>
  <c r="AM23" i="7"/>
  <c r="AM24" i="7"/>
  <c r="AM25" i="7"/>
  <c r="AM26" i="7"/>
  <c r="AL20" i="7"/>
  <c r="AL21" i="7"/>
  <c r="AL22" i="7"/>
  <c r="AL23" i="7"/>
  <c r="AL24" i="7"/>
  <c r="AL25" i="7"/>
  <c r="AL26" i="7"/>
  <c r="AK20" i="7"/>
  <c r="AK21" i="7"/>
  <c r="AK22" i="7"/>
  <c r="AK23" i="7"/>
  <c r="AK24" i="7"/>
  <c r="AK25" i="7"/>
  <c r="AK26" i="7"/>
  <c r="AJ20" i="7"/>
  <c r="AJ21" i="7"/>
  <c r="AJ22" i="7"/>
  <c r="AJ23" i="7"/>
  <c r="AJ24" i="7"/>
  <c r="AJ25" i="7"/>
  <c r="AJ26" i="7"/>
  <c r="AI20" i="7"/>
  <c r="AI21" i="7"/>
  <c r="AI22" i="7"/>
  <c r="AI23" i="7"/>
  <c r="AI24" i="7"/>
  <c r="AI25" i="7"/>
  <c r="AI26" i="7"/>
  <c r="AH20" i="7"/>
  <c r="AH21" i="7"/>
  <c r="AH22" i="7"/>
  <c r="AH23" i="7"/>
  <c r="AH24" i="7"/>
  <c r="AH25" i="7"/>
  <c r="AH26" i="7"/>
  <c r="AG20" i="7"/>
  <c r="AG21" i="7"/>
  <c r="AG22" i="7"/>
  <c r="AG23" i="7"/>
  <c r="AG24" i="7"/>
  <c r="AG25" i="7"/>
  <c r="AG26" i="7"/>
  <c r="AF20" i="7"/>
  <c r="AF21" i="7"/>
  <c r="AF22" i="7"/>
  <c r="AF23" i="7"/>
  <c r="AF24" i="7"/>
  <c r="AF25" i="7"/>
  <c r="AF26" i="7"/>
  <c r="AE20" i="7"/>
  <c r="AE21" i="7"/>
  <c r="AE22" i="7"/>
  <c r="AE23" i="7"/>
  <c r="AE24" i="7"/>
  <c r="AE25" i="7"/>
  <c r="AE26" i="7"/>
  <c r="AD20" i="7"/>
  <c r="AD21" i="7"/>
  <c r="AD22" i="7"/>
  <c r="AD23" i="7"/>
  <c r="AD24" i="7"/>
  <c r="AD25" i="7"/>
  <c r="AD26" i="7"/>
  <c r="AC20" i="7"/>
  <c r="AC21" i="7"/>
  <c r="AC22" i="7"/>
  <c r="AC23" i="7"/>
  <c r="AC24" i="7"/>
  <c r="AC25" i="7"/>
  <c r="AC26" i="7"/>
  <c r="AB20" i="7"/>
  <c r="AB21" i="7"/>
  <c r="AB22" i="7"/>
  <c r="AB23" i="7"/>
  <c r="AB24" i="7"/>
  <c r="AB25" i="7"/>
  <c r="AB26" i="7"/>
  <c r="AA20" i="7"/>
  <c r="AA21" i="7"/>
  <c r="AA22" i="7"/>
  <c r="AA23" i="7"/>
  <c r="AA24" i="7"/>
  <c r="AA25" i="7"/>
  <c r="AA26" i="7"/>
  <c r="Z20" i="7"/>
  <c r="Z21" i="7"/>
  <c r="Z22" i="7"/>
  <c r="Z23" i="7"/>
  <c r="Z24" i="7"/>
  <c r="Z25" i="7"/>
  <c r="Z26" i="7"/>
  <c r="Y20" i="7"/>
  <c r="Y21" i="7"/>
  <c r="Y22" i="7"/>
  <c r="Y23" i="7"/>
  <c r="Y24" i="7"/>
  <c r="Y25" i="7"/>
  <c r="Y26" i="7"/>
  <c r="X20" i="7"/>
  <c r="X21" i="7"/>
  <c r="X22" i="7"/>
  <c r="X23" i="7"/>
  <c r="X24" i="7"/>
  <c r="X25" i="7"/>
  <c r="X26" i="7"/>
  <c r="W20" i="7"/>
  <c r="W21" i="7"/>
  <c r="W22" i="7"/>
  <c r="W23" i="7"/>
  <c r="W24" i="7"/>
  <c r="W25" i="7"/>
  <c r="W26" i="7"/>
  <c r="V20" i="7"/>
  <c r="V21" i="7"/>
  <c r="V22" i="7"/>
  <c r="V23" i="7"/>
  <c r="V24" i="7"/>
  <c r="V25" i="7"/>
  <c r="V26" i="7"/>
  <c r="U20" i="7"/>
  <c r="U21" i="7"/>
  <c r="U22" i="7"/>
  <c r="U23" i="7"/>
  <c r="U24" i="7"/>
  <c r="U25" i="7"/>
  <c r="U26" i="7"/>
  <c r="T20" i="7"/>
  <c r="T21" i="7"/>
  <c r="T22" i="7"/>
  <c r="T23" i="7"/>
  <c r="T24" i="7"/>
  <c r="T25" i="7"/>
  <c r="T26" i="7"/>
  <c r="S20" i="7"/>
  <c r="S21" i="7"/>
  <c r="S22" i="7"/>
  <c r="S23" i="7"/>
  <c r="S24" i="7"/>
  <c r="S25" i="7"/>
  <c r="S26" i="7"/>
  <c r="R20" i="7"/>
  <c r="R21" i="7"/>
  <c r="R22" i="7"/>
  <c r="R23" i="7"/>
  <c r="R24" i="7"/>
  <c r="R25" i="7"/>
  <c r="R26" i="7"/>
  <c r="Q20" i="7"/>
  <c r="Q21" i="7"/>
  <c r="Q22" i="7"/>
  <c r="Q23" i="7"/>
  <c r="Q24" i="7"/>
  <c r="Q25" i="7"/>
  <c r="Q26" i="7"/>
  <c r="P20" i="7"/>
  <c r="P21" i="7"/>
  <c r="P22" i="7"/>
  <c r="P23" i="7"/>
  <c r="P24" i="7"/>
  <c r="P25" i="7"/>
  <c r="P26" i="7"/>
  <c r="O20" i="7"/>
  <c r="O21" i="7"/>
  <c r="O22" i="7"/>
  <c r="O23" i="7"/>
  <c r="O24" i="7"/>
  <c r="O25" i="7"/>
  <c r="O26" i="7"/>
  <c r="N20" i="7"/>
  <c r="N21" i="7"/>
  <c r="N22" i="7"/>
  <c r="N23" i="7"/>
  <c r="N24" i="7"/>
  <c r="N25" i="7"/>
  <c r="N26" i="7"/>
  <c r="M20" i="7"/>
  <c r="M21" i="7"/>
  <c r="M22" i="7"/>
  <c r="M23" i="7"/>
  <c r="M24" i="7"/>
  <c r="M25" i="7"/>
  <c r="M26" i="7"/>
  <c r="L20" i="7"/>
  <c r="L21" i="7"/>
  <c r="L22" i="7"/>
  <c r="L23" i="7"/>
  <c r="L24" i="7"/>
  <c r="L25" i="7"/>
  <c r="L26" i="7"/>
  <c r="B34" i="5"/>
  <c r="C7" i="4" s="1"/>
  <c r="E167" i="7"/>
  <c r="E164" i="7"/>
  <c r="E160" i="7"/>
  <c r="E157" i="7"/>
  <c r="E149" i="7"/>
  <c r="E148" i="7"/>
  <c r="E147" i="7"/>
  <c r="E146" i="7"/>
  <c r="E145" i="7"/>
  <c r="E144" i="7"/>
  <c r="E141" i="7"/>
  <c r="E140" i="7"/>
  <c r="E139" i="7"/>
  <c r="E138" i="7"/>
  <c r="E137" i="7"/>
  <c r="E136" i="7"/>
  <c r="E135" i="7"/>
  <c r="E134" i="7"/>
  <c r="E129" i="7"/>
  <c r="E128" i="7"/>
  <c r="E127" i="7"/>
  <c r="E126" i="7"/>
  <c r="E125" i="7"/>
  <c r="E124" i="7"/>
  <c r="E123" i="7"/>
  <c r="E122" i="7"/>
  <c r="E121" i="7"/>
  <c r="E120" i="7"/>
  <c r="E119" i="7"/>
  <c r="E115" i="7"/>
  <c r="E114" i="7"/>
  <c r="E113" i="7"/>
  <c r="E112" i="7"/>
  <c r="E111" i="7"/>
  <c r="E110" i="7"/>
  <c r="E109" i="7"/>
  <c r="E108" i="7"/>
  <c r="E107" i="7"/>
  <c r="E106" i="7"/>
  <c r="E105" i="7"/>
  <c r="C92" i="7"/>
  <c r="C93" i="7"/>
  <c r="C94" i="7"/>
  <c r="C95" i="7"/>
  <c r="C96" i="7"/>
  <c r="C97" i="7"/>
  <c r="C98" i="7"/>
  <c r="C99" i="7"/>
  <c r="C100" i="7"/>
  <c r="C101" i="7"/>
  <c r="C91" i="7"/>
  <c r="C79" i="7"/>
  <c r="C80" i="7"/>
  <c r="C81" i="7"/>
  <c r="C82" i="7"/>
  <c r="C83" i="7"/>
  <c r="C84" i="7"/>
  <c r="C85" i="7"/>
  <c r="C86" i="7"/>
  <c r="C87" i="7"/>
  <c r="C88" i="7"/>
  <c r="C78" i="7"/>
  <c r="F74" i="7"/>
  <c r="F73" i="7"/>
  <c r="F72" i="7"/>
  <c r="F71" i="7"/>
  <c r="F70" i="7"/>
  <c r="F69" i="7"/>
  <c r="F68" i="7"/>
  <c r="F67" i="7"/>
  <c r="F66" i="7"/>
  <c r="F65" i="7"/>
  <c r="F64" i="7"/>
  <c r="F57" i="7"/>
  <c r="F58" i="7"/>
  <c r="F59" i="7"/>
  <c r="F60" i="7"/>
  <c r="F61" i="7"/>
  <c r="F56" i="7"/>
  <c r="F55" i="7"/>
  <c r="F54" i="7"/>
  <c r="F53" i="7"/>
  <c r="F52" i="7"/>
  <c r="F51" i="7"/>
  <c r="D46" i="7"/>
  <c r="D45" i="7"/>
  <c r="D44" i="7"/>
  <c r="D43" i="7"/>
  <c r="D42" i="7"/>
  <c r="D41" i="7"/>
  <c r="D37" i="7"/>
  <c r="D36" i="7"/>
  <c r="D35" i="7"/>
  <c r="D34" i="7"/>
  <c r="D33" i="7"/>
  <c r="D32" i="7"/>
  <c r="D26" i="7"/>
  <c r="D25" i="7"/>
  <c r="D24" i="7"/>
  <c r="D23" i="7"/>
  <c r="D22" i="7"/>
  <c r="D21" i="7"/>
  <c r="D20" i="7"/>
  <c r="D10" i="7"/>
  <c r="D11" i="7"/>
  <c r="D12" i="7"/>
  <c r="D13" i="7"/>
  <c r="D14" i="7"/>
  <c r="D15" i="7"/>
  <c r="D16" i="7"/>
  <c r="B7" i="4"/>
  <c r="B8" i="4"/>
  <c r="B9" i="4"/>
  <c r="B10" i="4"/>
  <c r="B11" i="4"/>
  <c r="B12" i="4"/>
  <c r="B13" i="4"/>
  <c r="B14" i="4"/>
  <c r="B15" i="4"/>
  <c r="B16" i="4"/>
  <c r="B17" i="4"/>
  <c r="B18" i="4"/>
  <c r="B19" i="4"/>
  <c r="B20" i="4"/>
  <c r="B21" i="4"/>
  <c r="B22" i="4"/>
  <c r="B23" i="4"/>
  <c r="B24" i="4"/>
  <c r="B25" i="4"/>
  <c r="B26" i="4"/>
  <c r="B27" i="4"/>
  <c r="B28" i="4"/>
  <c r="B29" i="4"/>
  <c r="B30" i="4"/>
  <c r="C27" i="1"/>
  <c r="H9" i="3"/>
  <c r="D95" i="7" l="1"/>
  <c r="E26" i="7"/>
  <c r="E42" i="7"/>
  <c r="G54" i="7"/>
  <c r="G64" i="7"/>
  <c r="G72" i="7"/>
  <c r="F107" i="7"/>
  <c r="F115" i="7"/>
  <c r="D98" i="7"/>
  <c r="F123" i="7"/>
  <c r="F135" i="7"/>
  <c r="F145" i="7"/>
  <c r="D78" i="7"/>
  <c r="D97" i="7"/>
  <c r="E32" i="7"/>
  <c r="E43" i="7"/>
  <c r="G55" i="7"/>
  <c r="G65" i="7"/>
  <c r="G73" i="7"/>
  <c r="F108" i="7"/>
  <c r="D88" i="7"/>
  <c r="D96" i="7"/>
  <c r="F124" i="7"/>
  <c r="F136" i="7"/>
  <c r="F146" i="7"/>
  <c r="D87" i="7"/>
  <c r="E20" i="7"/>
  <c r="E33" i="7"/>
  <c r="E44" i="7"/>
  <c r="G56" i="7"/>
  <c r="G66" i="7"/>
  <c r="G74" i="7"/>
  <c r="F109" i="7"/>
  <c r="D86" i="7"/>
  <c r="D94" i="7"/>
  <c r="F125" i="7"/>
  <c r="F137" i="7"/>
  <c r="F147" i="7"/>
  <c r="G61" i="7"/>
  <c r="D85" i="7"/>
  <c r="D93" i="7"/>
  <c r="E21" i="7"/>
  <c r="E34" i="7"/>
  <c r="E45" i="7"/>
  <c r="G67" i="7"/>
  <c r="F110" i="7"/>
  <c r="D84" i="7"/>
  <c r="D92" i="7"/>
  <c r="F126" i="7"/>
  <c r="F138" i="7"/>
  <c r="F148" i="7"/>
  <c r="G60" i="7"/>
  <c r="D83" i="7"/>
  <c r="E22" i="7"/>
  <c r="E35" i="7"/>
  <c r="E46" i="7"/>
  <c r="G68" i="7"/>
  <c r="F111" i="7"/>
  <c r="D82" i="7"/>
  <c r="F119" i="7"/>
  <c r="F127" i="7"/>
  <c r="F139" i="7"/>
  <c r="F149" i="7"/>
  <c r="G59" i="7"/>
  <c r="D81" i="7"/>
  <c r="E23" i="7"/>
  <c r="E36" i="7"/>
  <c r="G51" i="7"/>
  <c r="G69" i="7"/>
  <c r="F112" i="7"/>
  <c r="D80" i="7"/>
  <c r="F120" i="7"/>
  <c r="F128" i="7"/>
  <c r="F140" i="7"/>
  <c r="F157" i="7"/>
  <c r="G58" i="7"/>
  <c r="D79" i="7"/>
  <c r="G52" i="7"/>
  <c r="F105" i="7"/>
  <c r="D91" i="7"/>
  <c r="F160" i="7"/>
  <c r="G57" i="7"/>
  <c r="D101" i="7"/>
  <c r="E37" i="7"/>
  <c r="G70" i="7"/>
  <c r="F113" i="7"/>
  <c r="F121" i="7"/>
  <c r="F141" i="7"/>
  <c r="E25" i="7"/>
  <c r="E41" i="7"/>
  <c r="G53" i="7"/>
  <c r="G71" i="7"/>
  <c r="F106" i="7"/>
  <c r="F114" i="7"/>
  <c r="D100" i="7"/>
  <c r="F122" i="7"/>
  <c r="F134" i="7"/>
  <c r="F144" i="7"/>
  <c r="F164" i="7"/>
  <c r="E24" i="7"/>
  <c r="F129" i="7"/>
  <c r="D99" i="7"/>
  <c r="F167" i="7"/>
  <c r="E16" i="7"/>
  <c r="E15" i="7"/>
  <c r="E14" i="7"/>
  <c r="E13" i="7"/>
  <c r="E12" i="7"/>
  <c r="E11" i="7"/>
  <c r="E10" i="7"/>
  <c r="C22" i="4"/>
  <c r="C20" i="4"/>
  <c r="C18" i="4"/>
  <c r="C9" i="4"/>
  <c r="C24" i="4"/>
  <c r="C21" i="4"/>
  <c r="C19" i="4"/>
  <c r="C17" i="4"/>
  <c r="C16" i="4"/>
  <c r="C15" i="4"/>
  <c r="C14" i="4"/>
  <c r="C30" i="4"/>
  <c r="C13" i="4"/>
  <c r="C29" i="4"/>
  <c r="C12" i="4"/>
  <c r="C28" i="4"/>
  <c r="C11" i="4"/>
  <c r="C27" i="4"/>
  <c r="C10" i="4"/>
  <c r="C26" i="4"/>
  <c r="C25" i="4"/>
  <c r="C8" i="4"/>
  <c r="C23" i="4"/>
  <c r="G3" i="5"/>
  <c r="B6" i="5"/>
  <c r="A17" i="1" s="1"/>
  <c r="K162" i="4"/>
  <c r="L162" i="4"/>
  <c r="M162" i="4"/>
  <c r="N162" i="4"/>
  <c r="O162" i="4"/>
  <c r="P162" i="4"/>
  <c r="Q162" i="4"/>
  <c r="R162" i="4"/>
  <c r="S162" i="4"/>
  <c r="T162" i="4"/>
  <c r="U162" i="4"/>
  <c r="V162" i="4"/>
  <c r="W162" i="4"/>
  <c r="X162" i="4"/>
  <c r="Y162" i="4"/>
  <c r="Z162" i="4"/>
  <c r="AA162" i="4"/>
  <c r="AB162" i="4"/>
  <c r="AC162" i="4"/>
  <c r="AD162" i="4"/>
  <c r="AE162" i="4"/>
  <c r="AF162" i="4"/>
  <c r="AG162" i="4"/>
  <c r="AH162" i="4"/>
  <c r="AI162" i="4"/>
  <c r="AJ162" i="4"/>
  <c r="AK162" i="4"/>
  <c r="AL162" i="4"/>
  <c r="AM162" i="4"/>
  <c r="AN162" i="4"/>
  <c r="AO162" i="4"/>
  <c r="AP162" i="4"/>
  <c r="AQ162" i="4"/>
  <c r="AR162" i="4"/>
  <c r="AS162" i="4"/>
  <c r="AT162" i="4"/>
  <c r="AU162" i="4"/>
  <c r="AV162" i="4"/>
  <c r="AW162" i="4"/>
  <c r="AX162" i="4"/>
  <c r="AY162" i="4"/>
  <c r="AZ162" i="4"/>
  <c r="BA162" i="4"/>
  <c r="BB162" i="4"/>
  <c r="BC162" i="4"/>
  <c r="J162" i="4"/>
  <c r="B48" i="8"/>
  <c r="C1" i="8"/>
  <c r="F223" i="3"/>
  <c r="F213" i="3"/>
  <c r="A1" i="8"/>
  <c r="I8" i="3"/>
  <c r="J8" i="3"/>
  <c r="K8" i="3"/>
  <c r="L8" i="3"/>
  <c r="M8" i="3"/>
  <c r="N8" i="3"/>
  <c r="O8" i="3"/>
  <c r="P8" i="3"/>
  <c r="Q8" i="3"/>
  <c r="R8" i="3"/>
  <c r="S8" i="3"/>
  <c r="T8" i="3"/>
  <c r="U8" i="3"/>
  <c r="V8" i="3"/>
  <c r="W8" i="3"/>
  <c r="X8" i="3"/>
  <c r="Y8" i="3"/>
  <c r="Z8" i="3"/>
  <c r="AA8" i="3"/>
  <c r="AB8" i="3"/>
  <c r="AC8" i="3"/>
  <c r="AD8" i="3"/>
  <c r="AE8" i="3"/>
  <c r="AF8" i="3"/>
  <c r="AG8" i="3"/>
  <c r="H8" i="3"/>
  <c r="A8"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AN59" i="3"/>
  <c r="AO59" i="3"/>
  <c r="AP59" i="3"/>
  <c r="AQ59" i="3"/>
  <c r="AR59" i="3"/>
  <c r="AS59" i="3"/>
  <c r="AT59" i="3"/>
  <c r="AU59" i="3"/>
  <c r="AV59" i="3"/>
  <c r="AW59" i="3"/>
  <c r="AX59" i="3"/>
  <c r="AY59" i="3"/>
  <c r="AZ59" i="3"/>
  <c r="BA59" i="3"/>
  <c r="BA199" i="3" s="1"/>
  <c r="H59" i="3"/>
  <c r="I49" i="3"/>
  <c r="J49" i="3"/>
  <c r="K49" i="3"/>
  <c r="L49" i="3"/>
  <c r="M49" i="3"/>
  <c r="N49" i="3"/>
  <c r="O49" i="3"/>
  <c r="P49" i="3"/>
  <c r="Q49" i="3"/>
  <c r="R49" i="3"/>
  <c r="S49" i="3"/>
  <c r="T49" i="3"/>
  <c r="U49" i="3"/>
  <c r="V49" i="3"/>
  <c r="W49" i="3"/>
  <c r="X49" i="3"/>
  <c r="Y49" i="3"/>
  <c r="Z49" i="3"/>
  <c r="AA49" i="3"/>
  <c r="AB49" i="3"/>
  <c r="AC49" i="3"/>
  <c r="AD49" i="3"/>
  <c r="AE49" i="3"/>
  <c r="AF49" i="3"/>
  <c r="AG49" i="3"/>
  <c r="AH49" i="3"/>
  <c r="AI49" i="3"/>
  <c r="AJ49" i="3"/>
  <c r="AK49" i="3"/>
  <c r="AL49" i="3"/>
  <c r="AM49" i="3"/>
  <c r="AN49" i="3"/>
  <c r="AO49" i="3"/>
  <c r="AP49" i="3"/>
  <c r="AQ49" i="3"/>
  <c r="AR49" i="3"/>
  <c r="AS49" i="3"/>
  <c r="AT49" i="3"/>
  <c r="AU49" i="3"/>
  <c r="AV49" i="3"/>
  <c r="AW49" i="3"/>
  <c r="AX49" i="3"/>
  <c r="AY49" i="3"/>
  <c r="AZ49" i="3"/>
  <c r="BA49" i="3"/>
  <c r="BA189" i="3" s="1"/>
  <c r="H49" i="3"/>
  <c r="I24" i="3"/>
  <c r="I192" i="3" s="1"/>
  <c r="J24" i="3"/>
  <c r="J192" i="3" s="1"/>
  <c r="K24" i="3"/>
  <c r="K192" i="3" s="1"/>
  <c r="L24" i="3"/>
  <c r="L192" i="3" s="1"/>
  <c r="M24" i="3"/>
  <c r="M192" i="3" s="1"/>
  <c r="N24" i="3"/>
  <c r="N192" i="3" s="1"/>
  <c r="O24" i="3"/>
  <c r="O192" i="3" s="1"/>
  <c r="P24" i="3"/>
  <c r="P192" i="3" s="1"/>
  <c r="Q24" i="3"/>
  <c r="Q192" i="3" s="1"/>
  <c r="R24" i="3"/>
  <c r="R192" i="3" s="1"/>
  <c r="S24" i="3"/>
  <c r="S192" i="3" s="1"/>
  <c r="T24" i="3"/>
  <c r="T192" i="3" s="1"/>
  <c r="U24" i="3"/>
  <c r="U192" i="3" s="1"/>
  <c r="V24" i="3"/>
  <c r="V192" i="3" s="1"/>
  <c r="W24" i="3"/>
  <c r="W192" i="3" s="1"/>
  <c r="X24" i="3"/>
  <c r="X192" i="3" s="1"/>
  <c r="Y24" i="3"/>
  <c r="Y192" i="3" s="1"/>
  <c r="Z24" i="3"/>
  <c r="Z192" i="3" s="1"/>
  <c r="AA24" i="3"/>
  <c r="AA192" i="3" s="1"/>
  <c r="AB24" i="3"/>
  <c r="AB192" i="3" s="1"/>
  <c r="AC24" i="3"/>
  <c r="AC192" i="3" s="1"/>
  <c r="AD24" i="3"/>
  <c r="AD192" i="3" s="1"/>
  <c r="AE24" i="3"/>
  <c r="AE192" i="3" s="1"/>
  <c r="AF24" i="3"/>
  <c r="AF192" i="3" s="1"/>
  <c r="AG24" i="3"/>
  <c r="AG192" i="3" s="1"/>
  <c r="AH24" i="3"/>
  <c r="AH192" i="3" s="1"/>
  <c r="AI24" i="3"/>
  <c r="AI192" i="3" s="1"/>
  <c r="AJ24" i="3"/>
  <c r="AJ192" i="3" s="1"/>
  <c r="AK24" i="3"/>
  <c r="AK192" i="3" s="1"/>
  <c r="AL24" i="3"/>
  <c r="AL192" i="3" s="1"/>
  <c r="AM24" i="3"/>
  <c r="AM192" i="3" s="1"/>
  <c r="AN24" i="3"/>
  <c r="AN192" i="3" s="1"/>
  <c r="AO24" i="3"/>
  <c r="AO192" i="3" s="1"/>
  <c r="AP24" i="3"/>
  <c r="AP192" i="3" s="1"/>
  <c r="AQ24" i="3"/>
  <c r="AQ192" i="3" s="1"/>
  <c r="AR24" i="3"/>
  <c r="AR192" i="3" s="1"/>
  <c r="AS24" i="3"/>
  <c r="AS192" i="3" s="1"/>
  <c r="AT24" i="3"/>
  <c r="AT192" i="3" s="1"/>
  <c r="AU24" i="3"/>
  <c r="AU192" i="3" s="1"/>
  <c r="AV24" i="3"/>
  <c r="AV192" i="3" s="1"/>
  <c r="AW24" i="3"/>
  <c r="AW192" i="3" s="1"/>
  <c r="AX24" i="3"/>
  <c r="AX192" i="3" s="1"/>
  <c r="AY24" i="3"/>
  <c r="AY192" i="3" s="1"/>
  <c r="AZ24" i="3"/>
  <c r="AZ192" i="3" s="1"/>
  <c r="BA24" i="3"/>
  <c r="BA192" i="3" s="1"/>
  <c r="H24" i="3"/>
  <c r="H192" i="3" s="1"/>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AK35" i="3"/>
  <c r="AL35" i="3"/>
  <c r="AM35" i="3"/>
  <c r="AN35" i="3"/>
  <c r="AO35" i="3"/>
  <c r="AP35" i="3"/>
  <c r="AQ35" i="3"/>
  <c r="AR35" i="3"/>
  <c r="AS35" i="3"/>
  <c r="AT35" i="3"/>
  <c r="AU35" i="3"/>
  <c r="AV35" i="3"/>
  <c r="AW35" i="3"/>
  <c r="AX35" i="3"/>
  <c r="AY35" i="3"/>
  <c r="AZ35" i="3"/>
  <c r="BA35" i="3"/>
  <c r="H35" i="3"/>
  <c r="AV19" i="8"/>
  <c r="AV20" i="8"/>
  <c r="AV21" i="8"/>
  <c r="AV22" i="8"/>
  <c r="AV23" i="8"/>
  <c r="AV24" i="8"/>
  <c r="AV25" i="8"/>
  <c r="AV26" i="8"/>
  <c r="AV27" i="8"/>
  <c r="AV28" i="8"/>
  <c r="AV29" i="8"/>
  <c r="AV33" i="8"/>
  <c r="AV34" i="8"/>
  <c r="AV35" i="8"/>
  <c r="AV36" i="8"/>
  <c r="AV37" i="8"/>
  <c r="AV38" i="8"/>
  <c r="AV39" i="8"/>
  <c r="AV40" i="8"/>
  <c r="AV41" i="8"/>
  <c r="AV42" i="8"/>
  <c r="AV43" i="8"/>
  <c r="E156" i="4"/>
  <c r="BC86" i="4"/>
  <c r="BC96" i="4"/>
  <c r="BC102" i="4"/>
  <c r="BC112" i="4"/>
  <c r="BC119" i="4"/>
  <c r="BC126" i="4"/>
  <c r="BC93" i="4" s="1"/>
  <c r="BC129" i="4"/>
  <c r="BC135" i="4"/>
  <c r="BC142" i="4"/>
  <c r="BC109" i="4" s="1"/>
  <c r="BC145" i="4"/>
  <c r="F58" i="4"/>
  <c r="F59" i="4" s="1"/>
  <c r="G58" i="4"/>
  <c r="H58" i="4"/>
  <c r="I58" i="4"/>
  <c r="J58" i="4"/>
  <c r="K58" i="4"/>
  <c r="L58" i="4"/>
  <c r="M58" i="4"/>
  <c r="N58" i="4"/>
  <c r="O58" i="4"/>
  <c r="P58" i="4"/>
  <c r="Q58" i="4"/>
  <c r="R58" i="4"/>
  <c r="S58" i="4"/>
  <c r="T58" i="4"/>
  <c r="U58" i="4"/>
  <c r="V58" i="4"/>
  <c r="W58" i="4"/>
  <c r="X58" i="4"/>
  <c r="Y58" i="4"/>
  <c r="Z58" i="4"/>
  <c r="AA58" i="4"/>
  <c r="AB58" i="4"/>
  <c r="AC58" i="4"/>
  <c r="AD58" i="4"/>
  <c r="AE58" i="4"/>
  <c r="AF58" i="4"/>
  <c r="AG58" i="4"/>
  <c r="AH58" i="4"/>
  <c r="AI58" i="4"/>
  <c r="AJ58" i="4"/>
  <c r="AK58" i="4"/>
  <c r="AL58" i="4"/>
  <c r="AM58" i="4"/>
  <c r="AN58" i="4"/>
  <c r="AO58" i="4"/>
  <c r="AP58" i="4"/>
  <c r="AQ58" i="4"/>
  <c r="AR58" i="4"/>
  <c r="AS58" i="4"/>
  <c r="AT58" i="4"/>
  <c r="AU58" i="4"/>
  <c r="AV58" i="4"/>
  <c r="AW58" i="4"/>
  <c r="AX58" i="4"/>
  <c r="AY58" i="4"/>
  <c r="AY59" i="4" s="1"/>
  <c r="AY7" i="4"/>
  <c r="AY8" i="4"/>
  <c r="AY9" i="4"/>
  <c r="AY10" i="4"/>
  <c r="AY11" i="4"/>
  <c r="AY12" i="4"/>
  <c r="AY13" i="4"/>
  <c r="AY14" i="4"/>
  <c r="AY15" i="4"/>
  <c r="AY16" i="4"/>
  <c r="AY17" i="4"/>
  <c r="AY18" i="4"/>
  <c r="AY19" i="4"/>
  <c r="AY20" i="4"/>
  <c r="AY21" i="4"/>
  <c r="AY22" i="4"/>
  <c r="AY23" i="4"/>
  <c r="AY24" i="4"/>
  <c r="AY25" i="4"/>
  <c r="AY26" i="4"/>
  <c r="AY27" i="4"/>
  <c r="AY28" i="4"/>
  <c r="F7" i="4"/>
  <c r="AY91" i="7"/>
  <c r="AZ91" i="7"/>
  <c r="BA91" i="7"/>
  <c r="BB91" i="7"/>
  <c r="BC91" i="7"/>
  <c r="BD91" i="7"/>
  <c r="BE91" i="7"/>
  <c r="AY92" i="7"/>
  <c r="AZ92" i="7"/>
  <c r="BA92" i="7"/>
  <c r="BB92" i="7"/>
  <c r="BC92" i="7"/>
  <c r="BD92" i="7"/>
  <c r="BE92" i="7"/>
  <c r="AY93" i="7"/>
  <c r="AZ93" i="7"/>
  <c r="BA93" i="7"/>
  <c r="BB93" i="7"/>
  <c r="BC93" i="7"/>
  <c r="BD93" i="7"/>
  <c r="BE93" i="7"/>
  <c r="AY94" i="7"/>
  <c r="AZ94" i="7"/>
  <c r="BA94" i="7"/>
  <c r="BB94" i="7"/>
  <c r="BC94" i="7"/>
  <c r="BD94" i="7"/>
  <c r="BE94" i="7"/>
  <c r="AY95" i="7"/>
  <c r="AZ95" i="7"/>
  <c r="BA95" i="7"/>
  <c r="BB95" i="7"/>
  <c r="BC95" i="7"/>
  <c r="BD95" i="7"/>
  <c r="BE95" i="7"/>
  <c r="AY96" i="7"/>
  <c r="AZ96" i="7"/>
  <c r="BA96" i="7"/>
  <c r="BB96" i="7"/>
  <c r="BC96" i="7"/>
  <c r="BD96" i="7"/>
  <c r="BE96" i="7"/>
  <c r="AY97" i="7"/>
  <c r="AZ97" i="7"/>
  <c r="BA97" i="7"/>
  <c r="BB97" i="7"/>
  <c r="BC97" i="7"/>
  <c r="BD97" i="7"/>
  <c r="BE97" i="7"/>
  <c r="AY98" i="7"/>
  <c r="AZ98" i="7"/>
  <c r="BA98" i="7"/>
  <c r="BB98" i="7"/>
  <c r="BC98" i="7"/>
  <c r="BD98" i="7"/>
  <c r="BE98" i="7"/>
  <c r="AY99" i="7"/>
  <c r="AZ99" i="7"/>
  <c r="BA99" i="7"/>
  <c r="BB99" i="7"/>
  <c r="BC99" i="7"/>
  <c r="BD99" i="7"/>
  <c r="BE99" i="7"/>
  <c r="AY100" i="7"/>
  <c r="AZ100" i="7"/>
  <c r="BA100" i="7"/>
  <c r="BB100" i="7"/>
  <c r="BC100" i="7"/>
  <c r="BD100" i="7"/>
  <c r="BE100" i="7"/>
  <c r="AY101" i="7"/>
  <c r="AZ101" i="7"/>
  <c r="BA101" i="7"/>
  <c r="BB101" i="7"/>
  <c r="BC101" i="7"/>
  <c r="BD101" i="7"/>
  <c r="BE101" i="7"/>
  <c r="N91" i="7"/>
  <c r="O91" i="7"/>
  <c r="P91" i="7"/>
  <c r="Q91" i="7"/>
  <c r="R91" i="7"/>
  <c r="S91" i="7"/>
  <c r="T91" i="7"/>
  <c r="U91" i="7"/>
  <c r="V91" i="7"/>
  <c r="W91" i="7"/>
  <c r="X91" i="7"/>
  <c r="Y91" i="7"/>
  <c r="Z91" i="7"/>
  <c r="AA91" i="7"/>
  <c r="AB91" i="7"/>
  <c r="AC91" i="7"/>
  <c r="AD91" i="7"/>
  <c r="AE91" i="7"/>
  <c r="AF91" i="7"/>
  <c r="AG91" i="7"/>
  <c r="AH91" i="7"/>
  <c r="AI91" i="7"/>
  <c r="AJ91" i="7"/>
  <c r="AK91" i="7"/>
  <c r="AL91" i="7"/>
  <c r="AM91" i="7"/>
  <c r="AN91" i="7"/>
  <c r="AO91" i="7"/>
  <c r="AP91" i="7"/>
  <c r="AQ91" i="7"/>
  <c r="AR91" i="7"/>
  <c r="AS91" i="7"/>
  <c r="AT91" i="7"/>
  <c r="AU91" i="7"/>
  <c r="AV91" i="7"/>
  <c r="AW91" i="7"/>
  <c r="AX91" i="7"/>
  <c r="N92" i="7"/>
  <c r="O92" i="7"/>
  <c r="P92" i="7"/>
  <c r="Q92" i="7"/>
  <c r="R92" i="7"/>
  <c r="S92" i="7"/>
  <c r="T92" i="7"/>
  <c r="U92" i="7"/>
  <c r="V92" i="7"/>
  <c r="W92" i="7"/>
  <c r="X92" i="7"/>
  <c r="Y92" i="7"/>
  <c r="Z92" i="7"/>
  <c r="AA92" i="7"/>
  <c r="AB92" i="7"/>
  <c r="AC92" i="7"/>
  <c r="AD92" i="7"/>
  <c r="AE92" i="7"/>
  <c r="AF92" i="7"/>
  <c r="AG92" i="7"/>
  <c r="AH92" i="7"/>
  <c r="AI92" i="7"/>
  <c r="AJ92" i="7"/>
  <c r="AK92" i="7"/>
  <c r="AL92" i="7"/>
  <c r="AM92" i="7"/>
  <c r="AN92" i="7"/>
  <c r="AO92" i="7"/>
  <c r="AP92" i="7"/>
  <c r="AQ92" i="7"/>
  <c r="AR92" i="7"/>
  <c r="AS92" i="7"/>
  <c r="AT92" i="7"/>
  <c r="AU92" i="7"/>
  <c r="AV92" i="7"/>
  <c r="AW92" i="7"/>
  <c r="AX92" i="7"/>
  <c r="N93" i="7"/>
  <c r="O93" i="7"/>
  <c r="P93" i="7"/>
  <c r="Q93" i="7"/>
  <c r="R93" i="7"/>
  <c r="S93" i="7"/>
  <c r="T93" i="7"/>
  <c r="U93" i="7"/>
  <c r="V93" i="7"/>
  <c r="W93" i="7"/>
  <c r="X93" i="7"/>
  <c r="Y93" i="7"/>
  <c r="Z93" i="7"/>
  <c r="AA93" i="7"/>
  <c r="AB93" i="7"/>
  <c r="AC93" i="7"/>
  <c r="AD93" i="7"/>
  <c r="AE93" i="7"/>
  <c r="AF93" i="7"/>
  <c r="AG93" i="7"/>
  <c r="AH93" i="7"/>
  <c r="AI93" i="7"/>
  <c r="AJ93" i="7"/>
  <c r="AK93" i="7"/>
  <c r="AL93" i="7"/>
  <c r="AM93" i="7"/>
  <c r="AN93" i="7"/>
  <c r="AO93" i="7"/>
  <c r="AP93" i="7"/>
  <c r="AQ93" i="7"/>
  <c r="AR93" i="7"/>
  <c r="AS93" i="7"/>
  <c r="AT93" i="7"/>
  <c r="AU93" i="7"/>
  <c r="AV93" i="7"/>
  <c r="AW93" i="7"/>
  <c r="AX93" i="7"/>
  <c r="N94" i="7"/>
  <c r="O94" i="7"/>
  <c r="P94" i="7"/>
  <c r="Q94" i="7"/>
  <c r="R94" i="7"/>
  <c r="S94" i="7"/>
  <c r="T94" i="7"/>
  <c r="U94" i="7"/>
  <c r="V94" i="7"/>
  <c r="W94" i="7"/>
  <c r="X94" i="7"/>
  <c r="Y94" i="7"/>
  <c r="Z94" i="7"/>
  <c r="AA94" i="7"/>
  <c r="AB94" i="7"/>
  <c r="AC94" i="7"/>
  <c r="AD94" i="7"/>
  <c r="AE94" i="7"/>
  <c r="AF94" i="7"/>
  <c r="AG94" i="7"/>
  <c r="AH94" i="7"/>
  <c r="AI94" i="7"/>
  <c r="AJ94" i="7"/>
  <c r="AK94" i="7"/>
  <c r="AL94" i="7"/>
  <c r="AM94" i="7"/>
  <c r="AN94" i="7"/>
  <c r="AO94" i="7"/>
  <c r="AP94" i="7"/>
  <c r="AQ94" i="7"/>
  <c r="AR94" i="7"/>
  <c r="AS94" i="7"/>
  <c r="AT94" i="7"/>
  <c r="AU94" i="7"/>
  <c r="AV94" i="7"/>
  <c r="AW94" i="7"/>
  <c r="AX94" i="7"/>
  <c r="N95" i="7"/>
  <c r="O95" i="7"/>
  <c r="P95" i="7"/>
  <c r="Q95" i="7"/>
  <c r="R95" i="7"/>
  <c r="S95" i="7"/>
  <c r="T95" i="7"/>
  <c r="U95" i="7"/>
  <c r="V95" i="7"/>
  <c r="W95" i="7"/>
  <c r="X95" i="7"/>
  <c r="Y95" i="7"/>
  <c r="Z95" i="7"/>
  <c r="AA95" i="7"/>
  <c r="AB95" i="7"/>
  <c r="AC95" i="7"/>
  <c r="AD95" i="7"/>
  <c r="AE95" i="7"/>
  <c r="AF95" i="7"/>
  <c r="AG95" i="7"/>
  <c r="AH95" i="7"/>
  <c r="AI95" i="7"/>
  <c r="AJ95" i="7"/>
  <c r="AK95" i="7"/>
  <c r="AL95" i="7"/>
  <c r="AM95" i="7"/>
  <c r="AN95" i="7"/>
  <c r="AO95" i="7"/>
  <c r="AP95" i="7"/>
  <c r="AQ95" i="7"/>
  <c r="AR95" i="7"/>
  <c r="AS95" i="7"/>
  <c r="AT95" i="7"/>
  <c r="AU95" i="7"/>
  <c r="AV95" i="7"/>
  <c r="AW95" i="7"/>
  <c r="AX95" i="7"/>
  <c r="N96" i="7"/>
  <c r="O96" i="7"/>
  <c r="P96" i="7"/>
  <c r="Q96" i="7"/>
  <c r="R96" i="7"/>
  <c r="S96" i="7"/>
  <c r="T96" i="7"/>
  <c r="U96" i="7"/>
  <c r="V96" i="7"/>
  <c r="W96" i="7"/>
  <c r="X96" i="7"/>
  <c r="Y96" i="7"/>
  <c r="Z96" i="7"/>
  <c r="AA96" i="7"/>
  <c r="AB96" i="7"/>
  <c r="AC96" i="7"/>
  <c r="AD96" i="7"/>
  <c r="AE96" i="7"/>
  <c r="AF96" i="7"/>
  <c r="AG96" i="7"/>
  <c r="AH96" i="7"/>
  <c r="AI96" i="7"/>
  <c r="AJ96" i="7"/>
  <c r="AK96" i="7"/>
  <c r="AL96" i="7"/>
  <c r="AM96" i="7"/>
  <c r="AN96" i="7"/>
  <c r="AO96" i="7"/>
  <c r="AP96" i="7"/>
  <c r="AQ96" i="7"/>
  <c r="AR96" i="7"/>
  <c r="AS96" i="7"/>
  <c r="AT96" i="7"/>
  <c r="AU96" i="7"/>
  <c r="AV96" i="7"/>
  <c r="AW96" i="7"/>
  <c r="AX96" i="7"/>
  <c r="N97" i="7"/>
  <c r="O97" i="7"/>
  <c r="P97" i="7"/>
  <c r="Q97" i="7"/>
  <c r="R97" i="7"/>
  <c r="S97" i="7"/>
  <c r="T97" i="7"/>
  <c r="U97" i="7"/>
  <c r="V97" i="7"/>
  <c r="W97" i="7"/>
  <c r="X97" i="7"/>
  <c r="Y97" i="7"/>
  <c r="Z97" i="7"/>
  <c r="AA97" i="7"/>
  <c r="AB97" i="7"/>
  <c r="AC97" i="7"/>
  <c r="AD97" i="7"/>
  <c r="AE97" i="7"/>
  <c r="AF97" i="7"/>
  <c r="AG97" i="7"/>
  <c r="AH97" i="7"/>
  <c r="AI97" i="7"/>
  <c r="AJ97" i="7"/>
  <c r="AK97" i="7"/>
  <c r="AL97" i="7"/>
  <c r="AM97" i="7"/>
  <c r="AN97" i="7"/>
  <c r="AO97" i="7"/>
  <c r="AP97" i="7"/>
  <c r="AQ97" i="7"/>
  <c r="AR97" i="7"/>
  <c r="AS97" i="7"/>
  <c r="AT97" i="7"/>
  <c r="AU97" i="7"/>
  <c r="AV97" i="7"/>
  <c r="AW97" i="7"/>
  <c r="AX97" i="7"/>
  <c r="N98" i="7"/>
  <c r="O98" i="7"/>
  <c r="P98" i="7"/>
  <c r="Q98" i="7"/>
  <c r="R98" i="7"/>
  <c r="S98" i="7"/>
  <c r="T98" i="7"/>
  <c r="U98" i="7"/>
  <c r="V98" i="7"/>
  <c r="W98" i="7"/>
  <c r="X98" i="7"/>
  <c r="Y98" i="7"/>
  <c r="Z98" i="7"/>
  <c r="AA98" i="7"/>
  <c r="AB98" i="7"/>
  <c r="AC98" i="7"/>
  <c r="AD98" i="7"/>
  <c r="AE98" i="7"/>
  <c r="AF98" i="7"/>
  <c r="AG98" i="7"/>
  <c r="AH98" i="7"/>
  <c r="AI98" i="7"/>
  <c r="AJ98" i="7"/>
  <c r="AK98" i="7"/>
  <c r="AL98" i="7"/>
  <c r="AM98" i="7"/>
  <c r="AN98" i="7"/>
  <c r="AO98" i="7"/>
  <c r="AP98" i="7"/>
  <c r="AQ98" i="7"/>
  <c r="AR98" i="7"/>
  <c r="AS98" i="7"/>
  <c r="AT98" i="7"/>
  <c r="AU98" i="7"/>
  <c r="AV98" i="7"/>
  <c r="AW98" i="7"/>
  <c r="AX98" i="7"/>
  <c r="N99" i="7"/>
  <c r="O99" i="7"/>
  <c r="P99" i="7"/>
  <c r="Q99" i="7"/>
  <c r="R99" i="7"/>
  <c r="S99" i="7"/>
  <c r="T99" i="7"/>
  <c r="U99" i="7"/>
  <c r="V99" i="7"/>
  <c r="W99" i="7"/>
  <c r="X99" i="7"/>
  <c r="Y99" i="7"/>
  <c r="Z99" i="7"/>
  <c r="AA99" i="7"/>
  <c r="AB99" i="7"/>
  <c r="AC99" i="7"/>
  <c r="AD99" i="7"/>
  <c r="AE99" i="7"/>
  <c r="AF99" i="7"/>
  <c r="AG99" i="7"/>
  <c r="AH99" i="7"/>
  <c r="AI99" i="7"/>
  <c r="AJ99" i="7"/>
  <c r="AK99" i="7"/>
  <c r="AL99" i="7"/>
  <c r="AM99" i="7"/>
  <c r="AN99" i="7"/>
  <c r="AO99" i="7"/>
  <c r="AP99" i="7"/>
  <c r="AQ99" i="7"/>
  <c r="AR99" i="7"/>
  <c r="AS99" i="7"/>
  <c r="AT99" i="7"/>
  <c r="AU99" i="7"/>
  <c r="AV99" i="7"/>
  <c r="AW99" i="7"/>
  <c r="AX99" i="7"/>
  <c r="N100" i="7"/>
  <c r="O100" i="7"/>
  <c r="P100" i="7"/>
  <c r="Q100" i="7"/>
  <c r="R100" i="7"/>
  <c r="S100" i="7"/>
  <c r="T100" i="7"/>
  <c r="U100" i="7"/>
  <c r="V100" i="7"/>
  <c r="W100" i="7"/>
  <c r="X100" i="7"/>
  <c r="Y100" i="7"/>
  <c r="Z100" i="7"/>
  <c r="AA100" i="7"/>
  <c r="AB100" i="7"/>
  <c r="AC100" i="7"/>
  <c r="AD100" i="7"/>
  <c r="AE100" i="7"/>
  <c r="AF100" i="7"/>
  <c r="AG100" i="7"/>
  <c r="AH100" i="7"/>
  <c r="AI100" i="7"/>
  <c r="AJ100" i="7"/>
  <c r="AK100" i="7"/>
  <c r="AL100" i="7"/>
  <c r="AM100" i="7"/>
  <c r="AN100" i="7"/>
  <c r="AO100" i="7"/>
  <c r="AP100" i="7"/>
  <c r="AQ100" i="7"/>
  <c r="AR100" i="7"/>
  <c r="AS100" i="7"/>
  <c r="AT100" i="7"/>
  <c r="AU100" i="7"/>
  <c r="AV100" i="7"/>
  <c r="AW100" i="7"/>
  <c r="AX100" i="7"/>
  <c r="N101" i="7"/>
  <c r="O101" i="7"/>
  <c r="P101" i="7"/>
  <c r="Q101" i="7"/>
  <c r="R101" i="7"/>
  <c r="S101" i="7"/>
  <c r="T101" i="7"/>
  <c r="U101" i="7"/>
  <c r="V101" i="7"/>
  <c r="W101" i="7"/>
  <c r="X101" i="7"/>
  <c r="Y101" i="7"/>
  <c r="Z101" i="7"/>
  <c r="AA101" i="7"/>
  <c r="AB101" i="7"/>
  <c r="AC101" i="7"/>
  <c r="AD101" i="7"/>
  <c r="AE101" i="7"/>
  <c r="AF101" i="7"/>
  <c r="AG101" i="7"/>
  <c r="AH101" i="7"/>
  <c r="AI101" i="7"/>
  <c r="AJ101" i="7"/>
  <c r="AK101" i="7"/>
  <c r="AL101" i="7"/>
  <c r="AM101" i="7"/>
  <c r="AN101" i="7"/>
  <c r="AO101" i="7"/>
  <c r="AP101" i="7"/>
  <c r="AQ101" i="7"/>
  <c r="AR101" i="7"/>
  <c r="AS101" i="7"/>
  <c r="AT101" i="7"/>
  <c r="AU101" i="7"/>
  <c r="AV101" i="7"/>
  <c r="AW101" i="7"/>
  <c r="AX101" i="7"/>
  <c r="M91" i="7"/>
  <c r="M92" i="7"/>
  <c r="M93" i="7"/>
  <c r="M94" i="7"/>
  <c r="M95" i="7"/>
  <c r="M96" i="7"/>
  <c r="M97" i="7"/>
  <c r="M98" i="7"/>
  <c r="M99" i="7"/>
  <c r="M100" i="7"/>
  <c r="M101" i="7"/>
  <c r="AU78" i="7"/>
  <c r="AV78" i="7"/>
  <c r="AW78" i="7"/>
  <c r="AX78" i="7"/>
  <c r="AY78" i="7"/>
  <c r="AZ78" i="7"/>
  <c r="BA78" i="7"/>
  <c r="BB78" i="7"/>
  <c r="BC78" i="7"/>
  <c r="BD78" i="7"/>
  <c r="BE78" i="7"/>
  <c r="AU79" i="7"/>
  <c r="AV79" i="7"/>
  <c r="AW79" i="7"/>
  <c r="AX79" i="7"/>
  <c r="AY79" i="7"/>
  <c r="AZ79" i="7"/>
  <c r="BA79" i="7"/>
  <c r="BB79" i="7"/>
  <c r="BC79" i="7"/>
  <c r="BD79" i="7"/>
  <c r="BE79" i="7"/>
  <c r="AU80" i="7"/>
  <c r="AV80" i="7"/>
  <c r="AW80" i="7"/>
  <c r="AX80" i="7"/>
  <c r="AY80" i="7"/>
  <c r="AZ80" i="7"/>
  <c r="BA80" i="7"/>
  <c r="BB80" i="7"/>
  <c r="BC80" i="7"/>
  <c r="BD80" i="7"/>
  <c r="BE80" i="7"/>
  <c r="AU81" i="7"/>
  <c r="AV81" i="7"/>
  <c r="AW81" i="7"/>
  <c r="AX81" i="7"/>
  <c r="AY81" i="7"/>
  <c r="AZ81" i="7"/>
  <c r="BA81" i="7"/>
  <c r="BB81" i="7"/>
  <c r="BC81" i="7"/>
  <c r="BD81" i="7"/>
  <c r="BE81" i="7"/>
  <c r="AU82" i="7"/>
  <c r="AV82" i="7"/>
  <c r="AW82" i="7"/>
  <c r="AX82" i="7"/>
  <c r="AY82" i="7"/>
  <c r="AZ82" i="7"/>
  <c r="BA82" i="7"/>
  <c r="BB82" i="7"/>
  <c r="BC82" i="7"/>
  <c r="BD82" i="7"/>
  <c r="BE82" i="7"/>
  <c r="AU83" i="7"/>
  <c r="AV83" i="7"/>
  <c r="AW83" i="7"/>
  <c r="AX83" i="7"/>
  <c r="AY83" i="7"/>
  <c r="AZ83" i="7"/>
  <c r="BA83" i="7"/>
  <c r="BB83" i="7"/>
  <c r="BC83" i="7"/>
  <c r="BD83" i="7"/>
  <c r="BE83" i="7"/>
  <c r="AU84" i="7"/>
  <c r="AV84" i="7"/>
  <c r="AW84" i="7"/>
  <c r="AX84" i="7"/>
  <c r="AY84" i="7"/>
  <c r="AZ84" i="7"/>
  <c r="BA84" i="7"/>
  <c r="BB84" i="7"/>
  <c r="BC84" i="7"/>
  <c r="BD84" i="7"/>
  <c r="BE84" i="7"/>
  <c r="AU85" i="7"/>
  <c r="AV85" i="7"/>
  <c r="AW85" i="7"/>
  <c r="AX85" i="7"/>
  <c r="AY85" i="7"/>
  <c r="AZ85" i="7"/>
  <c r="BA85" i="7"/>
  <c r="BB85" i="7"/>
  <c r="BC85" i="7"/>
  <c r="BD85" i="7"/>
  <c r="BE85" i="7"/>
  <c r="AU86" i="7"/>
  <c r="AV86" i="7"/>
  <c r="AW86" i="7"/>
  <c r="AX86" i="7"/>
  <c r="AY86" i="7"/>
  <c r="AZ86" i="7"/>
  <c r="BA86" i="7"/>
  <c r="BB86" i="7"/>
  <c r="BC86" i="7"/>
  <c r="BD86" i="7"/>
  <c r="BE86" i="7"/>
  <c r="AU87" i="7"/>
  <c r="AV87" i="7"/>
  <c r="AW87" i="7"/>
  <c r="AX87" i="7"/>
  <c r="AY87" i="7"/>
  <c r="AZ87" i="7"/>
  <c r="BA87" i="7"/>
  <c r="BB87" i="7"/>
  <c r="BC87" i="7"/>
  <c r="BD87" i="7"/>
  <c r="BE87" i="7"/>
  <c r="AU88" i="7"/>
  <c r="AV88" i="7"/>
  <c r="AW88" i="7"/>
  <c r="AX88" i="7"/>
  <c r="AY88" i="7"/>
  <c r="AZ88" i="7"/>
  <c r="BA88" i="7"/>
  <c r="BB88" i="7"/>
  <c r="BC88" i="7"/>
  <c r="BD88" i="7"/>
  <c r="BE88" i="7"/>
  <c r="M78" i="7"/>
  <c r="N78" i="7"/>
  <c r="O78" i="7"/>
  <c r="P78" i="7"/>
  <c r="Q78" i="7"/>
  <c r="R78" i="7"/>
  <c r="S78" i="7"/>
  <c r="T78" i="7"/>
  <c r="U78" i="7"/>
  <c r="V78" i="7"/>
  <c r="W78" i="7"/>
  <c r="X78" i="7"/>
  <c r="Y78" i="7"/>
  <c r="Z78" i="7"/>
  <c r="AA78" i="7"/>
  <c r="AB78" i="7"/>
  <c r="AC78" i="7"/>
  <c r="AD78" i="7"/>
  <c r="AE78" i="7"/>
  <c r="AF78" i="7"/>
  <c r="AG78" i="7"/>
  <c r="AH78" i="7"/>
  <c r="AI78" i="7"/>
  <c r="AJ78" i="7"/>
  <c r="AK78" i="7"/>
  <c r="AL78" i="7"/>
  <c r="AM78" i="7"/>
  <c r="AN78" i="7"/>
  <c r="AO78" i="7"/>
  <c r="AP78" i="7"/>
  <c r="AQ78" i="7"/>
  <c r="AR78" i="7"/>
  <c r="AS78" i="7"/>
  <c r="AT78" i="7"/>
  <c r="M79" i="7"/>
  <c r="N79" i="7"/>
  <c r="O79" i="7"/>
  <c r="P79" i="7"/>
  <c r="Q79" i="7"/>
  <c r="R79" i="7"/>
  <c r="S79" i="7"/>
  <c r="T79" i="7"/>
  <c r="U79" i="7"/>
  <c r="V79" i="7"/>
  <c r="W79" i="7"/>
  <c r="X79" i="7"/>
  <c r="Y79" i="7"/>
  <c r="Z79" i="7"/>
  <c r="AA79" i="7"/>
  <c r="AB79" i="7"/>
  <c r="AC79" i="7"/>
  <c r="AD79" i="7"/>
  <c r="AE79" i="7"/>
  <c r="AF79" i="7"/>
  <c r="AG79" i="7"/>
  <c r="AH79" i="7"/>
  <c r="AI79" i="7"/>
  <c r="AJ79" i="7"/>
  <c r="AK79" i="7"/>
  <c r="AL79" i="7"/>
  <c r="AM79" i="7"/>
  <c r="AN79" i="7"/>
  <c r="AO79" i="7"/>
  <c r="AP79" i="7"/>
  <c r="AQ79" i="7"/>
  <c r="AR79" i="7"/>
  <c r="AS79" i="7"/>
  <c r="AT79" i="7"/>
  <c r="M80" i="7"/>
  <c r="N80" i="7"/>
  <c r="O80" i="7"/>
  <c r="P80" i="7"/>
  <c r="Q80" i="7"/>
  <c r="R80" i="7"/>
  <c r="S80" i="7"/>
  <c r="T80" i="7"/>
  <c r="U80" i="7"/>
  <c r="V80" i="7"/>
  <c r="W80" i="7"/>
  <c r="X80" i="7"/>
  <c r="Y80" i="7"/>
  <c r="Z80" i="7"/>
  <c r="AA80" i="7"/>
  <c r="AB80" i="7"/>
  <c r="AC80" i="7"/>
  <c r="AD80" i="7"/>
  <c r="AE80" i="7"/>
  <c r="AF80" i="7"/>
  <c r="AG80" i="7"/>
  <c r="AH80" i="7"/>
  <c r="AI80" i="7"/>
  <c r="AJ80" i="7"/>
  <c r="AK80" i="7"/>
  <c r="AL80" i="7"/>
  <c r="AM80" i="7"/>
  <c r="AN80" i="7"/>
  <c r="AO80" i="7"/>
  <c r="AP80" i="7"/>
  <c r="AQ80" i="7"/>
  <c r="AR80" i="7"/>
  <c r="AS80" i="7"/>
  <c r="AT80" i="7"/>
  <c r="M81" i="7"/>
  <c r="N81" i="7"/>
  <c r="O81" i="7"/>
  <c r="P81" i="7"/>
  <c r="Q81" i="7"/>
  <c r="R81" i="7"/>
  <c r="S81" i="7"/>
  <c r="T81" i="7"/>
  <c r="U81" i="7"/>
  <c r="V81" i="7"/>
  <c r="W81" i="7"/>
  <c r="X81" i="7"/>
  <c r="Y81" i="7"/>
  <c r="Z81" i="7"/>
  <c r="AA81" i="7"/>
  <c r="AB81" i="7"/>
  <c r="AC81" i="7"/>
  <c r="AD81" i="7"/>
  <c r="AE81" i="7"/>
  <c r="AF81" i="7"/>
  <c r="AG81" i="7"/>
  <c r="AH81" i="7"/>
  <c r="AI81" i="7"/>
  <c r="AJ81" i="7"/>
  <c r="AK81" i="7"/>
  <c r="AL81" i="7"/>
  <c r="AM81" i="7"/>
  <c r="AN81" i="7"/>
  <c r="AO81" i="7"/>
  <c r="AP81" i="7"/>
  <c r="AQ81" i="7"/>
  <c r="AR81" i="7"/>
  <c r="AS81" i="7"/>
  <c r="AT81" i="7"/>
  <c r="M82" i="7"/>
  <c r="N82" i="7"/>
  <c r="O82" i="7"/>
  <c r="P82" i="7"/>
  <c r="Q82" i="7"/>
  <c r="R82" i="7"/>
  <c r="S82" i="7"/>
  <c r="T82" i="7"/>
  <c r="U82" i="7"/>
  <c r="V82" i="7"/>
  <c r="W82" i="7"/>
  <c r="X82" i="7"/>
  <c r="Y82" i="7"/>
  <c r="Z82" i="7"/>
  <c r="AA82" i="7"/>
  <c r="AB82" i="7"/>
  <c r="AC82" i="7"/>
  <c r="AD82" i="7"/>
  <c r="AE82" i="7"/>
  <c r="AF82" i="7"/>
  <c r="AG82" i="7"/>
  <c r="AH82" i="7"/>
  <c r="AI82" i="7"/>
  <c r="AJ82" i="7"/>
  <c r="AK82" i="7"/>
  <c r="AL82" i="7"/>
  <c r="AM82" i="7"/>
  <c r="AN82" i="7"/>
  <c r="AO82" i="7"/>
  <c r="AP82" i="7"/>
  <c r="AQ82" i="7"/>
  <c r="AR82" i="7"/>
  <c r="AS82" i="7"/>
  <c r="AT82" i="7"/>
  <c r="M83" i="7"/>
  <c r="N83" i="7"/>
  <c r="O83" i="7"/>
  <c r="P83" i="7"/>
  <c r="Q83" i="7"/>
  <c r="R83" i="7"/>
  <c r="S83" i="7"/>
  <c r="T83" i="7"/>
  <c r="U83" i="7"/>
  <c r="V83" i="7"/>
  <c r="W83" i="7"/>
  <c r="X83" i="7"/>
  <c r="Y83" i="7"/>
  <c r="Z83" i="7"/>
  <c r="AA83" i="7"/>
  <c r="AB83" i="7"/>
  <c r="AC83" i="7"/>
  <c r="AD83" i="7"/>
  <c r="AE83" i="7"/>
  <c r="AF83" i="7"/>
  <c r="AG83" i="7"/>
  <c r="AH83" i="7"/>
  <c r="AI83" i="7"/>
  <c r="AJ83" i="7"/>
  <c r="AK83" i="7"/>
  <c r="AL83" i="7"/>
  <c r="AM83" i="7"/>
  <c r="AN83" i="7"/>
  <c r="AO83" i="7"/>
  <c r="AP83" i="7"/>
  <c r="AQ83" i="7"/>
  <c r="AR83" i="7"/>
  <c r="AS83" i="7"/>
  <c r="AT83" i="7"/>
  <c r="M84" i="7"/>
  <c r="N84" i="7"/>
  <c r="O84" i="7"/>
  <c r="P84" i="7"/>
  <c r="Q84" i="7"/>
  <c r="R84" i="7"/>
  <c r="S84" i="7"/>
  <c r="T84" i="7"/>
  <c r="U84" i="7"/>
  <c r="V84" i="7"/>
  <c r="W84" i="7"/>
  <c r="X84" i="7"/>
  <c r="Y84" i="7"/>
  <c r="Z84" i="7"/>
  <c r="AA84" i="7"/>
  <c r="AB84" i="7"/>
  <c r="AC84" i="7"/>
  <c r="AD84" i="7"/>
  <c r="AE84" i="7"/>
  <c r="AF84" i="7"/>
  <c r="AG84" i="7"/>
  <c r="AH84" i="7"/>
  <c r="AI84" i="7"/>
  <c r="AJ84" i="7"/>
  <c r="AK84" i="7"/>
  <c r="AL84" i="7"/>
  <c r="AM84" i="7"/>
  <c r="AN84" i="7"/>
  <c r="AO84" i="7"/>
  <c r="AP84" i="7"/>
  <c r="AQ84" i="7"/>
  <c r="AR84" i="7"/>
  <c r="AS84" i="7"/>
  <c r="AT84" i="7"/>
  <c r="M85" i="7"/>
  <c r="N85" i="7"/>
  <c r="O85" i="7"/>
  <c r="P85" i="7"/>
  <c r="Q85" i="7"/>
  <c r="R85" i="7"/>
  <c r="S85" i="7"/>
  <c r="T85" i="7"/>
  <c r="U85" i="7"/>
  <c r="V85" i="7"/>
  <c r="W85" i="7"/>
  <c r="X85" i="7"/>
  <c r="Y85" i="7"/>
  <c r="Z85" i="7"/>
  <c r="AA85" i="7"/>
  <c r="AB85" i="7"/>
  <c r="AC85" i="7"/>
  <c r="AD85" i="7"/>
  <c r="AE85" i="7"/>
  <c r="AF85" i="7"/>
  <c r="AG85" i="7"/>
  <c r="AH85" i="7"/>
  <c r="AI85" i="7"/>
  <c r="AJ85" i="7"/>
  <c r="AK85" i="7"/>
  <c r="AL85" i="7"/>
  <c r="AM85" i="7"/>
  <c r="AN85" i="7"/>
  <c r="AO85" i="7"/>
  <c r="AP85" i="7"/>
  <c r="AQ85" i="7"/>
  <c r="AR85" i="7"/>
  <c r="AS85" i="7"/>
  <c r="AT85" i="7"/>
  <c r="M86" i="7"/>
  <c r="N86" i="7"/>
  <c r="O86" i="7"/>
  <c r="P86" i="7"/>
  <c r="Q86" i="7"/>
  <c r="R86" i="7"/>
  <c r="S86" i="7"/>
  <c r="T86" i="7"/>
  <c r="U86" i="7"/>
  <c r="V86" i="7"/>
  <c r="W86" i="7"/>
  <c r="X86" i="7"/>
  <c r="Y86" i="7"/>
  <c r="Z86" i="7"/>
  <c r="AA86" i="7"/>
  <c r="AB86" i="7"/>
  <c r="AC86" i="7"/>
  <c r="AD86" i="7"/>
  <c r="AE86" i="7"/>
  <c r="AF86" i="7"/>
  <c r="AG86" i="7"/>
  <c r="AH86" i="7"/>
  <c r="AI86" i="7"/>
  <c r="AJ86" i="7"/>
  <c r="AK86" i="7"/>
  <c r="AL86" i="7"/>
  <c r="AM86" i="7"/>
  <c r="AN86" i="7"/>
  <c r="AO86" i="7"/>
  <c r="AP86" i="7"/>
  <c r="AQ86" i="7"/>
  <c r="AR86" i="7"/>
  <c r="AS86" i="7"/>
  <c r="AT86" i="7"/>
  <c r="M87" i="7"/>
  <c r="N87" i="7"/>
  <c r="O87" i="7"/>
  <c r="P87" i="7"/>
  <c r="Q87" i="7"/>
  <c r="R87" i="7"/>
  <c r="S87" i="7"/>
  <c r="T87" i="7"/>
  <c r="U87" i="7"/>
  <c r="V87" i="7"/>
  <c r="W87" i="7"/>
  <c r="X87" i="7"/>
  <c r="Y87" i="7"/>
  <c r="Z87" i="7"/>
  <c r="AA87" i="7"/>
  <c r="AB87" i="7"/>
  <c r="AC87" i="7"/>
  <c r="AD87" i="7"/>
  <c r="AE87" i="7"/>
  <c r="AF87" i="7"/>
  <c r="AG87" i="7"/>
  <c r="AH87" i="7"/>
  <c r="AI87" i="7"/>
  <c r="AJ87" i="7"/>
  <c r="AK87" i="7"/>
  <c r="AL87" i="7"/>
  <c r="AM87" i="7"/>
  <c r="AN87" i="7"/>
  <c r="AO87" i="7"/>
  <c r="AP87" i="7"/>
  <c r="AQ87" i="7"/>
  <c r="AR87" i="7"/>
  <c r="AS87" i="7"/>
  <c r="AT87" i="7"/>
  <c r="M88" i="7"/>
  <c r="N88" i="7"/>
  <c r="O88" i="7"/>
  <c r="P88" i="7"/>
  <c r="Q88" i="7"/>
  <c r="R88" i="7"/>
  <c r="S88" i="7"/>
  <c r="T88" i="7"/>
  <c r="U88" i="7"/>
  <c r="V88" i="7"/>
  <c r="W88" i="7"/>
  <c r="X88" i="7"/>
  <c r="Y88" i="7"/>
  <c r="Z88" i="7"/>
  <c r="AA88" i="7"/>
  <c r="AB88" i="7"/>
  <c r="AC88" i="7"/>
  <c r="AD88" i="7"/>
  <c r="AE88" i="7"/>
  <c r="AF88" i="7"/>
  <c r="AG88" i="7"/>
  <c r="AH88" i="7"/>
  <c r="AI88" i="7"/>
  <c r="AJ88" i="7"/>
  <c r="AK88" i="7"/>
  <c r="AL88" i="7"/>
  <c r="AM88" i="7"/>
  <c r="AN88" i="7"/>
  <c r="AO88" i="7"/>
  <c r="AP88" i="7"/>
  <c r="AQ88" i="7"/>
  <c r="AR88" i="7"/>
  <c r="AS88" i="7"/>
  <c r="AT88" i="7"/>
  <c r="BA64" i="7"/>
  <c r="BB64" i="7"/>
  <c r="BC64" i="7"/>
  <c r="BD64" i="7"/>
  <c r="BE64" i="7"/>
  <c r="BA65" i="7"/>
  <c r="BB65" i="7"/>
  <c r="BC65" i="7"/>
  <c r="BD65" i="7"/>
  <c r="BE65" i="7"/>
  <c r="BA66" i="7"/>
  <c r="BB66" i="7"/>
  <c r="BC66" i="7"/>
  <c r="BD66" i="7"/>
  <c r="BE66" i="7"/>
  <c r="BA67" i="7"/>
  <c r="BB67" i="7"/>
  <c r="BC67" i="7"/>
  <c r="BD67" i="7"/>
  <c r="BE67" i="7"/>
  <c r="BA68" i="7"/>
  <c r="BB68" i="7"/>
  <c r="BC68" i="7"/>
  <c r="BD68" i="7"/>
  <c r="BE68" i="7"/>
  <c r="BA69" i="7"/>
  <c r="BB69" i="7"/>
  <c r="BC69" i="7"/>
  <c r="BD69" i="7"/>
  <c r="BE69" i="7"/>
  <c r="BA70" i="7"/>
  <c r="BA125" i="7" s="1"/>
  <c r="BB70" i="7"/>
  <c r="BB125" i="7" s="1"/>
  <c r="BC70" i="7"/>
  <c r="BC125" i="7" s="1"/>
  <c r="BD70" i="7"/>
  <c r="BD125" i="7" s="1"/>
  <c r="BE70" i="7"/>
  <c r="BE125" i="7" s="1"/>
  <c r="BA71" i="7"/>
  <c r="BB71" i="7"/>
  <c r="BC71" i="7"/>
  <c r="BD71" i="7"/>
  <c r="BE71" i="7"/>
  <c r="BA72" i="7"/>
  <c r="BB72" i="7"/>
  <c r="BC72" i="7"/>
  <c r="BD72" i="7"/>
  <c r="BE72" i="7"/>
  <c r="BA73" i="7"/>
  <c r="BB73" i="7"/>
  <c r="BC73" i="7"/>
  <c r="BD73" i="7"/>
  <c r="BE73" i="7"/>
  <c r="BA74" i="7"/>
  <c r="BB74" i="7"/>
  <c r="BC74" i="7"/>
  <c r="BD74" i="7"/>
  <c r="BE74" i="7"/>
  <c r="M64" i="7"/>
  <c r="N64" i="7"/>
  <c r="O64" i="7"/>
  <c r="P64" i="7"/>
  <c r="Q64" i="7"/>
  <c r="R64" i="7"/>
  <c r="S64" i="7"/>
  <c r="T64" i="7"/>
  <c r="U64" i="7"/>
  <c r="V64" i="7"/>
  <c r="W64" i="7"/>
  <c r="X64" i="7"/>
  <c r="Y64" i="7"/>
  <c r="Z64" i="7"/>
  <c r="AA64" i="7"/>
  <c r="AB64" i="7"/>
  <c r="AC64" i="7"/>
  <c r="AD64" i="7"/>
  <c r="AE64" i="7"/>
  <c r="AF64" i="7"/>
  <c r="AG64" i="7"/>
  <c r="AH64" i="7"/>
  <c r="AI64" i="7"/>
  <c r="AJ64" i="7"/>
  <c r="AK64" i="7"/>
  <c r="AL64" i="7"/>
  <c r="AM64" i="7"/>
  <c r="AN64" i="7"/>
  <c r="AO64" i="7"/>
  <c r="AP64" i="7"/>
  <c r="AQ64" i="7"/>
  <c r="AR64" i="7"/>
  <c r="AS64" i="7"/>
  <c r="AT64" i="7"/>
  <c r="AU64" i="7"/>
  <c r="AV64" i="7"/>
  <c r="AW64" i="7"/>
  <c r="AX64" i="7"/>
  <c r="AY64" i="7"/>
  <c r="AZ64" i="7"/>
  <c r="M65" i="7"/>
  <c r="N65" i="7"/>
  <c r="O65" i="7"/>
  <c r="P65" i="7"/>
  <c r="Q65" i="7"/>
  <c r="R65" i="7"/>
  <c r="S65" i="7"/>
  <c r="T65" i="7"/>
  <c r="U65" i="7"/>
  <c r="V65" i="7"/>
  <c r="W65" i="7"/>
  <c r="X65" i="7"/>
  <c r="Y65" i="7"/>
  <c r="Z65" i="7"/>
  <c r="AA65" i="7"/>
  <c r="AB65" i="7"/>
  <c r="AC65" i="7"/>
  <c r="AD65" i="7"/>
  <c r="AE65" i="7"/>
  <c r="AF65" i="7"/>
  <c r="AG65" i="7"/>
  <c r="AH65" i="7"/>
  <c r="AI65" i="7"/>
  <c r="AJ65" i="7"/>
  <c r="AK65" i="7"/>
  <c r="AL65" i="7"/>
  <c r="AM65" i="7"/>
  <c r="AN65" i="7"/>
  <c r="AO65" i="7"/>
  <c r="AP65" i="7"/>
  <c r="AQ65" i="7"/>
  <c r="AR65" i="7"/>
  <c r="AS65" i="7"/>
  <c r="AT65" i="7"/>
  <c r="AU65" i="7"/>
  <c r="AV65" i="7"/>
  <c r="AW65" i="7"/>
  <c r="AX65" i="7"/>
  <c r="AY65" i="7"/>
  <c r="AZ65" i="7"/>
  <c r="M66" i="7"/>
  <c r="N66" i="7"/>
  <c r="O66" i="7"/>
  <c r="P66" i="7"/>
  <c r="Q66" i="7"/>
  <c r="R66" i="7"/>
  <c r="S66" i="7"/>
  <c r="T66" i="7"/>
  <c r="U66" i="7"/>
  <c r="V66" i="7"/>
  <c r="W66" i="7"/>
  <c r="X66" i="7"/>
  <c r="Y66" i="7"/>
  <c r="Z66" i="7"/>
  <c r="AA66" i="7"/>
  <c r="AB66" i="7"/>
  <c r="AC66" i="7"/>
  <c r="AD66" i="7"/>
  <c r="AE66" i="7"/>
  <c r="AF66" i="7"/>
  <c r="AG66" i="7"/>
  <c r="AH66" i="7"/>
  <c r="AI66" i="7"/>
  <c r="AJ66" i="7"/>
  <c r="AK66" i="7"/>
  <c r="AL66" i="7"/>
  <c r="AM66" i="7"/>
  <c r="AN66" i="7"/>
  <c r="AO66" i="7"/>
  <c r="AP66" i="7"/>
  <c r="AQ66" i="7"/>
  <c r="AR66" i="7"/>
  <c r="AS66" i="7"/>
  <c r="AT66" i="7"/>
  <c r="AU66" i="7"/>
  <c r="AV66" i="7"/>
  <c r="AW66" i="7"/>
  <c r="AX66" i="7"/>
  <c r="AY66" i="7"/>
  <c r="AZ66" i="7"/>
  <c r="M67" i="7"/>
  <c r="N67" i="7"/>
  <c r="O67" i="7"/>
  <c r="P67" i="7"/>
  <c r="Q67" i="7"/>
  <c r="R67" i="7"/>
  <c r="S67" i="7"/>
  <c r="T67" i="7"/>
  <c r="U67" i="7"/>
  <c r="V67" i="7"/>
  <c r="W67" i="7"/>
  <c r="X67" i="7"/>
  <c r="Y67" i="7"/>
  <c r="Z67" i="7"/>
  <c r="AA67" i="7"/>
  <c r="AB67" i="7"/>
  <c r="AC67" i="7"/>
  <c r="AD67" i="7"/>
  <c r="AE67" i="7"/>
  <c r="AF67" i="7"/>
  <c r="AG67" i="7"/>
  <c r="AH67" i="7"/>
  <c r="AI67" i="7"/>
  <c r="AJ67" i="7"/>
  <c r="AK67" i="7"/>
  <c r="AL67" i="7"/>
  <c r="AM67" i="7"/>
  <c r="AN67" i="7"/>
  <c r="AO67" i="7"/>
  <c r="AP67" i="7"/>
  <c r="AQ67" i="7"/>
  <c r="AR67" i="7"/>
  <c r="AS67" i="7"/>
  <c r="AT67" i="7"/>
  <c r="AU67" i="7"/>
  <c r="AV67" i="7"/>
  <c r="AW67" i="7"/>
  <c r="AX67" i="7"/>
  <c r="AY67" i="7"/>
  <c r="AZ67" i="7"/>
  <c r="M68" i="7"/>
  <c r="N68" i="7"/>
  <c r="O68" i="7"/>
  <c r="P68" i="7"/>
  <c r="Q68" i="7"/>
  <c r="R68" i="7"/>
  <c r="S68" i="7"/>
  <c r="T68" i="7"/>
  <c r="U68" i="7"/>
  <c r="V68" i="7"/>
  <c r="W68" i="7"/>
  <c r="X68" i="7"/>
  <c r="Y68" i="7"/>
  <c r="Z68" i="7"/>
  <c r="AA68" i="7"/>
  <c r="AB68" i="7"/>
  <c r="AC68" i="7"/>
  <c r="AD68" i="7"/>
  <c r="AE68" i="7"/>
  <c r="AF68" i="7"/>
  <c r="AG68" i="7"/>
  <c r="AH68" i="7"/>
  <c r="AI68" i="7"/>
  <c r="AJ68" i="7"/>
  <c r="AK68" i="7"/>
  <c r="AL68" i="7"/>
  <c r="AM68" i="7"/>
  <c r="AN68" i="7"/>
  <c r="AO68" i="7"/>
  <c r="AP68" i="7"/>
  <c r="AQ68" i="7"/>
  <c r="AR68" i="7"/>
  <c r="AS68" i="7"/>
  <c r="AT68" i="7"/>
  <c r="AU68" i="7"/>
  <c r="AV68" i="7"/>
  <c r="AW68" i="7"/>
  <c r="AX68" i="7"/>
  <c r="AY68" i="7"/>
  <c r="AZ68" i="7"/>
  <c r="M69" i="7"/>
  <c r="N69" i="7"/>
  <c r="O69" i="7"/>
  <c r="P69" i="7"/>
  <c r="Q69" i="7"/>
  <c r="R69" i="7"/>
  <c r="S69" i="7"/>
  <c r="T69" i="7"/>
  <c r="U69" i="7"/>
  <c r="V69" i="7"/>
  <c r="W69" i="7"/>
  <c r="X69" i="7"/>
  <c r="Y69" i="7"/>
  <c r="Z69" i="7"/>
  <c r="AA69" i="7"/>
  <c r="AB69" i="7"/>
  <c r="AC69" i="7"/>
  <c r="AD69" i="7"/>
  <c r="AE69" i="7"/>
  <c r="AF69" i="7"/>
  <c r="AG69" i="7"/>
  <c r="AH69" i="7"/>
  <c r="AI69" i="7"/>
  <c r="AJ69" i="7"/>
  <c r="AK69" i="7"/>
  <c r="AL69" i="7"/>
  <c r="AM69" i="7"/>
  <c r="AN69" i="7"/>
  <c r="AO69" i="7"/>
  <c r="AP69" i="7"/>
  <c r="AQ69" i="7"/>
  <c r="AR69" i="7"/>
  <c r="AS69" i="7"/>
  <c r="AT69" i="7"/>
  <c r="AU69" i="7"/>
  <c r="AV69" i="7"/>
  <c r="AW69" i="7"/>
  <c r="AX69" i="7"/>
  <c r="AY69" i="7"/>
  <c r="AY124" i="7" s="1"/>
  <c r="AZ69" i="7"/>
  <c r="AZ124" i="7" s="1"/>
  <c r="M70" i="7"/>
  <c r="N70" i="7"/>
  <c r="O70" i="7"/>
  <c r="P70" i="7"/>
  <c r="Q70" i="7"/>
  <c r="R70" i="7"/>
  <c r="S70" i="7"/>
  <c r="T70" i="7"/>
  <c r="U70" i="7"/>
  <c r="V70" i="7"/>
  <c r="W70" i="7"/>
  <c r="X70" i="7"/>
  <c r="Y70" i="7"/>
  <c r="Z70" i="7"/>
  <c r="AA70" i="7"/>
  <c r="AB70" i="7"/>
  <c r="AC70" i="7"/>
  <c r="AD70" i="7"/>
  <c r="AE70" i="7"/>
  <c r="AF70" i="7"/>
  <c r="AG70" i="7"/>
  <c r="AH70" i="7"/>
  <c r="AI70" i="7"/>
  <c r="AJ70" i="7"/>
  <c r="AK70" i="7"/>
  <c r="AL70" i="7"/>
  <c r="AM70" i="7"/>
  <c r="AN70" i="7"/>
  <c r="AO70" i="7"/>
  <c r="AP70" i="7"/>
  <c r="AQ70" i="7"/>
  <c r="AR70" i="7"/>
  <c r="AS70" i="7"/>
  <c r="AT70" i="7"/>
  <c r="AU70" i="7"/>
  <c r="AV70" i="7"/>
  <c r="AW70" i="7"/>
  <c r="AX70" i="7"/>
  <c r="AY70" i="7"/>
  <c r="AZ70" i="7"/>
  <c r="M71" i="7"/>
  <c r="N71" i="7"/>
  <c r="O71" i="7"/>
  <c r="P71" i="7"/>
  <c r="Q71" i="7"/>
  <c r="R71" i="7"/>
  <c r="S71" i="7"/>
  <c r="T71" i="7"/>
  <c r="U71" i="7"/>
  <c r="V71" i="7"/>
  <c r="W71" i="7"/>
  <c r="X71" i="7"/>
  <c r="Y71" i="7"/>
  <c r="Z71" i="7"/>
  <c r="AA71" i="7"/>
  <c r="AB71" i="7"/>
  <c r="AC71" i="7"/>
  <c r="AD71" i="7"/>
  <c r="AE71" i="7"/>
  <c r="AF71" i="7"/>
  <c r="AG71" i="7"/>
  <c r="AH71" i="7"/>
  <c r="AI71" i="7"/>
  <c r="AJ71" i="7"/>
  <c r="AK71" i="7"/>
  <c r="AL71" i="7"/>
  <c r="AM71" i="7"/>
  <c r="AN71" i="7"/>
  <c r="AO71" i="7"/>
  <c r="AP71" i="7"/>
  <c r="AQ71" i="7"/>
  <c r="AR71" i="7"/>
  <c r="AS71" i="7"/>
  <c r="AT71" i="7"/>
  <c r="AU71" i="7"/>
  <c r="AV71" i="7"/>
  <c r="AW71" i="7"/>
  <c r="AX71" i="7"/>
  <c r="AY71" i="7"/>
  <c r="AZ71" i="7"/>
  <c r="M72" i="7"/>
  <c r="N72" i="7"/>
  <c r="O72" i="7"/>
  <c r="P72" i="7"/>
  <c r="Q72" i="7"/>
  <c r="R72" i="7"/>
  <c r="S72" i="7"/>
  <c r="T72" i="7"/>
  <c r="U72" i="7"/>
  <c r="V72" i="7"/>
  <c r="W72" i="7"/>
  <c r="X72" i="7"/>
  <c r="Y72" i="7"/>
  <c r="Z72" i="7"/>
  <c r="AA72" i="7"/>
  <c r="AB72" i="7"/>
  <c r="AC72" i="7"/>
  <c r="AD72" i="7"/>
  <c r="AE72" i="7"/>
  <c r="AF72" i="7"/>
  <c r="AG72" i="7"/>
  <c r="AH72" i="7"/>
  <c r="AI72" i="7"/>
  <c r="AJ72" i="7"/>
  <c r="AK72" i="7"/>
  <c r="AL72" i="7"/>
  <c r="AM72" i="7"/>
  <c r="AN72" i="7"/>
  <c r="AO72" i="7"/>
  <c r="AP72" i="7"/>
  <c r="AQ72" i="7"/>
  <c r="AR72" i="7"/>
  <c r="AS72" i="7"/>
  <c r="AT72" i="7"/>
  <c r="AU72" i="7"/>
  <c r="AV72" i="7"/>
  <c r="AW72" i="7"/>
  <c r="AX72" i="7"/>
  <c r="AY72" i="7"/>
  <c r="AZ72" i="7"/>
  <c r="M73" i="7"/>
  <c r="M128" i="7" s="1"/>
  <c r="N73" i="7"/>
  <c r="O73" i="7"/>
  <c r="P73" i="7"/>
  <c r="Q73" i="7"/>
  <c r="R73" i="7"/>
  <c r="S73" i="7"/>
  <c r="T73" i="7"/>
  <c r="U73" i="7"/>
  <c r="V73" i="7"/>
  <c r="W73" i="7"/>
  <c r="X73" i="7"/>
  <c r="Y73" i="7"/>
  <c r="Z73" i="7"/>
  <c r="AA73" i="7"/>
  <c r="AB73" i="7"/>
  <c r="AC73" i="7"/>
  <c r="AD73" i="7"/>
  <c r="AE73" i="7"/>
  <c r="AF73" i="7"/>
  <c r="AG73" i="7"/>
  <c r="AH73" i="7"/>
  <c r="AI73" i="7"/>
  <c r="AJ73" i="7"/>
  <c r="AK73" i="7"/>
  <c r="AL73" i="7"/>
  <c r="AM73" i="7"/>
  <c r="AN73" i="7"/>
  <c r="AO73" i="7"/>
  <c r="AP73" i="7"/>
  <c r="AQ73" i="7"/>
  <c r="AR73" i="7"/>
  <c r="AS73" i="7"/>
  <c r="AT73" i="7"/>
  <c r="AU73" i="7"/>
  <c r="AV73" i="7"/>
  <c r="AW73" i="7"/>
  <c r="AX73" i="7"/>
  <c r="AY73" i="7"/>
  <c r="AZ73" i="7"/>
  <c r="M74" i="7"/>
  <c r="N74" i="7"/>
  <c r="O74" i="7"/>
  <c r="P74" i="7"/>
  <c r="Q74" i="7"/>
  <c r="R74" i="7"/>
  <c r="S74" i="7"/>
  <c r="T74" i="7"/>
  <c r="U74" i="7"/>
  <c r="V74" i="7"/>
  <c r="W74" i="7"/>
  <c r="X74" i="7"/>
  <c r="Y74" i="7"/>
  <c r="Z74" i="7"/>
  <c r="AA74" i="7"/>
  <c r="AB74" i="7"/>
  <c r="AC74" i="7"/>
  <c r="AD74" i="7"/>
  <c r="AE74" i="7"/>
  <c r="AF74" i="7"/>
  <c r="AG74" i="7"/>
  <c r="AH74" i="7"/>
  <c r="AI74" i="7"/>
  <c r="AJ74" i="7"/>
  <c r="AK74" i="7"/>
  <c r="AL74" i="7"/>
  <c r="AM74" i="7"/>
  <c r="AN74" i="7"/>
  <c r="AO74" i="7"/>
  <c r="AP74" i="7"/>
  <c r="AQ74" i="7"/>
  <c r="AR74" i="7"/>
  <c r="AS74" i="7"/>
  <c r="AT74" i="7"/>
  <c r="AU74" i="7"/>
  <c r="AV74" i="7"/>
  <c r="AW74" i="7"/>
  <c r="AX74" i="7"/>
  <c r="AY74" i="7"/>
  <c r="AZ74" i="7"/>
  <c r="BB51" i="7"/>
  <c r="BC51" i="7"/>
  <c r="BD51" i="7"/>
  <c r="BE51" i="7"/>
  <c r="BB52" i="7"/>
  <c r="BB106" i="7" s="1"/>
  <c r="BC52" i="7"/>
  <c r="BC106" i="7" s="1"/>
  <c r="BD52" i="7"/>
  <c r="BD106" i="7" s="1"/>
  <c r="BE52" i="7"/>
  <c r="BE106" i="7" s="1"/>
  <c r="BB53" i="7"/>
  <c r="BC53" i="7"/>
  <c r="BD53" i="7"/>
  <c r="BE53" i="7"/>
  <c r="BB54" i="7"/>
  <c r="BC54" i="7"/>
  <c r="BD54" i="7"/>
  <c r="BE54" i="7"/>
  <c r="BB55" i="7"/>
  <c r="BC55" i="7"/>
  <c r="BD55" i="7"/>
  <c r="BE55" i="7"/>
  <c r="BB56" i="7"/>
  <c r="BC56" i="7"/>
  <c r="BD56" i="7"/>
  <c r="BE56" i="7"/>
  <c r="BB57" i="7"/>
  <c r="BC57" i="7"/>
  <c r="BD57" i="7"/>
  <c r="BE57" i="7"/>
  <c r="BB58" i="7"/>
  <c r="BC58" i="7"/>
  <c r="BD58" i="7"/>
  <c r="BE58" i="7"/>
  <c r="BB59" i="7"/>
  <c r="BC59" i="7"/>
  <c r="BD59" i="7"/>
  <c r="BE59" i="7"/>
  <c r="BB60" i="7"/>
  <c r="BC60" i="7"/>
  <c r="BD60" i="7"/>
  <c r="BE60" i="7"/>
  <c r="BB61" i="7"/>
  <c r="BC61" i="7"/>
  <c r="BD61" i="7"/>
  <c r="BE61" i="7"/>
  <c r="O51" i="7"/>
  <c r="P51" i="7"/>
  <c r="Q51" i="7"/>
  <c r="R51" i="7"/>
  <c r="S51" i="7"/>
  <c r="T51" i="7"/>
  <c r="U51" i="7"/>
  <c r="V51" i="7"/>
  <c r="W51" i="7"/>
  <c r="X51" i="7"/>
  <c r="Y51" i="7"/>
  <c r="Z51" i="7"/>
  <c r="AA51" i="7"/>
  <c r="AB51" i="7"/>
  <c r="AC51" i="7"/>
  <c r="AD51" i="7"/>
  <c r="AE51" i="7"/>
  <c r="AF51" i="7"/>
  <c r="AG51" i="7"/>
  <c r="AH51" i="7"/>
  <c r="AI51" i="7"/>
  <c r="AJ51" i="7"/>
  <c r="AK51" i="7"/>
  <c r="AL51" i="7"/>
  <c r="AM51" i="7"/>
  <c r="AN51" i="7"/>
  <c r="AO51" i="7"/>
  <c r="AP51" i="7"/>
  <c r="AQ51" i="7"/>
  <c r="AR51" i="7"/>
  <c r="AS51" i="7"/>
  <c r="AT51" i="7"/>
  <c r="AU51" i="7"/>
  <c r="AV51" i="7"/>
  <c r="AW51" i="7"/>
  <c r="AX51" i="7"/>
  <c r="AY51" i="7"/>
  <c r="AZ51" i="7"/>
  <c r="BA51" i="7"/>
  <c r="O52" i="7"/>
  <c r="P52" i="7"/>
  <c r="Q52" i="7"/>
  <c r="R52" i="7"/>
  <c r="S52" i="7"/>
  <c r="T52" i="7"/>
  <c r="U52" i="7"/>
  <c r="V52" i="7"/>
  <c r="W52" i="7"/>
  <c r="X52" i="7"/>
  <c r="Y52" i="7"/>
  <c r="Z52" i="7"/>
  <c r="AA52" i="7"/>
  <c r="AB52" i="7"/>
  <c r="AC52" i="7"/>
  <c r="AD52" i="7"/>
  <c r="AE52" i="7"/>
  <c r="AF52" i="7"/>
  <c r="AG52" i="7"/>
  <c r="AH52" i="7"/>
  <c r="AI52" i="7"/>
  <c r="AJ52" i="7"/>
  <c r="AK52" i="7"/>
  <c r="AL52" i="7"/>
  <c r="AM52" i="7"/>
  <c r="AN52" i="7"/>
  <c r="AO52" i="7"/>
  <c r="AP52" i="7"/>
  <c r="AQ52" i="7"/>
  <c r="AR52" i="7"/>
  <c r="AS52" i="7"/>
  <c r="AT52" i="7"/>
  <c r="AU52" i="7"/>
  <c r="AV52" i="7"/>
  <c r="AW52" i="7"/>
  <c r="AX52" i="7"/>
  <c r="AY52" i="7"/>
  <c r="AZ52" i="7"/>
  <c r="BA52" i="7"/>
  <c r="O53" i="7"/>
  <c r="P53" i="7"/>
  <c r="Q53" i="7"/>
  <c r="R53" i="7"/>
  <c r="S53" i="7"/>
  <c r="T53" i="7"/>
  <c r="U53" i="7"/>
  <c r="V53" i="7"/>
  <c r="W53" i="7"/>
  <c r="X53" i="7"/>
  <c r="Y53" i="7"/>
  <c r="Z53" i="7"/>
  <c r="AA53" i="7"/>
  <c r="AB53" i="7"/>
  <c r="AC53" i="7"/>
  <c r="AD53" i="7"/>
  <c r="AE53" i="7"/>
  <c r="AF53" i="7"/>
  <c r="AG53" i="7"/>
  <c r="AH53" i="7"/>
  <c r="AI53" i="7"/>
  <c r="AJ53" i="7"/>
  <c r="AK53" i="7"/>
  <c r="AL53" i="7"/>
  <c r="AM53" i="7"/>
  <c r="AN53" i="7"/>
  <c r="AO53" i="7"/>
  <c r="AP53" i="7"/>
  <c r="AQ53" i="7"/>
  <c r="AR53" i="7"/>
  <c r="AS53" i="7"/>
  <c r="AT53" i="7"/>
  <c r="AU53" i="7"/>
  <c r="AV53" i="7"/>
  <c r="AW53" i="7"/>
  <c r="AX53" i="7"/>
  <c r="AY53" i="7"/>
  <c r="AZ53" i="7"/>
  <c r="BA53" i="7"/>
  <c r="O54" i="7"/>
  <c r="P54" i="7"/>
  <c r="Q54" i="7"/>
  <c r="R54" i="7"/>
  <c r="S54" i="7"/>
  <c r="T54" i="7"/>
  <c r="U54" i="7"/>
  <c r="V54" i="7"/>
  <c r="W54" i="7"/>
  <c r="X54" i="7"/>
  <c r="Y54" i="7"/>
  <c r="Z54" i="7"/>
  <c r="AA54" i="7"/>
  <c r="AB54" i="7"/>
  <c r="AC54" i="7"/>
  <c r="AD54" i="7"/>
  <c r="AE54" i="7"/>
  <c r="AF54" i="7"/>
  <c r="AG54" i="7"/>
  <c r="AH54" i="7"/>
  <c r="AI54" i="7"/>
  <c r="AJ54" i="7"/>
  <c r="AK54" i="7"/>
  <c r="AL54" i="7"/>
  <c r="AM54" i="7"/>
  <c r="AN54" i="7"/>
  <c r="AO54" i="7"/>
  <c r="AP54" i="7"/>
  <c r="AQ54" i="7"/>
  <c r="AR54" i="7"/>
  <c r="AS54" i="7"/>
  <c r="AT54" i="7"/>
  <c r="AU54" i="7"/>
  <c r="AV54" i="7"/>
  <c r="AW54" i="7"/>
  <c r="AX54" i="7"/>
  <c r="AY54" i="7"/>
  <c r="AZ54" i="7"/>
  <c r="BA54" i="7"/>
  <c r="O55" i="7"/>
  <c r="P55" i="7"/>
  <c r="Q55" i="7"/>
  <c r="R55" i="7"/>
  <c r="S55" i="7"/>
  <c r="T55" i="7"/>
  <c r="U55" i="7"/>
  <c r="V55" i="7"/>
  <c r="W55" i="7"/>
  <c r="X55" i="7"/>
  <c r="Y55" i="7"/>
  <c r="Z55" i="7"/>
  <c r="AA55" i="7"/>
  <c r="AB55" i="7"/>
  <c r="AC55" i="7"/>
  <c r="AD55" i="7"/>
  <c r="AE55" i="7"/>
  <c r="AF55" i="7"/>
  <c r="AG55" i="7"/>
  <c r="AH55" i="7"/>
  <c r="AI55" i="7"/>
  <c r="AJ55" i="7"/>
  <c r="AK55" i="7"/>
  <c r="AL55" i="7"/>
  <c r="AM55" i="7"/>
  <c r="AN55" i="7"/>
  <c r="AO55" i="7"/>
  <c r="AP55" i="7"/>
  <c r="AQ55" i="7"/>
  <c r="AR55" i="7"/>
  <c r="AS55" i="7"/>
  <c r="AT55" i="7"/>
  <c r="AU55" i="7"/>
  <c r="AV55" i="7"/>
  <c r="AW55" i="7"/>
  <c r="AX55" i="7"/>
  <c r="AY55" i="7"/>
  <c r="AZ55" i="7"/>
  <c r="BA55" i="7"/>
  <c r="O56" i="7"/>
  <c r="P56" i="7"/>
  <c r="Q56" i="7"/>
  <c r="R56" i="7"/>
  <c r="S56" i="7"/>
  <c r="T56" i="7"/>
  <c r="U56" i="7"/>
  <c r="V56" i="7"/>
  <c r="W56"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AZ56" i="7"/>
  <c r="BA56"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O58" i="7"/>
  <c r="P58" i="7"/>
  <c r="Q58" i="7"/>
  <c r="R58" i="7"/>
  <c r="S58" i="7"/>
  <c r="T58" i="7"/>
  <c r="U58" i="7"/>
  <c r="V58" i="7"/>
  <c r="W58"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AZ58" i="7"/>
  <c r="BA58" i="7"/>
  <c r="O59" i="7"/>
  <c r="P59" i="7"/>
  <c r="Q59" i="7"/>
  <c r="R59" i="7"/>
  <c r="S59" i="7"/>
  <c r="T59" i="7"/>
  <c r="U59" i="7"/>
  <c r="V59" i="7"/>
  <c r="W59"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AZ59" i="7"/>
  <c r="BA59" i="7"/>
  <c r="O60" i="7"/>
  <c r="P60" i="7"/>
  <c r="Q60" i="7"/>
  <c r="R60" i="7"/>
  <c r="S60" i="7"/>
  <c r="T60" i="7"/>
  <c r="U60" i="7"/>
  <c r="V60" i="7"/>
  <c r="W60" i="7"/>
  <c r="X60" i="7"/>
  <c r="Y60" i="7"/>
  <c r="Z60" i="7"/>
  <c r="AA60" i="7"/>
  <c r="AB60" i="7"/>
  <c r="AC60" i="7"/>
  <c r="AD60" i="7"/>
  <c r="AE60" i="7"/>
  <c r="AF60" i="7"/>
  <c r="AG60" i="7"/>
  <c r="AH60" i="7"/>
  <c r="AI60" i="7"/>
  <c r="AJ60" i="7"/>
  <c r="AK60" i="7"/>
  <c r="AL60" i="7"/>
  <c r="AM60" i="7"/>
  <c r="AN60" i="7"/>
  <c r="AO60" i="7"/>
  <c r="AP60" i="7"/>
  <c r="AQ60" i="7"/>
  <c r="AR60" i="7"/>
  <c r="AS60" i="7"/>
  <c r="AT60" i="7"/>
  <c r="AU60" i="7"/>
  <c r="AV60" i="7"/>
  <c r="AW60" i="7"/>
  <c r="AX60" i="7"/>
  <c r="AY60" i="7"/>
  <c r="AZ60" i="7"/>
  <c r="BA60" i="7"/>
  <c r="O61" i="7"/>
  <c r="P61" i="7"/>
  <c r="Q61" i="7"/>
  <c r="R61" i="7"/>
  <c r="S61" i="7"/>
  <c r="T61" i="7"/>
  <c r="U61" i="7"/>
  <c r="V61" i="7"/>
  <c r="W61" i="7"/>
  <c r="X61" i="7"/>
  <c r="Y61" i="7"/>
  <c r="Z61" i="7"/>
  <c r="AA61" i="7"/>
  <c r="AB61" i="7"/>
  <c r="AC61" i="7"/>
  <c r="AD61" i="7"/>
  <c r="AE61" i="7"/>
  <c r="AF61" i="7"/>
  <c r="AG61" i="7"/>
  <c r="AH61" i="7"/>
  <c r="AI61" i="7"/>
  <c r="AJ61" i="7"/>
  <c r="AK61" i="7"/>
  <c r="AL61" i="7"/>
  <c r="AM61" i="7"/>
  <c r="AN61" i="7"/>
  <c r="AO61" i="7"/>
  <c r="AP61" i="7"/>
  <c r="AQ61" i="7"/>
  <c r="AR61" i="7"/>
  <c r="AS61" i="7"/>
  <c r="AT61" i="7"/>
  <c r="AU61" i="7"/>
  <c r="AV61" i="7"/>
  <c r="AW61" i="7"/>
  <c r="AX61" i="7"/>
  <c r="AY61" i="7"/>
  <c r="AZ61" i="7"/>
  <c r="BA61" i="7"/>
  <c r="M51" i="7"/>
  <c r="N51" i="7"/>
  <c r="M52" i="7"/>
  <c r="N52" i="7"/>
  <c r="M53" i="7"/>
  <c r="N53" i="7"/>
  <c r="M54" i="7"/>
  <c r="N54" i="7"/>
  <c r="M55" i="7"/>
  <c r="N55" i="7"/>
  <c r="M56" i="7"/>
  <c r="N56" i="7"/>
  <c r="M57" i="7"/>
  <c r="N57" i="7"/>
  <c r="M58" i="7"/>
  <c r="N58" i="7"/>
  <c r="M59" i="7"/>
  <c r="N59" i="7"/>
  <c r="M60" i="7"/>
  <c r="N60" i="7"/>
  <c r="M61" i="7"/>
  <c r="N61" i="7"/>
  <c r="K155" i="4"/>
  <c r="L155" i="4" s="1"/>
  <c r="M155" i="4" s="1"/>
  <c r="N155" i="4" s="1"/>
  <c r="O155" i="4" s="1"/>
  <c r="P155" i="4" s="1"/>
  <c r="Q155" i="4" s="1"/>
  <c r="R155" i="4" s="1"/>
  <c r="S155" i="4" s="1"/>
  <c r="T155" i="4" s="1"/>
  <c r="U155" i="4" s="1"/>
  <c r="V155" i="4" s="1"/>
  <c r="W155" i="4" s="1"/>
  <c r="X155" i="4" s="1"/>
  <c r="Y155" i="4" s="1"/>
  <c r="Z155" i="4" s="1"/>
  <c r="AA155" i="4" s="1"/>
  <c r="AB155" i="4" s="1"/>
  <c r="AC155" i="4" s="1"/>
  <c r="AD155" i="4" s="1"/>
  <c r="AE155" i="4" s="1"/>
  <c r="AF155" i="4" s="1"/>
  <c r="AG155" i="4" s="1"/>
  <c r="AH155" i="4" s="1"/>
  <c r="AI155" i="4" s="1"/>
  <c r="AJ155" i="4" s="1"/>
  <c r="AK155" i="4" s="1"/>
  <c r="AL155" i="4" s="1"/>
  <c r="AM155" i="4" s="1"/>
  <c r="AN155" i="4" s="1"/>
  <c r="AO155" i="4" s="1"/>
  <c r="AP155" i="4" s="1"/>
  <c r="AQ155" i="4" s="1"/>
  <c r="AR155" i="4" s="1"/>
  <c r="AS155" i="4" s="1"/>
  <c r="AT155" i="4" s="1"/>
  <c r="AU155" i="4" s="1"/>
  <c r="AV155" i="4" s="1"/>
  <c r="AW155" i="4" s="1"/>
  <c r="AX155" i="4" s="1"/>
  <c r="AY155" i="4" s="1"/>
  <c r="AZ155" i="4" s="1"/>
  <c r="BA155" i="4" s="1"/>
  <c r="BB155" i="4" s="1"/>
  <c r="BC155" i="4" s="1"/>
  <c r="BA118" i="3"/>
  <c r="BA119" i="3"/>
  <c r="BA120" i="3"/>
  <c r="BA121" i="3"/>
  <c r="BA122" i="3"/>
  <c r="BA123" i="3"/>
  <c r="BA124" i="3"/>
  <c r="BA125" i="3"/>
  <c r="BA126" i="3"/>
  <c r="BA127" i="3"/>
  <c r="BA128" i="3"/>
  <c r="BA133" i="3"/>
  <c r="BA134" i="3"/>
  <c r="BA135" i="3"/>
  <c r="BA136" i="3"/>
  <c r="BA137" i="3"/>
  <c r="BA138" i="3"/>
  <c r="BA139" i="3"/>
  <c r="BA140" i="3"/>
  <c r="BA141" i="3"/>
  <c r="BA142" i="3"/>
  <c r="BA143" i="3"/>
  <c r="BA155" i="3"/>
  <c r="BA166" i="3"/>
  <c r="BA222" i="3"/>
  <c r="I162" i="4" l="1"/>
  <c r="BC157" i="4"/>
  <c r="S110" i="7"/>
  <c r="AV124" i="7"/>
  <c r="AF124" i="7"/>
  <c r="P124" i="7"/>
  <c r="BA129" i="7"/>
  <c r="AI110" i="7"/>
  <c r="AD124" i="7"/>
  <c r="Q110" i="7"/>
  <c r="N124" i="7"/>
  <c r="AF110" i="7"/>
  <c r="P110" i="7"/>
  <c r="AS124" i="7"/>
  <c r="AC124" i="7"/>
  <c r="M120" i="7"/>
  <c r="AT124" i="7"/>
  <c r="AG110" i="7"/>
  <c r="AH110" i="7"/>
  <c r="R110" i="7"/>
  <c r="AU124" i="7"/>
  <c r="AE124" i="7"/>
  <c r="O124" i="7"/>
  <c r="W110" i="7"/>
  <c r="BE114" i="7"/>
  <c r="AJ124" i="7"/>
  <c r="T124" i="7"/>
  <c r="BE129" i="7"/>
  <c r="AM110" i="7"/>
  <c r="AL110" i="7"/>
  <c r="V110" i="7"/>
  <c r="BD114" i="7"/>
  <c r="AI124" i="7"/>
  <c r="S124" i="7"/>
  <c r="BD129" i="7"/>
  <c r="AK110" i="7"/>
  <c r="U110" i="7"/>
  <c r="AX124" i="7"/>
  <c r="R124" i="7"/>
  <c r="BC129" i="7"/>
  <c r="BC114" i="7"/>
  <c r="AH124" i="7"/>
  <c r="AJ110" i="7"/>
  <c r="T110" i="7"/>
  <c r="BB114" i="7"/>
  <c r="AW124" i="7"/>
  <c r="AG124" i="7"/>
  <c r="Q124" i="7"/>
  <c r="BB129" i="7"/>
  <c r="O110" i="7"/>
  <c r="AR124" i="7"/>
  <c r="AB124" i="7"/>
  <c r="BE121" i="7"/>
  <c r="AT110" i="7"/>
  <c r="AD110" i="7"/>
  <c r="AQ124" i="7"/>
  <c r="AA124" i="7"/>
  <c r="BD121" i="7"/>
  <c r="AS110" i="7"/>
  <c r="AC110" i="7"/>
  <c r="AP124" i="7"/>
  <c r="Z124" i="7"/>
  <c r="BC121" i="7"/>
  <c r="AR110" i="7"/>
  <c r="AO124" i="7"/>
  <c r="Y124" i="7"/>
  <c r="BB121" i="7"/>
  <c r="AQ110" i="7"/>
  <c r="AA110" i="7"/>
  <c r="AN124" i="7"/>
  <c r="X124" i="7"/>
  <c r="BA121" i="7"/>
  <c r="AE110" i="7"/>
  <c r="AP110" i="7"/>
  <c r="Z110" i="7"/>
  <c r="AM124" i="7"/>
  <c r="W124" i="7"/>
  <c r="AO110" i="7"/>
  <c r="Y110" i="7"/>
  <c r="AL124" i="7"/>
  <c r="V124" i="7"/>
  <c r="AB110" i="7"/>
  <c r="AN110" i="7"/>
  <c r="X110" i="7"/>
  <c r="AK124" i="7"/>
  <c r="U124" i="7"/>
  <c r="BE122" i="7"/>
  <c r="AV30" i="8"/>
  <c r="AZ157" i="4"/>
  <c r="AR157" i="4"/>
  <c r="AJ157" i="4"/>
  <c r="AB157" i="4"/>
  <c r="T157" i="4"/>
  <c r="L157" i="4"/>
  <c r="AY157" i="4"/>
  <c r="AQ157" i="4"/>
  <c r="AI157" i="4"/>
  <c r="AA157" i="4"/>
  <c r="S157" i="4"/>
  <c r="AX157" i="4"/>
  <c r="AP157" i="4"/>
  <c r="AH157" i="4"/>
  <c r="Z157" i="4"/>
  <c r="R157" i="4"/>
  <c r="AW157" i="4"/>
  <c r="AO157" i="4"/>
  <c r="AG157" i="4"/>
  <c r="Y157" i="4"/>
  <c r="Q157" i="4"/>
  <c r="AV157" i="4"/>
  <c r="AN157" i="4"/>
  <c r="AF157" i="4"/>
  <c r="X157" i="4"/>
  <c r="P157" i="4"/>
  <c r="AU157" i="4"/>
  <c r="AM157" i="4"/>
  <c r="AE157" i="4"/>
  <c r="W157" i="4"/>
  <c r="O157" i="4"/>
  <c r="BB157" i="4"/>
  <c r="AT157" i="4"/>
  <c r="AL157" i="4"/>
  <c r="AD157" i="4"/>
  <c r="V157" i="4"/>
  <c r="N157" i="4"/>
  <c r="BA157" i="4"/>
  <c r="AS157" i="4"/>
  <c r="AK157" i="4"/>
  <c r="AC157" i="4"/>
  <c r="U157" i="4"/>
  <c r="M157" i="4"/>
  <c r="H10" i="3"/>
  <c r="H11" i="3" s="1"/>
  <c r="H48" i="3" s="1"/>
  <c r="AV44" i="8"/>
  <c r="BE128" i="7"/>
  <c r="BA124" i="7"/>
  <c r="BE120" i="7"/>
  <c r="AJ129" i="7"/>
  <c r="BC126" i="7"/>
  <c r="BD127" i="7"/>
  <c r="BD119" i="7"/>
  <c r="AH109" i="7"/>
  <c r="P114" i="7"/>
  <c r="AZ110" i="7"/>
  <c r="BB112" i="7"/>
  <c r="BA126" i="7"/>
  <c r="Y126" i="7"/>
  <c r="Q126" i="7"/>
  <c r="AW126" i="7"/>
  <c r="AV114" i="7"/>
  <c r="AG126" i="7"/>
  <c r="AO126" i="7"/>
  <c r="AA109" i="7"/>
  <c r="S109" i="7"/>
  <c r="AW125" i="7"/>
  <c r="AO125" i="7"/>
  <c r="AG125" i="7"/>
  <c r="Y125" i="7"/>
  <c r="Q125" i="7"/>
  <c r="AJ105" i="7"/>
  <c r="BC105" i="7"/>
  <c r="AB105" i="7"/>
  <c r="AR105" i="7"/>
  <c r="T105" i="7"/>
  <c r="BA220" i="3"/>
  <c r="AW115" i="7"/>
  <c r="AU113" i="7"/>
  <c r="AT112" i="7"/>
  <c r="AL112" i="7"/>
  <c r="AD112" i="7"/>
  <c r="V112" i="7"/>
  <c r="BA111" i="7"/>
  <c r="AY109" i="7"/>
  <c r="AW107" i="7"/>
  <c r="AU105" i="7"/>
  <c r="BB108" i="7"/>
  <c r="AW122" i="7"/>
  <c r="AO122" i="7"/>
  <c r="AG122" i="7"/>
  <c r="Y122" i="7"/>
  <c r="Q122" i="7"/>
  <c r="BC124" i="7"/>
  <c r="BA144" i="3"/>
  <c r="BA200" i="3" s="1"/>
  <c r="BA129" i="3"/>
  <c r="BA211" i="3" s="1"/>
  <c r="BA130" i="3"/>
  <c r="BA190" i="3" s="1"/>
  <c r="AV115" i="7"/>
  <c r="AN115" i="7"/>
  <c r="AF115" i="7"/>
  <c r="X115" i="7"/>
  <c r="P115" i="7"/>
  <c r="AY38" i="4"/>
  <c r="AZ111" i="7"/>
  <c r="AX109" i="7"/>
  <c r="AV107" i="7"/>
  <c r="AN107" i="7"/>
  <c r="AF107" i="7"/>
  <c r="X107" i="7"/>
  <c r="P107" i="7"/>
  <c r="BE115" i="7"/>
  <c r="BE107" i="7"/>
  <c r="AV127" i="7"/>
  <c r="AN127" i="7"/>
  <c r="AF127" i="7"/>
  <c r="X127" i="7"/>
  <c r="P127" i="7"/>
  <c r="AV122" i="7"/>
  <c r="AN122" i="7"/>
  <c r="AF122" i="7"/>
  <c r="X122" i="7"/>
  <c r="P122" i="7"/>
  <c r="AV119" i="7"/>
  <c r="AN119" i="7"/>
  <c r="AF119" i="7"/>
  <c r="X119" i="7"/>
  <c r="P119" i="7"/>
  <c r="BB124" i="7"/>
  <c r="BE126" i="7"/>
  <c r="AY114" i="7"/>
  <c r="AW112" i="7"/>
  <c r="AY129" i="7"/>
  <c r="AY37" i="4"/>
  <c r="AO106" i="7"/>
  <c r="AG106" i="7"/>
  <c r="Y106" i="7"/>
  <c r="Q106" i="7"/>
  <c r="BC110" i="7"/>
  <c r="AX128" i="7"/>
  <c r="AP128" i="7"/>
  <c r="AH128" i="7"/>
  <c r="Z128" i="7"/>
  <c r="R128" i="7"/>
  <c r="AX120" i="7"/>
  <c r="AP120" i="7"/>
  <c r="AH120" i="7"/>
  <c r="Z120" i="7"/>
  <c r="R120" i="7"/>
  <c r="BE127" i="7"/>
  <c r="BA123" i="7"/>
  <c r="BE119" i="7"/>
  <c r="AR113" i="7"/>
  <c r="AJ113" i="7"/>
  <c r="AB113" i="7"/>
  <c r="T113" i="7"/>
  <c r="BC113" i="7"/>
  <c r="AT129" i="7"/>
  <c r="AL129" i="7"/>
  <c r="AD129" i="7"/>
  <c r="V129" i="7"/>
  <c r="N129" i="7"/>
  <c r="N112" i="7"/>
  <c r="N108" i="7"/>
  <c r="AZ114" i="7"/>
  <c r="AX112" i="7"/>
  <c r="AV110" i="7"/>
  <c r="AT108" i="7"/>
  <c r="AL108" i="7"/>
  <c r="AZ106" i="7"/>
  <c r="AS126" i="7"/>
  <c r="AK126" i="7"/>
  <c r="AC126" i="7"/>
  <c r="U126" i="7"/>
  <c r="BA122" i="7"/>
  <c r="AN111" i="7"/>
  <c r="AF111" i="7"/>
  <c r="AZ129" i="7"/>
  <c r="AR123" i="7"/>
  <c r="AJ123" i="7"/>
  <c r="AB123" i="7"/>
  <c r="T123" i="7"/>
  <c r="AZ121" i="7"/>
  <c r="AP114" i="7"/>
  <c r="AH114" i="7"/>
  <c r="Z114" i="7"/>
  <c r="R114" i="7"/>
  <c r="AP106" i="7"/>
  <c r="AH106" i="7"/>
  <c r="Z106" i="7"/>
  <c r="R106" i="7"/>
  <c r="BD110" i="7"/>
  <c r="AY128" i="7"/>
  <c r="AQ128" i="7"/>
  <c r="AI128" i="7"/>
  <c r="AA128" i="7"/>
  <c r="S128" i="7"/>
  <c r="AY120" i="7"/>
  <c r="AQ120" i="7"/>
  <c r="AI120" i="7"/>
  <c r="AA120" i="7"/>
  <c r="S120" i="7"/>
  <c r="BB123" i="7"/>
  <c r="AR109" i="7"/>
  <c r="AJ109" i="7"/>
  <c r="AB109" i="7"/>
  <c r="T109" i="7"/>
  <c r="AX125" i="7"/>
  <c r="AP125" i="7"/>
  <c r="AH125" i="7"/>
  <c r="Z125" i="7"/>
  <c r="R125" i="7"/>
  <c r="AY70" i="4"/>
  <c r="AY60" i="4"/>
  <c r="AY29" i="4"/>
  <c r="AY34" i="4" s="1"/>
  <c r="AY44" i="4" s="1"/>
  <c r="AY30" i="4"/>
  <c r="AY35" i="4" s="1"/>
  <c r="AY51" i="4" s="1"/>
  <c r="AZ115" i="7"/>
  <c r="AX113" i="7"/>
  <c r="AZ126" i="7"/>
  <c r="BB120" i="7"/>
  <c r="AX129" i="7"/>
  <c r="AP129" i="7"/>
  <c r="AH129" i="7"/>
  <c r="Z129" i="7"/>
  <c r="R129" i="7"/>
  <c r="AX121" i="7"/>
  <c r="AP121" i="7"/>
  <c r="AH121" i="7"/>
  <c r="Z121" i="7"/>
  <c r="R121" i="7"/>
  <c r="BD124" i="7"/>
  <c r="AF123" i="7"/>
  <c r="AV123" i="7"/>
  <c r="P123" i="7"/>
  <c r="AU128" i="7"/>
  <c r="AM128" i="7"/>
  <c r="AE128" i="7"/>
  <c r="W128" i="7"/>
  <c r="O128" i="7"/>
  <c r="AU120" i="7"/>
  <c r="AM120" i="7"/>
  <c r="AE120" i="7"/>
  <c r="W120" i="7"/>
  <c r="O120" i="7"/>
  <c r="BB127" i="7"/>
  <c r="BB119" i="7"/>
  <c r="BC109" i="7"/>
  <c r="AT125" i="7"/>
  <c r="AL125" i="7"/>
  <c r="AD125" i="7"/>
  <c r="V125" i="7"/>
  <c r="N125" i="7"/>
  <c r="AT121" i="7"/>
  <c r="AL121" i="7"/>
  <c r="AD121" i="7"/>
  <c r="V121" i="7"/>
  <c r="N121" i="7"/>
  <c r="X123" i="7"/>
  <c r="BA115" i="7"/>
  <c r="AD108" i="7"/>
  <c r="V108" i="7"/>
  <c r="BA107" i="7"/>
  <c r="M126" i="7"/>
  <c r="AS122" i="7"/>
  <c r="AK122" i="7"/>
  <c r="AC122" i="7"/>
  <c r="U122" i="7"/>
  <c r="M122" i="7"/>
  <c r="BC128" i="7"/>
  <c r="BC120" i="7"/>
  <c r="BE111" i="7"/>
  <c r="AN123" i="7"/>
  <c r="AJ115" i="7"/>
  <c r="X111" i="7"/>
  <c r="P111" i="7"/>
  <c r="AR127" i="7"/>
  <c r="AJ127" i="7"/>
  <c r="AB127" i="7"/>
  <c r="T127" i="7"/>
  <c r="AZ125" i="7"/>
  <c r="AR119" i="7"/>
  <c r="AJ119" i="7"/>
  <c r="AB119" i="7"/>
  <c r="T119" i="7"/>
  <c r="AO113" i="7"/>
  <c r="AG113" i="7"/>
  <c r="Y113" i="7"/>
  <c r="Q113" i="7"/>
  <c r="AO105" i="7"/>
  <c r="AG105" i="7"/>
  <c r="Y105" i="7"/>
  <c r="Q105" i="7"/>
  <c r="AQ129" i="7"/>
  <c r="AI129" i="7"/>
  <c r="AA129" i="7"/>
  <c r="S129" i="7"/>
  <c r="AY125" i="7"/>
  <c r="AY123" i="7"/>
  <c r="AQ121" i="7"/>
  <c r="AI121" i="7"/>
  <c r="AA121" i="7"/>
  <c r="S121" i="7"/>
  <c r="M107" i="7"/>
  <c r="AU112" i="7"/>
  <c r="S108" i="7"/>
  <c r="Z126" i="7"/>
  <c r="AM113" i="7"/>
  <c r="AE113" i="7"/>
  <c r="W113" i="7"/>
  <c r="O113" i="7"/>
  <c r="AS111" i="7"/>
  <c r="AK111" i="7"/>
  <c r="AC111" i="7"/>
  <c r="U111" i="7"/>
  <c r="AM105" i="7"/>
  <c r="AE105" i="7"/>
  <c r="W105" i="7"/>
  <c r="O105" i="7"/>
  <c r="AW129" i="7"/>
  <c r="AO129" i="7"/>
  <c r="AG129" i="7"/>
  <c r="Y129" i="7"/>
  <c r="Q129" i="7"/>
  <c r="AW123" i="7"/>
  <c r="AO123" i="7"/>
  <c r="AG123" i="7"/>
  <c r="Y123" i="7"/>
  <c r="Q123" i="7"/>
  <c r="AW121" i="7"/>
  <c r="AO121" i="7"/>
  <c r="AG121" i="7"/>
  <c r="Y121" i="7"/>
  <c r="Q121" i="7"/>
  <c r="BA128" i="7"/>
  <c r="AZ127" i="7"/>
  <c r="BA120" i="7"/>
  <c r="AZ119" i="7"/>
  <c r="BA110" i="7"/>
  <c r="AY108" i="7"/>
  <c r="AP126" i="7"/>
  <c r="BB128" i="7"/>
  <c r="M114" i="7"/>
  <c r="M110" i="7"/>
  <c r="M106" i="7"/>
  <c r="AU114" i="7"/>
  <c r="AM114" i="7"/>
  <c r="AE114" i="7"/>
  <c r="W114" i="7"/>
  <c r="O114" i="7"/>
  <c r="BA112" i="7"/>
  <c r="AY110" i="7"/>
  <c r="AW108" i="7"/>
  <c r="AO108" i="7"/>
  <c r="AG108" i="7"/>
  <c r="Y108" i="7"/>
  <c r="Q108" i="7"/>
  <c r="AU106" i="7"/>
  <c r="AM106" i="7"/>
  <c r="AE106" i="7"/>
  <c r="W106" i="7"/>
  <c r="O106" i="7"/>
  <c r="AV128" i="7"/>
  <c r="AN128" i="7"/>
  <c r="AF128" i="7"/>
  <c r="X128" i="7"/>
  <c r="P128" i="7"/>
  <c r="AV126" i="7"/>
  <c r="AN126" i="7"/>
  <c r="AF126" i="7"/>
  <c r="X126" i="7"/>
  <c r="P126" i="7"/>
  <c r="AV120" i="7"/>
  <c r="AN120" i="7"/>
  <c r="AF120" i="7"/>
  <c r="X120" i="7"/>
  <c r="P120" i="7"/>
  <c r="BC127" i="7"/>
  <c r="BD122" i="7"/>
  <c r="BC119" i="7"/>
  <c r="AA108" i="7"/>
  <c r="R126" i="7"/>
  <c r="AO109" i="7"/>
  <c r="AG109" i="7"/>
  <c r="Y109" i="7"/>
  <c r="Q109" i="7"/>
  <c r="BD109" i="7"/>
  <c r="AU125" i="7"/>
  <c r="AM125" i="7"/>
  <c r="AE125" i="7"/>
  <c r="W125" i="7"/>
  <c r="O125" i="7"/>
  <c r="M115" i="7"/>
  <c r="AQ108" i="7"/>
  <c r="AH126" i="7"/>
  <c r="BB126" i="7"/>
  <c r="AS114" i="7"/>
  <c r="AK114" i="7"/>
  <c r="AC114" i="7"/>
  <c r="U114" i="7"/>
  <c r="AZ113" i="7"/>
  <c r="AQ112" i="7"/>
  <c r="AI112" i="7"/>
  <c r="AA112" i="7"/>
  <c r="S112" i="7"/>
  <c r="AX111" i="7"/>
  <c r="AV109" i="7"/>
  <c r="AS106" i="7"/>
  <c r="AK106" i="7"/>
  <c r="AC106" i="7"/>
  <c r="U106" i="7"/>
  <c r="AZ105" i="7"/>
  <c r="AT128" i="7"/>
  <c r="AL128" i="7"/>
  <c r="AD128" i="7"/>
  <c r="V128" i="7"/>
  <c r="N128" i="7"/>
  <c r="AT122" i="7"/>
  <c r="AL122" i="7"/>
  <c r="AD122" i="7"/>
  <c r="V122" i="7"/>
  <c r="N122" i="7"/>
  <c r="AT120" i="7"/>
  <c r="AL120" i="7"/>
  <c r="AD120" i="7"/>
  <c r="V120" i="7"/>
  <c r="N120" i="7"/>
  <c r="BD128" i="7"/>
  <c r="BA127" i="7"/>
  <c r="BE123" i="7"/>
  <c r="BD120" i="7"/>
  <c r="BA119" i="7"/>
  <c r="M111" i="7"/>
  <c r="AW114" i="7"/>
  <c r="AI108" i="7"/>
  <c r="AW106" i="7"/>
  <c r="BC112" i="7"/>
  <c r="AX126" i="7"/>
  <c r="AS115" i="7"/>
  <c r="AK115" i="7"/>
  <c r="AC115" i="7"/>
  <c r="U115" i="7"/>
  <c r="AS107" i="7"/>
  <c r="AK107" i="7"/>
  <c r="AC107" i="7"/>
  <c r="U107" i="7"/>
  <c r="BB115" i="7"/>
  <c r="BB107" i="7"/>
  <c r="AS127" i="7"/>
  <c r="AK127" i="7"/>
  <c r="AC127" i="7"/>
  <c r="U127" i="7"/>
  <c r="M127" i="7"/>
  <c r="AS119" i="7"/>
  <c r="AK119" i="7"/>
  <c r="AC119" i="7"/>
  <c r="U119" i="7"/>
  <c r="M119" i="7"/>
  <c r="BE113" i="7"/>
  <c r="AV129" i="7"/>
  <c r="AN129" i="7"/>
  <c r="AF129" i="7"/>
  <c r="X129" i="7"/>
  <c r="P129" i="7"/>
  <c r="AV121" i="7"/>
  <c r="AN121" i="7"/>
  <c r="AF121" i="7"/>
  <c r="X121" i="7"/>
  <c r="P121" i="7"/>
  <c r="BB122" i="7"/>
  <c r="BE105" i="7"/>
  <c r="AQ111" i="7"/>
  <c r="AI111" i="7"/>
  <c r="AA111" i="7"/>
  <c r="S111" i="7"/>
  <c r="AM107" i="7"/>
  <c r="AE107" i="7"/>
  <c r="W107" i="7"/>
  <c r="O107" i="7"/>
  <c r="BD115" i="7"/>
  <c r="BD111" i="7"/>
  <c r="BD107" i="7"/>
  <c r="AU127" i="7"/>
  <c r="AM127" i="7"/>
  <c r="AE127" i="7"/>
  <c r="W127" i="7"/>
  <c r="O127" i="7"/>
  <c r="AU123" i="7"/>
  <c r="AM123" i="7"/>
  <c r="AE123" i="7"/>
  <c r="W123" i="7"/>
  <c r="O123" i="7"/>
  <c r="AU119" i="7"/>
  <c r="AM119" i="7"/>
  <c r="AE119" i="7"/>
  <c r="W119" i="7"/>
  <c r="O119" i="7"/>
  <c r="BC122" i="7"/>
  <c r="AM109" i="7"/>
  <c r="AE109" i="7"/>
  <c r="W109" i="7"/>
  <c r="O109" i="7"/>
  <c r="AQ105" i="7"/>
  <c r="AI105" i="7"/>
  <c r="AA105" i="7"/>
  <c r="S105" i="7"/>
  <c r="BB113" i="7"/>
  <c r="BB109" i="7"/>
  <c r="BB105" i="7"/>
  <c r="AS129" i="7"/>
  <c r="AK129" i="7"/>
  <c r="AC129" i="7"/>
  <c r="U129" i="7"/>
  <c r="M129" i="7"/>
  <c r="AS128" i="7"/>
  <c r="AK128" i="7"/>
  <c r="AC128" i="7"/>
  <c r="U128" i="7"/>
  <c r="AS125" i="7"/>
  <c r="AK125" i="7"/>
  <c r="AC125" i="7"/>
  <c r="U125" i="7"/>
  <c r="M125" i="7"/>
  <c r="M124" i="7"/>
  <c r="AS121" i="7"/>
  <c r="AK121" i="7"/>
  <c r="AC121" i="7"/>
  <c r="U121" i="7"/>
  <c r="M121" i="7"/>
  <c r="AS120" i="7"/>
  <c r="AK120" i="7"/>
  <c r="AC120" i="7"/>
  <c r="U120" i="7"/>
  <c r="BD123" i="7"/>
  <c r="AH113" i="7"/>
  <c r="AP105" i="7"/>
  <c r="T129" i="7"/>
  <c r="AR121" i="7"/>
  <c r="T121" i="7"/>
  <c r="AZ123" i="7"/>
  <c r="M108" i="7"/>
  <c r="AO112" i="7"/>
  <c r="AG112" i="7"/>
  <c r="Y112" i="7"/>
  <c r="Q112" i="7"/>
  <c r="AV111" i="7"/>
  <c r="AU110" i="7"/>
  <c r="BA108" i="7"/>
  <c r="AS108" i="7"/>
  <c r="AK108" i="7"/>
  <c r="AC108" i="7"/>
  <c r="U108" i="7"/>
  <c r="AZ107" i="7"/>
  <c r="AY106" i="7"/>
  <c r="AX105" i="7"/>
  <c r="BE112" i="7"/>
  <c r="BE108" i="7"/>
  <c r="AR126" i="7"/>
  <c r="AJ126" i="7"/>
  <c r="AB126" i="7"/>
  <c r="T126" i="7"/>
  <c r="AJ125" i="7"/>
  <c r="AZ122" i="7"/>
  <c r="AR122" i="7"/>
  <c r="AJ122" i="7"/>
  <c r="AB122" i="7"/>
  <c r="T122" i="7"/>
  <c r="BD126" i="7"/>
  <c r="AQ107" i="7"/>
  <c r="AI107" i="7"/>
  <c r="AA107" i="7"/>
  <c r="S107" i="7"/>
  <c r="AQ127" i="7"/>
  <c r="AI127" i="7"/>
  <c r="AA127" i="7"/>
  <c r="S127" i="7"/>
  <c r="AQ123" i="7"/>
  <c r="AI123" i="7"/>
  <c r="AA123" i="7"/>
  <c r="S123" i="7"/>
  <c r="AY121" i="7"/>
  <c r="AQ119" i="7"/>
  <c r="AI119" i="7"/>
  <c r="AA119" i="7"/>
  <c r="S119" i="7"/>
  <c r="BE124" i="7"/>
  <c r="Z127" i="7"/>
  <c r="AO115" i="7"/>
  <c r="AG115" i="7"/>
  <c r="Y115" i="7"/>
  <c r="Q115" i="7"/>
  <c r="AO107" i="7"/>
  <c r="AG107" i="7"/>
  <c r="Y107" i="7"/>
  <c r="Q107" i="7"/>
  <c r="AW127" i="7"/>
  <c r="AO127" i="7"/>
  <c r="AG127" i="7"/>
  <c r="Y127" i="7"/>
  <c r="Q127" i="7"/>
  <c r="AW119" i="7"/>
  <c r="AO119" i="7"/>
  <c r="AG119" i="7"/>
  <c r="Y119" i="7"/>
  <c r="Q119" i="7"/>
  <c r="M113" i="7"/>
  <c r="M109" i="7"/>
  <c r="M105" i="7"/>
  <c r="AO111" i="7"/>
  <c r="Q111" i="7"/>
  <c r="BB111" i="7"/>
  <c r="AS123" i="7"/>
  <c r="AK123" i="7"/>
  <c r="AC123" i="7"/>
  <c r="U123" i="7"/>
  <c r="M123" i="7"/>
  <c r="AG111" i="7"/>
  <c r="AZ128" i="7"/>
  <c r="AZ120" i="7"/>
  <c r="BC123" i="7"/>
  <c r="Y111" i="7"/>
  <c r="BA113" i="7"/>
  <c r="AS113" i="7"/>
  <c r="AK113" i="7"/>
  <c r="AC113" i="7"/>
  <c r="U113" i="7"/>
  <c r="AZ112" i="7"/>
  <c r="BA105" i="7"/>
  <c r="AS105" i="7"/>
  <c r="AK105" i="7"/>
  <c r="AC105" i="7"/>
  <c r="U105" i="7"/>
  <c r="BD113" i="7"/>
  <c r="BD105" i="7"/>
  <c r="AU129" i="7"/>
  <c r="AM129" i="7"/>
  <c r="AE129" i="7"/>
  <c r="W129" i="7"/>
  <c r="O129" i="7"/>
  <c r="AU126" i="7"/>
  <c r="AM126" i="7"/>
  <c r="AE126" i="7"/>
  <c r="W126" i="7"/>
  <c r="O126" i="7"/>
  <c r="AU121" i="7"/>
  <c r="AM121" i="7"/>
  <c r="AE121" i="7"/>
  <c r="W121" i="7"/>
  <c r="O121" i="7"/>
  <c r="AT115" i="7"/>
  <c r="AL115" i="7"/>
  <c r="AD115" i="7"/>
  <c r="V115" i="7"/>
  <c r="BA114" i="7"/>
  <c r="AY112" i="7"/>
  <c r="AW110" i="7"/>
  <c r="AU108" i="7"/>
  <c r="AM108" i="7"/>
  <c r="AE108" i="7"/>
  <c r="W108" i="7"/>
  <c r="O108" i="7"/>
  <c r="AT107" i="7"/>
  <c r="AL107" i="7"/>
  <c r="AD107" i="7"/>
  <c r="V107" i="7"/>
  <c r="BA106" i="7"/>
  <c r="BC115" i="7"/>
  <c r="BC111" i="7"/>
  <c r="BC107" i="7"/>
  <c r="AT127" i="7"/>
  <c r="AL127" i="7"/>
  <c r="AD127" i="7"/>
  <c r="V127" i="7"/>
  <c r="N127" i="7"/>
  <c r="AT126" i="7"/>
  <c r="AL126" i="7"/>
  <c r="AD126" i="7"/>
  <c r="V126" i="7"/>
  <c r="N126" i="7"/>
  <c r="AT123" i="7"/>
  <c r="AL123" i="7"/>
  <c r="AD123" i="7"/>
  <c r="V123" i="7"/>
  <c r="N123" i="7"/>
  <c r="AT119" i="7"/>
  <c r="AL119" i="7"/>
  <c r="AD119" i="7"/>
  <c r="V119" i="7"/>
  <c r="N119" i="7"/>
  <c r="AQ114" i="7"/>
  <c r="AI114" i="7"/>
  <c r="AA114" i="7"/>
  <c r="S114" i="7"/>
  <c r="AT109" i="7"/>
  <c r="AL109" i="7"/>
  <c r="AD109" i="7"/>
  <c r="V109" i="7"/>
  <c r="AQ106" i="7"/>
  <c r="AI106" i="7"/>
  <c r="AA106" i="7"/>
  <c r="S106" i="7"/>
  <c r="R105" i="7"/>
  <c r="BE110" i="7"/>
  <c r="AR129" i="7"/>
  <c r="AB129" i="7"/>
  <c r="AR128" i="7"/>
  <c r="AJ128" i="7"/>
  <c r="AB128" i="7"/>
  <c r="T128" i="7"/>
  <c r="AR125" i="7"/>
  <c r="AB125" i="7"/>
  <c r="T125" i="7"/>
  <c r="AJ121" i="7"/>
  <c r="AB121" i="7"/>
  <c r="AR120" i="7"/>
  <c r="AJ120" i="7"/>
  <c r="AB120" i="7"/>
  <c r="T120" i="7"/>
  <c r="AY115" i="7"/>
  <c r="AW113" i="7"/>
  <c r="AN112" i="7"/>
  <c r="AF112" i="7"/>
  <c r="X112" i="7"/>
  <c r="P112" i="7"/>
  <c r="AU111" i="7"/>
  <c r="BA109" i="7"/>
  <c r="AS109" i="7"/>
  <c r="AK109" i="7"/>
  <c r="AC109" i="7"/>
  <c r="U109" i="7"/>
  <c r="AY107" i="7"/>
  <c r="AW105" i="7"/>
  <c r="BD112" i="7"/>
  <c r="BD108" i="7"/>
  <c r="AY127" i="7"/>
  <c r="AY126" i="7"/>
  <c r="AQ125" i="7"/>
  <c r="AI125" i="7"/>
  <c r="AA125" i="7"/>
  <c r="S125" i="7"/>
  <c r="AQ122" i="7"/>
  <c r="AI122" i="7"/>
  <c r="AA122" i="7"/>
  <c r="S122" i="7"/>
  <c r="AY119" i="7"/>
  <c r="AX115" i="7"/>
  <c r="AV113" i="7"/>
  <c r="AM112" i="7"/>
  <c r="AE112" i="7"/>
  <c r="W112" i="7"/>
  <c r="O112" i="7"/>
  <c r="AZ109" i="7"/>
  <c r="AX107" i="7"/>
  <c r="AV105" i="7"/>
  <c r="BC108" i="7"/>
  <c r="AX127" i="7"/>
  <c r="AP127" i="7"/>
  <c r="AH127" i="7"/>
  <c r="R127" i="7"/>
  <c r="AX122" i="7"/>
  <c r="AP122" i="7"/>
  <c r="AH122" i="7"/>
  <c r="Z122" i="7"/>
  <c r="R122" i="7"/>
  <c r="AX119" i="7"/>
  <c r="AP119" i="7"/>
  <c r="AH119" i="7"/>
  <c r="Z119" i="7"/>
  <c r="R119" i="7"/>
  <c r="AH105" i="7"/>
  <c r="Z105" i="7"/>
  <c r="AQ113" i="7"/>
  <c r="AP113" i="7"/>
  <c r="Z113" i="7"/>
  <c r="R113" i="7"/>
  <c r="N115" i="7"/>
  <c r="N111" i="7"/>
  <c r="N107" i="7"/>
  <c r="AQ115" i="7"/>
  <c r="AI115" i="7"/>
  <c r="AA115" i="7"/>
  <c r="S115" i="7"/>
  <c r="AX114" i="7"/>
  <c r="AV112" i="7"/>
  <c r="AM111" i="7"/>
  <c r="AE111" i="7"/>
  <c r="W111" i="7"/>
  <c r="O111" i="7"/>
  <c r="AZ108" i="7"/>
  <c r="AR108" i="7"/>
  <c r="AJ108" i="7"/>
  <c r="AB108" i="7"/>
  <c r="T108" i="7"/>
  <c r="AX106" i="7"/>
  <c r="AQ126" i="7"/>
  <c r="AI126" i="7"/>
  <c r="AA126" i="7"/>
  <c r="S126" i="7"/>
  <c r="AY122" i="7"/>
  <c r="AR115" i="7"/>
  <c r="AB115" i="7"/>
  <c r="T115" i="7"/>
  <c r="AT114" i="7"/>
  <c r="AL114" i="7"/>
  <c r="AD114" i="7"/>
  <c r="V114" i="7"/>
  <c r="AR111" i="7"/>
  <c r="AJ111" i="7"/>
  <c r="AB111" i="7"/>
  <c r="T111" i="7"/>
  <c r="AR107" i="7"/>
  <c r="AJ107" i="7"/>
  <c r="AB107" i="7"/>
  <c r="T107" i="7"/>
  <c r="AT106" i="7"/>
  <c r="AL106" i="7"/>
  <c r="AD106" i="7"/>
  <c r="V106" i="7"/>
  <c r="M112" i="7"/>
  <c r="AO114" i="7"/>
  <c r="V111" i="7"/>
  <c r="AX123" i="7"/>
  <c r="AP123" i="7"/>
  <c r="AH123" i="7"/>
  <c r="Z123" i="7"/>
  <c r="R123" i="7"/>
  <c r="AA113" i="7"/>
  <c r="Q114" i="7"/>
  <c r="AL111" i="7"/>
  <c r="AN114" i="7"/>
  <c r="AF114" i="7"/>
  <c r="X114" i="7"/>
  <c r="AQ109" i="7"/>
  <c r="AI109" i="7"/>
  <c r="AN106" i="7"/>
  <c r="AF106" i="7"/>
  <c r="X106" i="7"/>
  <c r="P106" i="7"/>
  <c r="BB110" i="7"/>
  <c r="AW128" i="7"/>
  <c r="AO128" i="7"/>
  <c r="AG128" i="7"/>
  <c r="Y128" i="7"/>
  <c r="Q128" i="7"/>
  <c r="AW120" i="7"/>
  <c r="AO120" i="7"/>
  <c r="AG120" i="7"/>
  <c r="Y120" i="7"/>
  <c r="Q120" i="7"/>
  <c r="AP115" i="7"/>
  <c r="AH115" i="7"/>
  <c r="Z115" i="7"/>
  <c r="R115" i="7"/>
  <c r="AP111" i="7"/>
  <c r="AH111" i="7"/>
  <c r="S113" i="7"/>
  <c r="Y114" i="7"/>
  <c r="AT111" i="7"/>
  <c r="AS112" i="7"/>
  <c r="AK112" i="7"/>
  <c r="AC112" i="7"/>
  <c r="U112" i="7"/>
  <c r="AP109" i="7"/>
  <c r="Z109" i="7"/>
  <c r="R109" i="7"/>
  <c r="BE109" i="7"/>
  <c r="AV125" i="7"/>
  <c r="AN125" i="7"/>
  <c r="AF125" i="7"/>
  <c r="X125" i="7"/>
  <c r="P125" i="7"/>
  <c r="AI113" i="7"/>
  <c r="AG114" i="7"/>
  <c r="AD111" i="7"/>
  <c r="AU115" i="7"/>
  <c r="AM115" i="7"/>
  <c r="AE115" i="7"/>
  <c r="W115" i="7"/>
  <c r="O115" i="7"/>
  <c r="AR112" i="7"/>
  <c r="AJ112" i="7"/>
  <c r="AB112" i="7"/>
  <c r="T112" i="7"/>
  <c r="AY111" i="7"/>
  <c r="AW109" i="7"/>
  <c r="AU107" i="7"/>
  <c r="AU122" i="7"/>
  <c r="AM122" i="7"/>
  <c r="AE122" i="7"/>
  <c r="W122" i="7"/>
  <c r="O122" i="7"/>
  <c r="Z111" i="7"/>
  <c r="R111" i="7"/>
  <c r="AN108" i="7"/>
  <c r="AF108" i="7"/>
  <c r="X108" i="7"/>
  <c r="P108" i="7"/>
  <c r="AP107" i="7"/>
  <c r="AH107" i="7"/>
  <c r="Z107" i="7"/>
  <c r="R107" i="7"/>
  <c r="AV108" i="7"/>
  <c r="AN113" i="7"/>
  <c r="N106" i="7"/>
  <c r="Z108" i="7"/>
  <c r="AV106" i="7"/>
  <c r="X113" i="7"/>
  <c r="P105" i="7"/>
  <c r="R108" i="7"/>
  <c r="AT113" i="7"/>
  <c r="AD113" i="7"/>
  <c r="V113" i="7"/>
  <c r="AT105" i="7"/>
  <c r="AL105" i="7"/>
  <c r="AD105" i="7"/>
  <c r="V105" i="7"/>
  <c r="P113" i="7"/>
  <c r="X105" i="7"/>
  <c r="N110" i="7"/>
  <c r="AP108" i="7"/>
  <c r="AL113" i="7"/>
  <c r="N113" i="7"/>
  <c r="N109" i="7"/>
  <c r="N105" i="7"/>
  <c r="AX110" i="7"/>
  <c r="AF105" i="7"/>
  <c r="AH108" i="7"/>
  <c r="AN109" i="7"/>
  <c r="AF109" i="7"/>
  <c r="X109" i="7"/>
  <c r="P109" i="7"/>
  <c r="AF113" i="7"/>
  <c r="AN105" i="7"/>
  <c r="N114" i="7"/>
  <c r="AX108" i="7"/>
  <c r="AR114" i="7"/>
  <c r="AJ114" i="7"/>
  <c r="AB114" i="7"/>
  <c r="T114" i="7"/>
  <c r="AY113" i="7"/>
  <c r="AP112" i="7"/>
  <c r="AH112" i="7"/>
  <c r="Z112" i="7"/>
  <c r="R112" i="7"/>
  <c r="AW111" i="7"/>
  <c r="AU109" i="7"/>
  <c r="AR106" i="7"/>
  <c r="AJ106" i="7"/>
  <c r="AB106" i="7"/>
  <c r="T106" i="7"/>
  <c r="AY105" i="7"/>
  <c r="BA145" i="3"/>
  <c r="A4" i="3"/>
  <c r="I6" i="3"/>
  <c r="J6" i="3" s="1"/>
  <c r="AH7" i="3"/>
  <c r="E16" i="3"/>
  <c r="E17" i="3"/>
  <c r="E18" i="3"/>
  <c r="E19" i="3"/>
  <c r="E20" i="3"/>
  <c r="E21" i="3"/>
  <c r="E22" i="3"/>
  <c r="D23" i="3"/>
  <c r="E28" i="3"/>
  <c r="E29" i="3"/>
  <c r="E30" i="3"/>
  <c r="F30" i="3" s="1"/>
  <c r="E31" i="3"/>
  <c r="E32" i="3"/>
  <c r="E33" i="3"/>
  <c r="F33" i="3" s="1"/>
  <c r="E34" i="3"/>
  <c r="F34" i="3" s="1"/>
  <c r="D35" i="3"/>
  <c r="E42" i="3"/>
  <c r="E43" i="3"/>
  <c r="E44" i="3"/>
  <c r="E45" i="3"/>
  <c r="E46" i="3"/>
  <c r="E47" i="3"/>
  <c r="D48" i="3"/>
  <c r="H189" i="3"/>
  <c r="I189" i="3"/>
  <c r="J189" i="3"/>
  <c r="K189"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K189" i="3"/>
  <c r="AL189" i="3"/>
  <c r="AM189" i="3"/>
  <c r="AN189" i="3"/>
  <c r="AO189" i="3"/>
  <c r="AP189" i="3"/>
  <c r="AQ189" i="3"/>
  <c r="AR189" i="3"/>
  <c r="AS189" i="3"/>
  <c r="AT189" i="3"/>
  <c r="AU189" i="3"/>
  <c r="AV189" i="3"/>
  <c r="AW189" i="3"/>
  <c r="AX189" i="3"/>
  <c r="AY189" i="3"/>
  <c r="AZ189" i="3"/>
  <c r="E53" i="3"/>
  <c r="E54" i="3"/>
  <c r="E55" i="3"/>
  <c r="F55" i="3" s="1"/>
  <c r="E56" i="3"/>
  <c r="E57" i="3"/>
  <c r="E58" i="3"/>
  <c r="D59" i="3"/>
  <c r="H220" i="3"/>
  <c r="I220" i="3"/>
  <c r="J220" i="3"/>
  <c r="K220" i="3"/>
  <c r="L220" i="3"/>
  <c r="M220" i="3"/>
  <c r="N220" i="3"/>
  <c r="O220" i="3"/>
  <c r="P220" i="3"/>
  <c r="Q220" i="3"/>
  <c r="R220" i="3"/>
  <c r="S220" i="3"/>
  <c r="T220" i="3"/>
  <c r="U220" i="3"/>
  <c r="V220" i="3"/>
  <c r="W220" i="3"/>
  <c r="X220" i="3"/>
  <c r="Y220" i="3"/>
  <c r="Z220" i="3"/>
  <c r="AA220" i="3"/>
  <c r="AB220" i="3"/>
  <c r="AC220" i="3"/>
  <c r="AD199" i="3"/>
  <c r="AE199" i="3"/>
  <c r="AF199" i="3"/>
  <c r="AG199" i="3"/>
  <c r="AH220" i="3"/>
  <c r="AI220" i="3"/>
  <c r="AJ220" i="3"/>
  <c r="AK220" i="3"/>
  <c r="AL220" i="3"/>
  <c r="AM199" i="3"/>
  <c r="AN199" i="3"/>
  <c r="AO199" i="3"/>
  <c r="AP220" i="3"/>
  <c r="AQ220" i="3"/>
  <c r="AS199" i="3"/>
  <c r="AT199" i="3"/>
  <c r="AU199" i="3"/>
  <c r="AV199" i="3"/>
  <c r="AW199" i="3"/>
  <c r="AX199" i="3"/>
  <c r="AY199" i="3"/>
  <c r="AZ199" i="3"/>
  <c r="D64" i="3"/>
  <c r="E64" i="3"/>
  <c r="C91" i="3" s="1"/>
  <c r="D65" i="3"/>
  <c r="E65" i="3"/>
  <c r="C92" i="3" s="1"/>
  <c r="D66" i="3"/>
  <c r="E66" i="3"/>
  <c r="C93" i="3" s="1"/>
  <c r="D67" i="3"/>
  <c r="E67" i="3"/>
  <c r="C94" i="3" s="1"/>
  <c r="D68" i="3"/>
  <c r="E68" i="3"/>
  <c r="C95" i="3" s="1"/>
  <c r="D69" i="3"/>
  <c r="E69" i="3"/>
  <c r="C96" i="3" s="1"/>
  <c r="D70" i="3"/>
  <c r="E70" i="3"/>
  <c r="C97" i="3" s="1"/>
  <c r="D71" i="3"/>
  <c r="E71" i="3"/>
  <c r="C98" i="3" s="1"/>
  <c r="D72" i="3"/>
  <c r="E72" i="3"/>
  <c r="C99" i="3" s="1"/>
  <c r="D73" i="3"/>
  <c r="E73" i="3"/>
  <c r="C100" i="3" s="1"/>
  <c r="D74" i="3"/>
  <c r="E74" i="3"/>
  <c r="C101" i="3" s="1"/>
  <c r="D77" i="3"/>
  <c r="E77" i="3"/>
  <c r="C104" i="3" s="1"/>
  <c r="D78" i="3"/>
  <c r="E78" i="3"/>
  <c r="C105" i="3" s="1"/>
  <c r="D79" i="3"/>
  <c r="E79" i="3"/>
  <c r="C106" i="3" s="1"/>
  <c r="D80" i="3"/>
  <c r="E80" i="3"/>
  <c r="C107" i="3" s="1"/>
  <c r="D81" i="3"/>
  <c r="E81" i="3"/>
  <c r="C108" i="3" s="1"/>
  <c r="D82" i="3"/>
  <c r="E82" i="3"/>
  <c r="C109" i="3" s="1"/>
  <c r="D83" i="3"/>
  <c r="E83" i="3"/>
  <c r="C110" i="3" s="1"/>
  <c r="D84" i="3"/>
  <c r="E84" i="3"/>
  <c r="C111" i="3" s="1"/>
  <c r="D85" i="3"/>
  <c r="E85" i="3"/>
  <c r="C112" i="3" s="1"/>
  <c r="D86" i="3"/>
  <c r="E86" i="3"/>
  <c r="C113" i="3" s="1"/>
  <c r="D87" i="3"/>
  <c r="E87" i="3"/>
  <c r="C114" i="3" s="1"/>
  <c r="B91" i="3"/>
  <c r="D118" i="3" s="1"/>
  <c r="F91" i="3"/>
  <c r="B92" i="3"/>
  <c r="D119" i="3" s="1"/>
  <c r="F92" i="3"/>
  <c r="B93" i="3"/>
  <c r="D120" i="3" s="1"/>
  <c r="F93" i="3"/>
  <c r="B94" i="3"/>
  <c r="D121" i="3" s="1"/>
  <c r="F94" i="3"/>
  <c r="B95" i="3"/>
  <c r="D122" i="3" s="1"/>
  <c r="F95" i="3"/>
  <c r="B96" i="3"/>
  <c r="D123" i="3" s="1"/>
  <c r="F96" i="3"/>
  <c r="B97" i="3"/>
  <c r="D124" i="3" s="1"/>
  <c r="F97" i="3"/>
  <c r="B98" i="3"/>
  <c r="D125" i="3" s="1"/>
  <c r="F98" i="3"/>
  <c r="B99" i="3"/>
  <c r="D126" i="3" s="1"/>
  <c r="F99" i="3"/>
  <c r="B100" i="3"/>
  <c r="D127" i="3" s="1"/>
  <c r="F100" i="3"/>
  <c r="B101" i="3"/>
  <c r="D128" i="3" s="1"/>
  <c r="F101" i="3"/>
  <c r="B104" i="3"/>
  <c r="D133" i="3" s="1"/>
  <c r="F104" i="3"/>
  <c r="B105" i="3"/>
  <c r="D134" i="3" s="1"/>
  <c r="F105" i="3"/>
  <c r="B106" i="3"/>
  <c r="D135" i="3" s="1"/>
  <c r="F106" i="3"/>
  <c r="B107" i="3"/>
  <c r="D136" i="3" s="1"/>
  <c r="F107" i="3"/>
  <c r="B108" i="3"/>
  <c r="D137" i="3" s="1"/>
  <c r="F108" i="3"/>
  <c r="B109" i="3"/>
  <c r="D138" i="3" s="1"/>
  <c r="F109" i="3"/>
  <c r="B110" i="3"/>
  <c r="D139" i="3" s="1"/>
  <c r="F110" i="3"/>
  <c r="B111" i="3"/>
  <c r="D140" i="3" s="1"/>
  <c r="F111" i="3"/>
  <c r="B112" i="3"/>
  <c r="D141" i="3" s="1"/>
  <c r="F112" i="3"/>
  <c r="B113" i="3"/>
  <c r="D142" i="3" s="1"/>
  <c r="F113" i="3"/>
  <c r="B114" i="3"/>
  <c r="D143" i="3" s="1"/>
  <c r="F114" i="3"/>
  <c r="E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K118" i="3"/>
  <c r="AL118" i="3"/>
  <c r="AM118" i="3"/>
  <c r="AN118" i="3"/>
  <c r="AO118" i="3"/>
  <c r="AP118" i="3"/>
  <c r="AQ118" i="3"/>
  <c r="AR118" i="3"/>
  <c r="AS118" i="3"/>
  <c r="AT118" i="3"/>
  <c r="AU118" i="3"/>
  <c r="AV118" i="3"/>
  <c r="AW118" i="3"/>
  <c r="AX118" i="3"/>
  <c r="AY118" i="3"/>
  <c r="AZ118" i="3"/>
  <c r="E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K119" i="3"/>
  <c r="AL119" i="3"/>
  <c r="AM119" i="3"/>
  <c r="AN119" i="3"/>
  <c r="AO119" i="3"/>
  <c r="AP119" i="3"/>
  <c r="AQ119" i="3"/>
  <c r="AR119" i="3"/>
  <c r="AS119" i="3"/>
  <c r="AT119" i="3"/>
  <c r="AU119" i="3"/>
  <c r="AV119" i="3"/>
  <c r="AW119" i="3"/>
  <c r="AX119" i="3"/>
  <c r="AY119" i="3"/>
  <c r="AZ119" i="3"/>
  <c r="E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K120" i="3"/>
  <c r="AL120" i="3"/>
  <c r="AM120" i="3"/>
  <c r="AN120" i="3"/>
  <c r="AO120" i="3"/>
  <c r="AP120" i="3"/>
  <c r="AQ120" i="3"/>
  <c r="AR120" i="3"/>
  <c r="AS120" i="3"/>
  <c r="AT120" i="3"/>
  <c r="AU120" i="3"/>
  <c r="AV120" i="3"/>
  <c r="AW120" i="3"/>
  <c r="AX120" i="3"/>
  <c r="AY120" i="3"/>
  <c r="AZ120" i="3"/>
  <c r="E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K121" i="3"/>
  <c r="AL121" i="3"/>
  <c r="AM121" i="3"/>
  <c r="AN121" i="3"/>
  <c r="AO121" i="3"/>
  <c r="AP121" i="3"/>
  <c r="AQ121" i="3"/>
  <c r="AR121" i="3"/>
  <c r="AS121" i="3"/>
  <c r="AT121" i="3"/>
  <c r="AU121" i="3"/>
  <c r="AV121" i="3"/>
  <c r="AW121" i="3"/>
  <c r="AX121" i="3"/>
  <c r="AY121" i="3"/>
  <c r="AZ121" i="3"/>
  <c r="E122" i="3"/>
  <c r="H122"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K122" i="3"/>
  <c r="AL122" i="3"/>
  <c r="AM122" i="3"/>
  <c r="AN122" i="3"/>
  <c r="AO122" i="3"/>
  <c r="AP122" i="3"/>
  <c r="AQ122" i="3"/>
  <c r="AR122" i="3"/>
  <c r="AS122" i="3"/>
  <c r="AT122" i="3"/>
  <c r="AU122" i="3"/>
  <c r="AV122" i="3"/>
  <c r="AW122" i="3"/>
  <c r="AX122" i="3"/>
  <c r="AY122" i="3"/>
  <c r="AZ122" i="3"/>
  <c r="E123" i="3"/>
  <c r="H123" i="3"/>
  <c r="I123" i="3"/>
  <c r="J123" i="3"/>
  <c r="K123"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K123" i="3"/>
  <c r="AL123" i="3"/>
  <c r="AM123" i="3"/>
  <c r="AN123" i="3"/>
  <c r="AO123" i="3"/>
  <c r="AP123" i="3"/>
  <c r="AQ123" i="3"/>
  <c r="AR123" i="3"/>
  <c r="AS123" i="3"/>
  <c r="AT123" i="3"/>
  <c r="AU123" i="3"/>
  <c r="AV123" i="3"/>
  <c r="AW123" i="3"/>
  <c r="AX123" i="3"/>
  <c r="AY123" i="3"/>
  <c r="AZ123" i="3"/>
  <c r="E124" i="3"/>
  <c r="H124" i="3"/>
  <c r="I124" i="3"/>
  <c r="J124" i="3"/>
  <c r="K124"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K124" i="3"/>
  <c r="AL124" i="3"/>
  <c r="AM124" i="3"/>
  <c r="AN124" i="3"/>
  <c r="AO124" i="3"/>
  <c r="AP124" i="3"/>
  <c r="AQ124" i="3"/>
  <c r="AR124" i="3"/>
  <c r="AS124" i="3"/>
  <c r="AT124" i="3"/>
  <c r="AU124" i="3"/>
  <c r="AV124" i="3"/>
  <c r="AW124" i="3"/>
  <c r="AX124" i="3"/>
  <c r="AY124" i="3"/>
  <c r="AZ124" i="3"/>
  <c r="E125" i="3"/>
  <c r="H125" i="3"/>
  <c r="I125" i="3"/>
  <c r="J125" i="3"/>
  <c r="K125"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K125" i="3"/>
  <c r="AL125" i="3"/>
  <c r="AM125" i="3"/>
  <c r="AN125" i="3"/>
  <c r="AO125" i="3"/>
  <c r="AP125" i="3"/>
  <c r="AQ125" i="3"/>
  <c r="AR125" i="3"/>
  <c r="AS125" i="3"/>
  <c r="AT125" i="3"/>
  <c r="AU125" i="3"/>
  <c r="AV125" i="3"/>
  <c r="AW125" i="3"/>
  <c r="AX125" i="3"/>
  <c r="AY125" i="3"/>
  <c r="AZ125" i="3"/>
  <c r="E126" i="3"/>
  <c r="H126" i="3"/>
  <c r="I126" i="3"/>
  <c r="J126" i="3"/>
  <c r="K126"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K126" i="3"/>
  <c r="AL126" i="3"/>
  <c r="AM126" i="3"/>
  <c r="AN126" i="3"/>
  <c r="AO126" i="3"/>
  <c r="AP126" i="3"/>
  <c r="AQ126" i="3"/>
  <c r="AR126" i="3"/>
  <c r="AS126" i="3"/>
  <c r="AT126" i="3"/>
  <c r="AU126" i="3"/>
  <c r="AV126" i="3"/>
  <c r="AW126" i="3"/>
  <c r="AX126" i="3"/>
  <c r="AY126" i="3"/>
  <c r="AZ126" i="3"/>
  <c r="E127" i="3"/>
  <c r="H127" i="3"/>
  <c r="I127" i="3"/>
  <c r="J127" i="3"/>
  <c r="K127"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K127" i="3"/>
  <c r="AL127" i="3"/>
  <c r="AM127" i="3"/>
  <c r="AN127" i="3"/>
  <c r="AO127" i="3"/>
  <c r="AP127" i="3"/>
  <c r="AQ127" i="3"/>
  <c r="AR127" i="3"/>
  <c r="AS127" i="3"/>
  <c r="AT127" i="3"/>
  <c r="AU127" i="3"/>
  <c r="AV127" i="3"/>
  <c r="AW127" i="3"/>
  <c r="AX127" i="3"/>
  <c r="AY127" i="3"/>
  <c r="AZ127" i="3"/>
  <c r="E128" i="3"/>
  <c r="H128" i="3"/>
  <c r="I128" i="3"/>
  <c r="J128" i="3"/>
  <c r="K128"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K128" i="3"/>
  <c r="AL128" i="3"/>
  <c r="AM128" i="3"/>
  <c r="AN128" i="3"/>
  <c r="AO128" i="3"/>
  <c r="AP128" i="3"/>
  <c r="AQ128" i="3"/>
  <c r="AR128" i="3"/>
  <c r="AS128" i="3"/>
  <c r="AT128" i="3"/>
  <c r="AU128" i="3"/>
  <c r="AV128" i="3"/>
  <c r="AW128" i="3"/>
  <c r="AX128" i="3"/>
  <c r="AY128" i="3"/>
  <c r="AZ128" i="3"/>
  <c r="D129" i="3"/>
  <c r="D144" i="3" s="1"/>
  <c r="E133" i="3"/>
  <c r="H133" i="3"/>
  <c r="I133" i="3"/>
  <c r="J133" i="3"/>
  <c r="K133"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K133" i="3"/>
  <c r="AL133" i="3"/>
  <c r="AM133" i="3"/>
  <c r="AN133" i="3"/>
  <c r="AO133" i="3"/>
  <c r="AP133" i="3"/>
  <c r="AQ133" i="3"/>
  <c r="AR133" i="3"/>
  <c r="AS133" i="3"/>
  <c r="AT133" i="3"/>
  <c r="AU133" i="3"/>
  <c r="AV133" i="3"/>
  <c r="AW133" i="3"/>
  <c r="AX133" i="3"/>
  <c r="AY133" i="3"/>
  <c r="AZ133" i="3"/>
  <c r="E134" i="3"/>
  <c r="H134" i="3"/>
  <c r="I134" i="3"/>
  <c r="J134" i="3"/>
  <c r="K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K134" i="3"/>
  <c r="AL134" i="3"/>
  <c r="AM134" i="3"/>
  <c r="AN134" i="3"/>
  <c r="AO134" i="3"/>
  <c r="AP134" i="3"/>
  <c r="AQ134" i="3"/>
  <c r="AR134" i="3"/>
  <c r="AS134" i="3"/>
  <c r="AT134" i="3"/>
  <c r="AU134" i="3"/>
  <c r="AV134" i="3"/>
  <c r="AW134" i="3"/>
  <c r="AX134" i="3"/>
  <c r="AY134" i="3"/>
  <c r="AZ134" i="3"/>
  <c r="E135" i="3"/>
  <c r="H135" i="3"/>
  <c r="I135" i="3"/>
  <c r="J135" i="3"/>
  <c r="K135"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K135" i="3"/>
  <c r="AL135" i="3"/>
  <c r="AM135" i="3"/>
  <c r="AN135" i="3"/>
  <c r="AO135" i="3"/>
  <c r="AP135" i="3"/>
  <c r="AQ135" i="3"/>
  <c r="AR135" i="3"/>
  <c r="AS135" i="3"/>
  <c r="AT135" i="3"/>
  <c r="AU135" i="3"/>
  <c r="AV135" i="3"/>
  <c r="AW135" i="3"/>
  <c r="AX135" i="3"/>
  <c r="AY135" i="3"/>
  <c r="AZ135" i="3"/>
  <c r="E136" i="3"/>
  <c r="H136"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K136" i="3"/>
  <c r="AL136" i="3"/>
  <c r="AM136" i="3"/>
  <c r="AN136" i="3"/>
  <c r="AO136" i="3"/>
  <c r="AP136" i="3"/>
  <c r="AQ136" i="3"/>
  <c r="AR136" i="3"/>
  <c r="AS136" i="3"/>
  <c r="AT136" i="3"/>
  <c r="AU136" i="3"/>
  <c r="AV136" i="3"/>
  <c r="AW136" i="3"/>
  <c r="AX136" i="3"/>
  <c r="AY136" i="3"/>
  <c r="AZ136" i="3"/>
  <c r="E137" i="3"/>
  <c r="H137" i="3"/>
  <c r="I137" i="3"/>
  <c r="J137" i="3"/>
  <c r="K137"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K137" i="3"/>
  <c r="AL137" i="3"/>
  <c r="AM137" i="3"/>
  <c r="AN137" i="3"/>
  <c r="AO137" i="3"/>
  <c r="AP137" i="3"/>
  <c r="AQ137" i="3"/>
  <c r="AR137" i="3"/>
  <c r="AS137" i="3"/>
  <c r="AT137" i="3"/>
  <c r="AU137" i="3"/>
  <c r="AV137" i="3"/>
  <c r="AW137" i="3"/>
  <c r="AX137" i="3"/>
  <c r="AY137" i="3"/>
  <c r="AZ137" i="3"/>
  <c r="E138" i="3"/>
  <c r="H138" i="3"/>
  <c r="I138" i="3"/>
  <c r="J138" i="3"/>
  <c r="K138"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K138" i="3"/>
  <c r="AL138" i="3"/>
  <c r="AM138" i="3"/>
  <c r="AN138" i="3"/>
  <c r="AO138" i="3"/>
  <c r="AP138" i="3"/>
  <c r="AQ138" i="3"/>
  <c r="AR138" i="3"/>
  <c r="AS138" i="3"/>
  <c r="AT138" i="3"/>
  <c r="AU138" i="3"/>
  <c r="AV138" i="3"/>
  <c r="AW138" i="3"/>
  <c r="AX138" i="3"/>
  <c r="AY138" i="3"/>
  <c r="AZ138" i="3"/>
  <c r="E139" i="3"/>
  <c r="H139" i="3"/>
  <c r="I139" i="3"/>
  <c r="J139" i="3"/>
  <c r="K139"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K139" i="3"/>
  <c r="AL139" i="3"/>
  <c r="AM139" i="3"/>
  <c r="AN139" i="3"/>
  <c r="AO139" i="3"/>
  <c r="AP139" i="3"/>
  <c r="AQ139" i="3"/>
  <c r="AR139" i="3"/>
  <c r="AS139" i="3"/>
  <c r="AT139" i="3"/>
  <c r="AU139" i="3"/>
  <c r="AV139" i="3"/>
  <c r="AW139" i="3"/>
  <c r="AX139" i="3"/>
  <c r="AY139" i="3"/>
  <c r="AZ139" i="3"/>
  <c r="E140" i="3"/>
  <c r="H140" i="3"/>
  <c r="I140" i="3"/>
  <c r="J140" i="3"/>
  <c r="K140"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K140" i="3"/>
  <c r="AL140" i="3"/>
  <c r="AM140" i="3"/>
  <c r="AN140" i="3"/>
  <c r="AO140" i="3"/>
  <c r="AP140" i="3"/>
  <c r="AQ140" i="3"/>
  <c r="AR140" i="3"/>
  <c r="AS140" i="3"/>
  <c r="AT140" i="3"/>
  <c r="AU140" i="3"/>
  <c r="AV140" i="3"/>
  <c r="AW140" i="3"/>
  <c r="AX140" i="3"/>
  <c r="AY140" i="3"/>
  <c r="AZ140" i="3"/>
  <c r="E141" i="3"/>
  <c r="H141"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K141" i="3"/>
  <c r="AL141" i="3"/>
  <c r="AM141" i="3"/>
  <c r="AN141" i="3"/>
  <c r="AO141" i="3"/>
  <c r="AP141" i="3"/>
  <c r="AQ141" i="3"/>
  <c r="AR141" i="3"/>
  <c r="AS141" i="3"/>
  <c r="AT141" i="3"/>
  <c r="AU141" i="3"/>
  <c r="AV141" i="3"/>
  <c r="AW141" i="3"/>
  <c r="AX141" i="3"/>
  <c r="AY141" i="3"/>
  <c r="AZ141" i="3"/>
  <c r="E142" i="3"/>
  <c r="H142" i="3"/>
  <c r="I142" i="3"/>
  <c r="J142" i="3"/>
  <c r="K142"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K142" i="3"/>
  <c r="AL142" i="3"/>
  <c r="AM142" i="3"/>
  <c r="AN142" i="3"/>
  <c r="AO142" i="3"/>
  <c r="AP142" i="3"/>
  <c r="AQ142" i="3"/>
  <c r="AR142" i="3"/>
  <c r="AS142" i="3"/>
  <c r="AT142" i="3"/>
  <c r="AU142" i="3"/>
  <c r="AV142" i="3"/>
  <c r="AW142" i="3"/>
  <c r="AX142" i="3"/>
  <c r="AY142" i="3"/>
  <c r="AZ142" i="3"/>
  <c r="E143" i="3"/>
  <c r="H143" i="3"/>
  <c r="I143" i="3"/>
  <c r="J143" i="3"/>
  <c r="K143"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K143" i="3"/>
  <c r="AL143" i="3"/>
  <c r="AM143" i="3"/>
  <c r="AN143" i="3"/>
  <c r="AO143" i="3"/>
  <c r="AP143" i="3"/>
  <c r="AQ143" i="3"/>
  <c r="AR143" i="3"/>
  <c r="AS143" i="3"/>
  <c r="AT143" i="3"/>
  <c r="AU143" i="3"/>
  <c r="AV143" i="3"/>
  <c r="AW143" i="3"/>
  <c r="AX143" i="3"/>
  <c r="AY143" i="3"/>
  <c r="AZ143" i="3"/>
  <c r="D145" i="3"/>
  <c r="H152" i="3"/>
  <c r="I152" i="3" s="1"/>
  <c r="J152" i="3" s="1"/>
  <c r="K152" i="3" s="1"/>
  <c r="L152" i="3" s="1"/>
  <c r="M152" i="3" s="1"/>
  <c r="N152" i="3" s="1"/>
  <c r="O152" i="3" s="1"/>
  <c r="P152" i="3" s="1"/>
  <c r="Q152" i="3" s="1"/>
  <c r="R152" i="3" s="1"/>
  <c r="S152" i="3" s="1"/>
  <c r="T152" i="3" s="1"/>
  <c r="U152" i="3" s="1"/>
  <c r="V152" i="3" s="1"/>
  <c r="W152" i="3" s="1"/>
  <c r="X152" i="3" s="1"/>
  <c r="Y152" i="3" s="1"/>
  <c r="Z152" i="3" s="1"/>
  <c r="AA152" i="3" s="1"/>
  <c r="AB152" i="3" s="1"/>
  <c r="AC152" i="3" s="1"/>
  <c r="AD152" i="3" s="1"/>
  <c r="AE152" i="3" s="1"/>
  <c r="AF152" i="3" s="1"/>
  <c r="AG152" i="3" s="1"/>
  <c r="AH152" i="3" s="1"/>
  <c r="AI152" i="3" s="1"/>
  <c r="AJ152" i="3" s="1"/>
  <c r="AK152" i="3" s="1"/>
  <c r="AL152" i="3" s="1"/>
  <c r="AM152" i="3" s="1"/>
  <c r="AN152" i="3" s="1"/>
  <c r="AO152" i="3" s="1"/>
  <c r="AP152" i="3" s="1"/>
  <c r="AQ152" i="3" s="1"/>
  <c r="AR152" i="3" s="1"/>
  <c r="AS152" i="3" s="1"/>
  <c r="AT152" i="3" s="1"/>
  <c r="AU152" i="3" s="1"/>
  <c r="AV152" i="3" s="1"/>
  <c r="AW152" i="3" s="1"/>
  <c r="AX152" i="3" s="1"/>
  <c r="AY152" i="3" s="1"/>
  <c r="AZ152" i="3" s="1"/>
  <c r="BA152" i="3" s="1"/>
  <c r="H155" i="3"/>
  <c r="I155" i="3"/>
  <c r="J155" i="3"/>
  <c r="K155"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K155" i="3"/>
  <c r="AL155" i="3"/>
  <c r="AM155" i="3"/>
  <c r="AN155" i="3"/>
  <c r="AO155" i="3"/>
  <c r="AP155" i="3"/>
  <c r="AQ155" i="3"/>
  <c r="AR155" i="3"/>
  <c r="AS155" i="3"/>
  <c r="AT155" i="3"/>
  <c r="AU155" i="3"/>
  <c r="AV155" i="3"/>
  <c r="AW155" i="3"/>
  <c r="AX155" i="3"/>
  <c r="AY155" i="3"/>
  <c r="AZ155" i="3"/>
  <c r="B156" i="3"/>
  <c r="H163" i="3"/>
  <c r="I163" i="3" s="1"/>
  <c r="J163" i="3" s="1"/>
  <c r="K163" i="3" s="1"/>
  <c r="L163" i="3" s="1"/>
  <c r="M163" i="3" s="1"/>
  <c r="N163" i="3" s="1"/>
  <c r="O163" i="3" s="1"/>
  <c r="P163" i="3" s="1"/>
  <c r="Q163" i="3" s="1"/>
  <c r="R163" i="3" s="1"/>
  <c r="S163" i="3" s="1"/>
  <c r="T163" i="3" s="1"/>
  <c r="U163" i="3" s="1"/>
  <c r="V163" i="3" s="1"/>
  <c r="W163" i="3" s="1"/>
  <c r="X163" i="3" s="1"/>
  <c r="Y163" i="3" s="1"/>
  <c r="Z163" i="3" s="1"/>
  <c r="AA163" i="3" s="1"/>
  <c r="AB163" i="3" s="1"/>
  <c r="AC163" i="3" s="1"/>
  <c r="AD163" i="3" s="1"/>
  <c r="AE163" i="3" s="1"/>
  <c r="AF163" i="3" s="1"/>
  <c r="AG163" i="3" s="1"/>
  <c r="AH163" i="3" s="1"/>
  <c r="AI163" i="3" s="1"/>
  <c r="AJ163" i="3" s="1"/>
  <c r="AK163" i="3" s="1"/>
  <c r="AL163" i="3" s="1"/>
  <c r="AM163" i="3" s="1"/>
  <c r="AN163" i="3" s="1"/>
  <c r="AO163" i="3" s="1"/>
  <c r="AP163" i="3" s="1"/>
  <c r="AQ163" i="3" s="1"/>
  <c r="AR163" i="3" s="1"/>
  <c r="AS163" i="3" s="1"/>
  <c r="AT163" i="3" s="1"/>
  <c r="AU163" i="3" s="1"/>
  <c r="AV163" i="3" s="1"/>
  <c r="AW163" i="3" s="1"/>
  <c r="AX163" i="3" s="1"/>
  <c r="AY163" i="3" s="1"/>
  <c r="AZ163" i="3" s="1"/>
  <c r="BA163" i="3" s="1"/>
  <c r="H166" i="3"/>
  <c r="I166" i="3"/>
  <c r="J166" i="3"/>
  <c r="K166"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K166" i="3"/>
  <c r="AL166" i="3"/>
  <c r="AM166" i="3"/>
  <c r="AN166" i="3"/>
  <c r="AO166" i="3"/>
  <c r="AP166" i="3"/>
  <c r="AQ166" i="3"/>
  <c r="AR166" i="3"/>
  <c r="AS166" i="3"/>
  <c r="AT166" i="3"/>
  <c r="AU166" i="3"/>
  <c r="AV166" i="3"/>
  <c r="AW166" i="3"/>
  <c r="AX166" i="3"/>
  <c r="AY166" i="3"/>
  <c r="AZ166" i="3"/>
  <c r="B167" i="3"/>
  <c r="E174" i="3"/>
  <c r="K215" i="3" s="1"/>
  <c r="E177" i="3"/>
  <c r="N225" i="3" s="1"/>
  <c r="F181" i="3"/>
  <c r="F184" i="3"/>
  <c r="F189" i="3"/>
  <c r="F190" i="3"/>
  <c r="F191" i="3"/>
  <c r="F193" i="3"/>
  <c r="F194" i="3"/>
  <c r="F195" i="3"/>
  <c r="F196" i="3"/>
  <c r="F199" i="3"/>
  <c r="F200" i="3"/>
  <c r="F201" i="3"/>
  <c r="F203" i="3"/>
  <c r="F204" i="3"/>
  <c r="F205" i="3"/>
  <c r="F206" i="3"/>
  <c r="F210" i="3"/>
  <c r="F211" i="3"/>
  <c r="F212" i="3"/>
  <c r="F214" i="3"/>
  <c r="F215" i="3"/>
  <c r="F216" i="3"/>
  <c r="F217" i="3"/>
  <c r="F220" i="3"/>
  <c r="F221" i="3"/>
  <c r="F222" i="3"/>
  <c r="H222" i="3"/>
  <c r="I222" i="3"/>
  <c r="J222" i="3"/>
  <c r="K222"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K222" i="3"/>
  <c r="AL222" i="3"/>
  <c r="AM222" i="3"/>
  <c r="AN222" i="3"/>
  <c r="AO222" i="3"/>
  <c r="AP222" i="3"/>
  <c r="AQ222" i="3"/>
  <c r="AR222" i="3"/>
  <c r="AS222" i="3"/>
  <c r="AT222" i="3"/>
  <c r="AU222" i="3"/>
  <c r="AV222" i="3"/>
  <c r="AW222" i="3"/>
  <c r="AX222" i="3"/>
  <c r="AY222" i="3"/>
  <c r="AZ222" i="3"/>
  <c r="F224" i="3"/>
  <c r="F225" i="3"/>
  <c r="F226" i="3"/>
  <c r="F227" i="3"/>
  <c r="G70" i="4"/>
  <c r="H70" i="4"/>
  <c r="I70" i="4"/>
  <c r="J70" i="4"/>
  <c r="K70" i="4"/>
  <c r="L70" i="4"/>
  <c r="M70" i="4"/>
  <c r="N70" i="4"/>
  <c r="O70" i="4"/>
  <c r="P70" i="4"/>
  <c r="Q70" i="4"/>
  <c r="R60" i="4"/>
  <c r="S70" i="4"/>
  <c r="T70" i="4"/>
  <c r="U70" i="4"/>
  <c r="V70" i="4"/>
  <c r="W70" i="4"/>
  <c r="X70" i="4"/>
  <c r="Y70" i="4"/>
  <c r="Z70" i="4"/>
  <c r="AA70" i="4"/>
  <c r="AB70" i="4"/>
  <c r="AC70" i="4"/>
  <c r="AD60" i="4"/>
  <c r="AE70" i="4"/>
  <c r="AF70" i="4"/>
  <c r="AG70" i="4"/>
  <c r="AH70" i="4"/>
  <c r="AI70" i="4"/>
  <c r="AJ70" i="4"/>
  <c r="AK70" i="4"/>
  <c r="AL70" i="4"/>
  <c r="AM70" i="4"/>
  <c r="AN70" i="4"/>
  <c r="AO70" i="4"/>
  <c r="AP70" i="4"/>
  <c r="AQ70" i="4"/>
  <c r="AR70" i="4"/>
  <c r="AS70" i="4"/>
  <c r="AT70" i="4"/>
  <c r="AU70" i="4"/>
  <c r="AV70" i="4"/>
  <c r="AW70" i="4"/>
  <c r="AX70" i="4"/>
  <c r="F70" i="4"/>
  <c r="L3" i="7"/>
  <c r="J167" i="7"/>
  <c r="J164" i="7"/>
  <c r="K167" i="7"/>
  <c r="K164" i="7"/>
  <c r="K160" i="7"/>
  <c r="K157" i="7"/>
  <c r="K148" i="7"/>
  <c r="K145" i="7"/>
  <c r="K139" i="7"/>
  <c r="K138" i="7"/>
  <c r="K137" i="7"/>
  <c r="K140" i="7"/>
  <c r="K134" i="7"/>
  <c r="K135" i="7"/>
  <c r="K136" i="7"/>
  <c r="K147" i="7"/>
  <c r="K144" i="7"/>
  <c r="K146" i="7"/>
  <c r="K119" i="7"/>
  <c r="K120" i="7"/>
  <c r="K121" i="7"/>
  <c r="K122" i="7"/>
  <c r="K123" i="7"/>
  <c r="K124" i="7"/>
  <c r="K125" i="7"/>
  <c r="K126" i="7"/>
  <c r="K127" i="7"/>
  <c r="K128" i="7"/>
  <c r="K129" i="7"/>
  <c r="K105" i="7"/>
  <c r="K106" i="7"/>
  <c r="K107" i="7"/>
  <c r="K108" i="7"/>
  <c r="K109" i="7"/>
  <c r="K110" i="7"/>
  <c r="K111" i="7"/>
  <c r="K112" i="7"/>
  <c r="K113" i="7"/>
  <c r="K114" i="7"/>
  <c r="K115" i="7"/>
  <c r="K92" i="7"/>
  <c r="K93" i="7"/>
  <c r="K94" i="7"/>
  <c r="K95" i="7"/>
  <c r="K96" i="7"/>
  <c r="K97" i="7"/>
  <c r="K98" i="7"/>
  <c r="K99" i="7"/>
  <c r="K100" i="7"/>
  <c r="K101" i="7"/>
  <c r="K91" i="7"/>
  <c r="K78" i="7"/>
  <c r="K79" i="7"/>
  <c r="K80" i="7"/>
  <c r="K81" i="7"/>
  <c r="K82" i="7"/>
  <c r="K83" i="7"/>
  <c r="K84" i="7"/>
  <c r="K85" i="7"/>
  <c r="K86" i="7"/>
  <c r="K87" i="7"/>
  <c r="K88" i="7"/>
  <c r="K64" i="7"/>
  <c r="K65" i="7"/>
  <c r="K66" i="7"/>
  <c r="K67" i="7"/>
  <c r="K68" i="7"/>
  <c r="K69" i="7"/>
  <c r="K70" i="7"/>
  <c r="K71" i="7"/>
  <c r="K72" i="7"/>
  <c r="K73" i="7"/>
  <c r="K74" i="7"/>
  <c r="K52" i="7"/>
  <c r="K53" i="7"/>
  <c r="K54" i="7"/>
  <c r="K55" i="7"/>
  <c r="K56" i="7"/>
  <c r="K57" i="7"/>
  <c r="K58" i="7"/>
  <c r="K59" i="7"/>
  <c r="K60" i="7"/>
  <c r="K61" i="7"/>
  <c r="K51" i="7"/>
  <c r="K41" i="7"/>
  <c r="K42" i="7"/>
  <c r="K43" i="7"/>
  <c r="K44" i="7"/>
  <c r="K45" i="7"/>
  <c r="K46" i="7"/>
  <c r="K32" i="7"/>
  <c r="K33" i="7"/>
  <c r="K34" i="7"/>
  <c r="K35" i="7"/>
  <c r="K36" i="7"/>
  <c r="K37" i="7"/>
  <c r="K20" i="7"/>
  <c r="K21" i="7"/>
  <c r="K22" i="7"/>
  <c r="K23" i="7"/>
  <c r="K24" i="7"/>
  <c r="K25" i="7"/>
  <c r="K26" i="7"/>
  <c r="K10" i="7"/>
  <c r="K11" i="7"/>
  <c r="K12" i="7"/>
  <c r="K13" i="7"/>
  <c r="K14" i="7"/>
  <c r="K15" i="7"/>
  <c r="K16" i="7"/>
  <c r="H156" i="3" l="1"/>
  <c r="H167" i="3"/>
  <c r="H201" i="3"/>
  <c r="AD215" i="3"/>
  <c r="M3" i="7"/>
  <c r="H191" i="3"/>
  <c r="AB215" i="3"/>
  <c r="L215" i="3"/>
  <c r="J215" i="3"/>
  <c r="AW215" i="3"/>
  <c r="AT215" i="3"/>
  <c r="AI7" i="3"/>
  <c r="AH8" i="3"/>
  <c r="I9" i="3"/>
  <c r="I10" i="3"/>
  <c r="I11" i="3" s="1"/>
  <c r="F44" i="3"/>
  <c r="F22" i="3"/>
  <c r="AS215" i="3"/>
  <c r="AA215" i="3"/>
  <c r="I215" i="3"/>
  <c r="AQ215" i="3"/>
  <c r="Y215" i="3"/>
  <c r="U215" i="3"/>
  <c r="AK215" i="3"/>
  <c r="S215" i="3"/>
  <c r="AJ215" i="3"/>
  <c r="R215" i="3"/>
  <c r="AN215" i="3"/>
  <c r="AZ215" i="3"/>
  <c r="AH215" i="3"/>
  <c r="P215" i="3"/>
  <c r="Y225" i="3"/>
  <c r="X225" i="3"/>
  <c r="AR215" i="3"/>
  <c r="AI215" i="3"/>
  <c r="Z215" i="3"/>
  <c r="Q215" i="3"/>
  <c r="H215" i="3"/>
  <c r="P225" i="3"/>
  <c r="AY215" i="3"/>
  <c r="AP215" i="3"/>
  <c r="AG215" i="3"/>
  <c r="X215" i="3"/>
  <c r="N215" i="3"/>
  <c r="F20" i="3"/>
  <c r="Q225" i="3"/>
  <c r="I225" i="3"/>
  <c r="AX215" i="3"/>
  <c r="AO215" i="3"/>
  <c r="AF215" i="3"/>
  <c r="V215" i="3"/>
  <c r="M215" i="3"/>
  <c r="BA221" i="3"/>
  <c r="H225" i="3"/>
  <c r="AV215" i="3"/>
  <c r="AL215" i="3"/>
  <c r="AC215" i="3"/>
  <c r="T215" i="3"/>
  <c r="K6" i="3"/>
  <c r="J9" i="3"/>
  <c r="F45" i="3"/>
  <c r="F21" i="3"/>
  <c r="F16" i="3"/>
  <c r="O225" i="3"/>
  <c r="F56" i="3"/>
  <c r="W225" i="3"/>
  <c r="F174" i="3"/>
  <c r="AT46" i="4" a="1"/>
  <c r="AT46" i="4" s="1"/>
  <c r="AU46" i="4" a="1"/>
  <c r="AU46" i="4" s="1"/>
  <c r="AV46" i="4" a="1"/>
  <c r="AV46" i="4" s="1"/>
  <c r="AW46" i="4" a="1"/>
  <c r="AW46" i="4" s="1"/>
  <c r="AX46" i="4" a="1"/>
  <c r="AX46" i="4" s="1"/>
  <c r="AY46" i="4" a="1"/>
  <c r="AY46" i="4" s="1"/>
  <c r="BA215" i="3"/>
  <c r="BA194" i="3"/>
  <c r="V225" i="3"/>
  <c r="AU215" i="3"/>
  <c r="AM215" i="3"/>
  <c r="AE215" i="3"/>
  <c r="W215" i="3"/>
  <c r="O215" i="3"/>
  <c r="F177" i="3"/>
  <c r="AT53" i="4" a="1"/>
  <c r="AT53" i="4" s="1"/>
  <c r="AU53" i="4" a="1"/>
  <c r="AU53" i="4" s="1"/>
  <c r="AX53" i="4" a="1"/>
  <c r="AX53" i="4" s="1"/>
  <c r="AY53" i="4" a="1"/>
  <c r="AY53" i="4" s="1"/>
  <c r="AV53" i="4" a="1"/>
  <c r="AV53" i="4" s="1"/>
  <c r="AW53" i="4" a="1"/>
  <c r="AW53" i="4" s="1"/>
  <c r="BA204" i="3"/>
  <c r="BA225" i="3"/>
  <c r="AC225" i="3"/>
  <c r="U225" i="3"/>
  <c r="M225" i="3"/>
  <c r="F43" i="3"/>
  <c r="F29" i="3"/>
  <c r="F54" i="3"/>
  <c r="F28" i="3"/>
  <c r="F19" i="3"/>
  <c r="T225" i="3"/>
  <c r="AA225" i="3"/>
  <c r="S225" i="3"/>
  <c r="K225" i="3"/>
  <c r="F53" i="3"/>
  <c r="F47" i="3"/>
  <c r="F42" i="3"/>
  <c r="F18" i="3"/>
  <c r="AB225" i="3"/>
  <c r="L225" i="3"/>
  <c r="Z225" i="3"/>
  <c r="R225" i="3"/>
  <c r="J225" i="3"/>
  <c r="F58" i="3"/>
  <c r="F32" i="3"/>
  <c r="F57" i="3"/>
  <c r="F46" i="3"/>
  <c r="F31" i="3"/>
  <c r="F17" i="3"/>
  <c r="BA130" i="7"/>
  <c r="AU50" i="4" s="1"/>
  <c r="BB130" i="7"/>
  <c r="AV50" i="4" s="1"/>
  <c r="BE130" i="7"/>
  <c r="BC116" i="7"/>
  <c r="AW43" i="4" s="1"/>
  <c r="BD130" i="7"/>
  <c r="AX50" i="4" s="1"/>
  <c r="BA116" i="7"/>
  <c r="AU43" i="4" s="1"/>
  <c r="BE116" i="7"/>
  <c r="BC130" i="7"/>
  <c r="AW50" i="4" s="1"/>
  <c r="AZ130" i="7"/>
  <c r="AT50" i="4" s="1"/>
  <c r="BB116" i="7"/>
  <c r="AV43" i="4" s="1"/>
  <c r="BD116" i="7"/>
  <c r="AX43" i="4" s="1"/>
  <c r="AZ116" i="7"/>
  <c r="AT43" i="4" s="1"/>
  <c r="AQ199" i="3"/>
  <c r="AQ59" i="4"/>
  <c r="K59" i="4"/>
  <c r="Y59" i="4"/>
  <c r="AO59" i="4"/>
  <c r="AE220" i="3"/>
  <c r="AX59" i="4"/>
  <c r="AM220" i="3"/>
  <c r="AN59" i="4"/>
  <c r="X59" i="4"/>
  <c r="H59" i="4"/>
  <c r="AH199" i="3"/>
  <c r="AS59" i="4"/>
  <c r="AR59" i="4"/>
  <c r="W59" i="4"/>
  <c r="AL199" i="3"/>
  <c r="M59" i="4"/>
  <c r="AK199" i="3"/>
  <c r="L59" i="4"/>
  <c r="AN220" i="3"/>
  <c r="AJ199" i="3"/>
  <c r="J59" i="4"/>
  <c r="AG220" i="3"/>
  <c r="AF220" i="3"/>
  <c r="AV59" i="4"/>
  <c r="I59" i="4"/>
  <c r="AU59" i="4"/>
  <c r="G59" i="4"/>
  <c r="AD220" i="3"/>
  <c r="AI199" i="3"/>
  <c r="AT59" i="4"/>
  <c r="AY220" i="3"/>
  <c r="AF59" i="4"/>
  <c r="AE59" i="4"/>
  <c r="AD70" i="4"/>
  <c r="AD59" i="4"/>
  <c r="R70" i="4"/>
  <c r="AC59" i="4"/>
  <c r="AO220" i="3"/>
  <c r="AZ220" i="3"/>
  <c r="AT220" i="3"/>
  <c r="AB59" i="4"/>
  <c r="AX220" i="3"/>
  <c r="AW220" i="3"/>
  <c r="AV220" i="3"/>
  <c r="AG59" i="4"/>
  <c r="AU220" i="3"/>
  <c r="AS220" i="3"/>
  <c r="AA59" i="4"/>
  <c r="AW59" i="4"/>
  <c r="Z59" i="4"/>
  <c r="AP59" i="4"/>
  <c r="R59" i="4"/>
  <c r="Q59" i="4"/>
  <c r="P59" i="4"/>
  <c r="AM59" i="4"/>
  <c r="O59" i="4"/>
  <c r="AP199" i="3"/>
  <c r="AH59" i="4"/>
  <c r="N59" i="4"/>
  <c r="AR199" i="3"/>
  <c r="AR220" i="3"/>
  <c r="AL60" i="4"/>
  <c r="V60" i="4"/>
  <c r="AK60" i="4"/>
  <c r="U60" i="4"/>
  <c r="AJ60" i="4"/>
  <c r="T60" i="4"/>
  <c r="F60" i="4"/>
  <c r="AI60" i="4"/>
  <c r="S60" i="4"/>
  <c r="AX60" i="4"/>
  <c r="AH60" i="4"/>
  <c r="AW60" i="4"/>
  <c r="AG60" i="4"/>
  <c r="Q60" i="4"/>
  <c r="AV60" i="4"/>
  <c r="AF60" i="4"/>
  <c r="P60" i="4"/>
  <c r="AU60" i="4"/>
  <c r="AE60" i="4"/>
  <c r="O60" i="4"/>
  <c r="AT60" i="4"/>
  <c r="N60" i="4"/>
  <c r="AS60" i="4"/>
  <c r="AC60" i="4"/>
  <c r="M60" i="4"/>
  <c r="AR60" i="4"/>
  <c r="AB60" i="4"/>
  <c r="L60" i="4"/>
  <c r="AQ60" i="4"/>
  <c r="AA60" i="4"/>
  <c r="K60" i="4"/>
  <c r="AP60" i="4"/>
  <c r="Z60" i="4"/>
  <c r="J60" i="4"/>
  <c r="AL59" i="4"/>
  <c r="V59" i="4"/>
  <c r="AO60" i="4"/>
  <c r="Y60" i="4"/>
  <c r="I60" i="4"/>
  <c r="AK59" i="4"/>
  <c r="U59" i="4"/>
  <c r="AN60" i="4"/>
  <c r="X60" i="4"/>
  <c r="H60" i="4"/>
  <c r="AJ59" i="4"/>
  <c r="T59" i="4"/>
  <c r="AM60" i="4"/>
  <c r="W60" i="4"/>
  <c r="G60" i="4"/>
  <c r="AI59" i="4"/>
  <c r="S59" i="4"/>
  <c r="J134" i="7"/>
  <c r="J135" i="7"/>
  <c r="J136" i="7"/>
  <c r="J137" i="7"/>
  <c r="J138" i="7"/>
  <c r="J139" i="7"/>
  <c r="J140" i="7"/>
  <c r="J141" i="7"/>
  <c r="J144" i="7"/>
  <c r="J145" i="7"/>
  <c r="J146" i="7"/>
  <c r="J147" i="7"/>
  <c r="J148" i="7"/>
  <c r="J149" i="7"/>
  <c r="I167" i="3" l="1"/>
  <c r="I156" i="3"/>
  <c r="J10" i="3"/>
  <c r="AJ7" i="3"/>
  <c r="AI8" i="3"/>
  <c r="AI27" i="7"/>
  <c r="AN27" i="7"/>
  <c r="L6" i="3"/>
  <c r="K9" i="3"/>
  <c r="AS27" i="7"/>
  <c r="BC47" i="7"/>
  <c r="AW49" i="4" s="1"/>
  <c r="AC27" i="7"/>
  <c r="X27" i="7"/>
  <c r="AG27" i="7"/>
  <c r="N27" i="7"/>
  <c r="AF27" i="7"/>
  <c r="BD47" i="7"/>
  <c r="AX49" i="4" s="1"/>
  <c r="BC27" i="7"/>
  <c r="AW48" i="4" s="1"/>
  <c r="AX27" i="7"/>
  <c r="S27" i="7"/>
  <c r="Y27" i="7"/>
  <c r="BB27" i="7"/>
  <c r="AV48" i="4" s="1"/>
  <c r="BC138" i="4"/>
  <c r="BC105" i="4" s="1"/>
  <c r="AY50" i="4"/>
  <c r="AA27" i="7"/>
  <c r="W27" i="7"/>
  <c r="AQ27" i="7"/>
  <c r="BE27" i="7"/>
  <c r="AY48" i="4" s="1"/>
  <c r="AJ27" i="7"/>
  <c r="BB47" i="7"/>
  <c r="AV49" i="4" s="1"/>
  <c r="BA47" i="7"/>
  <c r="AU49" i="4" s="1"/>
  <c r="O27" i="7"/>
  <c r="BA27" i="7"/>
  <c r="AU48" i="4" s="1"/>
  <c r="AV27" i="7"/>
  <c r="AE27" i="7"/>
  <c r="AW27" i="7"/>
  <c r="AB27" i="7"/>
  <c r="Q27" i="7"/>
  <c r="AP27" i="7"/>
  <c r="Z27" i="7"/>
  <c r="U27" i="7"/>
  <c r="R27" i="7"/>
  <c r="AL27" i="7"/>
  <c r="T27" i="7"/>
  <c r="AT27" i="7"/>
  <c r="BE47" i="7"/>
  <c r="P27" i="7"/>
  <c r="AY27" i="7"/>
  <c r="AU27" i="7"/>
  <c r="BD27" i="7"/>
  <c r="AX48" i="4" s="1"/>
  <c r="AD27" i="7"/>
  <c r="AZ27" i="7"/>
  <c r="AT48" i="4" s="1"/>
  <c r="BC122" i="4"/>
  <c r="BC89" i="4" s="1"/>
  <c r="AY43" i="4"/>
  <c r="AM27" i="7"/>
  <c r="AK27" i="7"/>
  <c r="AH27" i="7"/>
  <c r="AO27" i="7"/>
  <c r="V27" i="7"/>
  <c r="AR27" i="7"/>
  <c r="L30" i="2"/>
  <c r="L20" i="2" s="1"/>
  <c r="K3" i="2"/>
  <c r="K4" i="2"/>
  <c r="K5" i="2"/>
  <c r="K6" i="2"/>
  <c r="K7" i="2"/>
  <c r="K8" i="2"/>
  <c r="K9" i="2"/>
  <c r="K10" i="2"/>
  <c r="K11" i="2"/>
  <c r="K12" i="2"/>
  <c r="K2" i="2"/>
  <c r="AL18" i="2"/>
  <c r="AM18" i="2" s="1"/>
  <c r="AN18" i="2" s="1"/>
  <c r="AO18" i="2" s="1"/>
  <c r="AP18" i="2" s="1"/>
  <c r="AQ18" i="2" s="1"/>
  <c r="AR18" i="2" s="1"/>
  <c r="AS18" i="2" s="1"/>
  <c r="AT18" i="2" s="1"/>
  <c r="AU18" i="2" s="1"/>
  <c r="AV18" i="2" s="1"/>
  <c r="AW18" i="2" s="1"/>
  <c r="AX18" i="2" s="1"/>
  <c r="AY18" i="2" s="1"/>
  <c r="AZ18" i="2" s="1"/>
  <c r="BA18" i="2" s="1"/>
  <c r="BB18" i="2" s="1"/>
  <c r="BC18" i="2" s="1"/>
  <c r="BD18" i="2" s="1"/>
  <c r="BE18" i="2" s="1"/>
  <c r="B12" i="8"/>
  <c r="D29" i="8"/>
  <c r="L65" i="7"/>
  <c r="L66" i="7"/>
  <c r="L67" i="7"/>
  <c r="L68" i="7"/>
  <c r="L69" i="7"/>
  <c r="L71" i="7"/>
  <c r="L72" i="7"/>
  <c r="L74" i="7"/>
  <c r="L64" i="7"/>
  <c r="L52" i="7"/>
  <c r="L53" i="7"/>
  <c r="L54" i="7"/>
  <c r="L55" i="7"/>
  <c r="L56" i="7"/>
  <c r="L58" i="7"/>
  <c r="L59" i="7"/>
  <c r="L61" i="7"/>
  <c r="L51" i="7"/>
  <c r="F12" i="2"/>
  <c r="F9" i="2"/>
  <c r="K10" i="3" l="1"/>
  <c r="K11" i="3" s="1"/>
  <c r="J11" i="3"/>
  <c r="AK7" i="3"/>
  <c r="AJ8" i="3"/>
  <c r="M6" i="3"/>
  <c r="L9" i="3"/>
  <c r="AY49" i="4"/>
  <c r="AY52" i="4" s="1"/>
  <c r="AY54" i="4" s="1"/>
  <c r="BC137" i="4"/>
  <c r="BC104" i="4" s="1"/>
  <c r="BC136" i="4"/>
  <c r="BC103" i="4"/>
  <c r="O27" i="8"/>
  <c r="K26" i="8"/>
  <c r="G24" i="8"/>
  <c r="S29" i="8"/>
  <c r="AU22" i="8"/>
  <c r="C19" i="8"/>
  <c r="D26" i="8"/>
  <c r="D27" i="8"/>
  <c r="E26" i="8"/>
  <c r="T29" i="8"/>
  <c r="P27" i="8"/>
  <c r="L26" i="8"/>
  <c r="H24" i="8"/>
  <c r="D23" i="8"/>
  <c r="AR21" i="8"/>
  <c r="AQ29" i="8"/>
  <c r="AI26" i="8"/>
  <c r="AA23" i="8"/>
  <c r="H29" i="8"/>
  <c r="AR24" i="8"/>
  <c r="AN23" i="8"/>
  <c r="AM27" i="8"/>
  <c r="AE24" i="8"/>
  <c r="AF29" i="8"/>
  <c r="AB27" i="8"/>
  <c r="X26" i="8"/>
  <c r="T24" i="8"/>
  <c r="P23" i="8"/>
  <c r="AE29" i="8"/>
  <c r="AA27" i="8"/>
  <c r="W26" i="8"/>
  <c r="S24" i="8"/>
  <c r="O23" i="8"/>
  <c r="AR29" i="8"/>
  <c r="AN27" i="8"/>
  <c r="AJ26" i="8"/>
  <c r="AF24" i="8"/>
  <c r="AB23" i="8"/>
  <c r="AJ22" i="8"/>
  <c r="AF21" i="8"/>
  <c r="C29" i="8"/>
  <c r="G29" i="8"/>
  <c r="AU26" i="8"/>
  <c r="AQ24" i="8"/>
  <c r="AM23" i="8"/>
  <c r="AI22" i="8"/>
  <c r="X22" i="8"/>
  <c r="T21" i="8"/>
  <c r="W22" i="8"/>
  <c r="L22" i="8"/>
  <c r="C21" i="8"/>
  <c r="AK29" i="8"/>
  <c r="Y29" i="8"/>
  <c r="M29" i="8"/>
  <c r="C26" i="8"/>
  <c r="AO29" i="8"/>
  <c r="AC29" i="8"/>
  <c r="AS27" i="8"/>
  <c r="AG27" i="8"/>
  <c r="U27" i="8"/>
  <c r="I27" i="8"/>
  <c r="AO26" i="8"/>
  <c r="AC26" i="8"/>
  <c r="Q26" i="8"/>
  <c r="AK24" i="8"/>
  <c r="C27" i="8"/>
  <c r="AD29" i="8"/>
  <c r="R29" i="8"/>
  <c r="AL27" i="8"/>
  <c r="Q29" i="8"/>
  <c r="E29" i="8"/>
  <c r="AK27" i="8"/>
  <c r="Y27" i="8"/>
  <c r="M27" i="8"/>
  <c r="AS26" i="8"/>
  <c r="AG26" i="8"/>
  <c r="U26" i="8"/>
  <c r="AP29" i="8"/>
  <c r="F29" i="8"/>
  <c r="AH26" i="8"/>
  <c r="Y24" i="8"/>
  <c r="M24" i="8"/>
  <c r="AS23" i="8"/>
  <c r="AG23" i="8"/>
  <c r="U23" i="8"/>
  <c r="I23" i="8"/>
  <c r="AO22" i="8"/>
  <c r="AC22" i="8"/>
  <c r="Q22" i="8"/>
  <c r="E22" i="8"/>
  <c r="AK21" i="8"/>
  <c r="Y21" i="8"/>
  <c r="AU29" i="8"/>
  <c r="AI29" i="8"/>
  <c r="K29" i="8"/>
  <c r="AQ27" i="8"/>
  <c r="AT29" i="8"/>
  <c r="AH29" i="8"/>
  <c r="V29" i="8"/>
  <c r="J29" i="8"/>
  <c r="AP27" i="8"/>
  <c r="Z26" i="8"/>
  <c r="W29" i="8"/>
  <c r="H21" i="8"/>
  <c r="M21" i="8"/>
  <c r="AS20" i="8"/>
  <c r="AG20" i="8"/>
  <c r="U20" i="8"/>
  <c r="I20" i="8"/>
  <c r="AO19" i="8"/>
  <c r="AC19" i="8"/>
  <c r="Q19" i="8"/>
  <c r="E19" i="8"/>
  <c r="C20" i="8"/>
  <c r="AJ29" i="8"/>
  <c r="X29" i="8"/>
  <c r="L29" i="8"/>
  <c r="AR27" i="8"/>
  <c r="AF27" i="8"/>
  <c r="T27" i="8"/>
  <c r="H27" i="8"/>
  <c r="AN26" i="8"/>
  <c r="AB26" i="8"/>
  <c r="P26" i="8"/>
  <c r="AJ24" i="8"/>
  <c r="X24" i="8"/>
  <c r="L24" i="8"/>
  <c r="AR23" i="8"/>
  <c r="AF23" i="8"/>
  <c r="T23" i="8"/>
  <c r="H23" i="8"/>
  <c r="AN22" i="8"/>
  <c r="AB22" i="8"/>
  <c r="P22" i="8"/>
  <c r="D22" i="8"/>
  <c r="AJ21" i="8"/>
  <c r="X21" i="8"/>
  <c r="L21" i="8"/>
  <c r="AR20" i="8"/>
  <c r="AF20" i="8"/>
  <c r="T20" i="8"/>
  <c r="H20" i="8"/>
  <c r="AN19" i="8"/>
  <c r="AB19" i="8"/>
  <c r="P19" i="8"/>
  <c r="D19" i="8"/>
  <c r="AE27" i="8"/>
  <c r="S27" i="8"/>
  <c r="G27" i="8"/>
  <c r="AM26" i="8"/>
  <c r="AA26" i="8"/>
  <c r="O26" i="8"/>
  <c r="AU24" i="8"/>
  <c r="AI24" i="8"/>
  <c r="W24" i="8"/>
  <c r="K24" i="8"/>
  <c r="AQ23" i="8"/>
  <c r="AE23" i="8"/>
  <c r="S23" i="8"/>
  <c r="G23" i="8"/>
  <c r="AM22" i="8"/>
  <c r="AA22" i="8"/>
  <c r="O22" i="8"/>
  <c r="AU21" i="8"/>
  <c r="AI21" i="8"/>
  <c r="W21" i="8"/>
  <c r="K21" i="8"/>
  <c r="AQ20" i="8"/>
  <c r="AE20" i="8"/>
  <c r="S20" i="8"/>
  <c r="G20" i="8"/>
  <c r="AM19" i="8"/>
  <c r="AA19" i="8"/>
  <c r="O19" i="8"/>
  <c r="N26" i="8"/>
  <c r="AT24" i="8"/>
  <c r="AH24" i="8"/>
  <c r="V24" i="8"/>
  <c r="J24" i="8"/>
  <c r="AP23" i="8"/>
  <c r="AD23" i="8"/>
  <c r="R23" i="8"/>
  <c r="F23" i="8"/>
  <c r="AL22" i="8"/>
  <c r="Z22" i="8"/>
  <c r="N22" i="8"/>
  <c r="AT21" i="8"/>
  <c r="AH21" i="8"/>
  <c r="V21" i="8"/>
  <c r="J21" i="8"/>
  <c r="AP20" i="8"/>
  <c r="AD20" i="8"/>
  <c r="R20" i="8"/>
  <c r="F20" i="8"/>
  <c r="AL19" i="8"/>
  <c r="Z19" i="8"/>
  <c r="N19" i="8"/>
  <c r="AD27" i="8"/>
  <c r="R27" i="8"/>
  <c r="F27" i="8"/>
  <c r="AL26" i="8"/>
  <c r="AS29" i="8"/>
  <c r="AG29" i="8"/>
  <c r="U29" i="8"/>
  <c r="I29" i="8"/>
  <c r="AO27" i="8"/>
  <c r="AC27" i="8"/>
  <c r="Q27" i="8"/>
  <c r="E27" i="8"/>
  <c r="AK26" i="8"/>
  <c r="Y26" i="8"/>
  <c r="M26" i="8"/>
  <c r="AS24" i="8"/>
  <c r="AG24" i="8"/>
  <c r="U24" i="8"/>
  <c r="I24" i="8"/>
  <c r="AO23" i="8"/>
  <c r="AC23" i="8"/>
  <c r="Q23" i="8"/>
  <c r="E23" i="8"/>
  <c r="AK22" i="8"/>
  <c r="Y22" i="8"/>
  <c r="M22" i="8"/>
  <c r="AS21" i="8"/>
  <c r="AG21" i="8"/>
  <c r="U21" i="8"/>
  <c r="I21" i="8"/>
  <c r="AO20" i="8"/>
  <c r="AC20" i="8"/>
  <c r="Q20" i="8"/>
  <c r="E20" i="8"/>
  <c r="AK19" i="8"/>
  <c r="Y19" i="8"/>
  <c r="M19" i="8"/>
  <c r="AN20" i="8"/>
  <c r="AB20" i="8"/>
  <c r="P20" i="8"/>
  <c r="D20" i="8"/>
  <c r="AJ19" i="8"/>
  <c r="X19" i="8"/>
  <c r="L19" i="8"/>
  <c r="K22" i="8"/>
  <c r="AQ21" i="8"/>
  <c r="AE21" i="8"/>
  <c r="S21" i="8"/>
  <c r="G21" i="8"/>
  <c r="AM20" i="8"/>
  <c r="AA20" i="8"/>
  <c r="O20" i="8"/>
  <c r="AU19" i="8"/>
  <c r="AI19" i="8"/>
  <c r="W19" i="8"/>
  <c r="K19" i="8"/>
  <c r="J26" i="8"/>
  <c r="AP24" i="8"/>
  <c r="AD24" i="8"/>
  <c r="R24" i="8"/>
  <c r="F24" i="8"/>
  <c r="AL23" i="8"/>
  <c r="Z23" i="8"/>
  <c r="N23" i="8"/>
  <c r="AT22" i="8"/>
  <c r="AH22" i="8"/>
  <c r="V22" i="8"/>
  <c r="J22" i="8"/>
  <c r="AP21" i="8"/>
  <c r="AD21" i="8"/>
  <c r="R21" i="8"/>
  <c r="F21" i="8"/>
  <c r="AL20" i="8"/>
  <c r="Z20" i="8"/>
  <c r="N20" i="8"/>
  <c r="AT19" i="8"/>
  <c r="AH19" i="8"/>
  <c r="V19" i="8"/>
  <c r="J19" i="8"/>
  <c r="Z27" i="8"/>
  <c r="AT26" i="8"/>
  <c r="V26" i="8"/>
  <c r="I26" i="8"/>
  <c r="AO24" i="8"/>
  <c r="AC24" i="8"/>
  <c r="Q24" i="8"/>
  <c r="E24" i="8"/>
  <c r="AK23" i="8"/>
  <c r="Y23" i="8"/>
  <c r="M23" i="8"/>
  <c r="AS22" i="8"/>
  <c r="AG22" i="8"/>
  <c r="U22" i="8"/>
  <c r="I22" i="8"/>
  <c r="AO21" i="8"/>
  <c r="AC21" i="8"/>
  <c r="Q21" i="8"/>
  <c r="E21" i="8"/>
  <c r="AK20" i="8"/>
  <c r="Y20" i="8"/>
  <c r="M20" i="8"/>
  <c r="AS19" i="8"/>
  <c r="AG19" i="8"/>
  <c r="U19" i="8"/>
  <c r="I19" i="8"/>
  <c r="N27" i="8"/>
  <c r="C24" i="8"/>
  <c r="AN29" i="8"/>
  <c r="AB29" i="8"/>
  <c r="P29" i="8"/>
  <c r="AJ27" i="8"/>
  <c r="X27" i="8"/>
  <c r="L27" i="8"/>
  <c r="AR26" i="8"/>
  <c r="AF26" i="8"/>
  <c r="T26" i="8"/>
  <c r="H26" i="8"/>
  <c r="AN24" i="8"/>
  <c r="AB24" i="8"/>
  <c r="P24" i="8"/>
  <c r="D24" i="8"/>
  <c r="AJ23" i="8"/>
  <c r="X23" i="8"/>
  <c r="L23" i="8"/>
  <c r="AR22" i="8"/>
  <c r="AF22" i="8"/>
  <c r="T22" i="8"/>
  <c r="H22" i="8"/>
  <c r="AN21" i="8"/>
  <c r="AB21" i="8"/>
  <c r="P21" i="8"/>
  <c r="D21" i="8"/>
  <c r="AJ20" i="8"/>
  <c r="X20" i="8"/>
  <c r="L20" i="8"/>
  <c r="AR19" i="8"/>
  <c r="AF19" i="8"/>
  <c r="T19" i="8"/>
  <c r="H19" i="8"/>
  <c r="AM29" i="8"/>
  <c r="O29" i="8"/>
  <c r="AI27" i="8"/>
  <c r="W27" i="8"/>
  <c r="AM24" i="8"/>
  <c r="O24" i="8"/>
  <c r="AI23" i="8"/>
  <c r="W23" i="8"/>
  <c r="AQ22" i="8"/>
  <c r="AE22" i="8"/>
  <c r="S22" i="8"/>
  <c r="G22" i="8"/>
  <c r="AM21" i="8"/>
  <c r="AA21" i="8"/>
  <c r="O21" i="8"/>
  <c r="AU20" i="8"/>
  <c r="AI20" i="8"/>
  <c r="W20" i="8"/>
  <c r="K20" i="8"/>
  <c r="AQ19" i="8"/>
  <c r="AE19" i="8"/>
  <c r="S19" i="8"/>
  <c r="G19" i="8"/>
  <c r="C23" i="8"/>
  <c r="AA29" i="8"/>
  <c r="AU27" i="8"/>
  <c r="K27" i="8"/>
  <c r="AQ26" i="8"/>
  <c r="AE26" i="8"/>
  <c r="S26" i="8"/>
  <c r="G26" i="8"/>
  <c r="AA24" i="8"/>
  <c r="AU23" i="8"/>
  <c r="K23" i="8"/>
  <c r="C22" i="8"/>
  <c r="AL29" i="8"/>
  <c r="Z29" i="8"/>
  <c r="N29" i="8"/>
  <c r="AT27" i="8"/>
  <c r="AH27" i="8"/>
  <c r="V27" i="8"/>
  <c r="J27" i="8"/>
  <c r="AP26" i="8"/>
  <c r="AD26" i="8"/>
  <c r="R26" i="8"/>
  <c r="F26" i="8"/>
  <c r="AL24" i="8"/>
  <c r="Z24" i="8"/>
  <c r="N24" i="8"/>
  <c r="AT23" i="8"/>
  <c r="AH23" i="8"/>
  <c r="V23" i="8"/>
  <c r="J23" i="8"/>
  <c r="AP22" i="8"/>
  <c r="AD22" i="8"/>
  <c r="R22" i="8"/>
  <c r="F22" i="8"/>
  <c r="AL21" i="8"/>
  <c r="Z21" i="8"/>
  <c r="N21" i="8"/>
  <c r="AT20" i="8"/>
  <c r="AH20" i="8"/>
  <c r="V20" i="8"/>
  <c r="J20" i="8"/>
  <c r="AP19" i="8"/>
  <c r="AD19" i="8"/>
  <c r="R19" i="8"/>
  <c r="F19" i="8"/>
  <c r="L73" i="7"/>
  <c r="L57" i="7"/>
  <c r="L70" i="7"/>
  <c r="AK25" i="8"/>
  <c r="L60" i="7"/>
  <c r="L10" i="3" l="1"/>
  <c r="L11" i="3" s="1"/>
  <c r="L167" i="3" s="1"/>
  <c r="J167" i="3"/>
  <c r="J156" i="3"/>
  <c r="K156" i="3"/>
  <c r="K167" i="3"/>
  <c r="AL7" i="3"/>
  <c r="AK8" i="3"/>
  <c r="M9" i="3"/>
  <c r="N6" i="3"/>
  <c r="BC108" i="4"/>
  <c r="BC111" i="4" s="1"/>
  <c r="BC114" i="4" s="1"/>
  <c r="BC101" i="4"/>
  <c r="BC134" i="4"/>
  <c r="BC141" i="4"/>
  <c r="BC144" i="4" s="1"/>
  <c r="BC147" i="4" s="1"/>
  <c r="D28" i="8"/>
  <c r="AU28" i="8"/>
  <c r="W28" i="8"/>
  <c r="AI28" i="8"/>
  <c r="AD28" i="8"/>
  <c r="K28" i="8"/>
  <c r="M25" i="8"/>
  <c r="AL28" i="8"/>
  <c r="R25" i="8"/>
  <c r="J25" i="8"/>
  <c r="AP25" i="8"/>
  <c r="AH25" i="8"/>
  <c r="E28" i="8"/>
  <c r="AC28" i="8"/>
  <c r="B26" i="8"/>
  <c r="F28" i="8"/>
  <c r="X25" i="8"/>
  <c r="AK28" i="8"/>
  <c r="AK30" i="8" s="1"/>
  <c r="AT25" i="8"/>
  <c r="R28" i="8"/>
  <c r="K25" i="8"/>
  <c r="AJ25" i="8"/>
  <c r="AB25" i="8"/>
  <c r="G25" i="8"/>
  <c r="V28" i="8"/>
  <c r="M28" i="8"/>
  <c r="P25" i="8"/>
  <c r="AA25" i="8"/>
  <c r="Z25" i="8"/>
  <c r="C25" i="8"/>
  <c r="AG28" i="8"/>
  <c r="B23" i="8"/>
  <c r="B19" i="8"/>
  <c r="N25" i="8"/>
  <c r="S25" i="8"/>
  <c r="AJ28" i="8"/>
  <c r="AE28" i="8"/>
  <c r="Z28" i="8"/>
  <c r="AG25" i="8"/>
  <c r="B29" i="8"/>
  <c r="AO28" i="8"/>
  <c r="B27" i="8"/>
  <c r="Y25" i="8"/>
  <c r="AC25" i="8"/>
  <c r="T25" i="8"/>
  <c r="B21" i="8"/>
  <c r="Q25" i="8"/>
  <c r="U28" i="8"/>
  <c r="AU25" i="8"/>
  <c r="AD25" i="8"/>
  <c r="V25" i="8"/>
  <c r="AR28" i="8"/>
  <c r="AR25" i="8"/>
  <c r="B22" i="8"/>
  <c r="AQ25" i="8"/>
  <c r="AI25" i="8"/>
  <c r="X28" i="8"/>
  <c r="D25" i="8"/>
  <c r="Q28" i="8"/>
  <c r="B20" i="8"/>
  <c r="W25" i="8"/>
  <c r="AP28" i="8"/>
  <c r="G28" i="8"/>
  <c r="AL25" i="8"/>
  <c r="E25" i="8"/>
  <c r="AF25" i="8"/>
  <c r="I25" i="8"/>
  <c r="AS28" i="8"/>
  <c r="P28" i="8"/>
  <c r="AE25" i="8"/>
  <c r="L28" i="8"/>
  <c r="S28" i="8"/>
  <c r="N28" i="8"/>
  <c r="AF28" i="8"/>
  <c r="AM28" i="8"/>
  <c r="AN25" i="8"/>
  <c r="O28" i="8"/>
  <c r="AQ28" i="8"/>
  <c r="H28" i="8"/>
  <c r="C28" i="8"/>
  <c r="F25" i="8"/>
  <c r="J28" i="8"/>
  <c r="H25" i="8"/>
  <c r="U25" i="8"/>
  <c r="AM25" i="8"/>
  <c r="I28" i="8"/>
  <c r="AS25" i="8"/>
  <c r="AA28" i="8"/>
  <c r="AB28" i="8"/>
  <c r="AH28" i="8"/>
  <c r="AT28" i="8"/>
  <c r="L25" i="8"/>
  <c r="Y28" i="8"/>
  <c r="AN28" i="8"/>
  <c r="O25" i="8"/>
  <c r="T28" i="8"/>
  <c r="AO25" i="8"/>
  <c r="B24" i="8"/>
  <c r="L156" i="3" l="1"/>
  <c r="M10" i="3"/>
  <c r="M11" i="3" s="1"/>
  <c r="M156" i="3" s="1"/>
  <c r="AM7" i="3"/>
  <c r="AL8" i="3"/>
  <c r="N9" i="3"/>
  <c r="O6" i="3"/>
  <c r="AJ30" i="8"/>
  <c r="R30" i="8"/>
  <c r="T30" i="8"/>
  <c r="AH30" i="8"/>
  <c r="AU30" i="8"/>
  <c r="H30" i="8"/>
  <c r="AL30" i="8"/>
  <c r="E30" i="8"/>
  <c r="AD30" i="8"/>
  <c r="AP30" i="8"/>
  <c r="AC30" i="8"/>
  <c r="AI30" i="8"/>
  <c r="AA30" i="8"/>
  <c r="G30" i="8"/>
  <c r="AB30" i="8"/>
  <c r="M30" i="8"/>
  <c r="AT30" i="8"/>
  <c r="W30" i="8"/>
  <c r="S30" i="8"/>
  <c r="AG30" i="8"/>
  <c r="AM30" i="8"/>
  <c r="U30" i="8"/>
  <c r="O30" i="8"/>
  <c r="J30" i="8"/>
  <c r="F30" i="8"/>
  <c r="K30" i="8"/>
  <c r="X30" i="8"/>
  <c r="V30" i="8"/>
  <c r="AR30" i="8"/>
  <c r="P30" i="8"/>
  <c r="AO30" i="8"/>
  <c r="L30" i="8"/>
  <c r="Z30" i="8"/>
  <c r="C30" i="8"/>
  <c r="I30" i="8"/>
  <c r="AF30" i="8"/>
  <c r="D30" i="8"/>
  <c r="Q30" i="8"/>
  <c r="AE30" i="8"/>
  <c r="AN30" i="8"/>
  <c r="AS30" i="8"/>
  <c r="N30" i="8"/>
  <c r="AQ30" i="8"/>
  <c r="Y30" i="8"/>
  <c r="B25" i="8"/>
  <c r="B28" i="8"/>
  <c r="M77" i="4"/>
  <c r="M76" i="4"/>
  <c r="N76" i="4" s="1"/>
  <c r="P76" i="4" s="1"/>
  <c r="M79" i="4"/>
  <c r="N79" i="4" s="1"/>
  <c r="P79" i="4" s="1"/>
  <c r="M78" i="4"/>
  <c r="O78" i="4" s="1"/>
  <c r="N75" i="4"/>
  <c r="P75" i="4" s="1"/>
  <c r="M75" i="4"/>
  <c r="O75" i="4" s="1"/>
  <c r="L77" i="4"/>
  <c r="L78" i="4"/>
  <c r="L79" i="4"/>
  <c r="L76" i="4"/>
  <c r="E75" i="4"/>
  <c r="E74" i="4"/>
  <c r="E70" i="4"/>
  <c r="K112" i="4"/>
  <c r="L112" i="4"/>
  <c r="M112" i="4"/>
  <c r="N112" i="4"/>
  <c r="O112" i="4"/>
  <c r="P112" i="4"/>
  <c r="Q112" i="4"/>
  <c r="R112" i="4"/>
  <c r="S112" i="4"/>
  <c r="T112" i="4"/>
  <c r="U112" i="4"/>
  <c r="V112" i="4"/>
  <c r="W112" i="4"/>
  <c r="X112" i="4"/>
  <c r="Y112" i="4"/>
  <c r="Z112" i="4"/>
  <c r="AA112" i="4"/>
  <c r="AB112" i="4"/>
  <c r="AC112" i="4"/>
  <c r="AD112" i="4"/>
  <c r="AE112" i="4"/>
  <c r="AF112" i="4"/>
  <c r="AG112" i="4"/>
  <c r="AH112" i="4"/>
  <c r="AI112" i="4"/>
  <c r="AJ112" i="4"/>
  <c r="AK112" i="4"/>
  <c r="AL112" i="4"/>
  <c r="AM112" i="4"/>
  <c r="AN112" i="4"/>
  <c r="AO112" i="4"/>
  <c r="AP112" i="4"/>
  <c r="AQ112" i="4"/>
  <c r="AR112" i="4"/>
  <c r="AS112" i="4"/>
  <c r="AT112" i="4"/>
  <c r="AU112" i="4"/>
  <c r="AV112" i="4"/>
  <c r="AW112" i="4"/>
  <c r="AX112" i="4"/>
  <c r="AY112" i="4"/>
  <c r="AZ112" i="4"/>
  <c r="BA112" i="4"/>
  <c r="BB112" i="4"/>
  <c r="J112" i="4"/>
  <c r="K96" i="4"/>
  <c r="L96" i="4"/>
  <c r="M96" i="4"/>
  <c r="N96" i="4"/>
  <c r="O96" i="4"/>
  <c r="P96" i="4"/>
  <c r="Q96" i="4"/>
  <c r="R96" i="4"/>
  <c r="S96" i="4"/>
  <c r="T96" i="4"/>
  <c r="U96" i="4"/>
  <c r="V96" i="4"/>
  <c r="W96" i="4"/>
  <c r="X96" i="4"/>
  <c r="Y96" i="4"/>
  <c r="Z96" i="4"/>
  <c r="AA96" i="4"/>
  <c r="AB96" i="4"/>
  <c r="AC96" i="4"/>
  <c r="AD96" i="4"/>
  <c r="AE96" i="4"/>
  <c r="AF96" i="4"/>
  <c r="AG96" i="4"/>
  <c r="AH96" i="4"/>
  <c r="AI96" i="4"/>
  <c r="AJ96" i="4"/>
  <c r="AK96" i="4"/>
  <c r="AL96" i="4"/>
  <c r="AM96" i="4"/>
  <c r="AN96" i="4"/>
  <c r="AO96" i="4"/>
  <c r="AP96" i="4"/>
  <c r="AQ96" i="4"/>
  <c r="AR96" i="4"/>
  <c r="AS96" i="4"/>
  <c r="AT96" i="4"/>
  <c r="AU96" i="4"/>
  <c r="AV96" i="4"/>
  <c r="AW96" i="4"/>
  <c r="AX96" i="4"/>
  <c r="AY96" i="4"/>
  <c r="AZ96" i="4"/>
  <c r="BA96" i="4"/>
  <c r="BB96" i="4"/>
  <c r="J96" i="4"/>
  <c r="B3" i="4"/>
  <c r="C19" i="1" s="1"/>
  <c r="B2" i="4"/>
  <c r="F3" i="5"/>
  <c r="C15" i="1"/>
  <c r="M19" i="2"/>
  <c r="J133" i="4"/>
  <c r="J117" i="4"/>
  <c r="K117" i="4" s="1"/>
  <c r="L117" i="4" s="1"/>
  <c r="M117" i="4" s="1"/>
  <c r="N117" i="4" s="1"/>
  <c r="O117" i="4" s="1"/>
  <c r="P117" i="4" s="1"/>
  <c r="Q117" i="4" s="1"/>
  <c r="R117" i="4" s="1"/>
  <c r="S117" i="4" s="1"/>
  <c r="T117" i="4" s="1"/>
  <c r="U117" i="4" s="1"/>
  <c r="V117" i="4" s="1"/>
  <c r="W117" i="4" s="1"/>
  <c r="X117" i="4" s="1"/>
  <c r="Y117" i="4" s="1"/>
  <c r="Z117" i="4" s="1"/>
  <c r="AA117" i="4" s="1"/>
  <c r="AB117" i="4" s="1"/>
  <c r="AC117" i="4" s="1"/>
  <c r="AD117" i="4" s="1"/>
  <c r="AE117" i="4" s="1"/>
  <c r="AF117" i="4" s="1"/>
  <c r="AG117" i="4" s="1"/>
  <c r="AH117" i="4" s="1"/>
  <c r="AI117" i="4" s="1"/>
  <c r="AJ117" i="4" s="1"/>
  <c r="AK117" i="4" s="1"/>
  <c r="AL117" i="4" s="1"/>
  <c r="AM117" i="4" s="1"/>
  <c r="AN117" i="4" s="1"/>
  <c r="AO117" i="4" s="1"/>
  <c r="AP117" i="4" s="1"/>
  <c r="AQ117" i="4" s="1"/>
  <c r="AR117" i="4" s="1"/>
  <c r="AS117" i="4" s="1"/>
  <c r="AT117" i="4" s="1"/>
  <c r="AU117" i="4" s="1"/>
  <c r="AV117" i="4" s="1"/>
  <c r="AW117" i="4" s="1"/>
  <c r="AX117" i="4" s="1"/>
  <c r="AY117" i="4" s="1"/>
  <c r="AZ117" i="4" s="1"/>
  <c r="BA117" i="4" s="1"/>
  <c r="BB117" i="4" s="1"/>
  <c r="BC117" i="4" s="1"/>
  <c r="J100" i="4"/>
  <c r="K100" i="4" s="1"/>
  <c r="L100" i="4" s="1"/>
  <c r="M100" i="4" s="1"/>
  <c r="N100" i="4" s="1"/>
  <c r="O100" i="4" s="1"/>
  <c r="P100" i="4" s="1"/>
  <c r="Q100" i="4" s="1"/>
  <c r="R100" i="4" s="1"/>
  <c r="S100" i="4" s="1"/>
  <c r="T100" i="4" s="1"/>
  <c r="U100" i="4" s="1"/>
  <c r="V100" i="4" s="1"/>
  <c r="W100" i="4" s="1"/>
  <c r="X100" i="4" s="1"/>
  <c r="Y100" i="4" s="1"/>
  <c r="Z100" i="4" s="1"/>
  <c r="AA100" i="4" s="1"/>
  <c r="AB100" i="4" s="1"/>
  <c r="AC100" i="4" s="1"/>
  <c r="AD100" i="4" s="1"/>
  <c r="AE100" i="4" s="1"/>
  <c r="AF100" i="4" s="1"/>
  <c r="AG100" i="4" s="1"/>
  <c r="AH100" i="4" s="1"/>
  <c r="AI100" i="4" s="1"/>
  <c r="AJ100" i="4" s="1"/>
  <c r="AK100" i="4" s="1"/>
  <c r="AL100" i="4" s="1"/>
  <c r="AM100" i="4" s="1"/>
  <c r="AN100" i="4" s="1"/>
  <c r="AO100" i="4" s="1"/>
  <c r="AP100" i="4" s="1"/>
  <c r="AQ100" i="4" s="1"/>
  <c r="AR100" i="4" s="1"/>
  <c r="AS100" i="4" s="1"/>
  <c r="AT100" i="4" s="1"/>
  <c r="AU100" i="4" s="1"/>
  <c r="AV100" i="4" s="1"/>
  <c r="AW100" i="4" s="1"/>
  <c r="AX100" i="4" s="1"/>
  <c r="AY100" i="4" s="1"/>
  <c r="AZ100" i="4" s="1"/>
  <c r="BA100" i="4" s="1"/>
  <c r="BB100" i="4" s="1"/>
  <c r="BC100" i="4" s="1"/>
  <c r="J84" i="4"/>
  <c r="K84" i="4" s="1"/>
  <c r="L84" i="4" s="1"/>
  <c r="M84" i="4" s="1"/>
  <c r="N84" i="4" s="1"/>
  <c r="O84" i="4" s="1"/>
  <c r="P84" i="4" s="1"/>
  <c r="Q84" i="4" s="1"/>
  <c r="R84" i="4" s="1"/>
  <c r="S84" i="4" s="1"/>
  <c r="T84" i="4" s="1"/>
  <c r="U84" i="4" s="1"/>
  <c r="V84" i="4" s="1"/>
  <c r="W84" i="4" s="1"/>
  <c r="X84" i="4" s="1"/>
  <c r="Y84" i="4" s="1"/>
  <c r="Z84" i="4" s="1"/>
  <c r="AA84" i="4" s="1"/>
  <c r="AB84" i="4" s="1"/>
  <c r="AC84" i="4" s="1"/>
  <c r="AD84" i="4" s="1"/>
  <c r="AE84" i="4" s="1"/>
  <c r="AF84" i="4" s="1"/>
  <c r="AG84" i="4" s="1"/>
  <c r="AH84" i="4" s="1"/>
  <c r="AI84" i="4" s="1"/>
  <c r="AJ84" i="4" s="1"/>
  <c r="AK84" i="4" s="1"/>
  <c r="AL84" i="4" s="1"/>
  <c r="AM84" i="4" s="1"/>
  <c r="AN84" i="4" s="1"/>
  <c r="AO84" i="4" s="1"/>
  <c r="AP84" i="4" s="1"/>
  <c r="AQ84" i="4" s="1"/>
  <c r="AR84" i="4" s="1"/>
  <c r="AS84" i="4" s="1"/>
  <c r="AT84" i="4" s="1"/>
  <c r="AU84" i="4" s="1"/>
  <c r="AV84" i="4" s="1"/>
  <c r="AW84" i="4" s="1"/>
  <c r="AX84" i="4" s="1"/>
  <c r="AY84" i="4" s="1"/>
  <c r="AZ84" i="4" s="1"/>
  <c r="BA84" i="4" s="1"/>
  <c r="BB84" i="4" s="1"/>
  <c r="BC84" i="4" s="1"/>
  <c r="F93" i="7"/>
  <c r="F94" i="7"/>
  <c r="F97" i="7"/>
  <c r="F98" i="7"/>
  <c r="F99" i="7"/>
  <c r="F100" i="7"/>
  <c r="F101" i="7"/>
  <c r="F79" i="7"/>
  <c r="F80" i="7"/>
  <c r="F86" i="7"/>
  <c r="F87" i="7"/>
  <c r="F88" i="7"/>
  <c r="N10" i="3" l="1"/>
  <c r="N11" i="3" s="1"/>
  <c r="N167" i="3" s="1"/>
  <c r="M167" i="3"/>
  <c r="A42" i="3"/>
  <c r="C17" i="1"/>
  <c r="A53" i="3"/>
  <c r="AN7" i="3"/>
  <c r="AM8" i="3"/>
  <c r="O9" i="3"/>
  <c r="P6" i="3"/>
  <c r="A77" i="3"/>
  <c r="A104" i="3"/>
  <c r="A28" i="3"/>
  <c r="A177" i="3"/>
  <c r="A133" i="3"/>
  <c r="A184" i="3"/>
  <c r="A174" i="3"/>
  <c r="A64" i="3"/>
  <c r="A91" i="3"/>
  <c r="A16" i="3"/>
  <c r="A181" i="3"/>
  <c r="A118" i="3"/>
  <c r="K133" i="4"/>
  <c r="J150" i="4"/>
  <c r="B30" i="8"/>
  <c r="N19" i="2"/>
  <c r="M30" i="2"/>
  <c r="M20" i="2" s="1"/>
  <c r="N77" i="4"/>
  <c r="P77" i="4" s="1"/>
  <c r="F84" i="7"/>
  <c r="F81" i="7"/>
  <c r="F92" i="7"/>
  <c r="F85" i="7"/>
  <c r="F96" i="7"/>
  <c r="F83" i="7"/>
  <c r="F82" i="7"/>
  <c r="F95" i="7"/>
  <c r="O77" i="4"/>
  <c r="O76" i="4"/>
  <c r="O79" i="4"/>
  <c r="N78" i="4"/>
  <c r="E61" i="4"/>
  <c r="E62" i="4"/>
  <c r="I65" i="7"/>
  <c r="H120" i="7" s="1"/>
  <c r="I66" i="7"/>
  <c r="H121" i="7" s="1"/>
  <c r="I67" i="7"/>
  <c r="H122" i="7" s="1"/>
  <c r="I68" i="7"/>
  <c r="H123" i="7" s="1"/>
  <c r="I69" i="7"/>
  <c r="H124" i="7" s="1"/>
  <c r="I70" i="7"/>
  <c r="H125" i="7" s="1"/>
  <c r="I52" i="7"/>
  <c r="H106" i="7" s="1"/>
  <c r="I53" i="7"/>
  <c r="H107" i="7" s="1"/>
  <c r="I54" i="7"/>
  <c r="H108" i="7" s="1"/>
  <c r="I55" i="7"/>
  <c r="H109" i="7" s="1"/>
  <c r="I56" i="7"/>
  <c r="H110" i="7" s="1"/>
  <c r="I57" i="7"/>
  <c r="H111" i="7" s="1"/>
  <c r="I58" i="7"/>
  <c r="H112" i="7" s="1"/>
  <c r="I59" i="7"/>
  <c r="H113" i="7" s="1"/>
  <c r="I60" i="7"/>
  <c r="H114" i="7" s="1"/>
  <c r="I61" i="7"/>
  <c r="H115" i="7" s="1"/>
  <c r="L22" i="2"/>
  <c r="M21" i="2"/>
  <c r="N21" i="2" s="1"/>
  <c r="O21" i="2" s="1"/>
  <c r="P21" i="2" s="1"/>
  <c r="Q21" i="2" s="1"/>
  <c r="R21" i="2" s="1"/>
  <c r="S21" i="2" s="1"/>
  <c r="T21" i="2" s="1"/>
  <c r="U21" i="2" s="1"/>
  <c r="V21" i="2" s="1"/>
  <c r="W21" i="2" s="1"/>
  <c r="X21" i="2" s="1"/>
  <c r="Y21" i="2" s="1"/>
  <c r="Z21" i="2" s="1"/>
  <c r="AA21" i="2" s="1"/>
  <c r="AB21" i="2" s="1"/>
  <c r="AC21" i="2" s="1"/>
  <c r="AD21" i="2" s="1"/>
  <c r="AE21" i="2" s="1"/>
  <c r="AF21" i="2" s="1"/>
  <c r="AG21" i="2" s="1"/>
  <c r="AH21" i="2" s="1"/>
  <c r="AI21" i="2" s="1"/>
  <c r="AJ21" i="2" s="1"/>
  <c r="AK21" i="2" s="1"/>
  <c r="AL21" i="2" s="1"/>
  <c r="AM21" i="2" s="1"/>
  <c r="AN21" i="2" s="1"/>
  <c r="AO21" i="2" s="1"/>
  <c r="AP21" i="2" s="1"/>
  <c r="AQ21" i="2" s="1"/>
  <c r="AR21" i="2" s="1"/>
  <c r="AS21" i="2" s="1"/>
  <c r="AT21" i="2" s="1"/>
  <c r="AU21" i="2" s="1"/>
  <c r="AV21" i="2" s="1"/>
  <c r="AW21" i="2" s="1"/>
  <c r="AX21" i="2" s="1"/>
  <c r="AY21" i="2" s="1"/>
  <c r="AZ21" i="2" s="1"/>
  <c r="BA21" i="2" s="1"/>
  <c r="BB21" i="2" s="1"/>
  <c r="BC21" i="2" s="1"/>
  <c r="BD21" i="2" s="1"/>
  <c r="BE21" i="2" s="1"/>
  <c r="N156" i="3" l="1"/>
  <c r="O10" i="3"/>
  <c r="O11" i="3" s="1"/>
  <c r="O156" i="3"/>
  <c r="O167" i="3"/>
  <c r="P10" i="3"/>
  <c r="P11" i="3" s="1"/>
  <c r="AO7" i="3"/>
  <c r="AN8" i="3"/>
  <c r="P9" i="3"/>
  <c r="Q6" i="3"/>
  <c r="AQ62" i="4"/>
  <c r="AY62" i="4"/>
  <c r="AB61" i="4"/>
  <c r="AY61" i="4"/>
  <c r="H152" i="4"/>
  <c r="H151" i="4"/>
  <c r="L133" i="4"/>
  <c r="K150" i="4"/>
  <c r="O19" i="2"/>
  <c r="N30" i="2"/>
  <c r="N20" i="2" s="1"/>
  <c r="W62" i="4"/>
  <c r="P78" i="4"/>
  <c r="Q62" i="4"/>
  <c r="AM61" i="4"/>
  <c r="J61" i="4"/>
  <c r="N61" i="4"/>
  <c r="P61" i="4"/>
  <c r="AE62" i="4"/>
  <c r="V61" i="4"/>
  <c r="Z61" i="4"/>
  <c r="T62" i="4"/>
  <c r="AC62" i="4"/>
  <c r="AO62" i="4"/>
  <c r="AH61" i="4"/>
  <c r="AL61" i="4"/>
  <c r="AF62" i="4"/>
  <c r="G62" i="4"/>
  <c r="AU62" i="4"/>
  <c r="AT61" i="4"/>
  <c r="AX61" i="4"/>
  <c r="AR62" i="4"/>
  <c r="AI62" i="4"/>
  <c r="N62" i="4"/>
  <c r="R62" i="4"/>
  <c r="AD62" i="4"/>
  <c r="AL62" i="4"/>
  <c r="AP62" i="4"/>
  <c r="Z62" i="4"/>
  <c r="AX62" i="4"/>
  <c r="O61" i="4"/>
  <c r="K61" i="4"/>
  <c r="AA61" i="4"/>
  <c r="S62" i="4"/>
  <c r="H62" i="4"/>
  <c r="K62" i="4"/>
  <c r="U62" i="4"/>
  <c r="AS62" i="4"/>
  <c r="V62" i="4"/>
  <c r="AT62" i="4"/>
  <c r="X62" i="4"/>
  <c r="AV62" i="4"/>
  <c r="Y62" i="4"/>
  <c r="AW62" i="4"/>
  <c r="P62" i="4"/>
  <c r="AA62" i="4"/>
  <c r="F62" i="4"/>
  <c r="AB62" i="4"/>
  <c r="I62" i="4"/>
  <c r="AG62" i="4"/>
  <c r="J62" i="4"/>
  <c r="AH62" i="4"/>
  <c r="AN62" i="4"/>
  <c r="L62" i="4"/>
  <c r="AJ62" i="4"/>
  <c r="M62" i="4"/>
  <c r="AK62" i="4"/>
  <c r="O62" i="4"/>
  <c r="AM62" i="4"/>
  <c r="H61" i="4"/>
  <c r="X61" i="4"/>
  <c r="AQ61" i="4"/>
  <c r="Y61" i="4"/>
  <c r="AR61" i="4"/>
  <c r="G61" i="4"/>
  <c r="AC61" i="4"/>
  <c r="AS61" i="4"/>
  <c r="I61" i="4"/>
  <c r="AD61" i="4"/>
  <c r="AU61" i="4"/>
  <c r="L61" i="4"/>
  <c r="AE61" i="4"/>
  <c r="AV61" i="4"/>
  <c r="M61" i="4"/>
  <c r="AF61" i="4"/>
  <c r="AW61" i="4"/>
  <c r="F61" i="4"/>
  <c r="Q61" i="4"/>
  <c r="AG61" i="4"/>
  <c r="R61" i="4"/>
  <c r="AI61" i="4"/>
  <c r="S61" i="4"/>
  <c r="AJ61" i="4"/>
  <c r="AP61" i="4"/>
  <c r="T61" i="4"/>
  <c r="AK61" i="4"/>
  <c r="U61" i="4"/>
  <c r="AO61" i="4"/>
  <c r="W61" i="4"/>
  <c r="AN61" i="4"/>
  <c r="M22" i="2"/>
  <c r="P156" i="3" l="1"/>
  <c r="P167" i="3"/>
  <c r="Q10" i="3"/>
  <c r="Q11" i="3" s="1"/>
  <c r="AP7" i="3"/>
  <c r="AO8" i="3"/>
  <c r="Q9" i="3"/>
  <c r="R6" i="3"/>
  <c r="Y151" i="4"/>
  <c r="BC151" i="4"/>
  <c r="BA151" i="4"/>
  <c r="Q151" i="4"/>
  <c r="AH151" i="4"/>
  <c r="AJ151" i="4"/>
  <c r="AW151" i="4"/>
  <c r="BB151" i="4"/>
  <c r="AC151" i="4"/>
  <c r="U151" i="4"/>
  <c r="AA151" i="4"/>
  <c r="S151" i="4"/>
  <c r="AN151" i="4"/>
  <c r="N151" i="4"/>
  <c r="AG151" i="4"/>
  <c r="AT151" i="4"/>
  <c r="R151" i="4"/>
  <c r="AL151" i="4"/>
  <c r="AI151" i="4"/>
  <c r="X151" i="4"/>
  <c r="AP151" i="4"/>
  <c r="Z151" i="4"/>
  <c r="AB151" i="4"/>
  <c r="V151" i="4"/>
  <c r="AD151" i="4"/>
  <c r="O151" i="4"/>
  <c r="AU151" i="4"/>
  <c r="AV151" i="4"/>
  <c r="AF151" i="4"/>
  <c r="AY151" i="4"/>
  <c r="AM151" i="4"/>
  <c r="AK151" i="4"/>
  <c r="K151" i="4"/>
  <c r="L151" i="4"/>
  <c r="AO151" i="4"/>
  <c r="J151" i="4"/>
  <c r="W151" i="4"/>
  <c r="P151" i="4"/>
  <c r="AQ151" i="4"/>
  <c r="AZ151" i="4"/>
  <c r="AS151" i="4"/>
  <c r="M151" i="4"/>
  <c r="AE151" i="4"/>
  <c r="AX151" i="4"/>
  <c r="AR151" i="4"/>
  <c r="T151" i="4"/>
  <c r="M133" i="4"/>
  <c r="L150" i="4"/>
  <c r="P19" i="2"/>
  <c r="O30" i="2"/>
  <c r="O20" i="2" s="1"/>
  <c r="N22" i="2"/>
  <c r="L91" i="7"/>
  <c r="L119" i="7" s="1"/>
  <c r="L78" i="7"/>
  <c r="L105" i="7" s="1"/>
  <c r="M2" i="2"/>
  <c r="N2" i="2"/>
  <c r="O2" i="2"/>
  <c r="P2" i="2"/>
  <c r="Q2" i="2"/>
  <c r="R2" i="2"/>
  <c r="S2" i="2"/>
  <c r="T2" i="2"/>
  <c r="U2" i="2"/>
  <c r="V2" i="2"/>
  <c r="W2" i="2"/>
  <c r="X2" i="2"/>
  <c r="Y2" i="2"/>
  <c r="Z2" i="2"/>
  <c r="AA2" i="2"/>
  <c r="AB2" i="2"/>
  <c r="AC2" i="2"/>
  <c r="AD2" i="2"/>
  <c r="AE2" i="2"/>
  <c r="AF2" i="2"/>
  <c r="AG2" i="2"/>
  <c r="AH2" i="2"/>
  <c r="AI2" i="2"/>
  <c r="AJ2" i="2"/>
  <c r="AK2" i="2"/>
  <c r="AL2" i="2" s="1"/>
  <c r="L2" i="2"/>
  <c r="Q156" i="3" l="1"/>
  <c r="Q167" i="3"/>
  <c r="R10" i="3"/>
  <c r="R11" i="3" s="1"/>
  <c r="AQ7" i="3"/>
  <c r="AP8" i="3"/>
  <c r="R9" i="3"/>
  <c r="S6" i="3"/>
  <c r="C33" i="8"/>
  <c r="N133" i="4"/>
  <c r="M150" i="4"/>
  <c r="Q19" i="2"/>
  <c r="P30" i="2"/>
  <c r="P20" i="2" s="1"/>
  <c r="O22" i="2"/>
  <c r="D33" i="8"/>
  <c r="AE18" i="4"/>
  <c r="AE7" i="4"/>
  <c r="AM2" i="2"/>
  <c r="T7" i="4"/>
  <c r="T18" i="4"/>
  <c r="H7" i="4"/>
  <c r="H18" i="4"/>
  <c r="J18" i="4"/>
  <c r="J7" i="4"/>
  <c r="F18" i="4"/>
  <c r="W18" i="4"/>
  <c r="W7" i="4"/>
  <c r="I18" i="4"/>
  <c r="I7" i="4"/>
  <c r="S18" i="4"/>
  <c r="S7" i="4"/>
  <c r="AD7" i="4"/>
  <c r="AD18" i="4"/>
  <c r="R7" i="4"/>
  <c r="R18" i="4"/>
  <c r="AC18" i="4"/>
  <c r="AC7" i="4"/>
  <c r="Q18" i="4"/>
  <c r="Q7" i="4"/>
  <c r="AB18" i="4"/>
  <c r="AB7" i="4"/>
  <c r="P18" i="4"/>
  <c r="P7" i="4"/>
  <c r="AA18" i="4"/>
  <c r="AA7" i="4"/>
  <c r="O18" i="4"/>
  <c r="O7" i="4"/>
  <c r="K18" i="4"/>
  <c r="K7" i="4"/>
  <c r="U18" i="4"/>
  <c r="U7" i="4"/>
  <c r="G18" i="4"/>
  <c r="G7" i="4"/>
  <c r="Z18" i="4"/>
  <c r="Z7" i="4"/>
  <c r="N18" i="4"/>
  <c r="N7" i="4"/>
  <c r="V7" i="4"/>
  <c r="V18" i="4"/>
  <c r="Y7" i="4"/>
  <c r="Y18" i="4"/>
  <c r="M18" i="4"/>
  <c r="M7" i="4"/>
  <c r="X18" i="4"/>
  <c r="X7" i="4"/>
  <c r="L18" i="4"/>
  <c r="L7" i="4"/>
  <c r="I64" i="7"/>
  <c r="H119" i="7" s="1"/>
  <c r="I71" i="7"/>
  <c r="H126" i="7" s="1"/>
  <c r="I72" i="7"/>
  <c r="H127" i="7" s="1"/>
  <c r="I73" i="7"/>
  <c r="H128" i="7" s="1"/>
  <c r="I74" i="7"/>
  <c r="H129" i="7" s="1"/>
  <c r="I51" i="7"/>
  <c r="H105" i="7" s="1"/>
  <c r="C22" i="1"/>
  <c r="AL23" i="2"/>
  <c r="AM23" i="2" s="1"/>
  <c r="AN23" i="2" s="1"/>
  <c r="AO23" i="2" s="1"/>
  <c r="D4" i="5"/>
  <c r="D3" i="5"/>
  <c r="R156" i="3" l="1"/>
  <c r="R167" i="3"/>
  <c r="S10" i="3"/>
  <c r="S11" i="3" s="1"/>
  <c r="AR7" i="3"/>
  <c r="AQ8" i="3"/>
  <c r="S9" i="3"/>
  <c r="T6" i="3"/>
  <c r="O133" i="4"/>
  <c r="N150" i="4"/>
  <c r="D5" i="5"/>
  <c r="R19" i="2"/>
  <c r="Q30" i="2"/>
  <c r="Q20" i="2" s="1"/>
  <c r="AN2" i="2"/>
  <c r="AF7" i="4"/>
  <c r="AF18" i="4"/>
  <c r="AP23" i="2"/>
  <c r="S156" i="3" l="1"/>
  <c r="S167" i="3"/>
  <c r="T10" i="3"/>
  <c r="T11" i="3" s="1"/>
  <c r="AS7" i="3"/>
  <c r="AR8" i="3"/>
  <c r="T9" i="3"/>
  <c r="U6" i="3"/>
  <c r="E33" i="8"/>
  <c r="P133" i="4"/>
  <c r="O150" i="4"/>
  <c r="S19" i="2"/>
  <c r="R30" i="2"/>
  <c r="R20" i="2" s="1"/>
  <c r="P22" i="2"/>
  <c r="Q22" i="2"/>
  <c r="AO2" i="2"/>
  <c r="AG18" i="4"/>
  <c r="AG7" i="4"/>
  <c r="AQ23" i="2"/>
  <c r="T167" i="3" l="1"/>
  <c r="T156" i="3"/>
  <c r="U10" i="3"/>
  <c r="U11" i="3" s="1"/>
  <c r="AT7" i="3"/>
  <c r="AS8" i="3"/>
  <c r="U9" i="3"/>
  <c r="V6" i="3"/>
  <c r="Q133" i="4"/>
  <c r="P150" i="4"/>
  <c r="T19" i="2"/>
  <c r="S30" i="2"/>
  <c r="S20" i="2" s="1"/>
  <c r="F33" i="8"/>
  <c r="AP2" i="2"/>
  <c r="AH18" i="4"/>
  <c r="AH7" i="4"/>
  <c r="R22" i="2"/>
  <c r="AR23" i="2"/>
  <c r="U167" i="3" l="1"/>
  <c r="U156" i="3"/>
  <c r="V10" i="3"/>
  <c r="V11" i="3" s="1"/>
  <c r="AU7" i="3"/>
  <c r="AT8" i="3"/>
  <c r="V9" i="3"/>
  <c r="W6" i="3"/>
  <c r="G33" i="8"/>
  <c r="R133" i="4"/>
  <c r="Q150" i="4"/>
  <c r="U19" i="2"/>
  <c r="T30" i="2"/>
  <c r="T20" i="2" s="1"/>
  <c r="AQ2" i="2"/>
  <c r="AI18" i="4"/>
  <c r="AI7" i="4"/>
  <c r="S22" i="2"/>
  <c r="AS23" i="2"/>
  <c r="V167" i="3" l="1"/>
  <c r="V156" i="3"/>
  <c r="W10" i="3"/>
  <c r="W11" i="3" s="1"/>
  <c r="AV7" i="3"/>
  <c r="AU8" i="3"/>
  <c r="W9" i="3"/>
  <c r="X6" i="3"/>
  <c r="H33" i="8"/>
  <c r="S133" i="4"/>
  <c r="R150" i="4"/>
  <c r="V19" i="2"/>
  <c r="U30" i="2"/>
  <c r="U20" i="2" s="1"/>
  <c r="I33" i="8"/>
  <c r="T22" i="2"/>
  <c r="AR2" i="2"/>
  <c r="AJ18" i="4"/>
  <c r="AJ7" i="4"/>
  <c r="AT23" i="2"/>
  <c r="W156" i="3" l="1"/>
  <c r="W167" i="3"/>
  <c r="X10" i="3"/>
  <c r="X11" i="3" s="1"/>
  <c r="AW7" i="3"/>
  <c r="AV8" i="3"/>
  <c r="X9" i="3"/>
  <c r="Y6" i="3"/>
  <c r="T133" i="4"/>
  <c r="S150" i="4"/>
  <c r="W19" i="2"/>
  <c r="V30" i="2"/>
  <c r="V20" i="2" s="1"/>
  <c r="AS2" i="2"/>
  <c r="AK18" i="4"/>
  <c r="AK7" i="4"/>
  <c r="U22" i="2"/>
  <c r="AU23" i="2"/>
  <c r="X156" i="3" l="1"/>
  <c r="X167" i="3"/>
  <c r="Y10" i="3"/>
  <c r="Y11" i="3" s="1"/>
  <c r="AX7" i="3"/>
  <c r="AW8" i="3"/>
  <c r="Y9" i="3"/>
  <c r="Z6" i="3"/>
  <c r="J33" i="8"/>
  <c r="U133" i="4"/>
  <c r="T150" i="4"/>
  <c r="X19" i="2"/>
  <c r="W30" i="2"/>
  <c r="W20" i="2" s="1"/>
  <c r="AT2" i="2"/>
  <c r="AL18" i="4"/>
  <c r="AL7" i="4"/>
  <c r="V22" i="2"/>
  <c r="AV23" i="2"/>
  <c r="Y167" i="3" l="1"/>
  <c r="Y156" i="3"/>
  <c r="Z10" i="3"/>
  <c r="Z11" i="3" s="1"/>
  <c r="AY7" i="3"/>
  <c r="AX8" i="3"/>
  <c r="Z9" i="3"/>
  <c r="AA6" i="3"/>
  <c r="K33" i="8"/>
  <c r="V133" i="4"/>
  <c r="U150" i="4"/>
  <c r="Y19" i="2"/>
  <c r="X30" i="2"/>
  <c r="X20" i="2" s="1"/>
  <c r="AU2" i="2"/>
  <c r="AM18" i="4"/>
  <c r="AM7" i="4"/>
  <c r="W22" i="2"/>
  <c r="AW23" i="2"/>
  <c r="Z167" i="3" l="1"/>
  <c r="Z156" i="3"/>
  <c r="AA10" i="3"/>
  <c r="AA11" i="3" s="1"/>
  <c r="AZ7" i="3"/>
  <c r="AY8" i="3"/>
  <c r="AA9" i="3"/>
  <c r="AB6" i="3"/>
  <c r="L33" i="8"/>
  <c r="W133" i="4"/>
  <c r="V150" i="4"/>
  <c r="Z19" i="2"/>
  <c r="Y30" i="2"/>
  <c r="Y20" i="2" s="1"/>
  <c r="X22" i="2"/>
  <c r="AV2" i="2"/>
  <c r="AN18" i="4"/>
  <c r="AN7" i="4"/>
  <c r="AX23" i="2"/>
  <c r="AA156" i="3" l="1"/>
  <c r="AA167" i="3"/>
  <c r="AB10" i="3"/>
  <c r="AB11" i="3" s="1"/>
  <c r="BA7" i="3"/>
  <c r="BA8" i="3" s="1"/>
  <c r="AZ8" i="3"/>
  <c r="AB9" i="3"/>
  <c r="AC6" i="3"/>
  <c r="M33" i="8"/>
  <c r="X133" i="4"/>
  <c r="W150" i="4"/>
  <c r="AA19" i="2"/>
  <c r="Z30" i="2"/>
  <c r="Z20" i="2" s="1"/>
  <c r="Y22" i="2"/>
  <c r="AW2" i="2"/>
  <c r="AO18" i="4"/>
  <c r="AO7" i="4"/>
  <c r="AY23" i="2"/>
  <c r="AB156" i="3" l="1"/>
  <c r="AB167" i="3"/>
  <c r="AC10" i="3"/>
  <c r="AC11" i="3" s="1"/>
  <c r="AC9" i="3"/>
  <c r="AD6" i="3"/>
  <c r="N33" i="8"/>
  <c r="Y133" i="4"/>
  <c r="X150" i="4"/>
  <c r="AB19" i="2"/>
  <c r="AA30" i="2"/>
  <c r="AA20" i="2" s="1"/>
  <c r="AX2" i="2"/>
  <c r="AP7" i="4"/>
  <c r="AP18" i="4"/>
  <c r="Z22" i="2"/>
  <c r="AZ23" i="2"/>
  <c r="AC156" i="3" l="1"/>
  <c r="AC167" i="3"/>
  <c r="AD10" i="3"/>
  <c r="AD11" i="3" s="1"/>
  <c r="AD9" i="3"/>
  <c r="AE6" i="3"/>
  <c r="O33" i="8"/>
  <c r="Z133" i="4"/>
  <c r="Y150" i="4"/>
  <c r="AC19" i="2"/>
  <c r="AB30" i="2"/>
  <c r="AB20" i="2" s="1"/>
  <c r="AY2" i="2"/>
  <c r="AQ18" i="4"/>
  <c r="AQ7" i="4"/>
  <c r="AA22" i="2"/>
  <c r="BA23" i="2"/>
  <c r="AD156" i="3" l="1"/>
  <c r="AD167" i="3"/>
  <c r="AE10" i="3"/>
  <c r="AE11" i="3" s="1"/>
  <c r="AE9" i="3"/>
  <c r="AF6" i="3"/>
  <c r="P33" i="8"/>
  <c r="AA133" i="4"/>
  <c r="Z150" i="4"/>
  <c r="AD19" i="2"/>
  <c r="AC30" i="2"/>
  <c r="AC20" i="2" s="1"/>
  <c r="AZ2" i="2"/>
  <c r="AR7" i="4"/>
  <c r="AR18" i="4"/>
  <c r="AB22" i="2"/>
  <c r="BB23" i="2"/>
  <c r="AE156" i="3" l="1"/>
  <c r="AE167" i="3"/>
  <c r="AF10" i="3"/>
  <c r="AF11" i="3" s="1"/>
  <c r="AF9" i="3"/>
  <c r="AG6" i="3"/>
  <c r="Q33" i="8"/>
  <c r="AB133" i="4"/>
  <c r="AA150" i="4"/>
  <c r="AE19" i="2"/>
  <c r="AD30" i="2"/>
  <c r="AD20" i="2" s="1"/>
  <c r="BA2" i="2"/>
  <c r="AS18" i="4"/>
  <c r="AS7" i="4"/>
  <c r="AC22" i="2"/>
  <c r="BC23" i="2"/>
  <c r="AF156" i="3" l="1"/>
  <c r="AF167" i="3"/>
  <c r="AG10" i="3"/>
  <c r="AG11" i="3" s="1"/>
  <c r="AG9" i="3"/>
  <c r="AH6" i="3"/>
  <c r="R33" i="8"/>
  <c r="AC133" i="4"/>
  <c r="AB150" i="4"/>
  <c r="AF19" i="2"/>
  <c r="AE30" i="2"/>
  <c r="AE20" i="2" s="1"/>
  <c r="AD22" i="2"/>
  <c r="BB2" i="2"/>
  <c r="AT18" i="4"/>
  <c r="AT7" i="4"/>
  <c r="BD23" i="2"/>
  <c r="AG167" i="3" l="1"/>
  <c r="AG156" i="3"/>
  <c r="AH10" i="3"/>
  <c r="AH11" i="3" s="1"/>
  <c r="AH9" i="3"/>
  <c r="AI6" i="3"/>
  <c r="S33" i="8"/>
  <c r="AD133" i="4"/>
  <c r="AC150" i="4"/>
  <c r="AG19" i="2"/>
  <c r="AF30" i="2"/>
  <c r="AF20" i="2" s="1"/>
  <c r="AE22" i="2"/>
  <c r="BC2" i="2"/>
  <c r="AU18" i="4"/>
  <c r="AU7" i="4"/>
  <c r="BE23" i="2"/>
  <c r="AH156" i="3" l="1"/>
  <c r="AH167" i="3"/>
  <c r="AI10" i="3"/>
  <c r="AI11" i="3" s="1"/>
  <c r="AI9" i="3"/>
  <c r="AJ6" i="3"/>
  <c r="T33" i="8"/>
  <c r="AE133" i="4"/>
  <c r="AD150" i="4"/>
  <c r="AH19" i="2"/>
  <c r="AG30" i="2"/>
  <c r="AG20" i="2" s="1"/>
  <c r="U33" i="8"/>
  <c r="BD2" i="2"/>
  <c r="AV18" i="4"/>
  <c r="AV7" i="4"/>
  <c r="AF22" i="2"/>
  <c r="AI167" i="3" l="1"/>
  <c r="AI156" i="3"/>
  <c r="AJ10" i="3"/>
  <c r="AJ11" i="3" s="1"/>
  <c r="AJ9" i="3"/>
  <c r="AK6" i="3"/>
  <c r="AF133" i="4"/>
  <c r="AE150" i="4"/>
  <c r="AI19" i="2"/>
  <c r="AH30" i="2"/>
  <c r="AH20" i="2" s="1"/>
  <c r="AG22" i="2"/>
  <c r="BE2" i="2"/>
  <c r="AW7" i="4"/>
  <c r="AW18" i="4"/>
  <c r="AJ167" i="3" l="1"/>
  <c r="AJ156" i="3"/>
  <c r="AK10" i="3"/>
  <c r="AK11" i="3" s="1"/>
  <c r="AK9" i="3"/>
  <c r="AL6" i="3"/>
  <c r="V33" i="8"/>
  <c r="AG133" i="4"/>
  <c r="AF150" i="4"/>
  <c r="AJ19" i="2"/>
  <c r="AI30" i="2"/>
  <c r="AI20" i="2" s="1"/>
  <c r="AH22" i="2"/>
  <c r="AX18" i="4"/>
  <c r="AX7" i="4"/>
  <c r="AK156" i="3" l="1"/>
  <c r="AK167" i="3"/>
  <c r="AL10" i="3"/>
  <c r="AL11" i="3" s="1"/>
  <c r="AL9" i="3"/>
  <c r="AM6" i="3"/>
  <c r="W33" i="8"/>
  <c r="AH133" i="4"/>
  <c r="AG150" i="4"/>
  <c r="AK19" i="2"/>
  <c r="AJ30" i="2"/>
  <c r="AJ20" i="2" s="1"/>
  <c r="AI22" i="2"/>
  <c r="AL156" i="3" l="1"/>
  <c r="AL167" i="3"/>
  <c r="AM10" i="3"/>
  <c r="AM11" i="3" s="1"/>
  <c r="AM9" i="3"/>
  <c r="AN6" i="3"/>
  <c r="X33" i="8"/>
  <c r="AI133" i="4"/>
  <c r="AH150" i="4"/>
  <c r="AL19" i="2"/>
  <c r="AM19" i="2" s="1"/>
  <c r="AN19" i="2" s="1"/>
  <c r="AO19" i="2" s="1"/>
  <c r="AP19" i="2" s="1"/>
  <c r="AQ19" i="2" s="1"/>
  <c r="AR19" i="2" s="1"/>
  <c r="AS19" i="2" s="1"/>
  <c r="AT19" i="2" s="1"/>
  <c r="AU19" i="2" s="1"/>
  <c r="AV19" i="2" s="1"/>
  <c r="AW19" i="2" s="1"/>
  <c r="AX19" i="2" s="1"/>
  <c r="AY19" i="2" s="1"/>
  <c r="AZ19" i="2" s="1"/>
  <c r="BA19" i="2" s="1"/>
  <c r="BB19" i="2" s="1"/>
  <c r="BC19" i="2" s="1"/>
  <c r="BD19" i="2" s="1"/>
  <c r="BE19" i="2" s="1"/>
  <c r="AK30" i="2"/>
  <c r="AK20" i="2" s="1"/>
  <c r="AJ22" i="2"/>
  <c r="AM167" i="3" l="1"/>
  <c r="AM156" i="3"/>
  <c r="AN10" i="3"/>
  <c r="AN11" i="3" s="1"/>
  <c r="AN9" i="3"/>
  <c r="AO6" i="3"/>
  <c r="Y33" i="8"/>
  <c r="AJ133" i="4"/>
  <c r="AI150" i="4"/>
  <c r="AL20" i="2"/>
  <c r="AK22" i="2"/>
  <c r="AN167" i="3" l="1"/>
  <c r="AN156" i="3"/>
  <c r="AO10" i="3"/>
  <c r="AO11" i="3" s="1"/>
  <c r="AO9" i="3"/>
  <c r="AP6" i="3"/>
  <c r="Z33" i="8"/>
  <c r="AK133" i="4"/>
  <c r="AJ150" i="4"/>
  <c r="AM20" i="2"/>
  <c r="AL22" i="2"/>
  <c r="AO167" i="3" l="1"/>
  <c r="AO156" i="3"/>
  <c r="AP10" i="3"/>
  <c r="AP11" i="3" s="1"/>
  <c r="AP9" i="3"/>
  <c r="AQ6" i="3"/>
  <c r="AA33" i="8"/>
  <c r="AL133" i="4"/>
  <c r="AK150" i="4"/>
  <c r="AN20" i="2"/>
  <c r="AM22" i="2"/>
  <c r="AP167" i="3" l="1"/>
  <c r="AP156" i="3"/>
  <c r="AQ10" i="3"/>
  <c r="AQ11" i="3" s="1"/>
  <c r="AQ9" i="3"/>
  <c r="AR6" i="3"/>
  <c r="AB33" i="8"/>
  <c r="AM133" i="4"/>
  <c r="AL150" i="4"/>
  <c r="AO20" i="2"/>
  <c r="AN22" i="2"/>
  <c r="AQ156" i="3" l="1"/>
  <c r="AQ167" i="3"/>
  <c r="AR10" i="3"/>
  <c r="AR11" i="3" s="1"/>
  <c r="AR9" i="3"/>
  <c r="AS6" i="3"/>
  <c r="AC33" i="8"/>
  <c r="AN133" i="4"/>
  <c r="AM150" i="4"/>
  <c r="AP20" i="2"/>
  <c r="AO22" i="2"/>
  <c r="AR156" i="3" l="1"/>
  <c r="AR167" i="3"/>
  <c r="AS10" i="3"/>
  <c r="AS11" i="3" s="1"/>
  <c r="AS9" i="3"/>
  <c r="AT6" i="3"/>
  <c r="AD33" i="8"/>
  <c r="AO133" i="4"/>
  <c r="AN150" i="4"/>
  <c r="AQ20" i="2"/>
  <c r="AP22" i="2"/>
  <c r="AS156" i="3" l="1"/>
  <c r="AS167" i="3"/>
  <c r="AT10" i="3"/>
  <c r="AT11" i="3" s="1"/>
  <c r="AT9" i="3"/>
  <c r="AU6" i="3"/>
  <c r="AE33" i="8"/>
  <c r="AP133" i="4"/>
  <c r="AO150" i="4"/>
  <c r="AR20" i="2"/>
  <c r="AQ22" i="2"/>
  <c r="AT156" i="3" l="1"/>
  <c r="AT167" i="3"/>
  <c r="AU10" i="3"/>
  <c r="AU11" i="3" s="1"/>
  <c r="AU9" i="3"/>
  <c r="AV6" i="3"/>
  <c r="AF33" i="8"/>
  <c r="AQ133" i="4"/>
  <c r="AP150" i="4"/>
  <c r="AG33" i="8"/>
  <c r="AS20" i="2"/>
  <c r="AR22" i="2"/>
  <c r="AU156" i="3" l="1"/>
  <c r="AU167" i="3"/>
  <c r="AV10" i="3"/>
  <c r="AV11" i="3" s="1"/>
  <c r="AV9" i="3"/>
  <c r="AW6" i="3"/>
  <c r="AR133" i="4"/>
  <c r="AQ150" i="4"/>
  <c r="AH33" i="8"/>
  <c r="AT20" i="2"/>
  <c r="AS22" i="2"/>
  <c r="AV167" i="3" l="1"/>
  <c r="AV156" i="3"/>
  <c r="AW10" i="3"/>
  <c r="AW11" i="3" s="1"/>
  <c r="AW9" i="3"/>
  <c r="AX6" i="3"/>
  <c r="AS133" i="4"/>
  <c r="AR150" i="4"/>
  <c r="AU20" i="2"/>
  <c r="AT22" i="2"/>
  <c r="AW167" i="3" l="1"/>
  <c r="AW156" i="3"/>
  <c r="AX10" i="3"/>
  <c r="AX11" i="3" s="1"/>
  <c r="AX9" i="3"/>
  <c r="AY6" i="3"/>
  <c r="AI33" i="8"/>
  <c r="AT133" i="4"/>
  <c r="AS150" i="4"/>
  <c r="AV20" i="2"/>
  <c r="AU22" i="2"/>
  <c r="AX167" i="3" l="1"/>
  <c r="AX156" i="3"/>
  <c r="AY10" i="3"/>
  <c r="AY11" i="3" s="1"/>
  <c r="AY9" i="3"/>
  <c r="AZ6" i="3"/>
  <c r="AJ33" i="8"/>
  <c r="AU133" i="4"/>
  <c r="AT150" i="4"/>
  <c r="AW20" i="2"/>
  <c r="AV22" i="2"/>
  <c r="AY167" i="3" l="1"/>
  <c r="AY156" i="3"/>
  <c r="AZ10" i="3"/>
  <c r="AZ11" i="3" s="1"/>
  <c r="BA6" i="3"/>
  <c r="AZ9" i="3"/>
  <c r="AK33" i="8"/>
  <c r="AV133" i="4"/>
  <c r="AU150" i="4"/>
  <c r="AX20" i="2"/>
  <c r="AW22" i="2"/>
  <c r="AZ156" i="3" l="1"/>
  <c r="AZ167" i="3"/>
  <c r="BA10" i="3"/>
  <c r="BA11" i="3" s="1"/>
  <c r="BE3" i="7"/>
  <c r="BA9" i="3"/>
  <c r="AL33" i="8"/>
  <c r="AW133" i="4"/>
  <c r="AV150" i="4"/>
  <c r="AY20" i="2"/>
  <c r="AX22" i="2"/>
  <c r="BA156" i="3" l="1"/>
  <c r="BA167" i="3"/>
  <c r="AM33" i="8"/>
  <c r="AX133" i="4"/>
  <c r="AW150" i="4"/>
  <c r="AZ20" i="2"/>
  <c r="AY22" i="2"/>
  <c r="AN33" i="8" l="1"/>
  <c r="AY133" i="4"/>
  <c r="AX150" i="4"/>
  <c r="BA20" i="2"/>
  <c r="AZ22" i="2"/>
  <c r="AO33" i="8" l="1"/>
  <c r="AZ133" i="4"/>
  <c r="AY150" i="4"/>
  <c r="BB20" i="2"/>
  <c r="BA22" i="2"/>
  <c r="AP33" i="8" l="1"/>
  <c r="BA133" i="4"/>
  <c r="AZ150" i="4"/>
  <c r="BC20" i="2"/>
  <c r="BB22" i="2"/>
  <c r="AQ33" i="8" l="1"/>
  <c r="BB133" i="4"/>
  <c r="BA150" i="4"/>
  <c r="BD20" i="2"/>
  <c r="BC22" i="2"/>
  <c r="BB150" i="4" l="1"/>
  <c r="BC133" i="4"/>
  <c r="BC150" i="4" s="1"/>
  <c r="AR33" i="8"/>
  <c r="BE20" i="2"/>
  <c r="BE22" i="2" s="1"/>
  <c r="BD22" i="2"/>
  <c r="AS33" i="8" l="1"/>
  <c r="AT33" i="8" l="1"/>
  <c r="AU33" i="8"/>
  <c r="E50" i="4"/>
  <c r="E49" i="4"/>
  <c r="I5" i="2" a="1"/>
  <c r="I5" i="2" s="1"/>
  <c r="L4" i="2" s="1"/>
  <c r="M4" i="2" s="1"/>
  <c r="I6" i="2" a="1"/>
  <c r="I6" i="2" s="1"/>
  <c r="L5" i="2" s="1"/>
  <c r="M5" i="2" s="1"/>
  <c r="I7" i="2" a="1"/>
  <c r="I7" i="2" s="1"/>
  <c r="L6" i="2" s="1"/>
  <c r="M6" i="2" s="1"/>
  <c r="I8" i="2" a="1"/>
  <c r="I8" i="2" s="1"/>
  <c r="L7" i="2" s="1"/>
  <c r="M7" i="2" s="1"/>
  <c r="I9" i="2" a="1"/>
  <c r="I9" i="2" s="1"/>
  <c r="L8" i="2" s="1"/>
  <c r="M8" i="2" s="1"/>
  <c r="I10" i="2" a="1"/>
  <c r="I10" i="2" s="1"/>
  <c r="L9" i="2" s="1"/>
  <c r="M9" i="2" s="1"/>
  <c r="I11" i="2" a="1"/>
  <c r="I11" i="2" s="1"/>
  <c r="L10" i="2" s="1"/>
  <c r="M10" i="2" s="1"/>
  <c r="I12" i="2" a="1"/>
  <c r="I12" i="2" s="1"/>
  <c r="L11" i="2" s="1"/>
  <c r="M11" i="2" s="1"/>
  <c r="I13" i="2" a="1"/>
  <c r="I13" i="2" s="1"/>
  <c r="L12" i="2" s="1"/>
  <c r="M12" i="2" s="1"/>
  <c r="I4" i="2" a="1"/>
  <c r="I4" i="2" s="1"/>
  <c r="L3" i="2" s="1"/>
  <c r="M3" i="2" s="1"/>
  <c r="F91" i="7"/>
  <c r="F78" i="7"/>
  <c r="A19" i="1" l="1"/>
  <c r="B33" i="8"/>
  <c r="A18" i="1"/>
  <c r="N3" i="7"/>
  <c r="J10" i="7"/>
  <c r="J11" i="7"/>
  <c r="J12" i="7"/>
  <c r="J13" i="7"/>
  <c r="J14" i="7"/>
  <c r="J15" i="7"/>
  <c r="J16" i="7"/>
  <c r="J21" i="7"/>
  <c r="J23" i="7"/>
  <c r="J24" i="7"/>
  <c r="J20" i="7"/>
  <c r="J22" i="7"/>
  <c r="J25" i="7"/>
  <c r="J26" i="7"/>
  <c r="J32" i="7"/>
  <c r="J34" i="7"/>
  <c r="J35" i="7"/>
  <c r="J33" i="7"/>
  <c r="J36" i="7"/>
  <c r="J37" i="7"/>
  <c r="J44" i="7"/>
  <c r="J41" i="7"/>
  <c r="J42" i="7"/>
  <c r="J43" i="7"/>
  <c r="J45" i="7"/>
  <c r="J46" i="7"/>
  <c r="J79" i="7"/>
  <c r="J86" i="7"/>
  <c r="J87" i="7"/>
  <c r="J78" i="7"/>
  <c r="J81" i="7"/>
  <c r="J83" i="7"/>
  <c r="J85" i="7"/>
  <c r="J88" i="7"/>
  <c r="J80" i="7"/>
  <c r="J82" i="7"/>
  <c r="J84" i="7"/>
  <c r="J100" i="7"/>
  <c r="J94" i="7"/>
  <c r="J96" i="7"/>
  <c r="J98" i="7"/>
  <c r="J101" i="7"/>
  <c r="J91" i="7"/>
  <c r="J92" i="7"/>
  <c r="J93" i="7"/>
  <c r="J95" i="7"/>
  <c r="J97" i="7"/>
  <c r="J99" i="7"/>
  <c r="J105" i="7"/>
  <c r="J106" i="7"/>
  <c r="J107" i="7"/>
  <c r="J108" i="7"/>
  <c r="J109" i="7"/>
  <c r="J111" i="7"/>
  <c r="J112" i="7"/>
  <c r="J114" i="7"/>
  <c r="J110" i="7"/>
  <c r="J115" i="7"/>
  <c r="J113" i="7"/>
  <c r="J119" i="7"/>
  <c r="J126" i="7"/>
  <c r="J121" i="7"/>
  <c r="J122" i="7"/>
  <c r="J124" i="7"/>
  <c r="J127" i="7"/>
  <c r="J128" i="7"/>
  <c r="J120" i="7"/>
  <c r="J123" i="7"/>
  <c r="J125" i="7"/>
  <c r="J129" i="7"/>
  <c r="J160" i="7"/>
  <c r="J157" i="7"/>
  <c r="I119" i="7"/>
  <c r="I126" i="7"/>
  <c r="I125" i="7"/>
  <c r="I127" i="7"/>
  <c r="I123" i="7"/>
  <c r="I124" i="7"/>
  <c r="I128" i="7"/>
  <c r="I121" i="7"/>
  <c r="I129" i="7"/>
  <c r="I120" i="7"/>
  <c r="I122" i="7"/>
  <c r="I105" i="7"/>
  <c r="I106" i="7"/>
  <c r="I108" i="7"/>
  <c r="I110" i="7"/>
  <c r="I112" i="7"/>
  <c r="I115" i="7"/>
  <c r="I111" i="7"/>
  <c r="I113" i="7"/>
  <c r="I114" i="7"/>
  <c r="I109" i="7"/>
  <c r="I107" i="7"/>
  <c r="F28" i="4"/>
  <c r="F17" i="4"/>
  <c r="N12" i="2"/>
  <c r="F27" i="4"/>
  <c r="F16" i="4"/>
  <c r="N11" i="2"/>
  <c r="F26" i="4"/>
  <c r="F15" i="4"/>
  <c r="N10" i="2"/>
  <c r="F25" i="4"/>
  <c r="F14" i="4"/>
  <c r="N9" i="2"/>
  <c r="F13" i="4"/>
  <c r="F24" i="4"/>
  <c r="N8" i="2"/>
  <c r="F23" i="4"/>
  <c r="F12" i="4"/>
  <c r="N7" i="2"/>
  <c r="F22" i="4"/>
  <c r="F11" i="4"/>
  <c r="N6" i="2"/>
  <c r="F21" i="4"/>
  <c r="F10" i="4"/>
  <c r="N5" i="2"/>
  <c r="F20" i="4"/>
  <c r="F9" i="4"/>
  <c r="N4" i="2"/>
  <c r="F19" i="4"/>
  <c r="F8" i="4"/>
  <c r="N3" i="2"/>
  <c r="A16" i="1"/>
  <c r="H141" i="7"/>
  <c r="H149" i="7"/>
  <c r="H47" i="7"/>
  <c r="H27" i="7"/>
  <c r="H116" i="7"/>
  <c r="H130" i="7" s="1"/>
  <c r="H38" i="7"/>
  <c r="H17" i="7"/>
  <c r="F37" i="4" l="1"/>
  <c r="F38" i="4"/>
  <c r="O3" i="7"/>
  <c r="O6" i="2"/>
  <c r="G22" i="4"/>
  <c r="G11" i="4"/>
  <c r="G26" i="4"/>
  <c r="G15" i="4"/>
  <c r="O10" i="2"/>
  <c r="O3" i="2"/>
  <c r="G19" i="4"/>
  <c r="G8" i="4"/>
  <c r="G23" i="4"/>
  <c r="G12" i="4"/>
  <c r="O7" i="2"/>
  <c r="G27" i="4"/>
  <c r="G16" i="4"/>
  <c r="O11" i="2"/>
  <c r="F29" i="4"/>
  <c r="F30" i="4"/>
  <c r="G20" i="4"/>
  <c r="G9" i="4"/>
  <c r="O4" i="2"/>
  <c r="G24" i="4"/>
  <c r="G13" i="4"/>
  <c r="O8" i="2"/>
  <c r="O12" i="2"/>
  <c r="G28" i="4"/>
  <c r="G17" i="4"/>
  <c r="G10" i="4"/>
  <c r="G21" i="4"/>
  <c r="O5" i="2"/>
  <c r="O9" i="2"/>
  <c r="G25" i="4"/>
  <c r="G14" i="4"/>
  <c r="F35" i="4" l="1"/>
  <c r="F51" i="4" s="1"/>
  <c r="F34" i="4"/>
  <c r="F44" i="4" s="1"/>
  <c r="G37" i="4"/>
  <c r="G38" i="4"/>
  <c r="P3" i="7"/>
  <c r="H20" i="4"/>
  <c r="H9" i="4"/>
  <c r="P4" i="2"/>
  <c r="G29" i="4"/>
  <c r="G34" i="4" s="1"/>
  <c r="P9" i="2"/>
  <c r="H25" i="4"/>
  <c r="H14" i="4"/>
  <c r="G30" i="4"/>
  <c r="G35" i="4" s="1"/>
  <c r="P5" i="2"/>
  <c r="H10" i="4"/>
  <c r="H21" i="4"/>
  <c r="P3" i="2"/>
  <c r="H8" i="4"/>
  <c r="H19" i="4"/>
  <c r="H26" i="4"/>
  <c r="H15" i="4"/>
  <c r="P10" i="2"/>
  <c r="H23" i="4"/>
  <c r="H12" i="4"/>
  <c r="P7" i="2"/>
  <c r="P11" i="2"/>
  <c r="H16" i="4"/>
  <c r="H27" i="4"/>
  <c r="P12" i="2"/>
  <c r="H17" i="4"/>
  <c r="H28" i="4"/>
  <c r="P8" i="2"/>
  <c r="H13" i="4"/>
  <c r="H24" i="4"/>
  <c r="P6" i="2"/>
  <c r="H22" i="4"/>
  <c r="H11" i="4"/>
  <c r="H38" i="4" l="1"/>
  <c r="H37" i="4"/>
  <c r="G44" i="4"/>
  <c r="G51" i="4"/>
  <c r="Q3" i="7"/>
  <c r="Q11" i="2"/>
  <c r="I27" i="4"/>
  <c r="I16" i="4"/>
  <c r="Q5" i="2"/>
  <c r="I21" i="4"/>
  <c r="I10" i="4"/>
  <c r="Q7" i="2"/>
  <c r="I23" i="4"/>
  <c r="I12" i="4"/>
  <c r="Q6" i="2"/>
  <c r="I22" i="4"/>
  <c r="I11" i="4"/>
  <c r="Q10" i="2"/>
  <c r="I26" i="4"/>
  <c r="I15" i="4"/>
  <c r="Q9" i="2"/>
  <c r="I25" i="4"/>
  <c r="I14" i="4"/>
  <c r="Q8" i="2"/>
  <c r="I24" i="4"/>
  <c r="I13" i="4"/>
  <c r="H30" i="4"/>
  <c r="H35" i="4" s="1"/>
  <c r="H29" i="4"/>
  <c r="H34" i="4" s="1"/>
  <c r="Q4" i="2"/>
  <c r="I20" i="4"/>
  <c r="I9" i="4"/>
  <c r="Q12" i="2"/>
  <c r="I28" i="4"/>
  <c r="I17" i="4"/>
  <c r="Q3" i="2"/>
  <c r="I19" i="4"/>
  <c r="I8" i="4"/>
  <c r="I38" i="4" l="1"/>
  <c r="I37" i="4"/>
  <c r="H51" i="4"/>
  <c r="H44" i="4"/>
  <c r="R3" i="7"/>
  <c r="R6" i="2"/>
  <c r="J11" i="4"/>
  <c r="J22" i="4"/>
  <c r="I30" i="4"/>
  <c r="I35" i="4" s="1"/>
  <c r="R7" i="2"/>
  <c r="J23" i="4"/>
  <c r="J12" i="4"/>
  <c r="R12" i="2"/>
  <c r="J28" i="4"/>
  <c r="J17" i="4"/>
  <c r="R9" i="2"/>
  <c r="J14" i="4"/>
  <c r="J25" i="4"/>
  <c r="R5" i="2"/>
  <c r="J21" i="4"/>
  <c r="J10" i="4"/>
  <c r="I29" i="4"/>
  <c r="I34" i="4" s="1"/>
  <c r="R8" i="2"/>
  <c r="J24" i="4"/>
  <c r="J13" i="4"/>
  <c r="R4" i="2"/>
  <c r="J20" i="4"/>
  <c r="J9" i="4"/>
  <c r="R3" i="2"/>
  <c r="J8" i="4"/>
  <c r="J19" i="4"/>
  <c r="R10" i="2"/>
  <c r="J26" i="4"/>
  <c r="J15" i="4"/>
  <c r="R11" i="2"/>
  <c r="J27" i="4"/>
  <c r="J16" i="4"/>
  <c r="J37" i="4" l="1"/>
  <c r="J38" i="4"/>
  <c r="I51" i="4"/>
  <c r="I44" i="4"/>
  <c r="S3" i="7"/>
  <c r="S12" i="2"/>
  <c r="K28" i="4"/>
  <c r="K17" i="4"/>
  <c r="S7" i="2"/>
  <c r="K23" i="4"/>
  <c r="K12" i="4"/>
  <c r="S11" i="2"/>
  <c r="K27" i="4"/>
  <c r="K16" i="4"/>
  <c r="S8" i="2"/>
  <c r="K24" i="4"/>
  <c r="K13" i="4"/>
  <c r="S9" i="2"/>
  <c r="K25" i="4"/>
  <c r="K14" i="4"/>
  <c r="S10" i="2"/>
  <c r="K26" i="4"/>
  <c r="K15" i="4"/>
  <c r="S5" i="2"/>
  <c r="K21" i="4"/>
  <c r="K10" i="4"/>
  <c r="S3" i="2"/>
  <c r="K8" i="4"/>
  <c r="K19" i="4"/>
  <c r="S4" i="2"/>
  <c r="K20" i="4"/>
  <c r="K9" i="4"/>
  <c r="J30" i="4"/>
  <c r="J35" i="4" s="1"/>
  <c r="J29" i="4"/>
  <c r="J34" i="4" s="1"/>
  <c r="S6" i="2"/>
  <c r="K22" i="4"/>
  <c r="K11" i="4"/>
  <c r="K37" i="4" l="1"/>
  <c r="K38" i="4"/>
  <c r="J44" i="4"/>
  <c r="J51" i="4"/>
  <c r="T3" i="7"/>
  <c r="T6" i="2"/>
  <c r="L11" i="4"/>
  <c r="L22" i="4"/>
  <c r="K30" i="4"/>
  <c r="K35" i="4" s="1"/>
  <c r="T3" i="2"/>
  <c r="L8" i="4"/>
  <c r="L19" i="4"/>
  <c r="L27" i="4"/>
  <c r="L16" i="4"/>
  <c r="T11" i="2"/>
  <c r="T5" i="2"/>
  <c r="L21" i="4"/>
  <c r="L10" i="4"/>
  <c r="T7" i="2"/>
  <c r="L23" i="4"/>
  <c r="L12" i="4"/>
  <c r="L24" i="4"/>
  <c r="L13" i="4"/>
  <c r="T8" i="2"/>
  <c r="K29" i="4"/>
  <c r="K34" i="4" s="1"/>
  <c r="T10" i="2"/>
  <c r="L26" i="4"/>
  <c r="L15" i="4"/>
  <c r="T4" i="2"/>
  <c r="L9" i="4"/>
  <c r="L20" i="4"/>
  <c r="T9" i="2"/>
  <c r="L14" i="4"/>
  <c r="L25" i="4"/>
  <c r="T12" i="2"/>
  <c r="L17" i="4"/>
  <c r="L28" i="4"/>
  <c r="L37" i="4" l="1"/>
  <c r="L38" i="4"/>
  <c r="K51" i="4"/>
  <c r="K44" i="4"/>
  <c r="U3" i="7"/>
  <c r="U11" i="2"/>
  <c r="M27" i="4"/>
  <c r="M16" i="4"/>
  <c r="L29" i="4"/>
  <c r="L34" i="4" s="1"/>
  <c r="U3" i="2"/>
  <c r="M19" i="4"/>
  <c r="M8" i="4"/>
  <c r="U5" i="2"/>
  <c r="M21" i="4"/>
  <c r="M10" i="4"/>
  <c r="U12" i="2"/>
  <c r="M28" i="4"/>
  <c r="M17" i="4"/>
  <c r="U10" i="2"/>
  <c r="M26" i="4"/>
  <c r="M15" i="4"/>
  <c r="U8" i="2"/>
  <c r="M24" i="4"/>
  <c r="M13" i="4"/>
  <c r="L30" i="4"/>
  <c r="L35" i="4" s="1"/>
  <c r="U9" i="2"/>
  <c r="M25" i="4"/>
  <c r="M14" i="4"/>
  <c r="U4" i="2"/>
  <c r="M20" i="4"/>
  <c r="M9" i="4"/>
  <c r="U7" i="2"/>
  <c r="M23" i="4"/>
  <c r="M12" i="4"/>
  <c r="U6" i="2"/>
  <c r="M22" i="4"/>
  <c r="M11" i="4"/>
  <c r="M38" i="4" l="1"/>
  <c r="M37" i="4"/>
  <c r="L51" i="4"/>
  <c r="L44" i="4"/>
  <c r="V3" i="7"/>
  <c r="M29" i="4"/>
  <c r="M34" i="4" s="1"/>
  <c r="M30" i="4"/>
  <c r="M35" i="4" s="1"/>
  <c r="V8" i="2"/>
  <c r="N24" i="4"/>
  <c r="N13" i="4"/>
  <c r="V3" i="2"/>
  <c r="N19" i="4"/>
  <c r="N8" i="4"/>
  <c r="V7" i="2"/>
  <c r="N12" i="4"/>
  <c r="N23" i="4"/>
  <c r="V10" i="2"/>
  <c r="N15" i="4"/>
  <c r="N26" i="4"/>
  <c r="V12" i="2"/>
  <c r="N17" i="4"/>
  <c r="N28" i="4"/>
  <c r="V6" i="2"/>
  <c r="N22" i="4"/>
  <c r="N11" i="4"/>
  <c r="V9" i="2"/>
  <c r="N25" i="4"/>
  <c r="N14" i="4"/>
  <c r="V5" i="2"/>
  <c r="N21" i="4"/>
  <c r="N10" i="4"/>
  <c r="V4" i="2"/>
  <c r="N9" i="4"/>
  <c r="N20" i="4"/>
  <c r="V11" i="2"/>
  <c r="N27" i="4"/>
  <c r="N16" i="4"/>
  <c r="N37" i="4" l="1"/>
  <c r="N38" i="4"/>
  <c r="M44" i="4"/>
  <c r="M51" i="4"/>
  <c r="W3" i="7"/>
  <c r="N30" i="4"/>
  <c r="N35" i="4" s="1"/>
  <c r="W9" i="2"/>
  <c r="O25" i="4"/>
  <c r="O14" i="4"/>
  <c r="N29" i="4"/>
  <c r="N34" i="4" s="1"/>
  <c r="W4" i="2"/>
  <c r="O20" i="4"/>
  <c r="O9" i="4"/>
  <c r="W12" i="2"/>
  <c r="O28" i="4"/>
  <c r="O17" i="4"/>
  <c r="W8" i="2"/>
  <c r="O24" i="4"/>
  <c r="O13" i="4"/>
  <c r="W3" i="2"/>
  <c r="O19" i="4"/>
  <c r="O8" i="4"/>
  <c r="W6" i="2"/>
  <c r="O22" i="4"/>
  <c r="O11" i="4"/>
  <c r="W7" i="2"/>
  <c r="O23" i="4"/>
  <c r="O12" i="4"/>
  <c r="W5" i="2"/>
  <c r="O21" i="4"/>
  <c r="O10" i="4"/>
  <c r="W11" i="2"/>
  <c r="O27" i="4"/>
  <c r="O16" i="4"/>
  <c r="W10" i="2"/>
  <c r="O15" i="4"/>
  <c r="O26" i="4"/>
  <c r="O37" i="4" l="1"/>
  <c r="O38" i="4"/>
  <c r="N51" i="4"/>
  <c r="N44" i="4"/>
  <c r="X3" i="7"/>
  <c r="X4" i="2"/>
  <c r="P9" i="4"/>
  <c r="P20" i="4"/>
  <c r="P28" i="4"/>
  <c r="P17" i="4"/>
  <c r="X12" i="2"/>
  <c r="O30" i="4"/>
  <c r="O35" i="4" s="1"/>
  <c r="X10" i="2"/>
  <c r="P15" i="4"/>
  <c r="P26" i="4"/>
  <c r="X11" i="2"/>
  <c r="P27" i="4"/>
  <c r="P16" i="4"/>
  <c r="X3" i="2"/>
  <c r="P19" i="4"/>
  <c r="P8" i="4"/>
  <c r="O29" i="4"/>
  <c r="O34" i="4" s="1"/>
  <c r="P25" i="4"/>
  <c r="P14" i="4"/>
  <c r="X9" i="2"/>
  <c r="X7" i="2"/>
  <c r="P12" i="4"/>
  <c r="P23" i="4"/>
  <c r="X5" i="2"/>
  <c r="P21" i="4"/>
  <c r="P10" i="4"/>
  <c r="X8" i="2"/>
  <c r="P13" i="4"/>
  <c r="P24" i="4"/>
  <c r="X6" i="2"/>
  <c r="P22" i="4"/>
  <c r="P11" i="4"/>
  <c r="P38" i="4" l="1"/>
  <c r="P37" i="4"/>
  <c r="O51" i="4"/>
  <c r="O44" i="4"/>
  <c r="Y3" i="7"/>
  <c r="Y10" i="2"/>
  <c r="Q26" i="4"/>
  <c r="Q15" i="4"/>
  <c r="Y7" i="2"/>
  <c r="Q23" i="4"/>
  <c r="Q12" i="4"/>
  <c r="Y12" i="2"/>
  <c r="Q17" i="4"/>
  <c r="Q28" i="4"/>
  <c r="Y9" i="2"/>
  <c r="Q25" i="4"/>
  <c r="Q14" i="4"/>
  <c r="Y8" i="2"/>
  <c r="Q24" i="4"/>
  <c r="Q13" i="4"/>
  <c r="P30" i="4"/>
  <c r="P35" i="4" s="1"/>
  <c r="Y11" i="2"/>
  <c r="Q27" i="4"/>
  <c r="Q16" i="4"/>
  <c r="Y3" i="2"/>
  <c r="Q19" i="4"/>
  <c r="Q8" i="4"/>
  <c r="Y6" i="2"/>
  <c r="Q11" i="4"/>
  <c r="Q22" i="4"/>
  <c r="P29" i="4"/>
  <c r="P34" i="4" s="1"/>
  <c r="Y5" i="2"/>
  <c r="Q21" i="4"/>
  <c r="Q10" i="4"/>
  <c r="Y4" i="2"/>
  <c r="Q20" i="4"/>
  <c r="Q9" i="4"/>
  <c r="Q37" i="4" l="1"/>
  <c r="Q38" i="4"/>
  <c r="P51" i="4"/>
  <c r="P44" i="4"/>
  <c r="Z3" i="7"/>
  <c r="Q30" i="4"/>
  <c r="Q35" i="4" s="1"/>
  <c r="Z9" i="2"/>
  <c r="R25" i="4"/>
  <c r="R14" i="4"/>
  <c r="Z3" i="2"/>
  <c r="R19" i="4"/>
  <c r="R8" i="4"/>
  <c r="Z4" i="2"/>
  <c r="R9" i="4"/>
  <c r="R20" i="4"/>
  <c r="Z12" i="2"/>
  <c r="R28" i="4"/>
  <c r="R17" i="4"/>
  <c r="Q29" i="4"/>
  <c r="Q34" i="4" s="1"/>
  <c r="Z11" i="2"/>
  <c r="R16" i="4"/>
  <c r="R27" i="4"/>
  <c r="Z5" i="2"/>
  <c r="R10" i="4"/>
  <c r="R21" i="4"/>
  <c r="Z6" i="2"/>
  <c r="R22" i="4"/>
  <c r="R11" i="4"/>
  <c r="Z7" i="2"/>
  <c r="R23" i="4"/>
  <c r="R12" i="4"/>
  <c r="Z8" i="2"/>
  <c r="R13" i="4"/>
  <c r="R24" i="4"/>
  <c r="Z10" i="2"/>
  <c r="R15" i="4"/>
  <c r="R26" i="4"/>
  <c r="R38" i="4" l="1"/>
  <c r="R37" i="4"/>
  <c r="Q51" i="4"/>
  <c r="Q44" i="4"/>
  <c r="AA3" i="7"/>
  <c r="AA12" i="2"/>
  <c r="S28" i="4"/>
  <c r="S17" i="4"/>
  <c r="AA4" i="2"/>
  <c r="S20" i="4"/>
  <c r="S9" i="4"/>
  <c r="AA6" i="2"/>
  <c r="S22" i="4"/>
  <c r="S11" i="4"/>
  <c r="AA10" i="2"/>
  <c r="S26" i="4"/>
  <c r="S15" i="4"/>
  <c r="AA5" i="2"/>
  <c r="S21" i="4"/>
  <c r="S10" i="4"/>
  <c r="R29" i="4"/>
  <c r="R34" i="4" s="1"/>
  <c r="R30" i="4"/>
  <c r="R35" i="4" s="1"/>
  <c r="AA3" i="2"/>
  <c r="S19" i="4"/>
  <c r="S8" i="4"/>
  <c r="AA8" i="2"/>
  <c r="S13" i="4"/>
  <c r="S24" i="4"/>
  <c r="AA11" i="2"/>
  <c r="S27" i="4"/>
  <c r="S16" i="4"/>
  <c r="AA9" i="2"/>
  <c r="S25" i="4"/>
  <c r="S14" i="4"/>
  <c r="AA7" i="2"/>
  <c r="S23" i="4"/>
  <c r="S12" i="4"/>
  <c r="S38" i="4" l="1"/>
  <c r="S37" i="4"/>
  <c r="R51" i="4"/>
  <c r="R44" i="4"/>
  <c r="AB3" i="7"/>
  <c r="S29" i="4"/>
  <c r="S34" i="4" s="1"/>
  <c r="AB10" i="2"/>
  <c r="T26" i="4"/>
  <c r="T15" i="4"/>
  <c r="S30" i="4"/>
  <c r="S35" i="4" s="1"/>
  <c r="AB6" i="2"/>
  <c r="T11" i="4"/>
  <c r="T22" i="4"/>
  <c r="AB8" i="2"/>
  <c r="T13" i="4"/>
  <c r="T24" i="4"/>
  <c r="AB3" i="2"/>
  <c r="T19" i="4"/>
  <c r="T8" i="4"/>
  <c r="AB9" i="2"/>
  <c r="T25" i="4"/>
  <c r="T14" i="4"/>
  <c r="AB4" i="2"/>
  <c r="T20" i="4"/>
  <c r="T9" i="4"/>
  <c r="T23" i="4"/>
  <c r="T12" i="4"/>
  <c r="AB7" i="2"/>
  <c r="AB11" i="2"/>
  <c r="T16" i="4"/>
  <c r="T27" i="4"/>
  <c r="AB5" i="2"/>
  <c r="T10" i="4"/>
  <c r="T21" i="4"/>
  <c r="AB12" i="2"/>
  <c r="T28" i="4"/>
  <c r="T17" i="4"/>
  <c r="T37" i="4" l="1"/>
  <c r="T38" i="4"/>
  <c r="S44" i="4"/>
  <c r="S51" i="4"/>
  <c r="AC3" i="7"/>
  <c r="AC6" i="2"/>
  <c r="U22" i="4"/>
  <c r="U11" i="4"/>
  <c r="AC4" i="2"/>
  <c r="U9" i="4"/>
  <c r="U20" i="4"/>
  <c r="AC9" i="2"/>
  <c r="U25" i="4"/>
  <c r="U14" i="4"/>
  <c r="AC12" i="2"/>
  <c r="U28" i="4"/>
  <c r="U17" i="4"/>
  <c r="T30" i="4"/>
  <c r="T35" i="4" s="1"/>
  <c r="AC10" i="2"/>
  <c r="U26" i="4"/>
  <c r="U15" i="4"/>
  <c r="AC5" i="2"/>
  <c r="U21" i="4"/>
  <c r="U10" i="4"/>
  <c r="T29" i="4"/>
  <c r="T34" i="4" s="1"/>
  <c r="AC11" i="2"/>
  <c r="U27" i="4"/>
  <c r="U16" i="4"/>
  <c r="AC3" i="2"/>
  <c r="U19" i="4"/>
  <c r="U8" i="4"/>
  <c r="AC8" i="2"/>
  <c r="U24" i="4"/>
  <c r="U13" i="4"/>
  <c r="AC7" i="2"/>
  <c r="U23" i="4"/>
  <c r="U12" i="4"/>
  <c r="U38" i="4" l="1"/>
  <c r="U37" i="4"/>
  <c r="T51" i="4"/>
  <c r="T44" i="4"/>
  <c r="AD3" i="7"/>
  <c r="AD11" i="2"/>
  <c r="V27" i="4"/>
  <c r="V16" i="4"/>
  <c r="AD12" i="2"/>
  <c r="V28" i="4"/>
  <c r="V17" i="4"/>
  <c r="AD9" i="2"/>
  <c r="V14" i="4"/>
  <c r="V25" i="4"/>
  <c r="AD5" i="2"/>
  <c r="V21" i="4"/>
  <c r="V10" i="4"/>
  <c r="AD8" i="2"/>
  <c r="V24" i="4"/>
  <c r="V13" i="4"/>
  <c r="AD7" i="2"/>
  <c r="V23" i="4"/>
  <c r="V12" i="4"/>
  <c r="AD4" i="2"/>
  <c r="V20" i="4"/>
  <c r="V9" i="4"/>
  <c r="U30" i="4"/>
  <c r="U35" i="4" s="1"/>
  <c r="AD10" i="2"/>
  <c r="V26" i="4"/>
  <c r="V15" i="4"/>
  <c r="AD3" i="2"/>
  <c r="V8" i="4"/>
  <c r="V19" i="4"/>
  <c r="U29" i="4"/>
  <c r="U34" i="4" s="1"/>
  <c r="AD6" i="2"/>
  <c r="V11" i="4"/>
  <c r="V22" i="4"/>
  <c r="V37" i="4" l="1"/>
  <c r="V38" i="4"/>
  <c r="U44" i="4"/>
  <c r="U51" i="4"/>
  <c r="AE3" i="7"/>
  <c r="AE5" i="2"/>
  <c r="W21" i="4"/>
  <c r="W10" i="4"/>
  <c r="AE4" i="2"/>
  <c r="W20" i="4"/>
  <c r="W9" i="4"/>
  <c r="AE9" i="2"/>
  <c r="W25" i="4"/>
  <c r="W14" i="4"/>
  <c r="V30" i="4"/>
  <c r="V35" i="4" s="1"/>
  <c r="V29" i="4"/>
  <c r="V34" i="4" s="1"/>
  <c r="AE7" i="2"/>
  <c r="W23" i="4"/>
  <c r="W12" i="4"/>
  <c r="AE12" i="2"/>
  <c r="W28" i="4"/>
  <c r="W17" i="4"/>
  <c r="AE10" i="2"/>
  <c r="W26" i="4"/>
  <c r="W15" i="4"/>
  <c r="AE6" i="2"/>
  <c r="W11" i="4"/>
  <c r="W22" i="4"/>
  <c r="AE3" i="2"/>
  <c r="W19" i="4"/>
  <c r="W8" i="4"/>
  <c r="AE8" i="2"/>
  <c r="W24" i="4"/>
  <c r="W13" i="4"/>
  <c r="AE11" i="2"/>
  <c r="W27" i="4"/>
  <c r="W16" i="4"/>
  <c r="W37" i="4" l="1"/>
  <c r="W38" i="4"/>
  <c r="V44" i="4"/>
  <c r="V51" i="4"/>
  <c r="AF3" i="7"/>
  <c r="X27" i="4"/>
  <c r="X16" i="4"/>
  <c r="AF11" i="2"/>
  <c r="AF9" i="2"/>
  <c r="X14" i="4"/>
  <c r="X25" i="4"/>
  <c r="AF8" i="2"/>
  <c r="X24" i="4"/>
  <c r="X13" i="4"/>
  <c r="AF12" i="2"/>
  <c r="X28" i="4"/>
  <c r="X17" i="4"/>
  <c r="AF6" i="2"/>
  <c r="X11" i="4"/>
  <c r="X22" i="4"/>
  <c r="AF4" i="2"/>
  <c r="X9" i="4"/>
  <c r="X20" i="4"/>
  <c r="AF10" i="2"/>
  <c r="X26" i="4"/>
  <c r="X15" i="4"/>
  <c r="W29" i="4"/>
  <c r="W34" i="4" s="1"/>
  <c r="W30" i="4"/>
  <c r="W35" i="4" s="1"/>
  <c r="AF3" i="2"/>
  <c r="X8" i="4"/>
  <c r="X19" i="4"/>
  <c r="AF7" i="2"/>
  <c r="X23" i="4"/>
  <c r="X12" i="4"/>
  <c r="AF5" i="2"/>
  <c r="X21" i="4"/>
  <c r="X10" i="4"/>
  <c r="X37" i="4" l="1"/>
  <c r="X38" i="4"/>
  <c r="W51" i="4"/>
  <c r="W44" i="4"/>
  <c r="AG3" i="7"/>
  <c r="AG12" i="2"/>
  <c r="Y28" i="4"/>
  <c r="Y17" i="4"/>
  <c r="AG10" i="2"/>
  <c r="Y26" i="4"/>
  <c r="Y15" i="4"/>
  <c r="AG8" i="2"/>
  <c r="Y24" i="4"/>
  <c r="Y13" i="4"/>
  <c r="X30" i="4"/>
  <c r="X35" i="4" s="1"/>
  <c r="AG4" i="2"/>
  <c r="Y20" i="4"/>
  <c r="Y9" i="4"/>
  <c r="AG9" i="2"/>
  <c r="Y25" i="4"/>
  <c r="Y14" i="4"/>
  <c r="AG5" i="2"/>
  <c r="Y21" i="4"/>
  <c r="Y10" i="4"/>
  <c r="AG7" i="2"/>
  <c r="Y23" i="4"/>
  <c r="Y12" i="4"/>
  <c r="X29" i="4"/>
  <c r="X34" i="4" s="1"/>
  <c r="AG11" i="2"/>
  <c r="Y27" i="4"/>
  <c r="Y16" i="4"/>
  <c r="AG3" i="2"/>
  <c r="Y19" i="4"/>
  <c r="Y8" i="4"/>
  <c r="AG6" i="2"/>
  <c r="Y22" i="4"/>
  <c r="Y11" i="4"/>
  <c r="Y38" i="4" l="1"/>
  <c r="Y37" i="4"/>
  <c r="X51" i="4"/>
  <c r="X44" i="4"/>
  <c r="AH3" i="7"/>
  <c r="AH4" i="2"/>
  <c r="Z9" i="4"/>
  <c r="Z20" i="4"/>
  <c r="AH7" i="2"/>
  <c r="Z12" i="4"/>
  <c r="Z23" i="4"/>
  <c r="AH6" i="2"/>
  <c r="Z22" i="4"/>
  <c r="Z11" i="4"/>
  <c r="Y29" i="4"/>
  <c r="Y34" i="4" s="1"/>
  <c r="AH8" i="2"/>
  <c r="Z24" i="4"/>
  <c r="Z13" i="4"/>
  <c r="AH5" i="2"/>
  <c r="Z21" i="4"/>
  <c r="Z10" i="4"/>
  <c r="AH10" i="2"/>
  <c r="Z15" i="4"/>
  <c r="Z26" i="4"/>
  <c r="Y30" i="4"/>
  <c r="Y35" i="4" s="1"/>
  <c r="AH3" i="2"/>
  <c r="Z8" i="4"/>
  <c r="Z19" i="4"/>
  <c r="AH11" i="2"/>
  <c r="Z27" i="4"/>
  <c r="Z16" i="4"/>
  <c r="AH9" i="2"/>
  <c r="Z25" i="4"/>
  <c r="Z14" i="4"/>
  <c r="AH12" i="2"/>
  <c r="Z28" i="4"/>
  <c r="Z17" i="4"/>
  <c r="Z38" i="4" l="1"/>
  <c r="Z37" i="4"/>
  <c r="Y51" i="4"/>
  <c r="Y44" i="4"/>
  <c r="AI3" i="7"/>
  <c r="AI12" i="2"/>
  <c r="AA28" i="4"/>
  <c r="AA17" i="4"/>
  <c r="Z29" i="4"/>
  <c r="Z34" i="4" s="1"/>
  <c r="AI6" i="2"/>
  <c r="AA22" i="4"/>
  <c r="AA11" i="4"/>
  <c r="AI10" i="2"/>
  <c r="AA26" i="4"/>
  <c r="AA15" i="4"/>
  <c r="AI9" i="2"/>
  <c r="AA25" i="4"/>
  <c r="AA14" i="4"/>
  <c r="AI8" i="2"/>
  <c r="AA24" i="4"/>
  <c r="AA13" i="4"/>
  <c r="AI7" i="2"/>
  <c r="AA23" i="4"/>
  <c r="AA12" i="4"/>
  <c r="AI5" i="2"/>
  <c r="AA21" i="4"/>
  <c r="AA10" i="4"/>
  <c r="AI11" i="2"/>
  <c r="AA27" i="4"/>
  <c r="AA16" i="4"/>
  <c r="AI3" i="2"/>
  <c r="AA19" i="4"/>
  <c r="AA38" i="4" s="1"/>
  <c r="AA8" i="4"/>
  <c r="Z30" i="4"/>
  <c r="Z35" i="4" s="1"/>
  <c r="AI4" i="2"/>
  <c r="AA20" i="4"/>
  <c r="AA9" i="4"/>
  <c r="AA37" i="4" l="1"/>
  <c r="Z51" i="4"/>
  <c r="Z44" i="4"/>
  <c r="AJ3" i="7"/>
  <c r="AJ10" i="2"/>
  <c r="AB15" i="4"/>
  <c r="AB26" i="4"/>
  <c r="AJ11" i="2"/>
  <c r="AB16" i="4"/>
  <c r="AB27" i="4"/>
  <c r="AJ7" i="2"/>
  <c r="AB12" i="4"/>
  <c r="AB23" i="4"/>
  <c r="AJ6" i="2"/>
  <c r="AB22" i="4"/>
  <c r="AB11" i="4"/>
  <c r="AA29" i="4"/>
  <c r="AA34" i="4" s="1"/>
  <c r="AJ4" i="2"/>
  <c r="AB9" i="4"/>
  <c r="AB20" i="4"/>
  <c r="AA30" i="4"/>
  <c r="AA35" i="4" s="1"/>
  <c r="AJ5" i="2"/>
  <c r="AB21" i="4"/>
  <c r="AB10" i="4"/>
  <c r="AJ3" i="2"/>
  <c r="AB19" i="4"/>
  <c r="AB8" i="4"/>
  <c r="AJ8" i="2"/>
  <c r="AB24" i="4"/>
  <c r="AB13" i="4"/>
  <c r="AJ9" i="2"/>
  <c r="AB25" i="4"/>
  <c r="AB14" i="4"/>
  <c r="AJ12" i="2"/>
  <c r="AB28" i="4"/>
  <c r="AB17" i="4"/>
  <c r="AB37" i="4" l="1"/>
  <c r="AB38" i="4"/>
  <c r="AA44" i="4"/>
  <c r="AA51" i="4"/>
  <c r="AK3" i="7"/>
  <c r="AK6" i="2"/>
  <c r="AC22" i="4"/>
  <c r="AC11" i="4"/>
  <c r="AK7" i="2"/>
  <c r="AC23" i="4"/>
  <c r="AC12" i="4"/>
  <c r="AK3" i="2"/>
  <c r="AC19" i="4"/>
  <c r="AC8" i="4"/>
  <c r="AK12" i="2"/>
  <c r="AC28" i="4"/>
  <c r="AC17" i="4"/>
  <c r="AK11" i="2"/>
  <c r="AC27" i="4"/>
  <c r="AC16" i="4"/>
  <c r="AK5" i="2"/>
  <c r="AC21" i="4"/>
  <c r="AC10" i="4"/>
  <c r="AB30" i="4"/>
  <c r="AB35" i="4" s="1"/>
  <c r="AK9" i="2"/>
  <c r="AC14" i="4"/>
  <c r="AC25" i="4"/>
  <c r="AK4" i="2"/>
  <c r="AC20" i="4"/>
  <c r="AC9" i="4"/>
  <c r="AK8" i="2"/>
  <c r="AC24" i="4"/>
  <c r="AC13" i="4"/>
  <c r="AB29" i="4"/>
  <c r="AB34" i="4" s="1"/>
  <c r="AK10" i="2"/>
  <c r="AC26" i="4"/>
  <c r="AC15" i="4"/>
  <c r="AC38" i="4" l="1"/>
  <c r="AC37" i="4"/>
  <c r="AB44" i="4"/>
  <c r="AB51" i="4"/>
  <c r="AL3" i="7"/>
  <c r="AC29" i="4"/>
  <c r="AC34" i="4" s="1"/>
  <c r="AL10" i="2"/>
  <c r="AD26" i="4"/>
  <c r="AD15" i="4"/>
  <c r="AC30" i="4"/>
  <c r="AC35" i="4" s="1"/>
  <c r="AL4" i="2"/>
  <c r="AD20" i="4"/>
  <c r="AD9" i="4"/>
  <c r="AL7" i="2"/>
  <c r="AD12" i="4"/>
  <c r="AD23" i="4"/>
  <c r="AL9" i="2"/>
  <c r="AD25" i="4"/>
  <c r="AD14" i="4"/>
  <c r="AL3" i="2"/>
  <c r="AD19" i="4"/>
  <c r="AD8" i="4"/>
  <c r="AL12" i="2"/>
  <c r="AD28" i="4"/>
  <c r="AD17" i="4"/>
  <c r="AL5" i="2"/>
  <c r="AD10" i="4"/>
  <c r="AD21" i="4"/>
  <c r="AL8" i="2"/>
  <c r="AD13" i="4"/>
  <c r="AD24" i="4"/>
  <c r="AL11" i="2"/>
  <c r="AD27" i="4"/>
  <c r="AD16" i="4"/>
  <c r="AL6" i="2"/>
  <c r="AD22" i="4"/>
  <c r="AD11" i="4"/>
  <c r="AD37" i="4" l="1"/>
  <c r="AD38" i="4"/>
  <c r="AC44" i="4"/>
  <c r="AC51" i="4"/>
  <c r="AM3" i="7"/>
  <c r="AM7" i="2"/>
  <c r="AE23" i="4"/>
  <c r="AE12" i="4"/>
  <c r="AM4" i="2"/>
  <c r="AE20" i="4"/>
  <c r="AE9" i="4"/>
  <c r="AD29" i="4"/>
  <c r="AD34" i="4" s="1"/>
  <c r="AD30" i="4"/>
  <c r="AD35" i="4" s="1"/>
  <c r="AM5" i="2"/>
  <c r="AE21" i="4"/>
  <c r="AE10" i="4"/>
  <c r="AM6" i="2"/>
  <c r="AE22" i="4"/>
  <c r="AE11" i="4"/>
  <c r="AM3" i="2"/>
  <c r="AE19" i="4"/>
  <c r="AE8" i="4"/>
  <c r="AM10" i="2"/>
  <c r="AE26" i="4"/>
  <c r="AE15" i="4"/>
  <c r="AM9" i="2"/>
  <c r="AE25" i="4"/>
  <c r="AE14" i="4"/>
  <c r="AM12" i="2"/>
  <c r="AE28" i="4"/>
  <c r="AE17" i="4"/>
  <c r="AM11" i="2"/>
  <c r="AE16" i="4"/>
  <c r="AE27" i="4"/>
  <c r="AM8" i="2"/>
  <c r="AE24" i="4"/>
  <c r="AE13" i="4"/>
  <c r="AE37" i="4" l="1"/>
  <c r="AE38" i="4"/>
  <c r="AD51" i="4"/>
  <c r="AD44" i="4"/>
  <c r="AN3" i="7"/>
  <c r="AN10" i="2"/>
  <c r="AF26" i="4"/>
  <c r="AF15" i="4"/>
  <c r="AE29" i="4"/>
  <c r="AE34" i="4" s="1"/>
  <c r="AE30" i="4"/>
  <c r="AE35" i="4" s="1"/>
  <c r="AN8" i="2"/>
  <c r="AF13" i="4"/>
  <c r="AF24" i="4"/>
  <c r="AN3" i="2"/>
  <c r="AF19" i="4"/>
  <c r="AF38" i="4" s="1"/>
  <c r="AF8" i="4"/>
  <c r="AF37" i="4" s="1"/>
  <c r="AN4" i="2"/>
  <c r="AF20" i="4"/>
  <c r="AF9" i="4"/>
  <c r="AN5" i="2"/>
  <c r="AF10" i="4"/>
  <c r="AF21" i="4"/>
  <c r="AN11" i="2"/>
  <c r="AF16" i="4"/>
  <c r="AF27" i="4"/>
  <c r="AN12" i="2"/>
  <c r="AF17" i="4"/>
  <c r="AF28" i="4"/>
  <c r="AN6" i="2"/>
  <c r="AF22" i="4"/>
  <c r="AF11" i="4"/>
  <c r="AN9" i="2"/>
  <c r="AF14" i="4"/>
  <c r="AF25" i="4"/>
  <c r="AF23" i="4"/>
  <c r="AF12" i="4"/>
  <c r="AN7" i="2"/>
  <c r="AE51" i="4" l="1"/>
  <c r="AE44" i="4"/>
  <c r="AO3" i="7"/>
  <c r="AO7" i="2"/>
  <c r="AG12" i="4"/>
  <c r="AG23" i="4"/>
  <c r="AO3" i="2"/>
  <c r="AG19" i="4"/>
  <c r="AG8" i="4"/>
  <c r="AO5" i="2"/>
  <c r="AG21" i="4"/>
  <c r="AG10" i="4"/>
  <c r="AF30" i="4"/>
  <c r="AF35" i="4" s="1"/>
  <c r="AO11" i="2"/>
  <c r="AG27" i="4"/>
  <c r="AG16" i="4"/>
  <c r="AO12" i="2"/>
  <c r="AG28" i="4"/>
  <c r="AG17" i="4"/>
  <c r="AO8" i="2"/>
  <c r="AG24" i="4"/>
  <c r="AG13" i="4"/>
  <c r="AO6" i="2"/>
  <c r="AG22" i="4"/>
  <c r="AG11" i="4"/>
  <c r="AO9" i="2"/>
  <c r="AG25" i="4"/>
  <c r="AG14" i="4"/>
  <c r="AO4" i="2"/>
  <c r="AG20" i="4"/>
  <c r="AG9" i="4"/>
  <c r="AF29" i="4"/>
  <c r="AF34" i="4" s="1"/>
  <c r="AO10" i="2"/>
  <c r="AG26" i="4"/>
  <c r="AG15" i="4"/>
  <c r="AG38" i="4" l="1"/>
  <c r="AG37" i="4"/>
  <c r="AF44" i="4"/>
  <c r="AF51" i="4"/>
  <c r="AP3" i="7"/>
  <c r="AP10" i="2"/>
  <c r="AH26" i="4"/>
  <c r="AH15" i="4"/>
  <c r="AP9" i="2"/>
  <c r="AH14" i="4"/>
  <c r="AH25" i="4"/>
  <c r="AP5" i="2"/>
  <c r="AH10" i="4"/>
  <c r="AH21" i="4"/>
  <c r="AP6" i="2"/>
  <c r="AH11" i="4"/>
  <c r="AH22" i="4"/>
  <c r="AP8" i="2"/>
  <c r="AH24" i="4"/>
  <c r="AH13" i="4"/>
  <c r="AG29" i="4"/>
  <c r="AG34" i="4" s="1"/>
  <c r="AG30" i="4"/>
  <c r="AG35" i="4" s="1"/>
  <c r="AP3" i="2"/>
  <c r="AH8" i="4"/>
  <c r="AH19" i="4"/>
  <c r="AP4" i="2"/>
  <c r="AH20" i="4"/>
  <c r="AH9" i="4"/>
  <c r="AP12" i="2"/>
  <c r="AH28" i="4"/>
  <c r="AH17" i="4"/>
  <c r="AP11" i="2"/>
  <c r="AH27" i="4"/>
  <c r="AH16" i="4"/>
  <c r="AP7" i="2"/>
  <c r="AH23" i="4"/>
  <c r="AH12" i="4"/>
  <c r="AH38" i="4" l="1"/>
  <c r="AH37" i="4"/>
  <c r="AG44" i="4"/>
  <c r="AG51" i="4"/>
  <c r="AQ3" i="7"/>
  <c r="AQ5" i="2"/>
  <c r="AI21" i="4"/>
  <c r="AI10" i="4"/>
  <c r="AH30" i="4"/>
  <c r="AH35" i="4" s="1"/>
  <c r="AQ6" i="2"/>
  <c r="AI22" i="4"/>
  <c r="AI11" i="4"/>
  <c r="AQ3" i="2"/>
  <c r="AI8" i="4"/>
  <c r="AI19" i="4"/>
  <c r="AQ9" i="2"/>
  <c r="AI14" i="4"/>
  <c r="AI25" i="4"/>
  <c r="AH29" i="4"/>
  <c r="AH34" i="4" s="1"/>
  <c r="AQ4" i="2"/>
  <c r="AI20" i="4"/>
  <c r="AI9" i="4"/>
  <c r="AQ7" i="2"/>
  <c r="AI23" i="4"/>
  <c r="AI12" i="4"/>
  <c r="AQ11" i="2"/>
  <c r="AI27" i="4"/>
  <c r="AI16" i="4"/>
  <c r="AQ12" i="2"/>
  <c r="AI17" i="4"/>
  <c r="AI28" i="4"/>
  <c r="AQ8" i="2"/>
  <c r="AI24" i="4"/>
  <c r="AI13" i="4"/>
  <c r="AQ10" i="2"/>
  <c r="AI26" i="4"/>
  <c r="AI15" i="4"/>
  <c r="AI38" i="4" l="1"/>
  <c r="AI37" i="4"/>
  <c r="AH51" i="4"/>
  <c r="AH44" i="4"/>
  <c r="AR3" i="7"/>
  <c r="AR9" i="2"/>
  <c r="AJ14" i="4"/>
  <c r="AJ25" i="4"/>
  <c r="AI29" i="4"/>
  <c r="AI34" i="4" s="1"/>
  <c r="AR11" i="2"/>
  <c r="AJ27" i="4"/>
  <c r="AJ16" i="4"/>
  <c r="AR3" i="2"/>
  <c r="AJ8" i="4"/>
  <c r="AJ19" i="4"/>
  <c r="AR7" i="2"/>
  <c r="AJ12" i="4"/>
  <c r="AJ23" i="4"/>
  <c r="AI30" i="4"/>
  <c r="AI35" i="4" s="1"/>
  <c r="AR10" i="2"/>
  <c r="AJ15" i="4"/>
  <c r="AJ26" i="4"/>
  <c r="AR6" i="2"/>
  <c r="AJ11" i="4"/>
  <c r="AJ22" i="4"/>
  <c r="AR8" i="2"/>
  <c r="AJ24" i="4"/>
  <c r="AJ13" i="4"/>
  <c r="AR4" i="2"/>
  <c r="AJ20" i="4"/>
  <c r="AJ9" i="4"/>
  <c r="AR12" i="2"/>
  <c r="AJ17" i="4"/>
  <c r="AJ28" i="4"/>
  <c r="AR5" i="2"/>
  <c r="AJ21" i="4"/>
  <c r="AJ10" i="4"/>
  <c r="AJ37" i="4" l="1"/>
  <c r="AJ38" i="4"/>
  <c r="AI51" i="4"/>
  <c r="AI44" i="4"/>
  <c r="AS3" i="7"/>
  <c r="AS8" i="2"/>
  <c r="AK13" i="4"/>
  <c r="AK24" i="4"/>
  <c r="AJ29" i="4"/>
  <c r="AJ34" i="4" s="1"/>
  <c r="AJ30" i="4"/>
  <c r="AJ35" i="4" s="1"/>
  <c r="AS3" i="2"/>
  <c r="AK19" i="4"/>
  <c r="AK8" i="4"/>
  <c r="AS10" i="2"/>
  <c r="AK26" i="4"/>
  <c r="AK15" i="4"/>
  <c r="AS7" i="2"/>
  <c r="AK23" i="4"/>
  <c r="AK12" i="4"/>
  <c r="AS12" i="2"/>
  <c r="AK28" i="4"/>
  <c r="AK17" i="4"/>
  <c r="AS4" i="2"/>
  <c r="AK20" i="4"/>
  <c r="AK9" i="4"/>
  <c r="AS5" i="2"/>
  <c r="AK10" i="4"/>
  <c r="AK21" i="4"/>
  <c r="AS6" i="2"/>
  <c r="AK22" i="4"/>
  <c r="AK11" i="4"/>
  <c r="AS11" i="2"/>
  <c r="AK27" i="4"/>
  <c r="AK16" i="4"/>
  <c r="AS9" i="2"/>
  <c r="AK25" i="4"/>
  <c r="AK14" i="4"/>
  <c r="AK37" i="4" l="1"/>
  <c r="AK38" i="4"/>
  <c r="AJ44" i="4"/>
  <c r="AJ51" i="4"/>
  <c r="AT3" i="7"/>
  <c r="AT5" i="2"/>
  <c r="AL21" i="4"/>
  <c r="AL10" i="4"/>
  <c r="AT10" i="2"/>
  <c r="AL15" i="4"/>
  <c r="AL26" i="4"/>
  <c r="AK30" i="4"/>
  <c r="AK35" i="4" s="1"/>
  <c r="AT4" i="2"/>
  <c r="AL9" i="4"/>
  <c r="AL20" i="4"/>
  <c r="AK29" i="4"/>
  <c r="AK34" i="4" s="1"/>
  <c r="AT9" i="2"/>
  <c r="AL25" i="4"/>
  <c r="AL14" i="4"/>
  <c r="AT3" i="2"/>
  <c r="AL8" i="4"/>
  <c r="AL19" i="4"/>
  <c r="AT11" i="2"/>
  <c r="AL27" i="4"/>
  <c r="AL16" i="4"/>
  <c r="AT12" i="2"/>
  <c r="AL28" i="4"/>
  <c r="AL17" i="4"/>
  <c r="AT6" i="2"/>
  <c r="AL11" i="4"/>
  <c r="AL22" i="4"/>
  <c r="AT7" i="2"/>
  <c r="AL12" i="4"/>
  <c r="AL23" i="4"/>
  <c r="AT8" i="2"/>
  <c r="AL24" i="4"/>
  <c r="AL13" i="4"/>
  <c r="AL37" i="4" l="1"/>
  <c r="AL38" i="4"/>
  <c r="AK44" i="4"/>
  <c r="AK51" i="4"/>
  <c r="AU3" i="7"/>
  <c r="AU4" i="2"/>
  <c r="AM20" i="4"/>
  <c r="AM9" i="4"/>
  <c r="AU8" i="2"/>
  <c r="AM24" i="4"/>
  <c r="AM13" i="4"/>
  <c r="AU3" i="2"/>
  <c r="AM19" i="4"/>
  <c r="AM8" i="4"/>
  <c r="AU10" i="2"/>
  <c r="AM26" i="4"/>
  <c r="AM15" i="4"/>
  <c r="AU7" i="2"/>
  <c r="AM23" i="4"/>
  <c r="AM12" i="4"/>
  <c r="AL30" i="4"/>
  <c r="AL35" i="4" s="1"/>
  <c r="AU6" i="2"/>
  <c r="AM22" i="4"/>
  <c r="AM11" i="4"/>
  <c r="AU9" i="2"/>
  <c r="AM25" i="4"/>
  <c r="AM14" i="4"/>
  <c r="AU12" i="2"/>
  <c r="AM28" i="4"/>
  <c r="AM17" i="4"/>
  <c r="AU11" i="2"/>
  <c r="AM27" i="4"/>
  <c r="AM16" i="4"/>
  <c r="AL29" i="4"/>
  <c r="AL34" i="4" s="1"/>
  <c r="AU5" i="2"/>
  <c r="AM21" i="4"/>
  <c r="AM10" i="4"/>
  <c r="AM37" i="4" l="1"/>
  <c r="AM38" i="4"/>
  <c r="AL44" i="4"/>
  <c r="AL51" i="4"/>
  <c r="AV3" i="7"/>
  <c r="AV10" i="2"/>
  <c r="AN15" i="4"/>
  <c r="AN26" i="4"/>
  <c r="AV9" i="2"/>
  <c r="AN25" i="4"/>
  <c r="AN14" i="4"/>
  <c r="AM29" i="4"/>
  <c r="AM34" i="4" s="1"/>
  <c r="AV5" i="2"/>
  <c r="AN21" i="4"/>
  <c r="AN10" i="4"/>
  <c r="AM30" i="4"/>
  <c r="AM35" i="4" s="1"/>
  <c r="AV8" i="2"/>
  <c r="AN24" i="4"/>
  <c r="AN13" i="4"/>
  <c r="AV6" i="2"/>
  <c r="AN22" i="4"/>
  <c r="AN11" i="4"/>
  <c r="AV12" i="2"/>
  <c r="AN28" i="4"/>
  <c r="AN17" i="4"/>
  <c r="AV3" i="2"/>
  <c r="AN19" i="4"/>
  <c r="AN8" i="4"/>
  <c r="AV11" i="2"/>
  <c r="AN27" i="4"/>
  <c r="AN16" i="4"/>
  <c r="AV7" i="2"/>
  <c r="AN12" i="4"/>
  <c r="AN23" i="4"/>
  <c r="AV4" i="2"/>
  <c r="AN9" i="4"/>
  <c r="AN20" i="4"/>
  <c r="AN38" i="4" l="1"/>
  <c r="AN37" i="4"/>
  <c r="AM44" i="4"/>
  <c r="AM51" i="4"/>
  <c r="AW3" i="7"/>
  <c r="AN30" i="4"/>
  <c r="AN35" i="4" s="1"/>
  <c r="AW3" i="2"/>
  <c r="AO19" i="4"/>
  <c r="AO8" i="4"/>
  <c r="AN29" i="4"/>
  <c r="AN34" i="4" s="1"/>
  <c r="AW5" i="2"/>
  <c r="AO21" i="4"/>
  <c r="AO10" i="4"/>
  <c r="AW4" i="2"/>
  <c r="AO20" i="4"/>
  <c r="AO9" i="4"/>
  <c r="AW12" i="2"/>
  <c r="AO17" i="4"/>
  <c r="AO28" i="4"/>
  <c r="AW11" i="2"/>
  <c r="AO27" i="4"/>
  <c r="AO16" i="4"/>
  <c r="AW7" i="2"/>
  <c r="AO23" i="4"/>
  <c r="AO12" i="4"/>
  <c r="AW9" i="2"/>
  <c r="AO25" i="4"/>
  <c r="AO14" i="4"/>
  <c r="AW6" i="2"/>
  <c r="AO22" i="4"/>
  <c r="AO11" i="4"/>
  <c r="AW8" i="2"/>
  <c r="AO24" i="4"/>
  <c r="AO13" i="4"/>
  <c r="AW10" i="2"/>
  <c r="AO26" i="4"/>
  <c r="AO15" i="4"/>
  <c r="AO38" i="4" l="1"/>
  <c r="AO37" i="4"/>
  <c r="AN44" i="4"/>
  <c r="AN51" i="4"/>
  <c r="AX3" i="7"/>
  <c r="AX4" i="2"/>
  <c r="AP20" i="4"/>
  <c r="AP9" i="4"/>
  <c r="AX5" i="2"/>
  <c r="AP10" i="4"/>
  <c r="AP21" i="4"/>
  <c r="AX10" i="2"/>
  <c r="AP15" i="4"/>
  <c r="AP26" i="4"/>
  <c r="AX11" i="2"/>
  <c r="AP27" i="4"/>
  <c r="AP16" i="4"/>
  <c r="AX7" i="2"/>
  <c r="AP23" i="4"/>
  <c r="AP12" i="4"/>
  <c r="AO30" i="4"/>
  <c r="AO35" i="4" s="1"/>
  <c r="AX9" i="2"/>
  <c r="AP25" i="4"/>
  <c r="AP14" i="4"/>
  <c r="AO29" i="4"/>
  <c r="AO34" i="4" s="1"/>
  <c r="AX3" i="2"/>
  <c r="AP19" i="4"/>
  <c r="AP8" i="4"/>
  <c r="AX6" i="2"/>
  <c r="AP22" i="4"/>
  <c r="AP11" i="4"/>
  <c r="AX12" i="2"/>
  <c r="AP28" i="4"/>
  <c r="AP17" i="4"/>
  <c r="AX8" i="2"/>
  <c r="AP13" i="4"/>
  <c r="AP24" i="4"/>
  <c r="AP37" i="4" l="1"/>
  <c r="AP38" i="4"/>
  <c r="AO51" i="4"/>
  <c r="AO44" i="4"/>
  <c r="AY3" i="7"/>
  <c r="AY11" i="2"/>
  <c r="AQ27" i="4"/>
  <c r="AQ16" i="4"/>
  <c r="AY3" i="2"/>
  <c r="AQ19" i="4"/>
  <c r="AQ8" i="4"/>
  <c r="AY10" i="2"/>
  <c r="AQ26" i="4"/>
  <c r="AQ15" i="4"/>
  <c r="AY12" i="2"/>
  <c r="AQ28" i="4"/>
  <c r="AQ17" i="4"/>
  <c r="AP30" i="4"/>
  <c r="AP35" i="4" s="1"/>
  <c r="AY5" i="2"/>
  <c r="AQ21" i="4"/>
  <c r="AQ10" i="4"/>
  <c r="AY8" i="2"/>
  <c r="AQ24" i="4"/>
  <c r="AQ13" i="4"/>
  <c r="AY9" i="2"/>
  <c r="AQ25" i="4"/>
  <c r="AQ14" i="4"/>
  <c r="AY6" i="2"/>
  <c r="AQ22" i="4"/>
  <c r="AQ11" i="4"/>
  <c r="AP29" i="4"/>
  <c r="AP34" i="4" s="1"/>
  <c r="AY7" i="2"/>
  <c r="AQ23" i="4"/>
  <c r="AQ12" i="4"/>
  <c r="AY4" i="2"/>
  <c r="AQ20" i="4"/>
  <c r="AQ9" i="4"/>
  <c r="AQ37" i="4" l="1"/>
  <c r="AQ38" i="4"/>
  <c r="AP44" i="4"/>
  <c r="AP51" i="4"/>
  <c r="AZ3" i="7"/>
  <c r="AZ9" i="2"/>
  <c r="AR25" i="4"/>
  <c r="AR14" i="4"/>
  <c r="AZ8" i="2"/>
  <c r="AR13" i="4"/>
  <c r="AR24" i="4"/>
  <c r="AQ29" i="4"/>
  <c r="AQ34" i="4" s="1"/>
  <c r="AZ7" i="2"/>
  <c r="AR23" i="4"/>
  <c r="AR12" i="4"/>
  <c r="AQ30" i="4"/>
  <c r="AQ35" i="4" s="1"/>
  <c r="AZ3" i="2"/>
  <c r="AR19" i="4"/>
  <c r="AR8" i="4"/>
  <c r="AZ4" i="2"/>
  <c r="AR20" i="4"/>
  <c r="AR9" i="4"/>
  <c r="AZ5" i="2"/>
  <c r="AR10" i="4"/>
  <c r="AR21" i="4"/>
  <c r="AZ6" i="2"/>
  <c r="AR22" i="4"/>
  <c r="AR11" i="4"/>
  <c r="AZ12" i="2"/>
  <c r="AR17" i="4"/>
  <c r="AR28" i="4"/>
  <c r="AZ10" i="2"/>
  <c r="AR26" i="4"/>
  <c r="AR15" i="4"/>
  <c r="AZ11" i="2"/>
  <c r="AR27" i="4"/>
  <c r="AR16" i="4"/>
  <c r="AR37" i="4" l="1"/>
  <c r="AR38" i="4"/>
  <c r="AQ44" i="4"/>
  <c r="AQ51" i="4"/>
  <c r="BA3" i="7"/>
  <c r="BA7" i="2"/>
  <c r="AS23" i="4"/>
  <c r="AS12" i="4"/>
  <c r="BA5" i="2"/>
  <c r="AS21" i="4"/>
  <c r="AS10" i="4"/>
  <c r="BA4" i="2"/>
  <c r="AS20" i="4"/>
  <c r="AS9" i="4"/>
  <c r="BA10" i="2"/>
  <c r="AS15" i="4"/>
  <c r="AS26" i="4"/>
  <c r="AR29" i="4"/>
  <c r="AR34" i="4" s="1"/>
  <c r="BA8" i="2"/>
  <c r="AS24" i="4"/>
  <c r="AS13" i="4"/>
  <c r="BA6" i="2"/>
  <c r="AS22" i="4"/>
  <c r="AS11" i="4"/>
  <c r="BA12" i="2"/>
  <c r="AS28" i="4"/>
  <c r="AS17" i="4"/>
  <c r="BA11" i="2"/>
  <c r="AS27" i="4"/>
  <c r="AS16" i="4"/>
  <c r="AR30" i="4"/>
  <c r="AR35" i="4" s="1"/>
  <c r="BA3" i="2"/>
  <c r="AS19" i="4"/>
  <c r="AS8" i="4"/>
  <c r="BA9" i="2"/>
  <c r="AS25" i="4"/>
  <c r="AS14" i="4"/>
  <c r="AS37" i="4" l="1"/>
  <c r="AS38" i="4"/>
  <c r="AR44" i="4"/>
  <c r="AR51" i="4"/>
  <c r="BB3" i="7"/>
  <c r="BB11" i="2"/>
  <c r="AT27" i="4"/>
  <c r="AT16" i="4"/>
  <c r="BB6" i="2"/>
  <c r="AT11" i="4"/>
  <c r="AT22" i="4"/>
  <c r="BB12" i="2"/>
  <c r="AT28" i="4"/>
  <c r="AT17" i="4"/>
  <c r="BB9" i="2"/>
  <c r="AT14" i="4"/>
  <c r="AT25" i="4"/>
  <c r="BB3" i="2"/>
  <c r="AT8" i="4"/>
  <c r="AT19" i="4"/>
  <c r="BB5" i="2"/>
  <c r="AT21" i="4"/>
  <c r="AT10" i="4"/>
  <c r="AS29" i="4"/>
  <c r="AS34" i="4" s="1"/>
  <c r="AS30" i="4"/>
  <c r="AS35" i="4" s="1"/>
  <c r="BB8" i="2"/>
  <c r="AT13" i="4"/>
  <c r="AT24" i="4"/>
  <c r="BB10" i="2"/>
  <c r="AT26" i="4"/>
  <c r="AT15" i="4"/>
  <c r="BB4" i="2"/>
  <c r="AT20" i="4"/>
  <c r="AT9" i="4"/>
  <c r="BB7" i="2"/>
  <c r="AT23" i="4"/>
  <c r="AT12" i="4"/>
  <c r="AT37" i="4" l="1"/>
  <c r="AT38" i="4"/>
  <c r="AS51" i="4"/>
  <c r="AS44" i="4"/>
  <c r="BC3" i="7"/>
  <c r="BC8" i="2"/>
  <c r="AU24" i="4"/>
  <c r="AU13" i="4"/>
  <c r="BC9" i="2"/>
  <c r="AU25" i="4"/>
  <c r="AU14" i="4"/>
  <c r="BC5" i="2"/>
  <c r="AU21" i="4"/>
  <c r="AU10" i="4"/>
  <c r="BC6" i="2"/>
  <c r="AU11" i="4"/>
  <c r="AU22" i="4"/>
  <c r="AT30" i="4"/>
  <c r="AT35" i="4" s="1"/>
  <c r="AT51" i="4" s="1"/>
  <c r="BC12" i="2"/>
  <c r="AU17" i="4"/>
  <c r="AU28" i="4"/>
  <c r="BC7" i="2"/>
  <c r="AU23" i="4"/>
  <c r="AU12" i="4"/>
  <c r="BC4" i="2"/>
  <c r="AU20" i="4"/>
  <c r="AU9" i="4"/>
  <c r="BC10" i="2"/>
  <c r="AU26" i="4"/>
  <c r="AU15" i="4"/>
  <c r="AT29" i="4"/>
  <c r="AT34" i="4" s="1"/>
  <c r="AT44" i="4" s="1"/>
  <c r="BC3" i="2"/>
  <c r="AU19" i="4"/>
  <c r="AU8" i="4"/>
  <c r="BC11" i="2"/>
  <c r="AU27" i="4"/>
  <c r="AU16" i="4"/>
  <c r="AU37" i="4" l="1"/>
  <c r="AU38" i="4"/>
  <c r="BD3" i="7"/>
  <c r="BD6" i="2"/>
  <c r="AV11" i="4"/>
  <c r="AV22" i="4"/>
  <c r="BD4" i="2"/>
  <c r="AV9" i="4"/>
  <c r="AV20" i="4"/>
  <c r="AU29" i="4"/>
  <c r="AU34" i="4" s="1"/>
  <c r="AU44" i="4" s="1"/>
  <c r="BD5" i="2"/>
  <c r="AV21" i="4"/>
  <c r="AV10" i="4"/>
  <c r="AU30" i="4"/>
  <c r="AU35" i="4" s="1"/>
  <c r="AU51" i="4" s="1"/>
  <c r="AU52" i="4" s="1"/>
  <c r="AU54" i="4" s="1"/>
  <c r="BD3" i="2"/>
  <c r="AV8" i="4"/>
  <c r="AV19" i="4"/>
  <c r="BD11" i="2"/>
  <c r="AV27" i="4"/>
  <c r="AV16" i="4"/>
  <c r="BD9" i="2"/>
  <c r="AV14" i="4"/>
  <c r="AV25" i="4"/>
  <c r="BD12" i="2"/>
  <c r="AV28" i="4"/>
  <c r="AV17" i="4"/>
  <c r="BD7" i="2"/>
  <c r="AV23" i="4"/>
  <c r="AV12" i="4"/>
  <c r="BD10" i="2"/>
  <c r="AV15" i="4"/>
  <c r="AV26" i="4"/>
  <c r="BD8" i="2"/>
  <c r="AV24" i="4"/>
  <c r="AV13" i="4"/>
  <c r="AV37" i="4" l="1"/>
  <c r="AV38" i="4"/>
  <c r="BE5" i="2"/>
  <c r="AW21" i="4"/>
  <c r="AW10" i="4"/>
  <c r="BE8" i="2"/>
  <c r="AW13" i="4"/>
  <c r="AW24" i="4"/>
  <c r="BE9" i="2"/>
  <c r="AW25" i="4"/>
  <c r="AW14" i="4"/>
  <c r="BE10" i="2"/>
  <c r="AW26" i="4"/>
  <c r="AW15" i="4"/>
  <c r="BE11" i="2"/>
  <c r="AW27" i="4"/>
  <c r="AW16" i="4"/>
  <c r="AV30" i="4"/>
  <c r="AV35" i="4" s="1"/>
  <c r="AV51" i="4" s="1"/>
  <c r="AV52" i="4" s="1"/>
  <c r="AV54" i="4" s="1"/>
  <c r="BE4" i="2"/>
  <c r="AW20" i="4"/>
  <c r="AW9" i="4"/>
  <c r="AV29" i="4"/>
  <c r="AV34" i="4" s="1"/>
  <c r="AV44" i="4" s="1"/>
  <c r="BE12" i="2"/>
  <c r="AW28" i="4"/>
  <c r="AW17" i="4"/>
  <c r="BE7" i="2"/>
  <c r="AW23" i="4"/>
  <c r="AW12" i="4"/>
  <c r="BE3" i="2"/>
  <c r="AW19" i="4"/>
  <c r="AW8" i="4"/>
  <c r="BE6" i="2"/>
  <c r="AW22" i="4"/>
  <c r="AW11" i="4"/>
  <c r="AW38" i="4" l="1"/>
  <c r="AW37" i="4"/>
  <c r="AX28" i="4"/>
  <c r="AX17" i="4"/>
  <c r="AX9" i="4"/>
  <c r="AX20" i="4"/>
  <c r="AX19" i="4"/>
  <c r="AX8" i="4"/>
  <c r="AX24" i="4"/>
  <c r="AX13" i="4"/>
  <c r="AX11" i="4"/>
  <c r="AX22" i="4"/>
  <c r="AW30" i="4"/>
  <c r="AW35" i="4" s="1"/>
  <c r="AW51" i="4" s="1"/>
  <c r="AW52" i="4" s="1"/>
  <c r="AW54" i="4" s="1"/>
  <c r="AW29" i="4"/>
  <c r="AW34" i="4" s="1"/>
  <c r="AW44" i="4" s="1"/>
  <c r="AX14" i="4"/>
  <c r="AX25" i="4"/>
  <c r="AX12" i="4"/>
  <c r="AX23" i="4"/>
  <c r="AX15" i="4"/>
  <c r="AX26" i="4"/>
  <c r="AX27" i="4"/>
  <c r="AX16" i="4"/>
  <c r="AX21" i="4"/>
  <c r="AX10" i="4"/>
  <c r="AX37" i="4" l="1"/>
  <c r="AX38" i="4"/>
  <c r="AX29" i="4"/>
  <c r="AX34" i="4" s="1"/>
  <c r="AX44" i="4" s="1"/>
  <c r="AX30" i="4"/>
  <c r="AX35" i="4" s="1"/>
  <c r="AX51" i="4" s="1"/>
  <c r="AX52" i="4" s="1"/>
  <c r="AX54" i="4" s="1"/>
  <c r="L95" i="7" l="1"/>
  <c r="L123" i="7" s="1"/>
  <c r="L81" i="7"/>
  <c r="L108" i="7" s="1"/>
  <c r="L96" i="7"/>
  <c r="L124" i="7" s="1"/>
  <c r="L98" i="7"/>
  <c r="L126" i="7" s="1"/>
  <c r="L99" i="7"/>
  <c r="L127" i="7" s="1"/>
  <c r="L82" i="7"/>
  <c r="L109" i="7" s="1"/>
  <c r="L83" i="7"/>
  <c r="L110" i="7" s="1"/>
  <c r="L101" i="7"/>
  <c r="L129" i="7" s="1"/>
  <c r="L92" i="7"/>
  <c r="L120" i="7" s="1"/>
  <c r="L80" i="7"/>
  <c r="L107" i="7" s="1"/>
  <c r="L94" i="7"/>
  <c r="L122" i="7" s="1"/>
  <c r="L79" i="7"/>
  <c r="L106" i="7" s="1"/>
  <c r="L93" i="7"/>
  <c r="L121" i="7" s="1"/>
  <c r="L85" i="7"/>
  <c r="L112" i="7" s="1"/>
  <c r="L86" i="7"/>
  <c r="L113" i="7" s="1"/>
  <c r="L88" i="7"/>
  <c r="L115" i="7" s="1"/>
  <c r="L84" i="7"/>
  <c r="L111" i="7" s="1"/>
  <c r="L97" i="7"/>
  <c r="L125" i="7" s="1"/>
  <c r="L87" i="7"/>
  <c r="L114" i="7" s="1"/>
  <c r="L100" i="7"/>
  <c r="L128" i="7" s="1"/>
  <c r="C36" i="8" l="1"/>
  <c r="C35" i="8"/>
  <c r="C43" i="8"/>
  <c r="C42" i="8"/>
  <c r="C40" i="8"/>
  <c r="C34" i="8"/>
  <c r="C37" i="8"/>
  <c r="C41" i="8"/>
  <c r="C38" i="8"/>
  <c r="C39" i="8"/>
  <c r="L116" i="7"/>
  <c r="L47" i="7"/>
  <c r="J126" i="4"/>
  <c r="F46" i="4" a="1"/>
  <c r="F46" i="4" s="1"/>
  <c r="J142" i="4"/>
  <c r="F53" i="4" a="1"/>
  <c r="F53" i="4" s="1"/>
  <c r="D43" i="8"/>
  <c r="D39" i="8"/>
  <c r="L27" i="7"/>
  <c r="F48" i="4" s="1"/>
  <c r="L130" i="7"/>
  <c r="D38" i="8" l="1"/>
  <c r="D40" i="8"/>
  <c r="D41" i="8"/>
  <c r="C44" i="8"/>
  <c r="D34" i="8"/>
  <c r="D37" i="8"/>
  <c r="D42" i="8"/>
  <c r="D36" i="8"/>
  <c r="D35" i="8"/>
  <c r="F50" i="4"/>
  <c r="J138" i="4"/>
  <c r="M27" i="7"/>
  <c r="G48" i="4" s="1"/>
  <c r="M130" i="7"/>
  <c r="K126" i="4"/>
  <c r="G46" i="4" a="1"/>
  <c r="G46" i="4" s="1"/>
  <c r="K142" i="4"/>
  <c r="G53" i="4" a="1"/>
  <c r="G53" i="4" s="1"/>
  <c r="M116" i="7"/>
  <c r="J136" i="4"/>
  <c r="M47" i="7"/>
  <c r="J137" i="4"/>
  <c r="F49" i="4"/>
  <c r="E42" i="8"/>
  <c r="J122" i="4"/>
  <c r="F43" i="4"/>
  <c r="J157" i="4" l="1"/>
  <c r="E39" i="8"/>
  <c r="D44" i="8"/>
  <c r="K157" i="4" s="1"/>
  <c r="E40" i="8"/>
  <c r="E35" i="8"/>
  <c r="E41" i="8"/>
  <c r="E36" i="8"/>
  <c r="E38" i="8"/>
  <c r="E34" i="8"/>
  <c r="E43" i="8"/>
  <c r="E37" i="8"/>
  <c r="F52" i="4"/>
  <c r="F54" i="4" s="1"/>
  <c r="J141" i="4"/>
  <c r="J144" i="4" s="1"/>
  <c r="H48" i="4"/>
  <c r="L136" i="4" s="1"/>
  <c r="N130" i="7"/>
  <c r="H50" i="4" s="1"/>
  <c r="F37" i="8"/>
  <c r="G50" i="4"/>
  <c r="K138" i="4"/>
  <c r="H46" i="4" a="1"/>
  <c r="H46" i="4" s="1"/>
  <c r="L126" i="4"/>
  <c r="K136" i="4"/>
  <c r="K122" i="4"/>
  <c r="G43" i="4"/>
  <c r="K137" i="4"/>
  <c r="G49" i="4"/>
  <c r="N47" i="7"/>
  <c r="N116" i="7"/>
  <c r="L142" i="4"/>
  <c r="H53" i="4" a="1"/>
  <c r="H53" i="4" s="1"/>
  <c r="I157" i="4" l="1"/>
  <c r="F43" i="8"/>
  <c r="F38" i="8"/>
  <c r="E44" i="8"/>
  <c r="F34" i="8"/>
  <c r="F40" i="8"/>
  <c r="F41" i="8"/>
  <c r="F42" i="8"/>
  <c r="F35" i="8"/>
  <c r="F36" i="8"/>
  <c r="F39" i="8"/>
  <c r="L138" i="4"/>
  <c r="K141" i="4"/>
  <c r="K144" i="4" s="1"/>
  <c r="L122" i="4"/>
  <c r="H43" i="4"/>
  <c r="M126" i="4"/>
  <c r="I46" i="4" a="1"/>
  <c r="I46" i="4" s="1"/>
  <c r="H49" i="4"/>
  <c r="H52" i="4" s="1"/>
  <c r="H54" i="4" s="1"/>
  <c r="L137" i="4"/>
  <c r="O116" i="7"/>
  <c r="G52" i="4"/>
  <c r="G54" i="4" s="1"/>
  <c r="O47" i="7"/>
  <c r="I53" i="4" a="1"/>
  <c r="I53" i="4" s="1"/>
  <c r="M142" i="4"/>
  <c r="O130" i="7"/>
  <c r="G40" i="8"/>
  <c r="G35" i="8"/>
  <c r="I48" i="4"/>
  <c r="K158" i="4" l="1" a="1"/>
  <c r="K158" i="4" s="1"/>
  <c r="T158" i="4" a="1"/>
  <c r="T158" i="4" s="1"/>
  <c r="Y158" i="4" a="1"/>
  <c r="Y158" i="4" s="1"/>
  <c r="AH158" i="4" a="1"/>
  <c r="AH158" i="4" s="1"/>
  <c r="AQ158" i="4" a="1"/>
  <c r="AQ158" i="4" s="1"/>
  <c r="AZ158" i="4" a="1"/>
  <c r="AZ158" i="4" s="1"/>
  <c r="V158" i="4" a="1"/>
  <c r="V158" i="4" s="1"/>
  <c r="AA158" i="4" a="1"/>
  <c r="AA158" i="4" s="1"/>
  <c r="AO158" i="4" a="1"/>
  <c r="AO158" i="4" s="1"/>
  <c r="W158" i="4" a="1"/>
  <c r="W158" i="4" s="1"/>
  <c r="AF158" i="4" a="1"/>
  <c r="AF158" i="4" s="1"/>
  <c r="AT158" i="4" a="1"/>
  <c r="AT158" i="4" s="1"/>
  <c r="O158" i="4" a="1"/>
  <c r="O158" i="4" s="1"/>
  <c r="P158" i="4" a="1"/>
  <c r="P158" i="4" s="1"/>
  <c r="U158" i="4" a="1"/>
  <c r="U158" i="4" s="1"/>
  <c r="AD158" i="4" a="1"/>
  <c r="AD158" i="4" s="1"/>
  <c r="AM158" i="4" a="1"/>
  <c r="AM158" i="4" s="1"/>
  <c r="AV158" i="4" a="1"/>
  <c r="AV158" i="4" s="1"/>
  <c r="BA158" i="4" a="1"/>
  <c r="BA158" i="4" s="1"/>
  <c r="R158" i="4" a="1"/>
  <c r="R158" i="4" s="1"/>
  <c r="AJ158" i="4" a="1"/>
  <c r="AJ158" i="4" s="1"/>
  <c r="N158" i="4" a="1"/>
  <c r="N158" i="4" s="1"/>
  <c r="S158" i="4" a="1"/>
  <c r="S158" i="4" s="1"/>
  <c r="AB158" i="4" a="1"/>
  <c r="AB158" i="4" s="1"/>
  <c r="AY158" i="4" a="1"/>
  <c r="AY158" i="4" s="1"/>
  <c r="X158" i="4" a="1"/>
  <c r="X158" i="4" s="1"/>
  <c r="J158" i="4" a="1"/>
  <c r="J158" i="4" s="1"/>
  <c r="L158" i="4" a="1"/>
  <c r="L158" i="4" s="1"/>
  <c r="Q158" i="4" a="1"/>
  <c r="Q158" i="4" s="1"/>
  <c r="Z158" i="4" a="1"/>
  <c r="Z158" i="4" s="1"/>
  <c r="AI158" i="4" a="1"/>
  <c r="AI158" i="4" s="1"/>
  <c r="AR158" i="4" a="1"/>
  <c r="AR158" i="4" s="1"/>
  <c r="AW158" i="4" a="1"/>
  <c r="AW158" i="4" s="1"/>
  <c r="M158" i="4" a="1"/>
  <c r="M158" i="4" s="1"/>
  <c r="AE158" i="4" a="1"/>
  <c r="AE158" i="4" s="1"/>
  <c r="AN158" i="4" a="1"/>
  <c r="AN158" i="4" s="1"/>
  <c r="AS158" i="4" a="1"/>
  <c r="AS158" i="4" s="1"/>
  <c r="BB158" i="4" a="1"/>
  <c r="BB158" i="4" s="1"/>
  <c r="AX158" i="4" a="1"/>
  <c r="AX158" i="4" s="1"/>
  <c r="AK158" i="4" a="1"/>
  <c r="AK158" i="4" s="1"/>
  <c r="BC158" i="4" a="1"/>
  <c r="BC158" i="4" s="1"/>
  <c r="AG158" i="4" a="1"/>
  <c r="AG158" i="4" s="1"/>
  <c r="AP158" i="4" a="1"/>
  <c r="AP158" i="4" s="1"/>
  <c r="AC158" i="4" a="1"/>
  <c r="AC158" i="4" s="1"/>
  <c r="AL158" i="4" a="1"/>
  <c r="AL158" i="4" s="1"/>
  <c r="AU158" i="4" a="1"/>
  <c r="AU158" i="4" s="1"/>
  <c r="F44" i="8"/>
  <c r="G38" i="8"/>
  <c r="G41" i="8"/>
  <c r="G39" i="8"/>
  <c r="G36" i="8"/>
  <c r="G43" i="8"/>
  <c r="G37" i="8"/>
  <c r="G34" i="8"/>
  <c r="G42" i="8"/>
  <c r="M137" i="4"/>
  <c r="I49" i="4"/>
  <c r="M136" i="4"/>
  <c r="H40" i="8"/>
  <c r="L141" i="4"/>
  <c r="L144" i="4" s="1"/>
  <c r="M122" i="4"/>
  <c r="I43" i="4"/>
  <c r="J53" i="4" a="1"/>
  <c r="J53" i="4" s="1"/>
  <c r="N142" i="4"/>
  <c r="P130" i="7"/>
  <c r="P47" i="7"/>
  <c r="J48" i="4"/>
  <c r="J46" i="4" a="1"/>
  <c r="J46" i="4" s="1"/>
  <c r="N126" i="4"/>
  <c r="P116" i="7"/>
  <c r="I50" i="4"/>
  <c r="M138" i="4"/>
  <c r="H35" i="8" l="1"/>
  <c r="H39" i="8"/>
  <c r="H38" i="8"/>
  <c r="H43" i="8"/>
  <c r="H42" i="8"/>
  <c r="H34" i="8"/>
  <c r="H37" i="8"/>
  <c r="G44" i="8"/>
  <c r="H36" i="8"/>
  <c r="H41" i="8"/>
  <c r="N122" i="4"/>
  <c r="J43" i="4"/>
  <c r="O142" i="4"/>
  <c r="K53" i="4" a="1"/>
  <c r="K53" i="4" s="1"/>
  <c r="K48" i="4"/>
  <c r="I52" i="4"/>
  <c r="I54" i="4" s="1"/>
  <c r="Q47" i="7"/>
  <c r="Q130" i="7"/>
  <c r="N136" i="4"/>
  <c r="M141" i="4"/>
  <c r="M144" i="4" s="1"/>
  <c r="N137" i="4"/>
  <c r="J49" i="4"/>
  <c r="J50" i="4"/>
  <c r="N138" i="4"/>
  <c r="K46" i="4" a="1"/>
  <c r="K46" i="4" s="1"/>
  <c r="O126" i="4"/>
  <c r="Q116" i="7"/>
  <c r="I36" i="8" l="1"/>
  <c r="I43" i="8"/>
  <c r="I40" i="8"/>
  <c r="I35" i="8"/>
  <c r="I38" i="8"/>
  <c r="I41" i="8"/>
  <c r="I34" i="8"/>
  <c r="I37" i="8"/>
  <c r="I39" i="8"/>
  <c r="H44" i="8"/>
  <c r="I42" i="8"/>
  <c r="K49" i="4"/>
  <c r="O137" i="4"/>
  <c r="J42" i="8"/>
  <c r="J52" i="4"/>
  <c r="J54" i="4" s="1"/>
  <c r="L53" i="4" a="1"/>
  <c r="L53" i="4" s="1"/>
  <c r="P142" i="4"/>
  <c r="N141" i="4"/>
  <c r="N144" i="4" s="1"/>
  <c r="O136" i="4"/>
  <c r="L48" i="4"/>
  <c r="R47" i="7"/>
  <c r="R116" i="7"/>
  <c r="K50" i="4"/>
  <c r="O138" i="4"/>
  <c r="K43" i="4"/>
  <c r="O122" i="4"/>
  <c r="L46" i="4" a="1"/>
  <c r="L46" i="4" s="1"/>
  <c r="P126" i="4"/>
  <c r="R130" i="7"/>
  <c r="J37" i="8" l="1"/>
  <c r="J36" i="8"/>
  <c r="I44" i="8"/>
  <c r="J35" i="8"/>
  <c r="J38" i="8"/>
  <c r="J43" i="8"/>
  <c r="J39" i="8"/>
  <c r="J40" i="8"/>
  <c r="J41" i="8"/>
  <c r="J34" i="8"/>
  <c r="Q126" i="4"/>
  <c r="M46" i="4" a="1"/>
  <c r="M46" i="4" s="1"/>
  <c r="S130" i="7"/>
  <c r="P122" i="4"/>
  <c r="L43" i="4"/>
  <c r="M53" i="4" a="1"/>
  <c r="M53" i="4" s="1"/>
  <c r="Q142" i="4"/>
  <c r="P136" i="4"/>
  <c r="O141" i="4"/>
  <c r="O144" i="4" s="1"/>
  <c r="P138" i="4"/>
  <c r="L50" i="4"/>
  <c r="S116" i="7"/>
  <c r="K34" i="8"/>
  <c r="K37" i="8"/>
  <c r="K52" i="4"/>
  <c r="K54" i="4" s="1"/>
  <c r="S47" i="7"/>
  <c r="P137" i="4"/>
  <c r="L49" i="4"/>
  <c r="M48" i="4"/>
  <c r="K38" i="8" l="1"/>
  <c r="K36" i="8"/>
  <c r="K43" i="8"/>
  <c r="K39" i="8"/>
  <c r="K41" i="8"/>
  <c r="K42" i="8"/>
  <c r="K40" i="8"/>
  <c r="K35" i="8"/>
  <c r="J44" i="8"/>
  <c r="L52" i="4"/>
  <c r="L54" i="4" s="1"/>
  <c r="Q136" i="4"/>
  <c r="N48" i="4"/>
  <c r="N53" i="4" a="1"/>
  <c r="N53" i="4" s="1"/>
  <c r="R142" i="4"/>
  <c r="T130" i="7"/>
  <c r="Q137" i="4"/>
  <c r="M49" i="4"/>
  <c r="P141" i="4"/>
  <c r="P144" i="4" s="1"/>
  <c r="T47" i="7"/>
  <c r="R126" i="4"/>
  <c r="N46" i="4" a="1"/>
  <c r="N46" i="4" s="1"/>
  <c r="Q122" i="4"/>
  <c r="M43" i="4"/>
  <c r="T116" i="7"/>
  <c r="L43" i="8"/>
  <c r="L39" i="8"/>
  <c r="M50" i="4"/>
  <c r="Q138" i="4"/>
  <c r="L40" i="8" l="1"/>
  <c r="L38" i="8"/>
  <c r="L42" i="8"/>
  <c r="L34" i="8"/>
  <c r="L41" i="8"/>
  <c r="L37" i="8"/>
  <c r="L36" i="8"/>
  <c r="K44" i="8"/>
  <c r="L35" i="8"/>
  <c r="N49" i="4"/>
  <c r="R137" i="4"/>
  <c r="U130" i="7"/>
  <c r="U47" i="7"/>
  <c r="M52" i="4"/>
  <c r="M54" i="4" s="1"/>
  <c r="N50" i="4"/>
  <c r="R138" i="4"/>
  <c r="S142" i="4"/>
  <c r="O53" i="4" a="1"/>
  <c r="O53" i="4" s="1"/>
  <c r="R136" i="4"/>
  <c r="O46" i="4" a="1"/>
  <c r="O46" i="4" s="1"/>
  <c r="S126" i="4"/>
  <c r="R122" i="4"/>
  <c r="N43" i="4"/>
  <c r="O48" i="4"/>
  <c r="M37" i="8"/>
  <c r="U116" i="7"/>
  <c r="Q141" i="4"/>
  <c r="Q144" i="4" s="1"/>
  <c r="M39" i="8" l="1"/>
  <c r="M40" i="8"/>
  <c r="M42" i="8"/>
  <c r="M36" i="8"/>
  <c r="M38" i="8"/>
  <c r="M34" i="8"/>
  <c r="M41" i="8"/>
  <c r="L44" i="8"/>
  <c r="M43" i="8"/>
  <c r="M35" i="8"/>
  <c r="S136" i="4"/>
  <c r="P48" i="4"/>
  <c r="S137" i="4"/>
  <c r="O49" i="4"/>
  <c r="T142" i="4"/>
  <c r="P53" i="4" a="1"/>
  <c r="P53" i="4" s="1"/>
  <c r="V47" i="7"/>
  <c r="R141" i="4"/>
  <c r="R144" i="4" s="1"/>
  <c r="V116" i="7"/>
  <c r="O50" i="4"/>
  <c r="S138" i="4"/>
  <c r="T126" i="4"/>
  <c r="P46" i="4" a="1"/>
  <c r="P46" i="4" s="1"/>
  <c r="S122" i="4"/>
  <c r="O43" i="4"/>
  <c r="V130" i="7"/>
  <c r="N52" i="4"/>
  <c r="N54" i="4" s="1"/>
  <c r="N42" i="8" l="1"/>
  <c r="N41" i="8"/>
  <c r="N36" i="8"/>
  <c r="N34" i="8"/>
  <c r="N38" i="8"/>
  <c r="N37" i="8"/>
  <c r="N40" i="8"/>
  <c r="N35" i="8"/>
  <c r="M44" i="8"/>
  <c r="N43" i="8"/>
  <c r="N39" i="8"/>
  <c r="O52" i="4"/>
  <c r="O54" i="4" s="1"/>
  <c r="W130" i="7"/>
  <c r="U138" i="4" s="1"/>
  <c r="P49" i="4"/>
  <c r="T137" i="4"/>
  <c r="Q48" i="4"/>
  <c r="T122" i="4"/>
  <c r="P43" i="4"/>
  <c r="P50" i="4"/>
  <c r="T138" i="4"/>
  <c r="W116" i="7"/>
  <c r="T136" i="4"/>
  <c r="Q46" i="4" a="1"/>
  <c r="Q46" i="4" s="1"/>
  <c r="U126" i="4"/>
  <c r="S141" i="4"/>
  <c r="S144" i="4" s="1"/>
  <c r="O37" i="8"/>
  <c r="Q53" i="4" a="1"/>
  <c r="Q53" i="4" s="1"/>
  <c r="U142" i="4"/>
  <c r="W47" i="7"/>
  <c r="O38" i="8" l="1"/>
  <c r="O40" i="8"/>
  <c r="O43" i="8"/>
  <c r="O34" i="8"/>
  <c r="O39" i="8"/>
  <c r="O36" i="8"/>
  <c r="O35" i="8"/>
  <c r="O42" i="8"/>
  <c r="N44" i="8"/>
  <c r="O41" i="8"/>
  <c r="Q50" i="4"/>
  <c r="T141" i="4"/>
  <c r="T144" i="4" s="1"/>
  <c r="R46" i="4" a="1"/>
  <c r="R46" i="4" s="1"/>
  <c r="V126" i="4"/>
  <c r="R48" i="4"/>
  <c r="P34" i="8"/>
  <c r="X116" i="7"/>
  <c r="U136" i="4"/>
  <c r="Q49" i="4"/>
  <c r="U137" i="4"/>
  <c r="X47" i="7"/>
  <c r="U122" i="4"/>
  <c r="Q43" i="4"/>
  <c r="V142" i="4"/>
  <c r="R53" i="4" a="1"/>
  <c r="R53" i="4" s="1"/>
  <c r="X130" i="7"/>
  <c r="P52" i="4"/>
  <c r="P54" i="4" s="1"/>
  <c r="P40" i="8" l="1"/>
  <c r="P41" i="8"/>
  <c r="P43" i="8"/>
  <c r="P36" i="8"/>
  <c r="P42" i="8"/>
  <c r="Q52" i="4"/>
  <c r="Q54" i="4" s="1"/>
  <c r="P35" i="8"/>
  <c r="P38" i="8"/>
  <c r="P39" i="8"/>
  <c r="P37" i="8"/>
  <c r="O44" i="8"/>
  <c r="U141" i="4"/>
  <c r="U144" i="4" s="1"/>
  <c r="Y116" i="7"/>
  <c r="W142" i="4"/>
  <c r="S53" i="4" a="1"/>
  <c r="S53" i="4" s="1"/>
  <c r="V122" i="4"/>
  <c r="R43" i="4"/>
  <c r="V137" i="4"/>
  <c r="R49" i="4"/>
  <c r="S46" i="4" a="1"/>
  <c r="S46" i="4" s="1"/>
  <c r="W126" i="4"/>
  <c r="Y130" i="7"/>
  <c r="R50" i="4"/>
  <c r="V138" i="4"/>
  <c r="Y47" i="7"/>
  <c r="S48" i="4"/>
  <c r="V136" i="4"/>
  <c r="Q37" i="8" l="1"/>
  <c r="Q42" i="8"/>
  <c r="Q43" i="8"/>
  <c r="P44" i="8"/>
  <c r="Q39" i="8"/>
  <c r="Q40" i="8"/>
  <c r="Q38" i="8"/>
  <c r="Q35" i="8"/>
  <c r="Q41" i="8"/>
  <c r="Q36" i="8"/>
  <c r="Q34" i="8"/>
  <c r="V141" i="4"/>
  <c r="V144" i="4" s="1"/>
  <c r="R52" i="4"/>
  <c r="R54" i="4" s="1"/>
  <c r="T48" i="4"/>
  <c r="W136" i="4"/>
  <c r="Z47" i="7"/>
  <c r="Z130" i="7"/>
  <c r="W137" i="4"/>
  <c r="S49" i="4"/>
  <c r="X142" i="4"/>
  <c r="T53" i="4" a="1"/>
  <c r="T53" i="4" s="1"/>
  <c r="S50" i="4"/>
  <c r="W138" i="4"/>
  <c r="Z116" i="7"/>
  <c r="W122" i="4"/>
  <c r="S43" i="4"/>
  <c r="X126" i="4"/>
  <c r="T46" i="4" a="1"/>
  <c r="T46" i="4" s="1"/>
  <c r="R40" i="8"/>
  <c r="R38" i="8" l="1"/>
  <c r="R35" i="8"/>
  <c r="R39" i="8"/>
  <c r="Q44" i="8"/>
  <c r="R36" i="8"/>
  <c r="R43" i="8"/>
  <c r="R42" i="8"/>
  <c r="R41" i="8"/>
  <c r="R37" i="8"/>
  <c r="R34" i="8"/>
  <c r="S52" i="4"/>
  <c r="S54" i="4" s="1"/>
  <c r="S35" i="8"/>
  <c r="AA47" i="7"/>
  <c r="Y126" i="4"/>
  <c r="U46" i="4" a="1"/>
  <c r="U46" i="4" s="1"/>
  <c r="T49" i="4"/>
  <c r="X137" i="4"/>
  <c r="AA116" i="7"/>
  <c r="W141" i="4"/>
  <c r="W144" i="4" s="1"/>
  <c r="U53" i="4" a="1"/>
  <c r="U53" i="4" s="1"/>
  <c r="Y142" i="4"/>
  <c r="T50" i="4"/>
  <c r="X138" i="4"/>
  <c r="AA130" i="7"/>
  <c r="U48" i="4"/>
  <c r="X122" i="4"/>
  <c r="T43" i="4"/>
  <c r="X136" i="4"/>
  <c r="S34" i="8" l="1"/>
  <c r="R44" i="8"/>
  <c r="S36" i="8"/>
  <c r="S39" i="8"/>
  <c r="S42" i="8"/>
  <c r="S43" i="8"/>
  <c r="S37" i="8"/>
  <c r="S38" i="8"/>
  <c r="S40" i="8"/>
  <c r="S41" i="8"/>
  <c r="X141" i="4"/>
  <c r="X144" i="4" s="1"/>
  <c r="AB130" i="7"/>
  <c r="Y136" i="4"/>
  <c r="V48" i="4"/>
  <c r="U49" i="4"/>
  <c r="Y137" i="4"/>
  <c r="U50" i="4"/>
  <c r="Y138" i="4"/>
  <c r="T34" i="8"/>
  <c r="T38" i="8"/>
  <c r="T39" i="8"/>
  <c r="Y122" i="4"/>
  <c r="U43" i="4"/>
  <c r="AB47" i="7"/>
  <c r="AB116" i="7"/>
  <c r="V53" i="4" a="1"/>
  <c r="V53" i="4" s="1"/>
  <c r="Z142" i="4"/>
  <c r="Z126" i="4"/>
  <c r="V46" i="4" a="1"/>
  <c r="V46" i="4" s="1"/>
  <c r="T52" i="4"/>
  <c r="T54" i="4" s="1"/>
  <c r="T36" i="8" l="1"/>
  <c r="T35" i="8"/>
  <c r="S44" i="8"/>
  <c r="T41" i="8"/>
  <c r="T40" i="8"/>
  <c r="T43" i="8"/>
  <c r="T42" i="8"/>
  <c r="T37" i="8"/>
  <c r="AC47" i="7"/>
  <c r="W49" i="4" s="1"/>
  <c r="AC130" i="7"/>
  <c r="AC116" i="7"/>
  <c r="U36" i="8"/>
  <c r="V50" i="4"/>
  <c r="Z138" i="4"/>
  <c r="Z122" i="4"/>
  <c r="V43" i="4"/>
  <c r="Z137" i="4"/>
  <c r="V49" i="4"/>
  <c r="Y141" i="4"/>
  <c r="Y144" i="4" s="1"/>
  <c r="W46" i="4" a="1"/>
  <c r="W46" i="4" s="1"/>
  <c r="AA126" i="4"/>
  <c r="W53" i="4" a="1"/>
  <c r="W53" i="4" s="1"/>
  <c r="AA142" i="4"/>
  <c r="U52" i="4"/>
  <c r="U54" i="4" s="1"/>
  <c r="Z136" i="4"/>
  <c r="W48" i="4"/>
  <c r="U38" i="8" l="1"/>
  <c r="U35" i="8"/>
  <c r="U41" i="8"/>
  <c r="U42" i="8"/>
  <c r="T44" i="8"/>
  <c r="U37" i="8"/>
  <c r="U40" i="8"/>
  <c r="U34" i="8"/>
  <c r="U39" i="8"/>
  <c r="U43" i="8"/>
  <c r="AA137" i="4"/>
  <c r="X46" i="4" a="1"/>
  <c r="X46" i="4" s="1"/>
  <c r="AB126" i="4"/>
  <c r="V43" i="8"/>
  <c r="AA136" i="4"/>
  <c r="AD130" i="7"/>
  <c r="AD116" i="7"/>
  <c r="Z141" i="4"/>
  <c r="Z144" i="4" s="1"/>
  <c r="AA122" i="4"/>
  <c r="W43" i="4"/>
  <c r="V52" i="4"/>
  <c r="V54" i="4" s="1"/>
  <c r="AD47" i="7"/>
  <c r="W50" i="4"/>
  <c r="W52" i="4" s="1"/>
  <c r="W54" i="4" s="1"/>
  <c r="AA138" i="4"/>
  <c r="AB142" i="4"/>
  <c r="X53" i="4" a="1"/>
  <c r="X53" i="4" s="1"/>
  <c r="X48" i="4"/>
  <c r="V35" i="8" l="1"/>
  <c r="V36" i="8"/>
  <c r="V39" i="8"/>
  <c r="V40" i="8"/>
  <c r="V34" i="8"/>
  <c r="V41" i="8"/>
  <c r="V37" i="8"/>
  <c r="U44" i="8"/>
  <c r="V42" i="8"/>
  <c r="V38" i="8"/>
  <c r="AE116" i="7"/>
  <c r="AC122" i="4" s="1"/>
  <c r="AB137" i="4"/>
  <c r="X49" i="4"/>
  <c r="AE47" i="7"/>
  <c r="AC126" i="4"/>
  <c r="Y46" i="4" a="1"/>
  <c r="Y46" i="4" s="1"/>
  <c r="AE130" i="7"/>
  <c r="Y53" i="4" a="1"/>
  <c r="Y53" i="4" s="1"/>
  <c r="AC142" i="4"/>
  <c r="AB122" i="4"/>
  <c r="X43" i="4"/>
  <c r="Y48" i="4"/>
  <c r="X50" i="4"/>
  <c r="AB138" i="4"/>
  <c r="AB136" i="4"/>
  <c r="AA141" i="4"/>
  <c r="AA144" i="4" s="1"/>
  <c r="W42" i="8" l="1"/>
  <c r="V44" i="8"/>
  <c r="W38" i="8"/>
  <c r="W40" i="8"/>
  <c r="W35" i="8"/>
  <c r="W39" i="8"/>
  <c r="W43" i="8"/>
  <c r="W37" i="8"/>
  <c r="W34" i="8"/>
  <c r="W36" i="8"/>
  <c r="W41" i="8"/>
  <c r="Y43" i="4"/>
  <c r="AF47" i="7"/>
  <c r="AD137" i="4" s="1"/>
  <c r="AB141" i="4"/>
  <c r="AB144" i="4" s="1"/>
  <c r="Z46" i="4" a="1"/>
  <c r="Z46" i="4" s="1"/>
  <c r="AD126" i="4"/>
  <c r="AF130" i="7"/>
  <c r="Z53" i="4" a="1"/>
  <c r="Z53" i="4" s="1"/>
  <c r="AD142" i="4"/>
  <c r="X52" i="4"/>
  <c r="X54" i="4" s="1"/>
  <c r="AF116" i="7"/>
  <c r="Y49" i="4"/>
  <c r="AC137" i="4"/>
  <c r="AC136" i="4"/>
  <c r="Y50" i="4"/>
  <c r="AC138" i="4"/>
  <c r="X41" i="8"/>
  <c r="Z48" i="4"/>
  <c r="X43" i="8" l="1"/>
  <c r="X34" i="8"/>
  <c r="X36" i="8"/>
  <c r="X39" i="8"/>
  <c r="X40" i="8"/>
  <c r="X37" i="8"/>
  <c r="Z49" i="4"/>
  <c r="X35" i="8"/>
  <c r="W44" i="8"/>
  <c r="X42" i="8"/>
  <c r="X38" i="8"/>
  <c r="Y52" i="4"/>
  <c r="Y54" i="4" s="1"/>
  <c r="AC141" i="4"/>
  <c r="AC144" i="4" s="1"/>
  <c r="AD122" i="4"/>
  <c r="Z43" i="4"/>
  <c r="AG47" i="7"/>
  <c r="AG116" i="7"/>
  <c r="AA48" i="4"/>
  <c r="AD136" i="4"/>
  <c r="AA46" i="4" a="1"/>
  <c r="AA46" i="4" s="1"/>
  <c r="AE126" i="4"/>
  <c r="AG130" i="7"/>
  <c r="Y35" i="8"/>
  <c r="Z50" i="4"/>
  <c r="AD138" i="4"/>
  <c r="AE142" i="4"/>
  <c r="AA53" i="4" a="1"/>
  <c r="AA53" i="4" s="1"/>
  <c r="Y40" i="8" l="1"/>
  <c r="Y42" i="8"/>
  <c r="X44" i="8"/>
  <c r="Z52" i="4"/>
  <c r="Z54" i="4" s="1"/>
  <c r="Y36" i="8"/>
  <c r="Y37" i="8"/>
  <c r="Y39" i="8"/>
  <c r="Y38" i="8"/>
  <c r="Y34" i="8"/>
  <c r="Y41" i="8"/>
  <c r="Y43" i="8"/>
  <c r="AB48" i="4"/>
  <c r="AF136" i="4" s="1"/>
  <c r="AD141" i="4"/>
  <c r="AD144" i="4" s="1"/>
  <c r="AH130" i="7"/>
  <c r="AB50" i="4" s="1"/>
  <c r="AF142" i="4"/>
  <c r="AB53" i="4" a="1"/>
  <c r="AB53" i="4" s="1"/>
  <c r="AE122" i="4"/>
  <c r="AA43" i="4"/>
  <c r="AH116" i="7"/>
  <c r="AE137" i="4"/>
  <c r="AA49" i="4"/>
  <c r="AH47" i="7"/>
  <c r="AE136" i="4"/>
  <c r="AE138" i="4"/>
  <c r="AA50" i="4"/>
  <c r="AB46" i="4" a="1"/>
  <c r="AB46" i="4" s="1"/>
  <c r="AF126" i="4"/>
  <c r="Z41" i="8"/>
  <c r="Z43" i="8" l="1"/>
  <c r="Z37" i="8"/>
  <c r="Z34" i="8"/>
  <c r="Z35" i="8"/>
  <c r="Z36" i="8"/>
  <c r="Z38" i="8"/>
  <c r="Z40" i="8"/>
  <c r="Y44" i="8"/>
  <c r="Z39" i="8"/>
  <c r="Z42" i="8"/>
  <c r="AF138" i="4"/>
  <c r="AA52" i="4"/>
  <c r="AA54" i="4" s="1"/>
  <c r="AC48" i="4"/>
  <c r="AG136" i="4" s="1"/>
  <c r="AF137" i="4"/>
  <c r="AB49" i="4"/>
  <c r="AB52" i="4" s="1"/>
  <c r="AB54" i="4" s="1"/>
  <c r="AI47" i="7"/>
  <c r="AG126" i="4"/>
  <c r="AC46" i="4" a="1"/>
  <c r="AC46" i="4" s="1"/>
  <c r="AF122" i="4"/>
  <c r="AB43" i="4"/>
  <c r="AA34" i="8"/>
  <c r="AI116" i="7"/>
  <c r="AC53" i="4" a="1"/>
  <c r="AC53" i="4" s="1"/>
  <c r="AG142" i="4"/>
  <c r="AE141" i="4"/>
  <c r="AE144" i="4" s="1"/>
  <c r="AI130" i="7"/>
  <c r="AA39" i="8" l="1"/>
  <c r="AA42" i="8"/>
  <c r="AA38" i="8"/>
  <c r="Z44" i="8"/>
  <c r="AA37" i="8"/>
  <c r="AA43" i="8"/>
  <c r="AA41" i="8"/>
  <c r="AA36" i="8"/>
  <c r="AA40" i="8"/>
  <c r="AA35" i="8"/>
  <c r="AF141" i="4"/>
  <c r="AF144" i="4" s="1"/>
  <c r="AC50" i="4"/>
  <c r="AG138" i="4"/>
  <c r="AJ47" i="7"/>
  <c r="AD48" i="4"/>
  <c r="AB35" i="8"/>
  <c r="AB38" i="8"/>
  <c r="AH142" i="4"/>
  <c r="AD53" i="4" a="1"/>
  <c r="AD53" i="4" s="1"/>
  <c r="AH126" i="4"/>
  <c r="AD46" i="4" a="1"/>
  <c r="AD46" i="4" s="1"/>
  <c r="AC49" i="4"/>
  <c r="AG137" i="4"/>
  <c r="AJ130" i="7"/>
  <c r="AJ116" i="7"/>
  <c r="AG122" i="4"/>
  <c r="AC43" i="4"/>
  <c r="AG141" i="4" l="1"/>
  <c r="AG144" i="4" s="1"/>
  <c r="AB42" i="8"/>
  <c r="AB40" i="8"/>
  <c r="AA44" i="8"/>
  <c r="AB41" i="8"/>
  <c r="AB39" i="8"/>
  <c r="AB34" i="8"/>
  <c r="AB43" i="8"/>
  <c r="AB36" i="8"/>
  <c r="AB37" i="8"/>
  <c r="AC52" i="4"/>
  <c r="AC54" i="4" s="1"/>
  <c r="AI142" i="4"/>
  <c r="AE53" i="4" a="1"/>
  <c r="AE53" i="4" s="1"/>
  <c r="AK130" i="7"/>
  <c r="AK47" i="7"/>
  <c r="AD43" i="4"/>
  <c r="AH122" i="4"/>
  <c r="AH137" i="4"/>
  <c r="AD49" i="4"/>
  <c r="AI126" i="4"/>
  <c r="AE46" i="4" a="1"/>
  <c r="AE46" i="4" s="1"/>
  <c r="AE48" i="4"/>
  <c r="AC40" i="8"/>
  <c r="AC43" i="8"/>
  <c r="AH136" i="4"/>
  <c r="AK116" i="7"/>
  <c r="AD50" i="4"/>
  <c r="AH138" i="4"/>
  <c r="AC42" i="8" l="1"/>
  <c r="AC39" i="8"/>
  <c r="AC36" i="8"/>
  <c r="AC37" i="8"/>
  <c r="AC34" i="8"/>
  <c r="AC41" i="8"/>
  <c r="AC35" i="8"/>
  <c r="AB44" i="8"/>
  <c r="AC38" i="8"/>
  <c r="AD52" i="4"/>
  <c r="AD54" i="4" s="1"/>
  <c r="AL47" i="7"/>
  <c r="AJ137" i="4" s="1"/>
  <c r="AJ142" i="4"/>
  <c r="AF53" i="4" a="1"/>
  <c r="AF53" i="4" s="1"/>
  <c r="AI122" i="4"/>
  <c r="AE43" i="4"/>
  <c r="AL130" i="7"/>
  <c r="AE49" i="4"/>
  <c r="AI137" i="4"/>
  <c r="AH141" i="4"/>
  <c r="AH144" i="4" s="1"/>
  <c r="AE50" i="4"/>
  <c r="AI138" i="4"/>
  <c r="AL116" i="7"/>
  <c r="AF46" i="4" a="1"/>
  <c r="AF46" i="4" s="1"/>
  <c r="AJ126" i="4"/>
  <c r="AI136" i="4"/>
  <c r="AF48" i="4"/>
  <c r="AD38" i="8"/>
  <c r="AD43" i="8"/>
  <c r="AD37" i="8" l="1"/>
  <c r="AD36" i="8"/>
  <c r="AD35" i="8"/>
  <c r="AD34" i="8"/>
  <c r="AC44" i="8"/>
  <c r="AD42" i="8"/>
  <c r="AD40" i="8"/>
  <c r="AD41" i="8"/>
  <c r="AD39" i="8"/>
  <c r="AF49" i="4"/>
  <c r="AM116" i="7"/>
  <c r="AG48" i="4"/>
  <c r="AE52" i="4"/>
  <c r="AE54" i="4" s="1"/>
  <c r="AF50" i="4"/>
  <c r="AJ138" i="4"/>
  <c r="AK142" i="4"/>
  <c r="AG53" i="4" a="1"/>
  <c r="AG53" i="4" s="1"/>
  <c r="AJ122" i="4"/>
  <c r="AF43" i="4"/>
  <c r="AJ136" i="4"/>
  <c r="AI141" i="4"/>
  <c r="AI144" i="4" s="1"/>
  <c r="AK126" i="4"/>
  <c r="AG46" i="4" a="1"/>
  <c r="AG46" i="4" s="1"/>
  <c r="AE37" i="8"/>
  <c r="AM47" i="7"/>
  <c r="AM130" i="7"/>
  <c r="AE41" i="8" l="1"/>
  <c r="AD44" i="8"/>
  <c r="AE42" i="8"/>
  <c r="AE38" i="8"/>
  <c r="AE36" i="8"/>
  <c r="AE34" i="8"/>
  <c r="AE40" i="8"/>
  <c r="AE39" i="8"/>
  <c r="AE43" i="8"/>
  <c r="AE35" i="8"/>
  <c r="AF52" i="4"/>
  <c r="AF54" i="4" s="1"/>
  <c r="AN47" i="7"/>
  <c r="AH49" i="4" s="1"/>
  <c r="AG50" i="4"/>
  <c r="AK138" i="4"/>
  <c r="AK137" i="4"/>
  <c r="AG49" i="4"/>
  <c r="AN116" i="7"/>
  <c r="AF35" i="8"/>
  <c r="AF43" i="8"/>
  <c r="AN130" i="7"/>
  <c r="AL126" i="4"/>
  <c r="AH46" i="4" a="1"/>
  <c r="AH46" i="4" s="1"/>
  <c r="AK122" i="4"/>
  <c r="AG43" i="4"/>
  <c r="AH48" i="4"/>
  <c r="AJ141" i="4"/>
  <c r="AJ144" i="4" s="1"/>
  <c r="AL142" i="4"/>
  <c r="AH53" i="4" a="1"/>
  <c r="AH53" i="4" s="1"/>
  <c r="AK136" i="4"/>
  <c r="AG52" i="4" l="1"/>
  <c r="AG54" i="4" s="1"/>
  <c r="AF40" i="8"/>
  <c r="AL137" i="4"/>
  <c r="AF42" i="8"/>
  <c r="AF34" i="8"/>
  <c r="AF38" i="8"/>
  <c r="AE44" i="8"/>
  <c r="AF39" i="8"/>
  <c r="AF37" i="8"/>
  <c r="AF41" i="8"/>
  <c r="AF36" i="8"/>
  <c r="AK141" i="4"/>
  <c r="AK144" i="4" s="1"/>
  <c r="AO47" i="7"/>
  <c r="AI49" i="4" s="1"/>
  <c r="AO116" i="7"/>
  <c r="AI46" i="4" a="1"/>
  <c r="AI46" i="4" s="1"/>
  <c r="AM126" i="4"/>
  <c r="AO130" i="7"/>
  <c r="AH50" i="4"/>
  <c r="AH52" i="4" s="1"/>
  <c r="AH54" i="4" s="1"/>
  <c r="AL138" i="4"/>
  <c r="AL136" i="4"/>
  <c r="AI48" i="4"/>
  <c r="AL122" i="4"/>
  <c r="AH43" i="4"/>
  <c r="AI53" i="4" a="1"/>
  <c r="AI53" i="4" s="1"/>
  <c r="AM142" i="4"/>
  <c r="AG34" i="8" l="1"/>
  <c r="AG37" i="8"/>
  <c r="AF44" i="8"/>
  <c r="AG39" i="8"/>
  <c r="AG41" i="8"/>
  <c r="AG40" i="8"/>
  <c r="AG42" i="8"/>
  <c r="AG43" i="8"/>
  <c r="AG36" i="8"/>
  <c r="AG38" i="8"/>
  <c r="AG35" i="8"/>
  <c r="AM137" i="4"/>
  <c r="AP47" i="7"/>
  <c r="AN137" i="4" s="1"/>
  <c r="AP116" i="7"/>
  <c r="AJ53" i="4" a="1"/>
  <c r="AJ53" i="4" s="1"/>
  <c r="AN142" i="4"/>
  <c r="AM122" i="4"/>
  <c r="AI43" i="4"/>
  <c r="AH42" i="8"/>
  <c r="AJ48" i="4"/>
  <c r="AM136" i="4"/>
  <c r="AL141" i="4"/>
  <c r="AL144" i="4" s="1"/>
  <c r="AP130" i="7"/>
  <c r="AI50" i="4"/>
  <c r="AI52" i="4" s="1"/>
  <c r="AI54" i="4" s="1"/>
  <c r="AM138" i="4"/>
  <c r="AJ46" i="4" a="1"/>
  <c r="AJ46" i="4" s="1"/>
  <c r="AN126" i="4"/>
  <c r="AG44" i="8" l="1"/>
  <c r="AH43" i="8"/>
  <c r="AH41" i="8"/>
  <c r="AH37" i="8"/>
  <c r="AH36" i="8"/>
  <c r="AH40" i="8"/>
  <c r="AH38" i="8"/>
  <c r="AH34" i="8"/>
  <c r="AH35" i="8"/>
  <c r="AH39" i="8"/>
  <c r="AJ49" i="4"/>
  <c r="AQ47" i="7"/>
  <c r="AK49" i="4" s="1"/>
  <c r="AQ116" i="7"/>
  <c r="AK43" i="4" s="1"/>
  <c r="AN136" i="4"/>
  <c r="AO142" i="4"/>
  <c r="AK53" i="4" a="1"/>
  <c r="AK53" i="4" s="1"/>
  <c r="AO126" i="4"/>
  <c r="AK46" i="4" a="1"/>
  <c r="AK46" i="4" s="1"/>
  <c r="AQ130" i="7"/>
  <c r="AM141" i="4"/>
  <c r="AM144" i="4" s="1"/>
  <c r="AK48" i="4"/>
  <c r="AJ50" i="4"/>
  <c r="AN138" i="4"/>
  <c r="AN122" i="4"/>
  <c r="AJ43" i="4"/>
  <c r="AI39" i="8" l="1"/>
  <c r="AI34" i="8"/>
  <c r="AI40" i="8"/>
  <c r="AI36" i="8"/>
  <c r="AH44" i="8"/>
  <c r="AI38" i="8"/>
  <c r="AI41" i="8"/>
  <c r="AI43" i="8"/>
  <c r="AI42" i="8"/>
  <c r="AI35" i="8"/>
  <c r="AI37" i="8"/>
  <c r="AO122" i="4"/>
  <c r="AJ52" i="4"/>
  <c r="AJ54" i="4" s="1"/>
  <c r="AO137" i="4"/>
  <c r="AR47" i="7"/>
  <c r="AP137" i="4" s="1"/>
  <c r="AP142" i="4"/>
  <c r="AL53" i="4" a="1"/>
  <c r="AL53" i="4" s="1"/>
  <c r="AK50" i="4"/>
  <c r="AK52" i="4" s="1"/>
  <c r="AK54" i="4" s="1"/>
  <c r="AO138" i="4"/>
  <c r="AL48" i="4"/>
  <c r="AR116" i="7"/>
  <c r="AR130" i="7"/>
  <c r="AO136" i="4"/>
  <c r="AL46" i="4" a="1"/>
  <c r="AL46" i="4" s="1"/>
  <c r="AP126" i="4"/>
  <c r="AN141" i="4"/>
  <c r="AN144" i="4" s="1"/>
  <c r="AI44" i="8" l="1"/>
  <c r="AJ42" i="8"/>
  <c r="AJ41" i="8"/>
  <c r="AJ35" i="8"/>
  <c r="AJ39" i="8"/>
  <c r="AJ34" i="8"/>
  <c r="AJ43" i="8"/>
  <c r="AJ37" i="8"/>
  <c r="AJ40" i="8"/>
  <c r="AJ36" i="8"/>
  <c r="AJ38" i="8"/>
  <c r="AL49" i="4"/>
  <c r="AM48" i="4"/>
  <c r="AQ136" i="4" s="1"/>
  <c r="AS130" i="7"/>
  <c r="AM50" i="4" s="1"/>
  <c r="AP136" i="4"/>
  <c r="AP122" i="4"/>
  <c r="AL43" i="4"/>
  <c r="AS116" i="7"/>
  <c r="AS47" i="7"/>
  <c r="AO141" i="4"/>
  <c r="AO144" i="4" s="1"/>
  <c r="AL50" i="4"/>
  <c r="AP138" i="4"/>
  <c r="AQ142" i="4"/>
  <c r="AM53" i="4" a="1"/>
  <c r="AM53" i="4" s="1"/>
  <c r="AM46" i="4" a="1"/>
  <c r="AM46" i="4" s="1"/>
  <c r="AQ126" i="4"/>
  <c r="AK41" i="8"/>
  <c r="AK40" i="8" l="1"/>
  <c r="AK34" i="8"/>
  <c r="AJ44" i="8"/>
  <c r="AK35" i="8"/>
  <c r="AK42" i="8"/>
  <c r="AK43" i="8"/>
  <c r="AK38" i="8"/>
  <c r="AK37" i="8"/>
  <c r="AK36" i="8"/>
  <c r="AK39" i="8"/>
  <c r="AL52" i="4"/>
  <c r="AL54" i="4" s="1"/>
  <c r="AN48" i="4"/>
  <c r="AR136" i="4" s="1"/>
  <c r="AT116" i="7"/>
  <c r="AR122" i="4" s="1"/>
  <c r="AQ138" i="4"/>
  <c r="AQ122" i="4"/>
  <c r="AM43" i="4"/>
  <c r="AR126" i="4"/>
  <c r="AN46" i="4" a="1"/>
  <c r="AN46" i="4" s="1"/>
  <c r="AT47" i="7"/>
  <c r="AQ137" i="4"/>
  <c r="AM49" i="4"/>
  <c r="AM52" i="4" s="1"/>
  <c r="AM54" i="4" s="1"/>
  <c r="AT130" i="7"/>
  <c r="AL37" i="8"/>
  <c r="AP141" i="4"/>
  <c r="AP144" i="4" s="1"/>
  <c r="AN53" i="4" a="1"/>
  <c r="AN53" i="4" s="1"/>
  <c r="AR142" i="4"/>
  <c r="AK44" i="8" l="1"/>
  <c r="AL36" i="8"/>
  <c r="AL39" i="8"/>
  <c r="AL43" i="8"/>
  <c r="AL35" i="8"/>
  <c r="AL41" i="8"/>
  <c r="AL40" i="8"/>
  <c r="AL42" i="8"/>
  <c r="AL38" i="8"/>
  <c r="AL34" i="8"/>
  <c r="AQ141" i="4"/>
  <c r="AQ144" i="4" s="1"/>
  <c r="AN43" i="4"/>
  <c r="AS142" i="4"/>
  <c r="AO53" i="4" a="1"/>
  <c r="AO53" i="4" s="1"/>
  <c r="AR137" i="4"/>
  <c r="AN49" i="4"/>
  <c r="AU130" i="7"/>
  <c r="AM42" i="8"/>
  <c r="AO48" i="4"/>
  <c r="AU116" i="7"/>
  <c r="AN50" i="4"/>
  <c r="AR138" i="4"/>
  <c r="AS126" i="4"/>
  <c r="AO46" i="4" a="1"/>
  <c r="AO46" i="4" s="1"/>
  <c r="AU47" i="7"/>
  <c r="AM37" i="8" l="1"/>
  <c r="AM36" i="8"/>
  <c r="AL44" i="8"/>
  <c r="AM35" i="8"/>
  <c r="AM40" i="8"/>
  <c r="AM34" i="8"/>
  <c r="AM41" i="8"/>
  <c r="AM43" i="8"/>
  <c r="AM39" i="8"/>
  <c r="AM38" i="8"/>
  <c r="AV130" i="7"/>
  <c r="AN52" i="4"/>
  <c r="AN54" i="4" s="1"/>
  <c r="AP48" i="4"/>
  <c r="AT126" i="4"/>
  <c r="AP46" i="4" a="1"/>
  <c r="AP46" i="4" s="1"/>
  <c r="AT142" i="4"/>
  <c r="AP53" i="4" a="1"/>
  <c r="AP53" i="4" s="1"/>
  <c r="AO43" i="4"/>
  <c r="AS122" i="4"/>
  <c r="AS136" i="4"/>
  <c r="AR141" i="4"/>
  <c r="AR144" i="4" s="1"/>
  <c r="AS138" i="4"/>
  <c r="AO50" i="4"/>
  <c r="AS137" i="4"/>
  <c r="AO49" i="4"/>
  <c r="AV47" i="7"/>
  <c r="AV116" i="7"/>
  <c r="AN42" i="8" l="1"/>
  <c r="AM44" i="8"/>
  <c r="AN41" i="8"/>
  <c r="AN36" i="8"/>
  <c r="AN38" i="8"/>
  <c r="AN39" i="8"/>
  <c r="AN34" i="8"/>
  <c r="AN40" i="8"/>
  <c r="AN43" i="8"/>
  <c r="AN35" i="8"/>
  <c r="AN37" i="8"/>
  <c r="AO52" i="4"/>
  <c r="AO54" i="4" s="1"/>
  <c r="AS141" i="4"/>
  <c r="AS144" i="4" s="1"/>
  <c r="AW116" i="7"/>
  <c r="AT122" i="4"/>
  <c r="AP43" i="4"/>
  <c r="AT136" i="4"/>
  <c r="AP49" i="4"/>
  <c r="AT137" i="4"/>
  <c r="AW130" i="7"/>
  <c r="AQ48" i="4"/>
  <c r="AW47" i="7"/>
  <c r="AQ53" i="4" a="1"/>
  <c r="AQ53" i="4" s="1"/>
  <c r="AU142" i="4"/>
  <c r="AQ46" i="4" a="1"/>
  <c r="AQ46" i="4" s="1"/>
  <c r="AU126" i="4"/>
  <c r="AP50" i="4"/>
  <c r="AT138" i="4"/>
  <c r="AO41" i="8" l="1"/>
  <c r="AO35" i="8"/>
  <c r="AO40" i="8"/>
  <c r="AO34" i="8"/>
  <c r="AO36" i="8"/>
  <c r="AO43" i="8"/>
  <c r="AO37" i="8"/>
  <c r="AN44" i="8"/>
  <c r="AO39" i="8"/>
  <c r="AO42" i="8"/>
  <c r="AO38" i="8"/>
  <c r="AU138" i="4"/>
  <c r="AQ50" i="4"/>
  <c r="AU136" i="4"/>
  <c r="AT141" i="4"/>
  <c r="AT144" i="4" s="1"/>
  <c r="AV142" i="4"/>
  <c r="AR53" i="4" a="1"/>
  <c r="AR53" i="4" s="1"/>
  <c r="AQ49" i="4"/>
  <c r="AU137" i="4"/>
  <c r="AV126" i="4"/>
  <c r="AR46" i="4" a="1"/>
  <c r="AR46" i="4" s="1"/>
  <c r="AX130" i="7"/>
  <c r="AR48" i="4"/>
  <c r="AX116" i="7"/>
  <c r="AP52" i="4"/>
  <c r="AP54" i="4" s="1"/>
  <c r="AX47" i="7"/>
  <c r="AU122" i="4"/>
  <c r="AQ43" i="4"/>
  <c r="AP42" i="8" l="1"/>
  <c r="AP36" i="8"/>
  <c r="AO44" i="8"/>
  <c r="AP41" i="8"/>
  <c r="AP43" i="8"/>
  <c r="AP37" i="8"/>
  <c r="AP38" i="8"/>
  <c r="AP40" i="8"/>
  <c r="AP39" i="8"/>
  <c r="AP34" i="8"/>
  <c r="AP35" i="8"/>
  <c r="AQ52" i="4"/>
  <c r="AQ54" i="4" s="1"/>
  <c r="AY116" i="7"/>
  <c r="AS43" i="4" s="1"/>
  <c r="AV137" i="4"/>
  <c r="AR49" i="4"/>
  <c r="AY130" i="7"/>
  <c r="AY47" i="7"/>
  <c r="AU141" i="4"/>
  <c r="AU144" i="4" s="1"/>
  <c r="AV122" i="4"/>
  <c r="AR43" i="4"/>
  <c r="AV136" i="4"/>
  <c r="AR50" i="4"/>
  <c r="AV138" i="4"/>
  <c r="AW142" i="4"/>
  <c r="AS53" i="4" a="1"/>
  <c r="AS53" i="4" s="1"/>
  <c r="AW126" i="4"/>
  <c r="AS46" i="4" a="1"/>
  <c r="AS46" i="4" s="1"/>
  <c r="AS48" i="4"/>
  <c r="AQ34" i="8" l="1"/>
  <c r="AQ43" i="8"/>
  <c r="AQ39" i="8"/>
  <c r="AQ35" i="8"/>
  <c r="AQ42" i="8"/>
  <c r="AQ37" i="8"/>
  <c r="AQ36" i="8"/>
  <c r="AQ40" i="8"/>
  <c r="AP44" i="8"/>
  <c r="AQ41" i="8"/>
  <c r="AQ38" i="8"/>
  <c r="AR52" i="4"/>
  <c r="AR54" i="4" s="1"/>
  <c r="AW122" i="4"/>
  <c r="AW137" i="4"/>
  <c r="AS49" i="4"/>
  <c r="AW138" i="4"/>
  <c r="AS50" i="4"/>
  <c r="AX142" i="4"/>
  <c r="AW136" i="4"/>
  <c r="AX126" i="4"/>
  <c r="AZ47" i="7"/>
  <c r="AT49" i="4" s="1"/>
  <c r="AT52" i="4" s="1"/>
  <c r="AT54" i="4" s="1"/>
  <c r="AV141" i="4"/>
  <c r="AV144" i="4" s="1"/>
  <c r="AR39" i="8" l="1"/>
  <c r="AR43" i="8"/>
  <c r="AR37" i="8"/>
  <c r="AR35" i="8"/>
  <c r="AR42" i="8"/>
  <c r="AR36" i="8"/>
  <c r="AR38" i="8"/>
  <c r="AQ44" i="8"/>
  <c r="AR40" i="8"/>
  <c r="AR34" i="8"/>
  <c r="AR41" i="8"/>
  <c r="AX136" i="4"/>
  <c r="AY142" i="4"/>
  <c r="AX138" i="4"/>
  <c r="AS52" i="4"/>
  <c r="AS54" i="4" s="1"/>
  <c r="AX122" i="4"/>
  <c r="AX137" i="4"/>
  <c r="AY126" i="4"/>
  <c r="AW141" i="4"/>
  <c r="AW144" i="4" s="1"/>
  <c r="F66" i="4" l="1"/>
  <c r="G66" i="4"/>
  <c r="AS43" i="8"/>
  <c r="AS41" i="8"/>
  <c r="AS36" i="8"/>
  <c r="AS39" i="8"/>
  <c r="AS40" i="8"/>
  <c r="AR44" i="8"/>
  <c r="AS35" i="8"/>
  <c r="AS42" i="8"/>
  <c r="AS38" i="8"/>
  <c r="AS37" i="8"/>
  <c r="AS34" i="8"/>
  <c r="AZ126" i="4"/>
  <c r="AZ142" i="4"/>
  <c r="AY138" i="4"/>
  <c r="AY136" i="4"/>
  <c r="AY137" i="4"/>
  <c r="AY122" i="4"/>
  <c r="AX141" i="4"/>
  <c r="AX144" i="4" s="1"/>
  <c r="AT37" i="8" l="1"/>
  <c r="AT43" i="8"/>
  <c r="AT34" i="8"/>
  <c r="AT40" i="8"/>
  <c r="AT42" i="8"/>
  <c r="AT38" i="8"/>
  <c r="AS44" i="8"/>
  <c r="AT39" i="8"/>
  <c r="AT41" i="8"/>
  <c r="AT36" i="8"/>
  <c r="AT35" i="8"/>
  <c r="BA136" i="4"/>
  <c r="AZ136" i="4"/>
  <c r="BA126" i="4"/>
  <c r="AZ138" i="4"/>
  <c r="AY141" i="4"/>
  <c r="AY144" i="4" s="1"/>
  <c r="BA142" i="4"/>
  <c r="AZ122" i="4"/>
  <c r="AZ137" i="4"/>
  <c r="AU35" i="8" l="1"/>
  <c r="B35" i="8" s="1"/>
  <c r="AU42" i="8"/>
  <c r="B42" i="8" s="1"/>
  <c r="AU34" i="8"/>
  <c r="B34" i="8" s="1"/>
  <c r="AT44" i="8"/>
  <c r="AU40" i="8"/>
  <c r="B40" i="8" s="1"/>
  <c r="AU43" i="8"/>
  <c r="B43" i="8" s="1"/>
  <c r="AU41" i="8"/>
  <c r="B41" i="8" s="1"/>
  <c r="AU36" i="8"/>
  <c r="B36" i="8" s="1"/>
  <c r="AU37" i="8"/>
  <c r="B37" i="8" s="1"/>
  <c r="AU39" i="8"/>
  <c r="B39" i="8" s="1"/>
  <c r="AU38" i="8"/>
  <c r="B38" i="8" s="1"/>
  <c r="BB122" i="4"/>
  <c r="BA138" i="4"/>
  <c r="BA122" i="4"/>
  <c r="AZ141" i="4"/>
  <c r="AZ144" i="4" s="1"/>
  <c r="BB126" i="4"/>
  <c r="BB142" i="4"/>
  <c r="BA137" i="4"/>
  <c r="B44" i="8" l="1"/>
  <c r="AU44" i="8"/>
  <c r="I158" i="4" s="1"/>
  <c r="J159" i="4" s="1"/>
  <c r="BB136" i="4"/>
  <c r="BB137" i="4"/>
  <c r="BA141" i="4"/>
  <c r="BA144" i="4" s="1"/>
  <c r="BB138" i="4"/>
  <c r="C6" i="8" l="1"/>
  <c r="BB141" i="4"/>
  <c r="BB144" i="4" s="1"/>
  <c r="B6" i="8"/>
  <c r="BC159" i="4" l="1"/>
  <c r="BC160" i="4" s="1"/>
  <c r="K159" i="4"/>
  <c r="K160" i="4" s="1"/>
  <c r="J160" i="4"/>
  <c r="L159" i="4"/>
  <c r="L160" i="4" s="1"/>
  <c r="M159" i="4"/>
  <c r="M160" i="4" s="1"/>
  <c r="N159" i="4"/>
  <c r="N160" i="4" s="1"/>
  <c r="O159" i="4"/>
  <c r="O160" i="4" s="1"/>
  <c r="P159" i="4"/>
  <c r="P160" i="4" s="1"/>
  <c r="Q159" i="4"/>
  <c r="Q160" i="4" s="1"/>
  <c r="R159" i="4"/>
  <c r="R160" i="4" s="1"/>
  <c r="S159" i="4"/>
  <c r="S160" i="4" s="1"/>
  <c r="T159" i="4"/>
  <c r="T160" i="4" s="1"/>
  <c r="U159" i="4"/>
  <c r="U160" i="4" s="1"/>
  <c r="W159" i="4"/>
  <c r="W160" i="4" s="1"/>
  <c r="V159" i="4"/>
  <c r="V160" i="4" s="1"/>
  <c r="X159" i="4"/>
  <c r="X160" i="4" s="1"/>
  <c r="Y159" i="4"/>
  <c r="Y160" i="4" s="1"/>
  <c r="Z159" i="4"/>
  <c r="Z160" i="4" s="1"/>
  <c r="AA159" i="4"/>
  <c r="AA160" i="4" s="1"/>
  <c r="AC159" i="4"/>
  <c r="AC160" i="4" s="1"/>
  <c r="AB159" i="4"/>
  <c r="AB160" i="4" s="1"/>
  <c r="AE159" i="4"/>
  <c r="AE160" i="4" s="1"/>
  <c r="AD159" i="4"/>
  <c r="AD160" i="4" s="1"/>
  <c r="AG159" i="4"/>
  <c r="AG160" i="4" s="1"/>
  <c r="AF159" i="4"/>
  <c r="AF160" i="4" s="1"/>
  <c r="AH159" i="4"/>
  <c r="AH160" i="4" s="1"/>
  <c r="AJ159" i="4"/>
  <c r="AJ160" i="4" s="1"/>
  <c r="AI159" i="4"/>
  <c r="AI160" i="4" s="1"/>
  <c r="AK159" i="4"/>
  <c r="AK160" i="4" s="1"/>
  <c r="AM159" i="4"/>
  <c r="AM160" i="4" s="1"/>
  <c r="AL159" i="4"/>
  <c r="AL160" i="4" s="1"/>
  <c r="AN159" i="4"/>
  <c r="AN160" i="4" s="1"/>
  <c r="AO159" i="4"/>
  <c r="AO160" i="4" s="1"/>
  <c r="AP159" i="4"/>
  <c r="AP160" i="4" s="1"/>
  <c r="AQ159" i="4"/>
  <c r="AQ160" i="4" s="1"/>
  <c r="AR159" i="4"/>
  <c r="AR160" i="4" s="1"/>
  <c r="AS159" i="4"/>
  <c r="AS160" i="4" s="1"/>
  <c r="AT159" i="4"/>
  <c r="AT160" i="4" s="1"/>
  <c r="AV159" i="4"/>
  <c r="AV160" i="4" s="1"/>
  <c r="AU159" i="4"/>
  <c r="AU160" i="4" s="1"/>
  <c r="AX159" i="4"/>
  <c r="AX160" i="4" s="1"/>
  <c r="AW159" i="4"/>
  <c r="AW160" i="4" s="1"/>
  <c r="AY159" i="4"/>
  <c r="AY160" i="4" s="1"/>
  <c r="BA159" i="4"/>
  <c r="BA160" i="4" s="1"/>
  <c r="AZ159" i="4"/>
  <c r="AZ160" i="4" s="1"/>
  <c r="BB159" i="4"/>
  <c r="BB160" i="4" s="1"/>
  <c r="O47" i="8" l="1"/>
  <c r="V163" i="4"/>
  <c r="AQ47" i="8"/>
  <c r="AX163" i="4"/>
  <c r="AG47" i="8"/>
  <c r="AN163" i="4"/>
  <c r="AU47" i="8"/>
  <c r="BB163" i="4"/>
  <c r="AT47" i="8"/>
  <c r="BA163" i="4"/>
  <c r="M47" i="8"/>
  <c r="T163" i="4"/>
  <c r="AA47" i="8"/>
  <c r="AH163" i="4"/>
  <c r="J47" i="8"/>
  <c r="Q163" i="4"/>
  <c r="Z47" i="8"/>
  <c r="AG163" i="4"/>
  <c r="AO47" i="8"/>
  <c r="AV163" i="4"/>
  <c r="W47" i="8"/>
  <c r="AD163" i="4"/>
  <c r="H47" i="8"/>
  <c r="O163" i="4"/>
  <c r="Q47" i="8"/>
  <c r="X163" i="4"/>
  <c r="AF47" i="8"/>
  <c r="AM163" i="4"/>
  <c r="AB47" i="8"/>
  <c r="AI163" i="4"/>
  <c r="AR47" i="8"/>
  <c r="AY163" i="4"/>
  <c r="K47" i="8"/>
  <c r="R163" i="4"/>
  <c r="Y47" i="8"/>
  <c r="AF163" i="4"/>
  <c r="AN47" i="8"/>
  <c r="AU163" i="4"/>
  <c r="I47" i="8"/>
  <c r="P163" i="4"/>
  <c r="AM47" i="8"/>
  <c r="AT163" i="4"/>
  <c r="X47" i="8"/>
  <c r="AE163" i="4"/>
  <c r="G47" i="8"/>
  <c r="N163" i="4"/>
  <c r="F47" i="8"/>
  <c r="M163" i="4"/>
  <c r="AD47" i="8"/>
  <c r="AK163" i="4"/>
  <c r="E47" i="8"/>
  <c r="L163" i="4"/>
  <c r="N47" i="8"/>
  <c r="U163" i="4"/>
  <c r="AP47" i="8"/>
  <c r="AW163" i="4"/>
  <c r="AJ47" i="8"/>
  <c r="AQ163" i="4"/>
  <c r="C47" i="8"/>
  <c r="J163" i="4"/>
  <c r="I160" i="4"/>
  <c r="I164" i="4" s="1"/>
  <c r="P47" i="8"/>
  <c r="W163" i="4"/>
  <c r="AC47" i="8"/>
  <c r="AJ163" i="4"/>
  <c r="AL47" i="8"/>
  <c r="AS163" i="4"/>
  <c r="V47" i="8"/>
  <c r="AC163" i="4"/>
  <c r="D47" i="8"/>
  <c r="K163" i="4"/>
  <c r="AE47" i="8"/>
  <c r="AL163" i="4"/>
  <c r="AS47" i="8"/>
  <c r="AZ163" i="4"/>
  <c r="L47" i="8"/>
  <c r="S163" i="4"/>
  <c r="U47" i="8"/>
  <c r="AB163" i="4"/>
  <c r="AK47" i="8"/>
  <c r="AR163" i="4"/>
  <c r="T47" i="8"/>
  <c r="AA163" i="4"/>
  <c r="AI47" i="8"/>
  <c r="AP163" i="4"/>
  <c r="S47" i="8"/>
  <c r="Z163" i="4"/>
  <c r="AH47" i="8"/>
  <c r="AO163" i="4"/>
  <c r="R47" i="8"/>
  <c r="Y163" i="4"/>
  <c r="AV47" i="8"/>
  <c r="BC163" i="4"/>
  <c r="M4" i="7"/>
  <c r="H60" i="3"/>
  <c r="H199" i="3" s="1"/>
  <c r="H36" i="3"/>
  <c r="H202" i="3" s="1"/>
  <c r="H130" i="3"/>
  <c r="H190" i="3" s="1"/>
  <c r="H193" i="3" s="1"/>
  <c r="H145" i="3"/>
  <c r="H200" i="3" s="1"/>
  <c r="H223" i="3"/>
  <c r="L4" i="7"/>
  <c r="B47" i="8" l="1"/>
  <c r="B49" i="8" s="1"/>
  <c r="K164" i="4"/>
  <c r="D49" i="8" s="1"/>
  <c r="AA164" i="4"/>
  <c r="T49" i="8" s="1"/>
  <c r="AQ164" i="4"/>
  <c r="AJ49" i="8" s="1"/>
  <c r="S164" i="4"/>
  <c r="L49" i="8" s="1"/>
  <c r="AJ164" i="4"/>
  <c r="AC49" i="8" s="1"/>
  <c r="W164" i="4"/>
  <c r="P49" i="8" s="1"/>
  <c r="Z164" i="4"/>
  <c r="S49" i="8" s="1"/>
  <c r="L164" i="4"/>
  <c r="E49" i="8" s="1"/>
  <c r="AB164" i="4"/>
  <c r="U49" i="8" s="1"/>
  <c r="AR164" i="4"/>
  <c r="AK49" i="8" s="1"/>
  <c r="M164" i="4"/>
  <c r="F49" i="8" s="1"/>
  <c r="AC164" i="4"/>
  <c r="V49" i="8" s="1"/>
  <c r="AS164" i="4"/>
  <c r="AL49" i="8" s="1"/>
  <c r="BA164" i="4"/>
  <c r="AT49" i="8" s="1"/>
  <c r="AO164" i="4"/>
  <c r="AH49" i="8" s="1"/>
  <c r="N164" i="4"/>
  <c r="G49" i="8" s="1"/>
  <c r="AD164" i="4"/>
  <c r="W49" i="8" s="1"/>
  <c r="AT164" i="4"/>
  <c r="AM49" i="8" s="1"/>
  <c r="AI164" i="4"/>
  <c r="AB49" i="8" s="1"/>
  <c r="T164" i="4"/>
  <c r="M49" i="8" s="1"/>
  <c r="U164" i="4"/>
  <c r="N49" i="8" s="1"/>
  <c r="V164" i="4"/>
  <c r="O49" i="8" s="1"/>
  <c r="AN164" i="4"/>
  <c r="AG49" i="8" s="1"/>
  <c r="AP164" i="4"/>
  <c r="AI49" i="8" s="1"/>
  <c r="O164" i="4"/>
  <c r="H49" i="8" s="1"/>
  <c r="AE164" i="4"/>
  <c r="X49" i="8" s="1"/>
  <c r="AU164" i="4"/>
  <c r="AN49" i="8" s="1"/>
  <c r="AK164" i="4"/>
  <c r="AD49" i="8" s="1"/>
  <c r="AL164" i="4"/>
  <c r="AE49" i="8" s="1"/>
  <c r="AM164" i="4"/>
  <c r="AF49" i="8" s="1"/>
  <c r="X164" i="4"/>
  <c r="Q49" i="8" s="1"/>
  <c r="Y164" i="4"/>
  <c r="R49" i="8" s="1"/>
  <c r="P164" i="4"/>
  <c r="I49" i="8" s="1"/>
  <c r="AF164" i="4"/>
  <c r="Y49" i="8" s="1"/>
  <c r="AV164" i="4"/>
  <c r="AO49" i="8" s="1"/>
  <c r="AY164" i="4"/>
  <c r="AR49" i="8" s="1"/>
  <c r="BB164" i="4"/>
  <c r="AU49" i="8" s="1"/>
  <c r="BC164" i="4"/>
  <c r="AV49" i="8" s="1"/>
  <c r="J164" i="4"/>
  <c r="C49" i="8" s="1"/>
  <c r="Q164" i="4"/>
  <c r="J49" i="8" s="1"/>
  <c r="AG164" i="4"/>
  <c r="Z49" i="8" s="1"/>
  <c r="AW164" i="4"/>
  <c r="AP49" i="8" s="1"/>
  <c r="AZ164" i="4"/>
  <c r="AS49" i="8" s="1"/>
  <c r="R164" i="4"/>
  <c r="K49" i="8" s="1"/>
  <c r="AH164" i="4"/>
  <c r="AA49" i="8" s="1"/>
  <c r="AX164" i="4"/>
  <c r="AQ49" i="8" s="1"/>
  <c r="H203" i="3"/>
  <c r="H194" i="3"/>
  <c r="H195" i="3" s="1"/>
  <c r="H196" i="3" s="1"/>
  <c r="I223" i="3"/>
  <c r="H204" i="3"/>
  <c r="J103" i="4"/>
  <c r="J89" i="4"/>
  <c r="J109" i="4"/>
  <c r="J105" i="4"/>
  <c r="L5" i="7"/>
  <c r="H23" i="3"/>
  <c r="H213" i="3" s="1"/>
  <c r="H210" i="3"/>
  <c r="I36" i="3"/>
  <c r="I202" i="3" s="1"/>
  <c r="I60" i="3"/>
  <c r="I199" i="3" s="1"/>
  <c r="J93" i="4"/>
  <c r="J104" i="4"/>
  <c r="L145" i="7" l="1"/>
  <c r="L37" i="7"/>
  <c r="L144" i="7"/>
  <c r="L136" i="7"/>
  <c r="L36" i="7"/>
  <c r="L147" i="7"/>
  <c r="L139" i="7"/>
  <c r="L34" i="7"/>
  <c r="L35" i="7"/>
  <c r="L167" i="7"/>
  <c r="L164" i="7"/>
  <c r="L138" i="7"/>
  <c r="L137" i="7"/>
  <c r="L135" i="7"/>
  <c r="L32" i="7"/>
  <c r="L146" i="7"/>
  <c r="L33" i="7"/>
  <c r="L134" i="7"/>
  <c r="L10" i="7"/>
  <c r="L12" i="7"/>
  <c r="L14" i="7"/>
  <c r="L11" i="7"/>
  <c r="L15" i="7"/>
  <c r="L13" i="7"/>
  <c r="L16" i="7"/>
  <c r="H205" i="3"/>
  <c r="H206" i="3" s="1"/>
  <c r="H129" i="3"/>
  <c r="H211" i="3" s="1"/>
  <c r="I48" i="3"/>
  <c r="I210" i="3" s="1"/>
  <c r="M5" i="7"/>
  <c r="H212" i="3"/>
  <c r="I23" i="3"/>
  <c r="I213" i="3" s="1"/>
  <c r="H144" i="3"/>
  <c r="H221" i="3" s="1"/>
  <c r="J108" i="4"/>
  <c r="J111" i="4" s="1"/>
  <c r="J114" i="4" s="1"/>
  <c r="J36" i="3"/>
  <c r="J202" i="3" s="1"/>
  <c r="J60" i="3"/>
  <c r="J199" i="3" s="1"/>
  <c r="N4" i="7"/>
  <c r="I130" i="3"/>
  <c r="I190" i="3" s="1"/>
  <c r="I204" i="3"/>
  <c r="J223" i="3"/>
  <c r="I194" i="3"/>
  <c r="I145" i="3"/>
  <c r="I200" i="3" s="1"/>
  <c r="M136" i="7" l="1"/>
  <c r="M35" i="7"/>
  <c r="M167" i="7"/>
  <c r="M36" i="7"/>
  <c r="M146" i="7"/>
  <c r="M164" i="7"/>
  <c r="M144" i="7"/>
  <c r="M145" i="7"/>
  <c r="M138" i="7"/>
  <c r="M34" i="7"/>
  <c r="M32" i="7"/>
  <c r="M147" i="7"/>
  <c r="M135" i="7"/>
  <c r="M33" i="7"/>
  <c r="M134" i="7"/>
  <c r="M139" i="7"/>
  <c r="M137" i="7"/>
  <c r="M37" i="7"/>
  <c r="M14" i="7"/>
  <c r="M10" i="7"/>
  <c r="M11" i="7"/>
  <c r="M12" i="7"/>
  <c r="M16" i="7"/>
  <c r="M13" i="7"/>
  <c r="M15" i="7"/>
  <c r="J145" i="4"/>
  <c r="J147" i="4" s="1"/>
  <c r="H214" i="3"/>
  <c r="H216" i="3" s="1"/>
  <c r="H217" i="3" s="1"/>
  <c r="H224" i="3"/>
  <c r="H226" i="3" s="1"/>
  <c r="H227" i="3" s="1"/>
  <c r="J102" i="4"/>
  <c r="J101" i="4" s="1"/>
  <c r="J129" i="4"/>
  <c r="J119" i="4"/>
  <c r="J23" i="3"/>
  <c r="J213" i="3" s="1"/>
  <c r="J48" i="3"/>
  <c r="J210" i="3" s="1"/>
  <c r="I129" i="3"/>
  <c r="I211" i="3" s="1"/>
  <c r="N5" i="7"/>
  <c r="I144" i="3"/>
  <c r="I221" i="3" s="1"/>
  <c r="I201" i="3"/>
  <c r="K36" i="3"/>
  <c r="K202" i="3" s="1"/>
  <c r="K60" i="3"/>
  <c r="K199" i="3" s="1"/>
  <c r="O4" i="7"/>
  <c r="J204" i="3"/>
  <c r="J130" i="3"/>
  <c r="J190" i="3" s="1"/>
  <c r="J145" i="3"/>
  <c r="J200" i="3" s="1"/>
  <c r="J194" i="3"/>
  <c r="K223" i="3"/>
  <c r="K109" i="4"/>
  <c r="K103" i="4"/>
  <c r="K104" i="4"/>
  <c r="K105" i="4"/>
  <c r="K93" i="4"/>
  <c r="K89" i="4"/>
  <c r="N164" i="7" l="1"/>
  <c r="N136" i="7"/>
  <c r="N167" i="7"/>
  <c r="N35" i="7"/>
  <c r="N146" i="7"/>
  <c r="N144" i="7"/>
  <c r="N145" i="7"/>
  <c r="N138" i="7"/>
  <c r="N135" i="7"/>
  <c r="N34" i="7"/>
  <c r="N32" i="7"/>
  <c r="N37" i="7"/>
  <c r="N134" i="7"/>
  <c r="N139" i="7"/>
  <c r="N33" i="7"/>
  <c r="N147" i="7"/>
  <c r="N36" i="7"/>
  <c r="N137" i="7"/>
  <c r="N15" i="7"/>
  <c r="N13" i="7"/>
  <c r="N10" i="7"/>
  <c r="N12" i="7"/>
  <c r="N14" i="7"/>
  <c r="N16" i="7"/>
  <c r="N11" i="7"/>
  <c r="J86" i="4"/>
  <c r="J135" i="4"/>
  <c r="J134" i="4" s="1"/>
  <c r="L38" i="7"/>
  <c r="J121" i="4" s="1"/>
  <c r="J88" i="4" s="1"/>
  <c r="L149" i="7"/>
  <c r="J139" i="4" s="1"/>
  <c r="J106" i="4" s="1"/>
  <c r="J107" i="4" s="1"/>
  <c r="J110" i="4" s="1"/>
  <c r="J113" i="4" s="1"/>
  <c r="L140" i="7"/>
  <c r="L17" i="7"/>
  <c r="F41" i="4" s="1"/>
  <c r="J120" i="4" s="1"/>
  <c r="J118" i="4" s="1"/>
  <c r="I224" i="3"/>
  <c r="I226" i="3" s="1"/>
  <c r="I227" i="3" s="1"/>
  <c r="L148" i="7"/>
  <c r="L141" i="7"/>
  <c r="J123" i="4" s="1"/>
  <c r="J90" i="4" s="1"/>
  <c r="I203" i="3"/>
  <c r="I205" i="3" s="1"/>
  <c r="I206" i="3" s="1"/>
  <c r="K23" i="3"/>
  <c r="K213" i="3" s="1"/>
  <c r="K48" i="3"/>
  <c r="K210" i="3" s="1"/>
  <c r="J129" i="3"/>
  <c r="J211" i="3" s="1"/>
  <c r="J144" i="3"/>
  <c r="J221" i="3" s="1"/>
  <c r="O5" i="7"/>
  <c r="J201" i="3"/>
  <c r="L60" i="3"/>
  <c r="L199" i="3" s="1"/>
  <c r="L36" i="3"/>
  <c r="L202" i="3" s="1"/>
  <c r="K130" i="3"/>
  <c r="K190" i="3" s="1"/>
  <c r="K145" i="3"/>
  <c r="K200" i="3" s="1"/>
  <c r="P4" i="7"/>
  <c r="K194" i="3"/>
  <c r="L223" i="3"/>
  <c r="K204" i="3"/>
  <c r="K145" i="4"/>
  <c r="K147" i="4" s="1"/>
  <c r="K129" i="4"/>
  <c r="I212" i="3"/>
  <c r="I191" i="3"/>
  <c r="K108" i="4"/>
  <c r="K111" i="4" s="1"/>
  <c r="K114" i="4" s="1"/>
  <c r="L104" i="4"/>
  <c r="L103" i="4"/>
  <c r="L109" i="4"/>
  <c r="L89" i="4"/>
  <c r="L93" i="4"/>
  <c r="L105" i="4"/>
  <c r="O144" i="7" l="1"/>
  <c r="O164" i="7"/>
  <c r="O167" i="7"/>
  <c r="O134" i="7"/>
  <c r="O145" i="7"/>
  <c r="O146" i="7"/>
  <c r="O138" i="7"/>
  <c r="O136" i="7"/>
  <c r="O147" i="7"/>
  <c r="O32" i="7"/>
  <c r="O33" i="7"/>
  <c r="O139" i="7"/>
  <c r="O35" i="7"/>
  <c r="O36" i="7"/>
  <c r="O37" i="7"/>
  <c r="O34" i="7"/>
  <c r="O135" i="7"/>
  <c r="O137" i="7"/>
  <c r="O14" i="7"/>
  <c r="O11" i="7"/>
  <c r="O16" i="7"/>
  <c r="O15" i="7"/>
  <c r="O13" i="7"/>
  <c r="O10" i="7"/>
  <c r="O12" i="7"/>
  <c r="J140" i="4"/>
  <c r="J143" i="4" s="1"/>
  <c r="F42" i="4"/>
  <c r="F45" i="4" s="1"/>
  <c r="F47" i="4" s="1"/>
  <c r="J124" i="4"/>
  <c r="J127" i="4" s="1"/>
  <c r="J125" i="4"/>
  <c r="J128" i="4" s="1"/>
  <c r="J131" i="4" s="1"/>
  <c r="J87" i="4"/>
  <c r="J92" i="4" s="1"/>
  <c r="J95" i="4" s="1"/>
  <c r="J98" i="4" s="1"/>
  <c r="M140" i="7"/>
  <c r="J224" i="3"/>
  <c r="J226" i="3" s="1"/>
  <c r="J227" i="3" s="1"/>
  <c r="I214" i="3"/>
  <c r="I216" i="3" s="1"/>
  <c r="I217" i="3" s="1"/>
  <c r="M148" i="7"/>
  <c r="I193" i="3"/>
  <c r="I195" i="3" s="1"/>
  <c r="I196" i="3" s="1"/>
  <c r="J203" i="3"/>
  <c r="J205" i="3" s="1"/>
  <c r="J206" i="3" s="1"/>
  <c r="M141" i="7"/>
  <c r="K123" i="4" s="1"/>
  <c r="K90" i="4" s="1"/>
  <c r="M38" i="7"/>
  <c r="K121" i="4" s="1"/>
  <c r="K88" i="4" s="1"/>
  <c r="L108" i="4"/>
  <c r="L111" i="4" s="1"/>
  <c r="L114" i="4" s="1"/>
  <c r="M17" i="7"/>
  <c r="G41" i="4" s="1"/>
  <c r="L23" i="3"/>
  <c r="L213" i="3" s="1"/>
  <c r="L48" i="3"/>
  <c r="L210" i="3" s="1"/>
  <c r="P5" i="7"/>
  <c r="K129" i="3"/>
  <c r="K211" i="3" s="1"/>
  <c r="K201" i="3"/>
  <c r="K144" i="3"/>
  <c r="K221" i="3" s="1"/>
  <c r="J212" i="3"/>
  <c r="J191" i="3"/>
  <c r="M149" i="7"/>
  <c r="K139" i="4" s="1"/>
  <c r="K106" i="4" s="1"/>
  <c r="M103" i="4"/>
  <c r="M104" i="4"/>
  <c r="M89" i="4"/>
  <c r="M109" i="4"/>
  <c r="M93" i="4"/>
  <c r="M105" i="4"/>
  <c r="L129" i="4"/>
  <c r="L145" i="4"/>
  <c r="L147" i="4" s="1"/>
  <c r="M60" i="3"/>
  <c r="M199" i="3" s="1"/>
  <c r="M36" i="3"/>
  <c r="M202" i="3" s="1"/>
  <c r="L130" i="3"/>
  <c r="L190" i="3" s="1"/>
  <c r="L204" i="3"/>
  <c r="Q4" i="7"/>
  <c r="M223" i="3"/>
  <c r="L194" i="3"/>
  <c r="L145" i="3"/>
  <c r="L200" i="3" s="1"/>
  <c r="K135" i="4"/>
  <c r="K134" i="4" s="1"/>
  <c r="K102" i="4"/>
  <c r="K101" i="4" s="1"/>
  <c r="K119" i="4"/>
  <c r="K86" i="4"/>
  <c r="J146" i="4" l="1"/>
  <c r="F72" i="4" a="1"/>
  <c r="F72" i="4" s="1"/>
  <c r="J130" i="4"/>
  <c r="F71" i="4" a="1"/>
  <c r="F71" i="4" s="1"/>
  <c r="P137" i="7"/>
  <c r="P33" i="7"/>
  <c r="P164" i="7"/>
  <c r="P144" i="7"/>
  <c r="P34" i="7"/>
  <c r="P135" i="7"/>
  <c r="P32" i="7"/>
  <c r="P146" i="7"/>
  <c r="P138" i="7"/>
  <c r="P167" i="7"/>
  <c r="P134" i="7"/>
  <c r="P35" i="7"/>
  <c r="P145" i="7"/>
  <c r="P37" i="7"/>
  <c r="P36" i="7"/>
  <c r="P139" i="7"/>
  <c r="P147" i="7"/>
  <c r="P136" i="7"/>
  <c r="P16" i="7"/>
  <c r="P10" i="7"/>
  <c r="P12" i="7"/>
  <c r="P14" i="7"/>
  <c r="P11" i="7"/>
  <c r="P13" i="7"/>
  <c r="P15" i="7"/>
  <c r="J85" i="4"/>
  <c r="J91" i="4" s="1"/>
  <c r="J94" i="4" s="1"/>
  <c r="J97" i="4" s="1"/>
  <c r="K224" i="3"/>
  <c r="K226" i="3" s="1"/>
  <c r="K227" i="3" s="1"/>
  <c r="G42" i="4"/>
  <c r="G45" i="4" s="1"/>
  <c r="G47" i="4" s="1"/>
  <c r="J214" i="3"/>
  <c r="J216" i="3" s="1"/>
  <c r="J217" i="3" s="1"/>
  <c r="J193" i="3"/>
  <c r="J195" i="3" s="1"/>
  <c r="J196" i="3" s="1"/>
  <c r="K203" i="3"/>
  <c r="K205" i="3" s="1"/>
  <c r="K206" i="3" s="1"/>
  <c r="K140" i="4"/>
  <c r="K143" i="4" s="1"/>
  <c r="K107" i="4"/>
  <c r="K110" i="4" s="1"/>
  <c r="N17" i="7"/>
  <c r="H41" i="4" s="1"/>
  <c r="L120" i="4" s="1"/>
  <c r="L135" i="4"/>
  <c r="L134" i="4" s="1"/>
  <c r="L102" i="4"/>
  <c r="L101" i="4" s="1"/>
  <c r="M108" i="4"/>
  <c r="M111" i="4" s="1"/>
  <c r="M114" i="4" s="1"/>
  <c r="M129" i="4"/>
  <c r="M145" i="4"/>
  <c r="M147" i="4" s="1"/>
  <c r="K191" i="3"/>
  <c r="K212" i="3"/>
  <c r="M48" i="3"/>
  <c r="M210" i="3" s="1"/>
  <c r="M23" i="3"/>
  <c r="M213" i="3" s="1"/>
  <c r="L144" i="3"/>
  <c r="L221" i="3" s="1"/>
  <c r="L129" i="3"/>
  <c r="L211" i="3" s="1"/>
  <c r="Q5" i="7"/>
  <c r="L201" i="3"/>
  <c r="L119" i="4"/>
  <c r="L86" i="4"/>
  <c r="N140" i="7"/>
  <c r="N141" i="7"/>
  <c r="L123" i="4" s="1"/>
  <c r="L90" i="4" s="1"/>
  <c r="N103" i="4"/>
  <c r="N109" i="4"/>
  <c r="N93" i="4"/>
  <c r="N89" i="4"/>
  <c r="N104" i="4"/>
  <c r="N105" i="4"/>
  <c r="N38" i="7"/>
  <c r="N149" i="7"/>
  <c r="L139" i="4" s="1"/>
  <c r="L106" i="4" s="1"/>
  <c r="K87" i="4"/>
  <c r="K120" i="4"/>
  <c r="N60" i="3"/>
  <c r="N199" i="3" s="1"/>
  <c r="N36" i="3"/>
  <c r="N202" i="3" s="1"/>
  <c r="N223" i="3"/>
  <c r="M145" i="3"/>
  <c r="M200" i="3" s="1"/>
  <c r="R4" i="7"/>
  <c r="M194" i="3"/>
  <c r="M204" i="3"/>
  <c r="M130" i="3"/>
  <c r="M190" i="3" s="1"/>
  <c r="N148" i="7"/>
  <c r="K146" i="4" l="1"/>
  <c r="G72" i="4" a="1"/>
  <c r="G72" i="4" s="1"/>
  <c r="Q137" i="7"/>
  <c r="Q147" i="7"/>
  <c r="Q33" i="7"/>
  <c r="Q164" i="7"/>
  <c r="Q167" i="7"/>
  <c r="Q144" i="7"/>
  <c r="Q134" i="7"/>
  <c r="Q36" i="7"/>
  <c r="Q139" i="7"/>
  <c r="Q146" i="7"/>
  <c r="Q135" i="7"/>
  <c r="Q35" i="7"/>
  <c r="Q145" i="7"/>
  <c r="Q32" i="7"/>
  <c r="Q34" i="7"/>
  <c r="Q136" i="7"/>
  <c r="Q37" i="7"/>
  <c r="Q138" i="7"/>
  <c r="Q15" i="7"/>
  <c r="Q16" i="7"/>
  <c r="Q11" i="7"/>
  <c r="Q12" i="7"/>
  <c r="Q10" i="7"/>
  <c r="Q13" i="7"/>
  <c r="Q14" i="7"/>
  <c r="L224" i="3"/>
  <c r="L226" i="3" s="1"/>
  <c r="L227" i="3" s="1"/>
  <c r="L87" i="4"/>
  <c r="L85" i="4" s="1"/>
  <c r="K214" i="3"/>
  <c r="K216" i="3" s="1"/>
  <c r="K217" i="3" s="1"/>
  <c r="K193" i="3"/>
  <c r="K195" i="3" s="1"/>
  <c r="K196" i="3" s="1"/>
  <c r="L203" i="3"/>
  <c r="L205" i="3" s="1"/>
  <c r="L206" i="3" s="1"/>
  <c r="L118" i="4"/>
  <c r="K113" i="4"/>
  <c r="O149" i="7"/>
  <c r="M139" i="4" s="1"/>
  <c r="M106" i="4" s="1"/>
  <c r="O141" i="7"/>
  <c r="M123" i="4" s="1"/>
  <c r="M90" i="4" s="1"/>
  <c r="O148" i="7"/>
  <c r="N108" i="4"/>
  <c r="N111" i="4" s="1"/>
  <c r="N114" i="4" s="1"/>
  <c r="M86" i="4"/>
  <c r="M119" i="4"/>
  <c r="K85" i="4"/>
  <c r="K91" i="4" s="1"/>
  <c r="K94" i="4" s="1"/>
  <c r="K92" i="4"/>
  <c r="K95" i="4" s="1"/>
  <c r="K98" i="4" s="1"/>
  <c r="N129" i="4"/>
  <c r="N145" i="4"/>
  <c r="N147" i="4" s="1"/>
  <c r="K118" i="4"/>
  <c r="K124" i="4" s="1"/>
  <c r="K127" i="4" s="1"/>
  <c r="K125" i="4"/>
  <c r="K128" i="4" s="1"/>
  <c r="K131" i="4" s="1"/>
  <c r="O105" i="4"/>
  <c r="O103" i="4"/>
  <c r="O93" i="4"/>
  <c r="O89" i="4"/>
  <c r="O104" i="4"/>
  <c r="O109" i="4"/>
  <c r="H42" i="4"/>
  <c r="H45" i="4" s="1"/>
  <c r="H47" i="4" s="1"/>
  <c r="L121" i="4"/>
  <c r="O38" i="7"/>
  <c r="L107" i="4"/>
  <c r="L110" i="4" s="1"/>
  <c r="O60" i="3"/>
  <c r="O199" i="3" s="1"/>
  <c r="O36" i="3"/>
  <c r="O202" i="3" s="1"/>
  <c r="N130" i="3"/>
  <c r="N190" i="3" s="1"/>
  <c r="N204" i="3"/>
  <c r="S4" i="7"/>
  <c r="N145" i="3"/>
  <c r="N200" i="3" s="1"/>
  <c r="N194" i="3"/>
  <c r="O223" i="3"/>
  <c r="O140" i="7"/>
  <c r="L140" i="4"/>
  <c r="L143" i="4" s="1"/>
  <c r="O17" i="7"/>
  <c r="I41" i="4" s="1"/>
  <c r="N48" i="3"/>
  <c r="N210" i="3" s="1"/>
  <c r="N23" i="3"/>
  <c r="N213" i="3" s="1"/>
  <c r="R5" i="7"/>
  <c r="M201" i="3"/>
  <c r="M144" i="3"/>
  <c r="M221" i="3" s="1"/>
  <c r="M129" i="3"/>
  <c r="M211" i="3" s="1"/>
  <c r="M135" i="4"/>
  <c r="M134" i="4" s="1"/>
  <c r="M102" i="4"/>
  <c r="M101" i="4" s="1"/>
  <c r="L191" i="3"/>
  <c r="L212" i="3"/>
  <c r="K130" i="4" l="1"/>
  <c r="G71" i="4" a="1"/>
  <c r="G71" i="4" s="1"/>
  <c r="L146" i="4"/>
  <c r="H72" i="4" a="1"/>
  <c r="H72" i="4" s="1"/>
  <c r="R37" i="7"/>
  <c r="R167" i="7"/>
  <c r="R144" i="7"/>
  <c r="R134" i="7"/>
  <c r="R164" i="7"/>
  <c r="R147" i="7"/>
  <c r="R34" i="7"/>
  <c r="R139" i="7"/>
  <c r="R146" i="7"/>
  <c r="R35" i="7"/>
  <c r="R36" i="7"/>
  <c r="R137" i="7"/>
  <c r="R135" i="7"/>
  <c r="R145" i="7"/>
  <c r="R136" i="7"/>
  <c r="R32" i="7"/>
  <c r="R33" i="7"/>
  <c r="R138" i="7"/>
  <c r="R11" i="7"/>
  <c r="R10" i="7"/>
  <c r="R12" i="7"/>
  <c r="R15" i="7"/>
  <c r="R16" i="7"/>
  <c r="R14" i="7"/>
  <c r="R13" i="7"/>
  <c r="M224" i="3"/>
  <c r="M226" i="3" s="1"/>
  <c r="M227" i="3" s="1"/>
  <c r="L214" i="3"/>
  <c r="L216" i="3" s="1"/>
  <c r="L217" i="3" s="1"/>
  <c r="L193" i="3"/>
  <c r="L195" i="3" s="1"/>
  <c r="L196" i="3" s="1"/>
  <c r="M203" i="3"/>
  <c r="M205" i="3" s="1"/>
  <c r="M206" i="3" s="1"/>
  <c r="M107" i="4"/>
  <c r="M110" i="4" s="1"/>
  <c r="M140" i="4"/>
  <c r="M143" i="4" s="1"/>
  <c r="P140" i="7"/>
  <c r="M191" i="3"/>
  <c r="M212" i="3"/>
  <c r="O48" i="3"/>
  <c r="O210" i="3" s="1"/>
  <c r="O23" i="3"/>
  <c r="O213" i="3" s="1"/>
  <c r="N201" i="3"/>
  <c r="N129" i="3"/>
  <c r="N211" i="3" s="1"/>
  <c r="S5" i="7"/>
  <c r="N144" i="3"/>
  <c r="N221" i="3" s="1"/>
  <c r="L113" i="4"/>
  <c r="O108" i="4"/>
  <c r="O111" i="4" s="1"/>
  <c r="O114" i="4" s="1"/>
  <c r="P148" i="7"/>
  <c r="N102" i="4"/>
  <c r="N101" i="4" s="1"/>
  <c r="N135" i="4"/>
  <c r="N134" i="4" s="1"/>
  <c r="K97" i="4"/>
  <c r="O129" i="4"/>
  <c r="O145" i="4"/>
  <c r="O147" i="4" s="1"/>
  <c r="I42" i="4"/>
  <c r="I45" i="4" s="1"/>
  <c r="I47" i="4" s="1"/>
  <c r="M121" i="4"/>
  <c r="M88" i="4" s="1"/>
  <c r="P103" i="4"/>
  <c r="P105" i="4"/>
  <c r="P93" i="4"/>
  <c r="P104" i="4"/>
  <c r="P109" i="4"/>
  <c r="P89" i="4"/>
  <c r="L88" i="4"/>
  <c r="L125" i="4"/>
  <c r="L128" i="4" s="1"/>
  <c r="L131" i="4" s="1"/>
  <c r="P17" i="7"/>
  <c r="J41" i="4" s="1"/>
  <c r="P38" i="7"/>
  <c r="N86" i="4"/>
  <c r="N119" i="4"/>
  <c r="P141" i="7"/>
  <c r="N123" i="4" s="1"/>
  <c r="N90" i="4" s="1"/>
  <c r="M87" i="4"/>
  <c r="M85" i="4" s="1"/>
  <c r="M120" i="4"/>
  <c r="P36" i="3"/>
  <c r="P202" i="3" s="1"/>
  <c r="P60" i="3"/>
  <c r="P199" i="3" s="1"/>
  <c r="O130" i="3"/>
  <c r="O190" i="3" s="1"/>
  <c r="P223" i="3"/>
  <c r="O194" i="3"/>
  <c r="T4" i="7"/>
  <c r="O204" i="3"/>
  <c r="O145" i="3"/>
  <c r="O200" i="3" s="1"/>
  <c r="P149" i="7"/>
  <c r="N139" i="4" s="1"/>
  <c r="N106" i="4" s="1"/>
  <c r="L124" i="4"/>
  <c r="L127" i="4" s="1"/>
  <c r="L130" i="4" l="1"/>
  <c r="H71" i="4" a="1"/>
  <c r="H71" i="4" s="1"/>
  <c r="M146" i="4"/>
  <c r="I72" i="4" a="1"/>
  <c r="I72" i="4" s="1"/>
  <c r="S145" i="7"/>
  <c r="S138" i="7"/>
  <c r="S32" i="7"/>
  <c r="S136" i="7"/>
  <c r="S37" i="7"/>
  <c r="S167" i="7"/>
  <c r="S137" i="7"/>
  <c r="S35" i="7"/>
  <c r="S36" i="7"/>
  <c r="S164" i="7"/>
  <c r="S135" i="7"/>
  <c r="S147" i="7"/>
  <c r="S34" i="7"/>
  <c r="S146" i="7"/>
  <c r="S134" i="7"/>
  <c r="S33" i="7"/>
  <c r="S139" i="7"/>
  <c r="S144" i="7"/>
  <c r="S11" i="7"/>
  <c r="S16" i="7"/>
  <c r="S13" i="7"/>
  <c r="S15" i="7"/>
  <c r="S14" i="7"/>
  <c r="S10" i="7"/>
  <c r="S12" i="7"/>
  <c r="N224" i="3"/>
  <c r="N226" i="3" s="1"/>
  <c r="N227" i="3" s="1"/>
  <c r="M214" i="3"/>
  <c r="M216" i="3" s="1"/>
  <c r="M217" i="3" s="1"/>
  <c r="M193" i="3"/>
  <c r="M195" i="3" s="1"/>
  <c r="M196" i="3" s="1"/>
  <c r="N203" i="3"/>
  <c r="N205" i="3" s="1"/>
  <c r="N206" i="3" s="1"/>
  <c r="M113" i="4"/>
  <c r="Q149" i="7"/>
  <c r="O139" i="4" s="1"/>
  <c r="O106" i="4" s="1"/>
  <c r="M91" i="4"/>
  <c r="M94" i="4" s="1"/>
  <c r="M97" i="4" s="1"/>
  <c r="P108" i="4"/>
  <c r="P111" i="4" s="1"/>
  <c r="P114" i="4" s="1"/>
  <c r="N107" i="4"/>
  <c r="N110" i="4" s="1"/>
  <c r="N87" i="4"/>
  <c r="N85" i="4" s="1"/>
  <c r="N120" i="4"/>
  <c r="Q36" i="3"/>
  <c r="Q202" i="3" s="1"/>
  <c r="Q60" i="3"/>
  <c r="Q199" i="3" s="1"/>
  <c r="P194" i="3"/>
  <c r="P204" i="3"/>
  <c r="U4" i="7"/>
  <c r="P130" i="3"/>
  <c r="P190" i="3" s="1"/>
  <c r="Q223" i="3"/>
  <c r="P145" i="3"/>
  <c r="P200" i="3" s="1"/>
  <c r="M92" i="4"/>
  <c r="M95" i="4" s="1"/>
  <c r="M98" i="4" s="1"/>
  <c r="Q148" i="7"/>
  <c r="N191" i="3"/>
  <c r="N212" i="3"/>
  <c r="O119" i="4"/>
  <c r="O86" i="4"/>
  <c r="M118" i="4"/>
  <c r="M124" i="4" s="1"/>
  <c r="M127" i="4" s="1"/>
  <c r="M125" i="4"/>
  <c r="M128" i="4" s="1"/>
  <c r="M131" i="4" s="1"/>
  <c r="L92" i="4"/>
  <c r="L95" i="4" s="1"/>
  <c r="L98" i="4" s="1"/>
  <c r="L91" i="4"/>
  <c r="L94" i="4" s="1"/>
  <c r="Q93" i="4"/>
  <c r="Q109" i="4"/>
  <c r="Q105" i="4"/>
  <c r="Q104" i="4"/>
  <c r="Q89" i="4"/>
  <c r="Q103" i="4"/>
  <c r="Q38" i="7"/>
  <c r="Q17" i="7"/>
  <c r="K41" i="4" s="1"/>
  <c r="P48" i="3"/>
  <c r="P210" i="3" s="1"/>
  <c r="P23" i="3"/>
  <c r="P213" i="3" s="1"/>
  <c r="T5" i="7"/>
  <c r="O201" i="3"/>
  <c r="O129" i="3"/>
  <c r="O211" i="3" s="1"/>
  <c r="O144" i="3"/>
  <c r="O221" i="3" s="1"/>
  <c r="O135" i="4"/>
  <c r="O134" i="4" s="1"/>
  <c r="O102" i="4"/>
  <c r="O101" i="4" s="1"/>
  <c r="Q141" i="7"/>
  <c r="O123" i="4" s="1"/>
  <c r="O90" i="4" s="1"/>
  <c r="P129" i="4"/>
  <c r="P145" i="4"/>
  <c r="P147" i="4" s="1"/>
  <c r="Q140" i="7"/>
  <c r="J42" i="4"/>
  <c r="J45" i="4" s="1"/>
  <c r="J47" i="4" s="1"/>
  <c r="N121" i="4"/>
  <c r="N88" i="4" s="1"/>
  <c r="N140" i="4"/>
  <c r="N143" i="4" s="1"/>
  <c r="M130" i="4" l="1"/>
  <c r="I71" i="4" a="1"/>
  <c r="I71" i="4" s="1"/>
  <c r="N146" i="4"/>
  <c r="J72" i="4" a="1"/>
  <c r="J72" i="4" s="1"/>
  <c r="T145" i="7"/>
  <c r="T138" i="7"/>
  <c r="T164" i="7"/>
  <c r="T137" i="7"/>
  <c r="T167" i="7"/>
  <c r="T32" i="7"/>
  <c r="T33" i="7"/>
  <c r="T146" i="7"/>
  <c r="T37" i="7"/>
  <c r="T135" i="7"/>
  <c r="T136" i="7"/>
  <c r="T139" i="7"/>
  <c r="T134" i="7"/>
  <c r="T34" i="7"/>
  <c r="T147" i="7"/>
  <c r="T36" i="7"/>
  <c r="T144" i="7"/>
  <c r="T35" i="7"/>
  <c r="T15" i="7"/>
  <c r="T11" i="7"/>
  <c r="T14" i="7"/>
  <c r="T13" i="7"/>
  <c r="T10" i="7"/>
  <c r="T16" i="7"/>
  <c r="T12" i="7"/>
  <c r="O224" i="3"/>
  <c r="O226" i="3" s="1"/>
  <c r="O227" i="3" s="1"/>
  <c r="N214" i="3"/>
  <c r="N216" i="3" s="1"/>
  <c r="N217" i="3" s="1"/>
  <c r="N193" i="3"/>
  <c r="N195" i="3" s="1"/>
  <c r="N196" i="3" s="1"/>
  <c r="O203" i="3"/>
  <c r="O205" i="3" s="1"/>
  <c r="O206" i="3" s="1"/>
  <c r="O107" i="4"/>
  <c r="O110" i="4" s="1"/>
  <c r="O140" i="4"/>
  <c r="O143" i="4" s="1"/>
  <c r="N92" i="4"/>
  <c r="N95" i="4" s="1"/>
  <c r="N98" i="4" s="1"/>
  <c r="R141" i="7"/>
  <c r="P123" i="4" s="1"/>
  <c r="P90" i="4" s="1"/>
  <c r="R149" i="7"/>
  <c r="P139" i="4" s="1"/>
  <c r="P106" i="4" s="1"/>
  <c r="R140" i="7"/>
  <c r="N113" i="4"/>
  <c r="O120" i="4"/>
  <c r="O87" i="4"/>
  <c r="L97" i="4"/>
  <c r="R148" i="7"/>
  <c r="R104" i="4"/>
  <c r="R93" i="4"/>
  <c r="R103" i="4"/>
  <c r="R89" i="4"/>
  <c r="R105" i="4"/>
  <c r="R109" i="4"/>
  <c r="O121" i="4"/>
  <c r="O88" i="4" s="1"/>
  <c r="K42" i="4"/>
  <c r="K45" i="4" s="1"/>
  <c r="K47" i="4" s="1"/>
  <c r="Q108" i="4"/>
  <c r="Q111" i="4" s="1"/>
  <c r="Q114" i="4" s="1"/>
  <c r="P119" i="4"/>
  <c r="P86" i="4"/>
  <c r="R17" i="7"/>
  <c r="L41" i="4" s="1"/>
  <c r="R36" i="3"/>
  <c r="R202" i="3" s="1"/>
  <c r="R60" i="3"/>
  <c r="R199" i="3" s="1"/>
  <c r="Q130" i="3"/>
  <c r="Q190" i="3" s="1"/>
  <c r="Q145" i="3"/>
  <c r="Q200" i="3" s="1"/>
  <c r="R223" i="3"/>
  <c r="Q194" i="3"/>
  <c r="V4" i="7"/>
  <c r="Q204" i="3"/>
  <c r="R38" i="7"/>
  <c r="Q129" i="4"/>
  <c r="Q145" i="4"/>
  <c r="Q147" i="4" s="1"/>
  <c r="Q23" i="3"/>
  <c r="Q213" i="3" s="1"/>
  <c r="Q48" i="3"/>
  <c r="Q210" i="3" s="1"/>
  <c r="U5" i="7"/>
  <c r="P144" i="3"/>
  <c r="P221" i="3" s="1"/>
  <c r="P129" i="3"/>
  <c r="P211" i="3" s="1"/>
  <c r="P201" i="3"/>
  <c r="N118" i="4"/>
  <c r="N124" i="4" s="1"/>
  <c r="N127" i="4" s="1"/>
  <c r="N125" i="4"/>
  <c r="N128" i="4" s="1"/>
  <c r="N131" i="4" s="1"/>
  <c r="P135" i="4"/>
  <c r="P134" i="4" s="1"/>
  <c r="P102" i="4"/>
  <c r="P101" i="4" s="1"/>
  <c r="O191" i="3"/>
  <c r="O212" i="3"/>
  <c r="N91" i="4"/>
  <c r="N94" i="4" s="1"/>
  <c r="N130" i="4" l="1"/>
  <c r="J71" i="4" a="1"/>
  <c r="J71" i="4" s="1"/>
  <c r="O146" i="4"/>
  <c r="K72" i="4" a="1"/>
  <c r="K72" i="4" s="1"/>
  <c r="U35" i="7"/>
  <c r="U36" i="7"/>
  <c r="U144" i="7"/>
  <c r="U164" i="7"/>
  <c r="U137" i="7"/>
  <c r="U146" i="7"/>
  <c r="U167" i="7"/>
  <c r="U136" i="7"/>
  <c r="U134" i="7"/>
  <c r="U147" i="7"/>
  <c r="U32" i="7"/>
  <c r="U135" i="7"/>
  <c r="U33" i="7"/>
  <c r="U145" i="7"/>
  <c r="U139" i="7"/>
  <c r="U138" i="7"/>
  <c r="U34" i="7"/>
  <c r="U37" i="7"/>
  <c r="U14" i="7"/>
  <c r="U11" i="7"/>
  <c r="U15" i="7"/>
  <c r="U13" i="7"/>
  <c r="U12" i="7"/>
  <c r="U16" i="7"/>
  <c r="U10" i="7"/>
  <c r="P224" i="3"/>
  <c r="P226" i="3" s="1"/>
  <c r="P227" i="3" s="1"/>
  <c r="O214" i="3"/>
  <c r="O216" i="3" s="1"/>
  <c r="O217" i="3" s="1"/>
  <c r="P140" i="4"/>
  <c r="P143" i="4" s="1"/>
  <c r="O193" i="3"/>
  <c r="O195" i="3" s="1"/>
  <c r="O196" i="3" s="1"/>
  <c r="P203" i="3"/>
  <c r="P205" i="3" s="1"/>
  <c r="P206" i="3" s="1"/>
  <c r="P107" i="4"/>
  <c r="P110" i="4" s="1"/>
  <c r="O113" i="4"/>
  <c r="S38" i="7"/>
  <c r="Q121" i="4" s="1"/>
  <c r="Q88" i="4" s="1"/>
  <c r="R108" i="4"/>
  <c r="R111" i="4" s="1"/>
  <c r="R114" i="4" s="1"/>
  <c r="S141" i="7"/>
  <c r="Q123" i="4" s="1"/>
  <c r="Q90" i="4" s="1"/>
  <c r="S36" i="3"/>
  <c r="S202" i="3" s="1"/>
  <c r="S60" i="3"/>
  <c r="S199" i="3" s="1"/>
  <c r="R145" i="3"/>
  <c r="R200" i="3" s="1"/>
  <c r="R194" i="3"/>
  <c r="R204" i="3"/>
  <c r="S223" i="3"/>
  <c r="W4" i="7"/>
  <c r="R130" i="3"/>
  <c r="R190" i="3" s="1"/>
  <c r="R145" i="4"/>
  <c r="R147" i="4" s="1"/>
  <c r="R129" i="4"/>
  <c r="R23" i="3"/>
  <c r="R213" i="3" s="1"/>
  <c r="R48" i="3"/>
  <c r="R210" i="3" s="1"/>
  <c r="Q144" i="3"/>
  <c r="Q221" i="3" s="1"/>
  <c r="Q129" i="3"/>
  <c r="Q211" i="3" s="1"/>
  <c r="V5" i="7"/>
  <c r="Q201" i="3"/>
  <c r="S148" i="7"/>
  <c r="S17" i="7"/>
  <c r="M41" i="4" s="1"/>
  <c r="S149" i="7"/>
  <c r="Q139" i="4" s="1"/>
  <c r="Q106" i="4" s="1"/>
  <c r="N97" i="4"/>
  <c r="P212" i="3"/>
  <c r="P191" i="3"/>
  <c r="P121" i="4"/>
  <c r="P88" i="4" s="1"/>
  <c r="L42" i="4"/>
  <c r="L45" i="4" s="1"/>
  <c r="L47" i="4" s="1"/>
  <c r="Q135" i="4"/>
  <c r="Q134" i="4" s="1"/>
  <c r="Q102" i="4"/>
  <c r="Q101" i="4" s="1"/>
  <c r="Q86" i="4"/>
  <c r="S140" i="7"/>
  <c r="Q119" i="4"/>
  <c r="O92" i="4"/>
  <c r="O95" i="4" s="1"/>
  <c r="O98" i="4" s="1"/>
  <c r="O85" i="4"/>
  <c r="O91" i="4" s="1"/>
  <c r="O94" i="4" s="1"/>
  <c r="S89" i="4"/>
  <c r="S103" i="4"/>
  <c r="S104" i="4"/>
  <c r="S93" i="4"/>
  <c r="S105" i="4"/>
  <c r="S109" i="4"/>
  <c r="P87" i="4"/>
  <c r="P120" i="4"/>
  <c r="O125" i="4"/>
  <c r="O128" i="4" s="1"/>
  <c r="O131" i="4" s="1"/>
  <c r="O118" i="4"/>
  <c r="O124" i="4" s="1"/>
  <c r="O127" i="4" s="1"/>
  <c r="O130" i="4" l="1"/>
  <c r="K71" i="4" a="1"/>
  <c r="K71" i="4" s="1"/>
  <c r="P146" i="4"/>
  <c r="L72" i="4" a="1"/>
  <c r="L72" i="4" s="1"/>
  <c r="V134" i="7"/>
  <c r="V139" i="7"/>
  <c r="V137" i="7"/>
  <c r="V35" i="7"/>
  <c r="V144" i="7"/>
  <c r="V37" i="7"/>
  <c r="V145" i="7"/>
  <c r="V138" i="7"/>
  <c r="V146" i="7"/>
  <c r="V164" i="7"/>
  <c r="V167" i="7"/>
  <c r="V136" i="7"/>
  <c r="V147" i="7"/>
  <c r="V34" i="7"/>
  <c r="V36" i="7"/>
  <c r="V135" i="7"/>
  <c r="V32" i="7"/>
  <c r="V33" i="7"/>
  <c r="V12" i="7"/>
  <c r="V14" i="7"/>
  <c r="V15" i="7"/>
  <c r="V13" i="7"/>
  <c r="V10" i="7"/>
  <c r="V16" i="7"/>
  <c r="V11" i="7"/>
  <c r="P113" i="4"/>
  <c r="Q224" i="3"/>
  <c r="Q226" i="3" s="1"/>
  <c r="Q227" i="3" s="1"/>
  <c r="P214" i="3"/>
  <c r="P216" i="3" s="1"/>
  <c r="P217" i="3" s="1"/>
  <c r="P193" i="3"/>
  <c r="P195" i="3" s="1"/>
  <c r="P196" i="3" s="1"/>
  <c r="Q203" i="3"/>
  <c r="Q205" i="3" s="1"/>
  <c r="Q206" i="3" s="1"/>
  <c r="M42" i="4"/>
  <c r="M45" i="4" s="1"/>
  <c r="M47" i="4" s="1"/>
  <c r="T149" i="7"/>
  <c r="R139" i="4" s="1"/>
  <c r="R106" i="4" s="1"/>
  <c r="Q140" i="4"/>
  <c r="Q143" i="4" s="1"/>
  <c r="T140" i="7"/>
  <c r="T148" i="7"/>
  <c r="T141" i="7"/>
  <c r="R123" i="4" s="1"/>
  <c r="R90" i="4" s="1"/>
  <c r="Q107" i="4"/>
  <c r="Q110" i="4" s="1"/>
  <c r="T17" i="7"/>
  <c r="N41" i="4" s="1"/>
  <c r="R102" i="4"/>
  <c r="R101" i="4" s="1"/>
  <c r="R135" i="4"/>
  <c r="R134" i="4" s="1"/>
  <c r="S23" i="3"/>
  <c r="S213" i="3" s="1"/>
  <c r="S48" i="3"/>
  <c r="S210" i="3" s="1"/>
  <c r="W5" i="7"/>
  <c r="R201" i="3"/>
  <c r="R129" i="3"/>
  <c r="R211" i="3" s="1"/>
  <c r="R144" i="3"/>
  <c r="R221" i="3" s="1"/>
  <c r="T38" i="7"/>
  <c r="S108" i="4"/>
  <c r="S111" i="4" s="1"/>
  <c r="S114" i="4" s="1"/>
  <c r="Q191" i="3"/>
  <c r="Q212" i="3"/>
  <c r="T109" i="4"/>
  <c r="T104" i="4"/>
  <c r="T89" i="4"/>
  <c r="T93" i="4"/>
  <c r="T103" i="4"/>
  <c r="T105" i="4"/>
  <c r="P118" i="4"/>
  <c r="P124" i="4" s="1"/>
  <c r="P127" i="4" s="1"/>
  <c r="P125" i="4"/>
  <c r="P128" i="4" s="1"/>
  <c r="P131" i="4" s="1"/>
  <c r="O97" i="4"/>
  <c r="Q87" i="4"/>
  <c r="Q120" i="4"/>
  <c r="T60" i="3"/>
  <c r="T199" i="3" s="1"/>
  <c r="T36" i="3"/>
  <c r="T202" i="3" s="1"/>
  <c r="T223" i="3"/>
  <c r="S130" i="3"/>
  <c r="S190" i="3" s="1"/>
  <c r="S145" i="3"/>
  <c r="S200" i="3" s="1"/>
  <c r="X4" i="7"/>
  <c r="S194" i="3"/>
  <c r="S204" i="3"/>
  <c r="P85" i="4"/>
  <c r="P91" i="4" s="1"/>
  <c r="P94" i="4" s="1"/>
  <c r="P92" i="4"/>
  <c r="P95" i="4" s="1"/>
  <c r="P98" i="4" s="1"/>
  <c r="R119" i="4"/>
  <c r="R86" i="4"/>
  <c r="S145" i="4"/>
  <c r="S147" i="4" s="1"/>
  <c r="S129" i="4"/>
  <c r="Q146" i="4" l="1"/>
  <c r="M72" i="4" a="1"/>
  <c r="M72" i="4" s="1"/>
  <c r="P130" i="4"/>
  <c r="L71" i="4" a="1"/>
  <c r="L71" i="4" s="1"/>
  <c r="W146" i="7"/>
  <c r="W134" i="7"/>
  <c r="W139" i="7"/>
  <c r="W34" i="7"/>
  <c r="W32" i="7"/>
  <c r="W137" i="7"/>
  <c r="W33" i="7"/>
  <c r="W145" i="7"/>
  <c r="W138" i="7"/>
  <c r="W35" i="7"/>
  <c r="W136" i="7"/>
  <c r="W36" i="7"/>
  <c r="W167" i="7"/>
  <c r="W37" i="7"/>
  <c r="W164" i="7"/>
  <c r="W147" i="7"/>
  <c r="W135" i="7"/>
  <c r="W144" i="7"/>
  <c r="W16" i="7"/>
  <c r="W14" i="7"/>
  <c r="W11" i="7"/>
  <c r="W13" i="7"/>
  <c r="W12" i="7"/>
  <c r="W10" i="7"/>
  <c r="W15" i="7"/>
  <c r="R224" i="3"/>
  <c r="R226" i="3" s="1"/>
  <c r="R227" i="3" s="1"/>
  <c r="R140" i="4"/>
  <c r="R143" i="4" s="1"/>
  <c r="Q214" i="3"/>
  <c r="Q216" i="3" s="1"/>
  <c r="Q217" i="3" s="1"/>
  <c r="Q193" i="3"/>
  <c r="Q195" i="3" s="1"/>
  <c r="Q196" i="3" s="1"/>
  <c r="R203" i="3"/>
  <c r="R205" i="3" s="1"/>
  <c r="R206" i="3" s="1"/>
  <c r="R107" i="4"/>
  <c r="R110" i="4" s="1"/>
  <c r="Q113" i="4"/>
  <c r="U38" i="7"/>
  <c r="R191" i="3"/>
  <c r="R212" i="3"/>
  <c r="S119" i="4"/>
  <c r="S86" i="4"/>
  <c r="U140" i="7"/>
  <c r="U149" i="7"/>
  <c r="S139" i="4" s="1"/>
  <c r="S106" i="4" s="1"/>
  <c r="P97" i="4"/>
  <c r="T23" i="3"/>
  <c r="T213" i="3" s="1"/>
  <c r="T48" i="3"/>
  <c r="T210" i="3" s="1"/>
  <c r="S144" i="3"/>
  <c r="S221" i="3" s="1"/>
  <c r="X5" i="7"/>
  <c r="S129" i="3"/>
  <c r="S211" i="3" s="1"/>
  <c r="S201" i="3"/>
  <c r="U17" i="7"/>
  <c r="O41" i="4" s="1"/>
  <c r="T108" i="4"/>
  <c r="T111" i="4" s="1"/>
  <c r="T114" i="4" s="1"/>
  <c r="N42" i="4"/>
  <c r="N45" i="4" s="1"/>
  <c r="N47" i="4" s="1"/>
  <c r="R121" i="4"/>
  <c r="R88" i="4" s="1"/>
  <c r="U60" i="3"/>
  <c r="U199" i="3" s="1"/>
  <c r="U36" i="3"/>
  <c r="U202" i="3" s="1"/>
  <c r="U223" i="3"/>
  <c r="T130" i="3"/>
  <c r="T190" i="3" s="1"/>
  <c r="Y4" i="7"/>
  <c r="T194" i="3"/>
  <c r="T204" i="3"/>
  <c r="T145" i="3"/>
  <c r="T200" i="3" s="1"/>
  <c r="T129" i="4"/>
  <c r="T145" i="4"/>
  <c r="T147" i="4" s="1"/>
  <c r="Q118" i="4"/>
  <c r="Q124" i="4" s="1"/>
  <c r="Q127" i="4" s="1"/>
  <c r="Q125" i="4"/>
  <c r="Q128" i="4" s="1"/>
  <c r="Q131" i="4" s="1"/>
  <c r="U148" i="7"/>
  <c r="S135" i="4"/>
  <c r="S134" i="4" s="1"/>
  <c r="S102" i="4"/>
  <c r="S101" i="4" s="1"/>
  <c r="U141" i="7"/>
  <c r="S123" i="4" s="1"/>
  <c r="S90" i="4" s="1"/>
  <c r="U93" i="4"/>
  <c r="U103" i="4"/>
  <c r="U105" i="4"/>
  <c r="U104" i="4"/>
  <c r="U109" i="4"/>
  <c r="U89" i="4"/>
  <c r="Q92" i="4"/>
  <c r="Q95" i="4" s="1"/>
  <c r="Q98" i="4" s="1"/>
  <c r="Q85" i="4"/>
  <c r="Q91" i="4" s="1"/>
  <c r="Q94" i="4" s="1"/>
  <c r="R120" i="4"/>
  <c r="R87" i="4"/>
  <c r="R146" i="4" l="1"/>
  <c r="N72" i="4" a="1"/>
  <c r="N72" i="4" s="1"/>
  <c r="Q130" i="4"/>
  <c r="M71" i="4" a="1"/>
  <c r="M71" i="4" s="1"/>
  <c r="X33" i="7"/>
  <c r="X146" i="7"/>
  <c r="X34" i="7"/>
  <c r="X136" i="7"/>
  <c r="X167" i="7"/>
  <c r="X144" i="7"/>
  <c r="X134" i="7"/>
  <c r="X32" i="7"/>
  <c r="X36" i="7"/>
  <c r="X37" i="7"/>
  <c r="X35" i="7"/>
  <c r="X164" i="7"/>
  <c r="X139" i="7"/>
  <c r="X137" i="7"/>
  <c r="X147" i="7"/>
  <c r="X145" i="7"/>
  <c r="X138" i="7"/>
  <c r="X135" i="7"/>
  <c r="X11" i="7"/>
  <c r="X13" i="7"/>
  <c r="X14" i="7"/>
  <c r="X15" i="7"/>
  <c r="X16" i="7"/>
  <c r="X12" i="7"/>
  <c r="X10" i="7"/>
  <c r="S224" i="3"/>
  <c r="S226" i="3" s="1"/>
  <c r="S227" i="3" s="1"/>
  <c r="R214" i="3"/>
  <c r="R216" i="3" s="1"/>
  <c r="R217" i="3" s="1"/>
  <c r="R193" i="3"/>
  <c r="R195" i="3" s="1"/>
  <c r="R196" i="3" s="1"/>
  <c r="S203" i="3"/>
  <c r="S205" i="3" s="1"/>
  <c r="S206" i="3" s="1"/>
  <c r="R113" i="4"/>
  <c r="V17" i="7"/>
  <c r="P41" i="4" s="1"/>
  <c r="V60" i="3"/>
  <c r="V199" i="3" s="1"/>
  <c r="V36" i="3"/>
  <c r="V202" i="3" s="1"/>
  <c r="V223" i="3"/>
  <c r="Z4" i="7"/>
  <c r="U204" i="3"/>
  <c r="U130" i="3"/>
  <c r="U190" i="3" s="1"/>
  <c r="U145" i="3"/>
  <c r="U200" i="3" s="1"/>
  <c r="U194" i="3"/>
  <c r="R118" i="4"/>
  <c r="R124" i="4" s="1"/>
  <c r="R127" i="4" s="1"/>
  <c r="R125" i="4"/>
  <c r="R128" i="4" s="1"/>
  <c r="R131" i="4" s="1"/>
  <c r="T102" i="4"/>
  <c r="T101" i="4" s="1"/>
  <c r="T135" i="4"/>
  <c r="T134" i="4" s="1"/>
  <c r="U145" i="4"/>
  <c r="U147" i="4" s="1"/>
  <c r="U129" i="4"/>
  <c r="V140" i="7"/>
  <c r="S212" i="3"/>
  <c r="S191" i="3"/>
  <c r="V38" i="7"/>
  <c r="S107" i="4"/>
  <c r="S110" i="4" s="1"/>
  <c r="V141" i="7"/>
  <c r="T123" i="4" s="1"/>
  <c r="T90" i="4" s="1"/>
  <c r="Q97" i="4"/>
  <c r="S140" i="4"/>
  <c r="S143" i="4" s="1"/>
  <c r="T86" i="4"/>
  <c r="T119" i="4"/>
  <c r="U108" i="4"/>
  <c r="U111" i="4" s="1"/>
  <c r="U114" i="4" s="1"/>
  <c r="U48" i="3"/>
  <c r="U210" i="3" s="1"/>
  <c r="U23" i="3"/>
  <c r="U213" i="3" s="1"/>
  <c r="T129" i="3"/>
  <c r="T211" i="3" s="1"/>
  <c r="T144" i="3"/>
  <c r="T221" i="3" s="1"/>
  <c r="T201" i="3"/>
  <c r="Y5" i="7"/>
  <c r="V148" i="7"/>
  <c r="V149" i="7"/>
  <c r="T139" i="4" s="1"/>
  <c r="T106" i="4" s="1"/>
  <c r="V93" i="4"/>
  <c r="V103" i="4"/>
  <c r="V105" i="4"/>
  <c r="V109" i="4"/>
  <c r="V104" i="4"/>
  <c r="V89" i="4"/>
  <c r="R85" i="4"/>
  <c r="R91" i="4" s="1"/>
  <c r="R94" i="4" s="1"/>
  <c r="R92" i="4"/>
  <c r="R95" i="4" s="1"/>
  <c r="R98" i="4" s="1"/>
  <c r="S87" i="4"/>
  <c r="S85" i="4" s="1"/>
  <c r="S120" i="4"/>
  <c r="O42" i="4"/>
  <c r="O45" i="4" s="1"/>
  <c r="O47" i="4" s="1"/>
  <c r="S121" i="4"/>
  <c r="S88" i="4" s="1"/>
  <c r="R130" i="4" l="1"/>
  <c r="N71" i="4" a="1"/>
  <c r="N71" i="4" s="1"/>
  <c r="S146" i="4"/>
  <c r="O72" i="4" a="1"/>
  <c r="O72" i="4" s="1"/>
  <c r="Y145" i="7"/>
  <c r="Y138" i="7"/>
  <c r="Y33" i="7"/>
  <c r="Y136" i="7"/>
  <c r="Y164" i="7"/>
  <c r="Y167" i="7"/>
  <c r="Y144" i="7"/>
  <c r="Y134" i="7"/>
  <c r="Y146" i="7"/>
  <c r="Y34" i="7"/>
  <c r="Y139" i="7"/>
  <c r="Y35" i="7"/>
  <c r="Y137" i="7"/>
  <c r="Y36" i="7"/>
  <c r="Y32" i="7"/>
  <c r="Y37" i="7"/>
  <c r="Y135" i="7"/>
  <c r="Y147" i="7"/>
  <c r="Y12" i="7"/>
  <c r="Y11" i="7"/>
  <c r="Y16" i="7"/>
  <c r="Y13" i="7"/>
  <c r="Y15" i="7"/>
  <c r="Y14" i="7"/>
  <c r="Y10" i="7"/>
  <c r="T224" i="3"/>
  <c r="T226" i="3" s="1"/>
  <c r="T227" i="3" s="1"/>
  <c r="S214" i="3"/>
  <c r="S216" i="3" s="1"/>
  <c r="S217" i="3" s="1"/>
  <c r="S193" i="3"/>
  <c r="S195" i="3" s="1"/>
  <c r="S196" i="3" s="1"/>
  <c r="T203" i="3"/>
  <c r="T205" i="3" s="1"/>
  <c r="T206" i="3" s="1"/>
  <c r="W148" i="7"/>
  <c r="W149" i="7"/>
  <c r="U139" i="4" s="1"/>
  <c r="U106" i="4" s="1"/>
  <c r="S92" i="4"/>
  <c r="S95" i="4" s="1"/>
  <c r="S98" i="4" s="1"/>
  <c r="W140" i="7"/>
  <c r="T120" i="4"/>
  <c r="T118" i="4" s="1"/>
  <c r="T87" i="4"/>
  <c r="T85" i="4" s="1"/>
  <c r="T140" i="4"/>
  <c r="T143" i="4" s="1"/>
  <c r="W60" i="3"/>
  <c r="W199" i="3" s="1"/>
  <c r="W36" i="3"/>
  <c r="W202" i="3" s="1"/>
  <c r="V204" i="3"/>
  <c r="V145" i="3"/>
  <c r="V200" i="3" s="1"/>
  <c r="W223" i="3"/>
  <c r="V194" i="3"/>
  <c r="AA4" i="7"/>
  <c r="V130" i="3"/>
  <c r="V190" i="3" s="1"/>
  <c r="R97" i="4"/>
  <c r="S113" i="4"/>
  <c r="W38" i="7"/>
  <c r="T107" i="4"/>
  <c r="T110" i="4" s="1"/>
  <c r="W109" i="4"/>
  <c r="W104" i="4"/>
  <c r="W105" i="4"/>
  <c r="W89" i="4"/>
  <c r="W93" i="4"/>
  <c r="W103" i="4"/>
  <c r="V145" i="4"/>
  <c r="V147" i="4" s="1"/>
  <c r="V129" i="4"/>
  <c r="P42" i="4"/>
  <c r="P45" i="4" s="1"/>
  <c r="P47" i="4" s="1"/>
  <c r="T121" i="4"/>
  <c r="U119" i="4"/>
  <c r="U86" i="4"/>
  <c r="V48" i="3"/>
  <c r="V210" i="3" s="1"/>
  <c r="V23" i="3"/>
  <c r="V213" i="3" s="1"/>
  <c r="Z5" i="7"/>
  <c r="U144" i="3"/>
  <c r="U221" i="3" s="1"/>
  <c r="U201" i="3"/>
  <c r="U129" i="3"/>
  <c r="U211" i="3" s="1"/>
  <c r="T191" i="3"/>
  <c r="T212" i="3"/>
  <c r="U102" i="4"/>
  <c r="U101" i="4" s="1"/>
  <c r="U135" i="4"/>
  <c r="U134" i="4" s="1"/>
  <c r="W141" i="7"/>
  <c r="U123" i="4" s="1"/>
  <c r="U90" i="4" s="1"/>
  <c r="S118" i="4"/>
  <c r="S124" i="4" s="1"/>
  <c r="S127" i="4" s="1"/>
  <c r="S125" i="4"/>
  <c r="S128" i="4" s="1"/>
  <c r="S131" i="4" s="1"/>
  <c r="W17" i="7"/>
  <c r="Q41" i="4" s="1"/>
  <c r="S91" i="4"/>
  <c r="S94" i="4" s="1"/>
  <c r="V108" i="4"/>
  <c r="V111" i="4" s="1"/>
  <c r="V114" i="4" s="1"/>
  <c r="T146" i="4" l="1"/>
  <c r="P72" i="4" a="1"/>
  <c r="P72" i="4" s="1"/>
  <c r="S130" i="4"/>
  <c r="O71" i="4" a="1"/>
  <c r="O71" i="4" s="1"/>
  <c r="Z135" i="7"/>
  <c r="Z37" i="7"/>
  <c r="Z145" i="7"/>
  <c r="Z32" i="7"/>
  <c r="Z33" i="7"/>
  <c r="Z136" i="7"/>
  <c r="Z34" i="7"/>
  <c r="Z35" i="7"/>
  <c r="Z164" i="7"/>
  <c r="Z138" i="7"/>
  <c r="Z134" i="7"/>
  <c r="Z146" i="7"/>
  <c r="Z167" i="7"/>
  <c r="Z139" i="7"/>
  <c r="Z36" i="7"/>
  <c r="Z137" i="7"/>
  <c r="Z147" i="7"/>
  <c r="Z144" i="7"/>
  <c r="Z13" i="7"/>
  <c r="Z11" i="7"/>
  <c r="Z15" i="7"/>
  <c r="Z16" i="7"/>
  <c r="Z14" i="7"/>
  <c r="Z10" i="7"/>
  <c r="Z12" i="7"/>
  <c r="U224" i="3"/>
  <c r="U226" i="3" s="1"/>
  <c r="U227" i="3" s="1"/>
  <c r="U107" i="4"/>
  <c r="U110" i="4" s="1"/>
  <c r="U113" i="4" s="1"/>
  <c r="T214" i="3"/>
  <c r="T216" i="3" s="1"/>
  <c r="T217" i="3" s="1"/>
  <c r="T193" i="3"/>
  <c r="T195" i="3" s="1"/>
  <c r="T196" i="3" s="1"/>
  <c r="U203" i="3"/>
  <c r="U205" i="3" s="1"/>
  <c r="U206" i="3" s="1"/>
  <c r="U140" i="4"/>
  <c r="U143" i="4" s="1"/>
  <c r="W108" i="4"/>
  <c r="W111" i="4" s="1"/>
  <c r="W114" i="4" s="1"/>
  <c r="X36" i="3"/>
  <c r="X202" i="3" s="1"/>
  <c r="X60" i="3"/>
  <c r="X199" i="3" s="1"/>
  <c r="AB4" i="7"/>
  <c r="W130" i="3"/>
  <c r="W190" i="3" s="1"/>
  <c r="X223" i="3"/>
  <c r="W204" i="3"/>
  <c r="W145" i="3"/>
  <c r="W200" i="3" s="1"/>
  <c r="W194" i="3"/>
  <c r="S97" i="4"/>
  <c r="X149" i="7"/>
  <c r="V139" i="4" s="1"/>
  <c r="V106" i="4" s="1"/>
  <c r="U87" i="4"/>
  <c r="U120" i="4"/>
  <c r="T88" i="4"/>
  <c r="T125" i="4"/>
  <c r="T128" i="4" s="1"/>
  <c r="T131" i="4" s="1"/>
  <c r="X148" i="7"/>
  <c r="V135" i="4"/>
  <c r="V134" i="4" s="1"/>
  <c r="V102" i="4"/>
  <c r="V101" i="4" s="1"/>
  <c r="X140" i="7"/>
  <c r="V119" i="4"/>
  <c r="V86" i="4"/>
  <c r="U212" i="3"/>
  <c r="U191" i="3"/>
  <c r="X17" i="7"/>
  <c r="R41" i="4" s="1"/>
  <c r="X38" i="7"/>
  <c r="X105" i="4"/>
  <c r="X93" i="4"/>
  <c r="X89" i="4"/>
  <c r="X103" i="4"/>
  <c r="X104" i="4"/>
  <c r="X109" i="4"/>
  <c r="X141" i="7"/>
  <c r="V123" i="4" s="1"/>
  <c r="V90" i="4" s="1"/>
  <c r="T113" i="4"/>
  <c r="W129" i="4"/>
  <c r="W145" i="4"/>
  <c r="W147" i="4" s="1"/>
  <c r="U121" i="4"/>
  <c r="U88" i="4" s="1"/>
  <c r="Q42" i="4"/>
  <c r="Q45" i="4" s="1"/>
  <c r="Q47" i="4" s="1"/>
  <c r="W48" i="3"/>
  <c r="W210" i="3" s="1"/>
  <c r="W23" i="3"/>
  <c r="W213" i="3" s="1"/>
  <c r="AA5" i="7"/>
  <c r="V201" i="3"/>
  <c r="V144" i="3"/>
  <c r="V221" i="3" s="1"/>
  <c r="V129" i="3"/>
  <c r="V211" i="3" s="1"/>
  <c r="T124" i="4"/>
  <c r="T127" i="4" s="1"/>
  <c r="T130" i="4" l="1"/>
  <c r="P71" i="4" a="1"/>
  <c r="P71" i="4" s="1"/>
  <c r="U146" i="4"/>
  <c r="Q72" i="4" a="1"/>
  <c r="Q72" i="4" s="1"/>
  <c r="AA147" i="7"/>
  <c r="AA135" i="7"/>
  <c r="AA32" i="7"/>
  <c r="AA37" i="7"/>
  <c r="AA139" i="7"/>
  <c r="AA136" i="7"/>
  <c r="AA137" i="7"/>
  <c r="AA35" i="7"/>
  <c r="AA145" i="7"/>
  <c r="AA138" i="7"/>
  <c r="AA167" i="7"/>
  <c r="AA164" i="7"/>
  <c r="AA33" i="7"/>
  <c r="AA34" i="7"/>
  <c r="AA36" i="7"/>
  <c r="AA146" i="7"/>
  <c r="AA134" i="7"/>
  <c r="AA144" i="7"/>
  <c r="AA16" i="7"/>
  <c r="AA10" i="7"/>
  <c r="AA14" i="7"/>
  <c r="AA12" i="7"/>
  <c r="AA13" i="7"/>
  <c r="AA15" i="7"/>
  <c r="AA11" i="7"/>
  <c r="V224" i="3"/>
  <c r="V226" i="3" s="1"/>
  <c r="V227" i="3" s="1"/>
  <c r="V107" i="4"/>
  <c r="V110" i="4" s="1"/>
  <c r="V113" i="4" s="1"/>
  <c r="U214" i="3"/>
  <c r="U216" i="3" s="1"/>
  <c r="U217" i="3" s="1"/>
  <c r="U193" i="3"/>
  <c r="U195" i="3" s="1"/>
  <c r="U196" i="3" s="1"/>
  <c r="V203" i="3"/>
  <c r="V205" i="3" s="1"/>
  <c r="V206" i="3" s="1"/>
  <c r="Y149" i="7"/>
  <c r="W139" i="4" s="1"/>
  <c r="W106" i="4" s="1"/>
  <c r="Y141" i="7"/>
  <c r="W123" i="4" s="1"/>
  <c r="W90" i="4" s="1"/>
  <c r="X108" i="4"/>
  <c r="X111" i="4" s="1"/>
  <c r="X114" i="4" s="1"/>
  <c r="U118" i="4"/>
  <c r="U124" i="4" s="1"/>
  <c r="U127" i="4" s="1"/>
  <c r="U125" i="4"/>
  <c r="U128" i="4" s="1"/>
  <c r="U131" i="4" s="1"/>
  <c r="U92" i="4"/>
  <c r="U95" i="4" s="1"/>
  <c r="U98" i="4" s="1"/>
  <c r="U85" i="4"/>
  <c r="U91" i="4" s="1"/>
  <c r="U94" i="4" s="1"/>
  <c r="Y38" i="7"/>
  <c r="Y140" i="7"/>
  <c r="X48" i="3"/>
  <c r="X210" i="3" s="1"/>
  <c r="X23" i="3"/>
  <c r="X213" i="3" s="1"/>
  <c r="W201" i="3"/>
  <c r="W144" i="3"/>
  <c r="W221" i="3" s="1"/>
  <c r="W129" i="3"/>
  <c r="W211" i="3" s="1"/>
  <c r="AB5" i="7"/>
  <c r="V212" i="3"/>
  <c r="V191" i="3"/>
  <c r="X145" i="4"/>
  <c r="X147" i="4" s="1"/>
  <c r="X129" i="4"/>
  <c r="R42" i="4"/>
  <c r="R45" i="4" s="1"/>
  <c r="R47" i="4" s="1"/>
  <c r="V121" i="4"/>
  <c r="V88" i="4" s="1"/>
  <c r="V140" i="4"/>
  <c r="V143" i="4" s="1"/>
  <c r="Y93" i="4"/>
  <c r="Y104" i="4"/>
  <c r="Y103" i="4"/>
  <c r="Y89" i="4"/>
  <c r="Y105" i="4"/>
  <c r="Y109" i="4"/>
  <c r="W86" i="4"/>
  <c r="W119" i="4"/>
  <c r="V120" i="4"/>
  <c r="V87" i="4"/>
  <c r="Y148" i="7"/>
  <c r="T92" i="4"/>
  <c r="T95" i="4" s="1"/>
  <c r="T98" i="4" s="1"/>
  <c r="T91" i="4"/>
  <c r="T94" i="4" s="1"/>
  <c r="W102" i="4"/>
  <c r="W101" i="4" s="1"/>
  <c r="W135" i="4"/>
  <c r="W134" i="4" s="1"/>
  <c r="Y17" i="7"/>
  <c r="S41" i="4" s="1"/>
  <c r="Y36" i="3"/>
  <c r="Y202" i="3" s="1"/>
  <c r="Y60" i="3"/>
  <c r="Y199" i="3" s="1"/>
  <c r="X145" i="3"/>
  <c r="X200" i="3" s="1"/>
  <c r="AC4" i="7"/>
  <c r="Y223" i="3"/>
  <c r="X194" i="3"/>
  <c r="X130" i="3"/>
  <c r="X190" i="3" s="1"/>
  <c r="X204" i="3"/>
  <c r="V146" i="4" l="1"/>
  <c r="R72" i="4" a="1"/>
  <c r="R72" i="4" s="1"/>
  <c r="U130" i="4"/>
  <c r="Q71" i="4" a="1"/>
  <c r="Q71" i="4" s="1"/>
  <c r="AB167" i="7"/>
  <c r="AB147" i="7"/>
  <c r="AB134" i="7"/>
  <c r="AB139" i="7"/>
  <c r="AB137" i="7"/>
  <c r="AB33" i="7"/>
  <c r="AB36" i="7"/>
  <c r="AB37" i="7"/>
  <c r="AB145" i="7"/>
  <c r="AB34" i="7"/>
  <c r="AB138" i="7"/>
  <c r="AB35" i="7"/>
  <c r="AB136" i="7"/>
  <c r="AB146" i="7"/>
  <c r="AB164" i="7"/>
  <c r="AB144" i="7"/>
  <c r="AB32" i="7"/>
  <c r="AB135" i="7"/>
  <c r="AB15" i="7"/>
  <c r="AB13" i="7"/>
  <c r="AB11" i="7"/>
  <c r="AB14" i="7"/>
  <c r="AB10" i="7"/>
  <c r="AB16" i="7"/>
  <c r="AB12" i="7"/>
  <c r="W224" i="3"/>
  <c r="W226" i="3" s="1"/>
  <c r="W227" i="3" s="1"/>
  <c r="W140" i="4"/>
  <c r="W143" i="4" s="1"/>
  <c r="W107" i="4"/>
  <c r="W110" i="4" s="1"/>
  <c r="W113" i="4" s="1"/>
  <c r="V214" i="3"/>
  <c r="V216" i="3" s="1"/>
  <c r="V217" i="3" s="1"/>
  <c r="W203" i="3"/>
  <c r="W205" i="3" s="1"/>
  <c r="W206" i="3" s="1"/>
  <c r="V193" i="3"/>
  <c r="V195" i="3" s="1"/>
  <c r="V196" i="3" s="1"/>
  <c r="Z149" i="7"/>
  <c r="X139" i="4" s="1"/>
  <c r="X106" i="4" s="1"/>
  <c r="Z148" i="7"/>
  <c r="Z17" i="7"/>
  <c r="T41" i="4" s="1"/>
  <c r="X120" i="4" s="1"/>
  <c r="Z38" i="7"/>
  <c r="T42" i="4" s="1"/>
  <c r="Y108" i="4"/>
  <c r="Y111" i="4" s="1"/>
  <c r="Y114" i="4" s="1"/>
  <c r="V85" i="4"/>
  <c r="V91" i="4" s="1"/>
  <c r="V94" i="4" s="1"/>
  <c r="V92" i="4"/>
  <c r="V95" i="4" s="1"/>
  <c r="V98" i="4" s="1"/>
  <c r="X102" i="4"/>
  <c r="X101" i="4" s="1"/>
  <c r="X135" i="4"/>
  <c r="X134" i="4" s="1"/>
  <c r="Z141" i="7"/>
  <c r="X123" i="4" s="1"/>
  <c r="X90" i="4" s="1"/>
  <c r="Z140" i="7"/>
  <c r="W120" i="4"/>
  <c r="W87" i="4"/>
  <c r="V118" i="4"/>
  <c r="V124" i="4" s="1"/>
  <c r="V127" i="4" s="1"/>
  <c r="V125" i="4"/>
  <c r="V128" i="4" s="1"/>
  <c r="V131" i="4" s="1"/>
  <c r="Y129" i="4"/>
  <c r="Y145" i="4"/>
  <c r="Y147" i="4" s="1"/>
  <c r="S42" i="4"/>
  <c r="S45" i="4" s="1"/>
  <c r="S47" i="4" s="1"/>
  <c r="W121" i="4"/>
  <c r="W88" i="4" s="1"/>
  <c r="U97" i="4"/>
  <c r="Y23" i="3"/>
  <c r="Y213" i="3" s="1"/>
  <c r="Y48" i="3"/>
  <c r="Y210" i="3" s="1"/>
  <c r="X201" i="3"/>
  <c r="X129" i="3"/>
  <c r="X211" i="3" s="1"/>
  <c r="AC5" i="7"/>
  <c r="X144" i="3"/>
  <c r="X221" i="3" s="1"/>
  <c r="W191" i="3"/>
  <c r="W212" i="3"/>
  <c r="Z104" i="4"/>
  <c r="Z109" i="4"/>
  <c r="Z105" i="4"/>
  <c r="Z93" i="4"/>
  <c r="Z103" i="4"/>
  <c r="Z89" i="4"/>
  <c r="T97" i="4"/>
  <c r="X86" i="4"/>
  <c r="X119" i="4"/>
  <c r="Z36" i="3"/>
  <c r="Z202" i="3" s="1"/>
  <c r="Z60" i="3"/>
  <c r="Z199" i="3" s="1"/>
  <c r="Z223" i="3"/>
  <c r="Y145" i="3"/>
  <c r="Y200" i="3" s="1"/>
  <c r="AD4" i="7"/>
  <c r="Y194" i="3"/>
  <c r="Y204" i="3"/>
  <c r="Y130" i="3"/>
  <c r="Y190" i="3" s="1"/>
  <c r="W146" i="4" l="1"/>
  <c r="S72" i="4" a="1"/>
  <c r="S72" i="4" s="1"/>
  <c r="V130" i="4"/>
  <c r="R71" i="4" a="1"/>
  <c r="R71" i="4" s="1"/>
  <c r="AC136" i="7"/>
  <c r="AC35" i="7"/>
  <c r="AC167" i="7"/>
  <c r="AC36" i="7"/>
  <c r="AC146" i="7"/>
  <c r="AC147" i="7"/>
  <c r="AC33" i="7"/>
  <c r="AC139" i="7"/>
  <c r="AC34" i="7"/>
  <c r="AC37" i="7"/>
  <c r="AC145" i="7"/>
  <c r="AC138" i="7"/>
  <c r="AC32" i="7"/>
  <c r="AC134" i="7"/>
  <c r="AC164" i="7"/>
  <c r="AC137" i="7"/>
  <c r="AC135" i="7"/>
  <c r="AC144" i="7"/>
  <c r="AC13" i="7"/>
  <c r="AC10" i="7"/>
  <c r="AC12" i="7"/>
  <c r="AC15" i="7"/>
  <c r="AC16" i="7"/>
  <c r="AC11" i="7"/>
  <c r="AC14" i="7"/>
  <c r="X224" i="3"/>
  <c r="X226" i="3" s="1"/>
  <c r="X227" i="3" s="1"/>
  <c r="X140" i="4"/>
  <c r="X143" i="4" s="1"/>
  <c r="W214" i="3"/>
  <c r="W216" i="3" s="1"/>
  <c r="W217" i="3" s="1"/>
  <c r="W193" i="3"/>
  <c r="W195" i="3" s="1"/>
  <c r="W196" i="3" s="1"/>
  <c r="X107" i="4"/>
  <c r="X110" i="4" s="1"/>
  <c r="X113" i="4" s="1"/>
  <c r="X203" i="3"/>
  <c r="X205" i="3" s="1"/>
  <c r="X206" i="3" s="1"/>
  <c r="T45" i="4"/>
  <c r="T47" i="4" s="1"/>
  <c r="X118" i="4"/>
  <c r="X87" i="4"/>
  <c r="X85" i="4" s="1"/>
  <c r="X121" i="4"/>
  <c r="Z108" i="4"/>
  <c r="Z111" i="4" s="1"/>
  <c r="Z114" i="4" s="1"/>
  <c r="AA141" i="7"/>
  <c r="Y123" i="4" s="1"/>
  <c r="Y90" i="4" s="1"/>
  <c r="AA38" i="7"/>
  <c r="AA89" i="4"/>
  <c r="AA93" i="4"/>
  <c r="AA104" i="4"/>
  <c r="AA103" i="4"/>
  <c r="AA105" i="4"/>
  <c r="AA109" i="4"/>
  <c r="Y135" i="4"/>
  <c r="Y134" i="4" s="1"/>
  <c r="Y102" i="4"/>
  <c r="Y101" i="4" s="1"/>
  <c r="Z23" i="3"/>
  <c r="Z213" i="3" s="1"/>
  <c r="Z48" i="3"/>
  <c r="Z210" i="3" s="1"/>
  <c r="AD5" i="7"/>
  <c r="Y201" i="3"/>
  <c r="Y144" i="3"/>
  <c r="Y221" i="3" s="1"/>
  <c r="Y129" i="3"/>
  <c r="Y211" i="3" s="1"/>
  <c r="AA149" i="7"/>
  <c r="Y139" i="4" s="1"/>
  <c r="Y106" i="4" s="1"/>
  <c r="W85" i="4"/>
  <c r="W91" i="4" s="1"/>
  <c r="W94" i="4" s="1"/>
  <c r="W92" i="4"/>
  <c r="W95" i="4" s="1"/>
  <c r="W98" i="4" s="1"/>
  <c r="Z145" i="4"/>
  <c r="Z147" i="4" s="1"/>
  <c r="Z129" i="4"/>
  <c r="V97" i="4"/>
  <c r="W118" i="4"/>
  <c r="W124" i="4" s="1"/>
  <c r="W127" i="4" s="1"/>
  <c r="W125" i="4"/>
  <c r="W128" i="4" s="1"/>
  <c r="W131" i="4" s="1"/>
  <c r="AA148" i="7"/>
  <c r="AA36" i="3"/>
  <c r="AA202" i="3" s="1"/>
  <c r="AA60" i="3"/>
  <c r="AA199" i="3" s="1"/>
  <c r="Z204" i="3"/>
  <c r="Z194" i="3"/>
  <c r="AA223" i="3"/>
  <c r="Z130" i="3"/>
  <c r="Z190" i="3" s="1"/>
  <c r="AE4" i="7"/>
  <c r="Z145" i="3"/>
  <c r="Z200" i="3" s="1"/>
  <c r="X212" i="3"/>
  <c r="X191" i="3"/>
  <c r="Y119" i="4"/>
  <c r="Y86" i="4"/>
  <c r="AA17" i="7"/>
  <c r="U41" i="4" s="1"/>
  <c r="AA140" i="7"/>
  <c r="X146" i="4" l="1"/>
  <c r="T72" i="4" a="1"/>
  <c r="T72" i="4" s="1"/>
  <c r="W130" i="4"/>
  <c r="S71" i="4" a="1"/>
  <c r="S71" i="4" s="1"/>
  <c r="AD164" i="7"/>
  <c r="AD167" i="7"/>
  <c r="AD136" i="7"/>
  <c r="AD35" i="7"/>
  <c r="AD146" i="7"/>
  <c r="AD135" i="7"/>
  <c r="AD147" i="7"/>
  <c r="AD139" i="7"/>
  <c r="AD37" i="7"/>
  <c r="AD145" i="7"/>
  <c r="AD138" i="7"/>
  <c r="AD33" i="7"/>
  <c r="AD134" i="7"/>
  <c r="AD34" i="7"/>
  <c r="AD36" i="7"/>
  <c r="AD144" i="7"/>
  <c r="AD137" i="7"/>
  <c r="AD32" i="7"/>
  <c r="AD11" i="7"/>
  <c r="AD16" i="7"/>
  <c r="AD12" i="7"/>
  <c r="AD10" i="7"/>
  <c r="AD13" i="7"/>
  <c r="AD15" i="7"/>
  <c r="AD14" i="7"/>
  <c r="Y224" i="3"/>
  <c r="Y226" i="3" s="1"/>
  <c r="Y227" i="3" s="1"/>
  <c r="X214" i="3"/>
  <c r="X216" i="3" s="1"/>
  <c r="X217" i="3" s="1"/>
  <c r="X193" i="3"/>
  <c r="X195" i="3" s="1"/>
  <c r="X196" i="3" s="1"/>
  <c r="Y203" i="3"/>
  <c r="Y205" i="3" s="1"/>
  <c r="Y206" i="3" s="1"/>
  <c r="X124" i="4"/>
  <c r="X127" i="4" s="1"/>
  <c r="X88" i="4"/>
  <c r="X91" i="4" s="1"/>
  <c r="X94" i="4" s="1"/>
  <c r="X97" i="4" s="1"/>
  <c r="X125" i="4"/>
  <c r="X128" i="4" s="1"/>
  <c r="X131" i="4" s="1"/>
  <c r="AB149" i="7"/>
  <c r="Z139" i="4" s="1"/>
  <c r="Z106" i="4" s="1"/>
  <c r="AB17" i="7"/>
  <c r="V41" i="4" s="1"/>
  <c r="Z87" i="4" s="1"/>
  <c r="Y121" i="4"/>
  <c r="Y88" i="4" s="1"/>
  <c r="U42" i="4"/>
  <c r="U45" i="4" s="1"/>
  <c r="U47" i="4" s="1"/>
  <c r="AA23" i="3"/>
  <c r="AA213" i="3" s="1"/>
  <c r="AA48" i="3"/>
  <c r="AA210" i="3" s="1"/>
  <c r="AE5" i="7"/>
  <c r="Z144" i="3"/>
  <c r="Z221" i="3" s="1"/>
  <c r="Z201" i="3"/>
  <c r="Z129" i="3"/>
  <c r="Z211" i="3" s="1"/>
  <c r="Y107" i="4"/>
  <c r="Y110" i="4" s="1"/>
  <c r="AB38" i="7"/>
  <c r="Y191" i="3"/>
  <c r="Y212" i="3"/>
  <c r="Y140" i="4"/>
  <c r="Y143" i="4" s="1"/>
  <c r="Z119" i="4"/>
  <c r="Z86" i="4"/>
  <c r="Z102" i="4"/>
  <c r="Z101" i="4" s="1"/>
  <c r="Z135" i="4"/>
  <c r="Z134" i="4" s="1"/>
  <c r="AA108" i="4"/>
  <c r="AA111" i="4" s="1"/>
  <c r="AA114" i="4" s="1"/>
  <c r="AB60" i="3"/>
  <c r="AB199" i="3" s="1"/>
  <c r="AB36" i="3"/>
  <c r="AB202" i="3" s="1"/>
  <c r="AA145" i="3"/>
  <c r="AA200" i="3" s="1"/>
  <c r="AA194" i="3"/>
  <c r="AF4" i="7"/>
  <c r="AA204" i="3"/>
  <c r="AA130" i="3"/>
  <c r="AA190" i="3" s="1"/>
  <c r="AB223" i="3"/>
  <c r="AB148" i="7"/>
  <c r="AB141" i="7"/>
  <c r="Z123" i="4" s="1"/>
  <c r="Z90" i="4" s="1"/>
  <c r="W97" i="4"/>
  <c r="AA145" i="4"/>
  <c r="AA147" i="4" s="1"/>
  <c r="AA129" i="4"/>
  <c r="AB140" i="7"/>
  <c r="AB105" i="4"/>
  <c r="AB93" i="4"/>
  <c r="AB104" i="4"/>
  <c r="AB89" i="4"/>
  <c r="AB109" i="4"/>
  <c r="AB103" i="4"/>
  <c r="Y120" i="4"/>
  <c r="Y87" i="4"/>
  <c r="Y146" i="4" l="1"/>
  <c r="U72" i="4" a="1"/>
  <c r="U72" i="4" s="1"/>
  <c r="X130" i="4"/>
  <c r="T71" i="4" a="1"/>
  <c r="T71" i="4" s="1"/>
  <c r="AE144" i="7"/>
  <c r="AE164" i="7"/>
  <c r="AE139" i="7"/>
  <c r="AE135" i="7"/>
  <c r="AE147" i="7"/>
  <c r="AE145" i="7"/>
  <c r="AE167" i="7"/>
  <c r="AE138" i="7"/>
  <c r="AE136" i="7"/>
  <c r="AE146" i="7"/>
  <c r="AE134" i="7"/>
  <c r="AE36" i="7"/>
  <c r="AE37" i="7"/>
  <c r="AE137" i="7"/>
  <c r="AE35" i="7"/>
  <c r="AE32" i="7"/>
  <c r="AE33" i="7"/>
  <c r="AE34" i="7"/>
  <c r="AE14" i="7"/>
  <c r="AE16" i="7"/>
  <c r="AE13" i="7"/>
  <c r="AE15" i="7"/>
  <c r="AE12" i="7"/>
  <c r="AE11" i="7"/>
  <c r="AE10" i="7"/>
  <c r="Z224" i="3"/>
  <c r="Z226" i="3" s="1"/>
  <c r="Z227" i="3" s="1"/>
  <c r="Z140" i="4"/>
  <c r="Z143" i="4" s="1"/>
  <c r="Y214" i="3"/>
  <c r="Y216" i="3" s="1"/>
  <c r="Y217" i="3" s="1"/>
  <c r="Y193" i="3"/>
  <c r="Y195" i="3" s="1"/>
  <c r="Y196" i="3" s="1"/>
  <c r="Z203" i="3"/>
  <c r="Z205" i="3" s="1"/>
  <c r="Z206" i="3" s="1"/>
  <c r="Z107" i="4"/>
  <c r="Z110" i="4" s="1"/>
  <c r="X92" i="4"/>
  <c r="X95" i="4" s="1"/>
  <c r="X98" i="4" s="1"/>
  <c r="AC149" i="7"/>
  <c r="AA139" i="4" s="1"/>
  <c r="AA106" i="4" s="1"/>
  <c r="Z120" i="4"/>
  <c r="Z118" i="4" s="1"/>
  <c r="AC141" i="7"/>
  <c r="AA123" i="4" s="1"/>
  <c r="AA90" i="4" s="1"/>
  <c r="Z85" i="4"/>
  <c r="AC109" i="4"/>
  <c r="AC103" i="4"/>
  <c r="AC104" i="4"/>
  <c r="AC93" i="4"/>
  <c r="AC105" i="4"/>
  <c r="AC89" i="4"/>
  <c r="AA86" i="4"/>
  <c r="AA119" i="4"/>
  <c r="Z212" i="3"/>
  <c r="Z191" i="3"/>
  <c r="AC38" i="7"/>
  <c r="AC148" i="7"/>
  <c r="AB145" i="4"/>
  <c r="AB147" i="4" s="1"/>
  <c r="AB129" i="4"/>
  <c r="Y85" i="4"/>
  <c r="Y91" i="4" s="1"/>
  <c r="Y94" i="4" s="1"/>
  <c r="Y92" i="4"/>
  <c r="Y95" i="4" s="1"/>
  <c r="Y98" i="4" s="1"/>
  <c r="AC140" i="7"/>
  <c r="AB23" i="3"/>
  <c r="AB213" i="3" s="1"/>
  <c r="AB48" i="3"/>
  <c r="AB210" i="3" s="1"/>
  <c r="AF5" i="7"/>
  <c r="AA201" i="3"/>
  <c r="AA129" i="3"/>
  <c r="AA211" i="3" s="1"/>
  <c r="AA144" i="3"/>
  <c r="AA221" i="3" s="1"/>
  <c r="AA102" i="4"/>
  <c r="AA101" i="4" s="1"/>
  <c r="AA135" i="4"/>
  <c r="AA134" i="4" s="1"/>
  <c r="AC60" i="3"/>
  <c r="AC199" i="3" s="1"/>
  <c r="AC36" i="3"/>
  <c r="AC202" i="3" s="1"/>
  <c r="AB204" i="3"/>
  <c r="AB130" i="3"/>
  <c r="AB190" i="3" s="1"/>
  <c r="AB145" i="3"/>
  <c r="AB200" i="3" s="1"/>
  <c r="AB194" i="3"/>
  <c r="AC223" i="3"/>
  <c r="AG4" i="7"/>
  <c r="Z121" i="4"/>
  <c r="Z88" i="4" s="1"/>
  <c r="Z92" i="4" s="1"/>
  <c r="Z95" i="4" s="1"/>
  <c r="Z98" i="4" s="1"/>
  <c r="V42" i="4"/>
  <c r="V45" i="4" s="1"/>
  <c r="V47" i="4" s="1"/>
  <c r="Y125" i="4"/>
  <c r="Y128" i="4" s="1"/>
  <c r="Y131" i="4" s="1"/>
  <c r="Y118" i="4"/>
  <c r="Y124" i="4" s="1"/>
  <c r="Y127" i="4" s="1"/>
  <c r="AB108" i="4"/>
  <c r="AB111" i="4" s="1"/>
  <c r="AB114" i="4" s="1"/>
  <c r="AC17" i="7"/>
  <c r="W41" i="4" s="1"/>
  <c r="Y113" i="4"/>
  <c r="Z146" i="4" l="1"/>
  <c r="V72" i="4" a="1"/>
  <c r="V72" i="4" s="1"/>
  <c r="Y130" i="4"/>
  <c r="U71" i="4" a="1"/>
  <c r="U71" i="4" s="1"/>
  <c r="AF137" i="7"/>
  <c r="AF33" i="7"/>
  <c r="AF144" i="7"/>
  <c r="AF34" i="7"/>
  <c r="AF164" i="7"/>
  <c r="AF135" i="7"/>
  <c r="AF138" i="7"/>
  <c r="AF36" i="7"/>
  <c r="AF147" i="7"/>
  <c r="AF37" i="7"/>
  <c r="AF32" i="7"/>
  <c r="AF145" i="7"/>
  <c r="AF35" i="7"/>
  <c r="AF167" i="7"/>
  <c r="AF146" i="7"/>
  <c r="AF134" i="7"/>
  <c r="AF139" i="7"/>
  <c r="AF136" i="7"/>
  <c r="AF16" i="7"/>
  <c r="AF14" i="7"/>
  <c r="AF13" i="7"/>
  <c r="AF11" i="7"/>
  <c r="AF15" i="7"/>
  <c r="AF12" i="7"/>
  <c r="AF10" i="7"/>
  <c r="AA224" i="3"/>
  <c r="AA226" i="3" s="1"/>
  <c r="AA227" i="3" s="1"/>
  <c r="Z214" i="3"/>
  <c r="Z216" i="3" s="1"/>
  <c r="Z217" i="3" s="1"/>
  <c r="Z193" i="3"/>
  <c r="Z195" i="3" s="1"/>
  <c r="Z196" i="3" s="1"/>
  <c r="AA203" i="3"/>
  <c r="AA205" i="3" s="1"/>
  <c r="AA206" i="3" s="1"/>
  <c r="AA140" i="4"/>
  <c r="AA143" i="4" s="1"/>
  <c r="AD141" i="7"/>
  <c r="AB123" i="4" s="1"/>
  <c r="AB90" i="4" s="1"/>
  <c r="Z113" i="4"/>
  <c r="AA107" i="4"/>
  <c r="AA110" i="4" s="1"/>
  <c r="AA113" i="4" s="1"/>
  <c r="Z124" i="4"/>
  <c r="Z127" i="4" s="1"/>
  <c r="AD60" i="3"/>
  <c r="AD36" i="3"/>
  <c r="AD202" i="3" s="1"/>
  <c r="AD223" i="3"/>
  <c r="AC145" i="3"/>
  <c r="AC200" i="3" s="1"/>
  <c r="AC204" i="3"/>
  <c r="AH4" i="7"/>
  <c r="AC194" i="3"/>
  <c r="AC130" i="3"/>
  <c r="AC190" i="3" s="1"/>
  <c r="AC145" i="4"/>
  <c r="AC147" i="4" s="1"/>
  <c r="AC129" i="4"/>
  <c r="AD149" i="7"/>
  <c r="AB139" i="4" s="1"/>
  <c r="AB106" i="4" s="1"/>
  <c r="AB119" i="4"/>
  <c r="AB86" i="4"/>
  <c r="AA212" i="3"/>
  <c r="AA191" i="3"/>
  <c r="AD38" i="7"/>
  <c r="AD148" i="7"/>
  <c r="AD93" i="4"/>
  <c r="AD109" i="4"/>
  <c r="AD105" i="4"/>
  <c r="AD104" i="4"/>
  <c r="AD103" i="4"/>
  <c r="AD89" i="4"/>
  <c r="AA121" i="4"/>
  <c r="AA88" i="4" s="1"/>
  <c r="W42" i="4"/>
  <c r="W45" i="4" s="1"/>
  <c r="W47" i="4" s="1"/>
  <c r="AA120" i="4"/>
  <c r="AA87" i="4"/>
  <c r="AC48" i="3"/>
  <c r="AC210" i="3" s="1"/>
  <c r="AC23" i="3"/>
  <c r="AC213" i="3" s="1"/>
  <c r="AG5" i="7"/>
  <c r="AB129" i="3"/>
  <c r="AB211" i="3" s="1"/>
  <c r="AB144" i="3"/>
  <c r="AB221" i="3" s="1"/>
  <c r="AB201" i="3"/>
  <c r="AB102" i="4"/>
  <c r="AB101" i="4" s="1"/>
  <c r="AB135" i="4"/>
  <c r="AB134" i="4" s="1"/>
  <c r="Z125" i="4"/>
  <c r="Z128" i="4" s="1"/>
  <c r="Z131" i="4" s="1"/>
  <c r="AD140" i="7"/>
  <c r="AD17" i="7"/>
  <c r="X41" i="4" s="1"/>
  <c r="AC108" i="4"/>
  <c r="AC111" i="4" s="1"/>
  <c r="AC114" i="4" s="1"/>
  <c r="Y97" i="4"/>
  <c r="Z91" i="4"/>
  <c r="Z94" i="4" s="1"/>
  <c r="Z130" i="4" l="1"/>
  <c r="V71" i="4" a="1"/>
  <c r="V71" i="4" s="1"/>
  <c r="AA146" i="4"/>
  <c r="W72" i="4" a="1"/>
  <c r="W72" i="4" s="1"/>
  <c r="AG137" i="7"/>
  <c r="AG147" i="7"/>
  <c r="AG33" i="7"/>
  <c r="AG145" i="7"/>
  <c r="AG146" i="7"/>
  <c r="AG138" i="7"/>
  <c r="AG135" i="7"/>
  <c r="AG32" i="7"/>
  <c r="AG136" i="7"/>
  <c r="AG144" i="7"/>
  <c r="AG37" i="7"/>
  <c r="AG34" i="7"/>
  <c r="AG35" i="7"/>
  <c r="AG36" i="7"/>
  <c r="AG167" i="7"/>
  <c r="AG139" i="7"/>
  <c r="AG134" i="7"/>
  <c r="AG164" i="7"/>
  <c r="AG13" i="7"/>
  <c r="AG16" i="7"/>
  <c r="AG15" i="7"/>
  <c r="AG12" i="7"/>
  <c r="AG10" i="7"/>
  <c r="AG11" i="7"/>
  <c r="AG14" i="7"/>
  <c r="AB224" i="3"/>
  <c r="AB226" i="3" s="1"/>
  <c r="AB227" i="3" s="1"/>
  <c r="AA214" i="3"/>
  <c r="AA216" i="3" s="1"/>
  <c r="AA217" i="3" s="1"/>
  <c r="AA193" i="3"/>
  <c r="AA195" i="3" s="1"/>
  <c r="AA196" i="3" s="1"/>
  <c r="AB203" i="3"/>
  <c r="AB205" i="3" s="1"/>
  <c r="AB206" i="3" s="1"/>
  <c r="AE148" i="7"/>
  <c r="AB107" i="4"/>
  <c r="AB110" i="4" s="1"/>
  <c r="AB113" i="4" s="1"/>
  <c r="AE140" i="7"/>
  <c r="AD108" i="4"/>
  <c r="AD111" i="4" s="1"/>
  <c r="AD114" i="4" s="1"/>
  <c r="AE149" i="7"/>
  <c r="AC139" i="4" s="1"/>
  <c r="AC106" i="4" s="1"/>
  <c r="AE141" i="7"/>
  <c r="AC123" i="4" s="1"/>
  <c r="AC90" i="4" s="1"/>
  <c r="AD145" i="4"/>
  <c r="AD147" i="4" s="1"/>
  <c r="AD129" i="4"/>
  <c r="AE89" i="4"/>
  <c r="AE103" i="4"/>
  <c r="AE105" i="4"/>
  <c r="AE104" i="4"/>
  <c r="AE93" i="4"/>
  <c r="AE109" i="4"/>
  <c r="AE60" i="3"/>
  <c r="AE36" i="3"/>
  <c r="AE202" i="3" s="1"/>
  <c r="AD225" i="3"/>
  <c r="AD145" i="3"/>
  <c r="AD130" i="3"/>
  <c r="AD190" i="3" s="1"/>
  <c r="AI4" i="7"/>
  <c r="AE223" i="3"/>
  <c r="AD204" i="3"/>
  <c r="AD194" i="3"/>
  <c r="AB120" i="4"/>
  <c r="AB87" i="4"/>
  <c r="AB140" i="4"/>
  <c r="AB143" i="4" s="1"/>
  <c r="AE17" i="7"/>
  <c r="Y41" i="4" s="1"/>
  <c r="AA92" i="4"/>
  <c r="AA95" i="4" s="1"/>
  <c r="AA98" i="4" s="1"/>
  <c r="AA85" i="4"/>
  <c r="AA91" i="4" s="1"/>
  <c r="AA94" i="4" s="1"/>
  <c r="Z97" i="4"/>
  <c r="AA125" i="4"/>
  <c r="AA128" i="4" s="1"/>
  <c r="AA131" i="4" s="1"/>
  <c r="AA118" i="4"/>
  <c r="AA124" i="4" s="1"/>
  <c r="AA127" i="4" s="1"/>
  <c r="AD48" i="3"/>
  <c r="AD210" i="3" s="1"/>
  <c r="AD23" i="3"/>
  <c r="AD213" i="3" s="1"/>
  <c r="AC144" i="3"/>
  <c r="AC221" i="3" s="1"/>
  <c r="AC129" i="3"/>
  <c r="AC211" i="3" s="1"/>
  <c r="AH5" i="7"/>
  <c r="AC201" i="3"/>
  <c r="AB212" i="3"/>
  <c r="AB191" i="3"/>
  <c r="AE38" i="7"/>
  <c r="AC135" i="4"/>
  <c r="AC134" i="4" s="1"/>
  <c r="AC102" i="4"/>
  <c r="AC101" i="4" s="1"/>
  <c r="X42" i="4"/>
  <c r="X45" i="4" s="1"/>
  <c r="X47" i="4" s="1"/>
  <c r="AB121" i="4"/>
  <c r="AB88" i="4" s="1"/>
  <c r="AC86" i="4"/>
  <c r="AC119" i="4"/>
  <c r="AB146" i="4" l="1"/>
  <c r="X72" i="4" a="1"/>
  <c r="X72" i="4" s="1"/>
  <c r="AA130" i="4"/>
  <c r="W71" i="4" a="1"/>
  <c r="W71" i="4" s="1"/>
  <c r="AH37" i="7"/>
  <c r="AH167" i="7"/>
  <c r="AH134" i="7"/>
  <c r="AH145" i="7"/>
  <c r="AH146" i="7"/>
  <c r="AH135" i="7"/>
  <c r="AH138" i="7"/>
  <c r="AH32" i="7"/>
  <c r="AH136" i="7"/>
  <c r="AH144" i="7"/>
  <c r="AH34" i="7"/>
  <c r="AH35" i="7"/>
  <c r="AH36" i="7"/>
  <c r="AH33" i="7"/>
  <c r="AH137" i="7"/>
  <c r="AH164" i="7"/>
  <c r="AH139" i="7"/>
  <c r="AH147" i="7"/>
  <c r="AH13" i="7"/>
  <c r="AH12" i="7"/>
  <c r="AH16" i="7"/>
  <c r="AH11" i="7"/>
  <c r="AH14" i="7"/>
  <c r="AH15" i="7"/>
  <c r="AH10" i="7"/>
  <c r="AC224" i="3"/>
  <c r="AC226" i="3" s="1"/>
  <c r="AC227" i="3" s="1"/>
  <c r="AC107" i="4"/>
  <c r="AC110" i="4" s="1"/>
  <c r="AC113" i="4" s="1"/>
  <c r="AB214" i="3"/>
  <c r="AB216" i="3" s="1"/>
  <c r="AB217" i="3" s="1"/>
  <c r="AC203" i="3"/>
  <c r="AC205" i="3" s="1"/>
  <c r="AC206" i="3" s="1"/>
  <c r="AB193" i="3"/>
  <c r="AB195" i="3" s="1"/>
  <c r="AB196" i="3" s="1"/>
  <c r="AC140" i="4"/>
  <c r="AC143" i="4" s="1"/>
  <c r="AF149" i="7"/>
  <c r="AD139" i="4" s="1"/>
  <c r="AD106" i="4" s="1"/>
  <c r="AE108" i="4"/>
  <c r="AE111" i="4" s="1"/>
  <c r="AE114" i="4" s="1"/>
  <c r="AF104" i="4"/>
  <c r="AF103" i="4"/>
  <c r="AF93" i="4"/>
  <c r="AF89" i="4"/>
  <c r="AF109" i="4"/>
  <c r="AF105" i="4"/>
  <c r="AF38" i="7"/>
  <c r="AB85" i="4"/>
  <c r="AB91" i="4" s="1"/>
  <c r="AB94" i="4" s="1"/>
  <c r="AB92" i="4"/>
  <c r="AB95" i="4" s="1"/>
  <c r="AB98" i="4" s="1"/>
  <c r="AF17" i="7"/>
  <c r="Z41" i="4" s="1"/>
  <c r="AD86" i="4"/>
  <c r="AF140" i="7"/>
  <c r="AD119" i="4"/>
  <c r="AF148" i="7"/>
  <c r="AD135" i="4"/>
  <c r="AD134" i="4" s="1"/>
  <c r="AD102" i="4"/>
  <c r="AD101" i="4" s="1"/>
  <c r="AC121" i="4"/>
  <c r="AC88" i="4" s="1"/>
  <c r="Y42" i="4"/>
  <c r="Y45" i="4" s="1"/>
  <c r="Y47" i="4" s="1"/>
  <c r="AC212" i="3"/>
  <c r="AC191" i="3"/>
  <c r="AB118" i="4"/>
  <c r="AB124" i="4" s="1"/>
  <c r="AB127" i="4" s="1"/>
  <c r="AB125" i="4"/>
  <c r="AB128" i="4" s="1"/>
  <c r="AB131" i="4" s="1"/>
  <c r="AE129" i="4"/>
  <c r="AE145" i="4"/>
  <c r="AE147" i="4" s="1"/>
  <c r="AA97" i="4"/>
  <c r="AE48" i="3"/>
  <c r="AE210" i="3" s="1"/>
  <c r="AE23" i="3"/>
  <c r="AE213" i="3" s="1"/>
  <c r="AD129" i="3"/>
  <c r="AD211" i="3" s="1"/>
  <c r="AI5" i="7"/>
  <c r="AD144" i="3"/>
  <c r="AD201" i="3"/>
  <c r="AF141" i="7"/>
  <c r="AD123" i="4" s="1"/>
  <c r="AD90" i="4" s="1"/>
  <c r="AC87" i="4"/>
  <c r="AC120" i="4"/>
  <c r="AF36" i="3"/>
  <c r="AF202" i="3" s="1"/>
  <c r="AF60" i="3"/>
  <c r="AE204" i="3"/>
  <c r="AJ4" i="7"/>
  <c r="AE194" i="3"/>
  <c r="AF223" i="3"/>
  <c r="AE225" i="3"/>
  <c r="AE145" i="3"/>
  <c r="AE130" i="3"/>
  <c r="AE190" i="3" s="1"/>
  <c r="AB130" i="4" l="1"/>
  <c r="X71" i="4" a="1"/>
  <c r="X71" i="4" s="1"/>
  <c r="AC146" i="4"/>
  <c r="Y72" i="4" a="1"/>
  <c r="Y72" i="4" s="1"/>
  <c r="AI145" i="7"/>
  <c r="AI138" i="7"/>
  <c r="AI32" i="7"/>
  <c r="AI136" i="7"/>
  <c r="AI37" i="7"/>
  <c r="AI167" i="7"/>
  <c r="AI144" i="7"/>
  <c r="AI134" i="7"/>
  <c r="AI146" i="7"/>
  <c r="AI139" i="7"/>
  <c r="AI135" i="7"/>
  <c r="AI34" i="7"/>
  <c r="AI137" i="7"/>
  <c r="AI33" i="7"/>
  <c r="AI35" i="7"/>
  <c r="AI36" i="7"/>
  <c r="AI164" i="7"/>
  <c r="AI147" i="7"/>
  <c r="AI16" i="7"/>
  <c r="AI15" i="7"/>
  <c r="AI13" i="7"/>
  <c r="AI11" i="7"/>
  <c r="AI12" i="7"/>
  <c r="AI14" i="7"/>
  <c r="AI10" i="7"/>
  <c r="AC214" i="3"/>
  <c r="AC216" i="3" s="1"/>
  <c r="AC217" i="3" s="1"/>
  <c r="AC193" i="3"/>
  <c r="AC195" i="3" s="1"/>
  <c r="AC196" i="3" s="1"/>
  <c r="AD140" i="4"/>
  <c r="AD143" i="4" s="1"/>
  <c r="AD107" i="4"/>
  <c r="AD110" i="4" s="1"/>
  <c r="AD113" i="4" s="1"/>
  <c r="AG140" i="7"/>
  <c r="AF145" i="4"/>
  <c r="AF147" i="4" s="1"/>
  <c r="AF129" i="4"/>
  <c r="AE102" i="4"/>
  <c r="AE101" i="4" s="1"/>
  <c r="AE135" i="4"/>
  <c r="AE134" i="4" s="1"/>
  <c r="AB97" i="4"/>
  <c r="AD121" i="4"/>
  <c r="AD88" i="4" s="1"/>
  <c r="Z42" i="4"/>
  <c r="Z45" i="4" s="1"/>
  <c r="Z47" i="4" s="1"/>
  <c r="AC125" i="4"/>
  <c r="AC128" i="4" s="1"/>
  <c r="AC131" i="4" s="1"/>
  <c r="AC118" i="4"/>
  <c r="AC124" i="4" s="1"/>
  <c r="AC127" i="4" s="1"/>
  <c r="AG148" i="7"/>
  <c r="AF48" i="3"/>
  <c r="AF210" i="3" s="1"/>
  <c r="AF23" i="3"/>
  <c r="AF213" i="3" s="1"/>
  <c r="AE144" i="3"/>
  <c r="AE129" i="3"/>
  <c r="AE211" i="3" s="1"/>
  <c r="AJ5" i="7"/>
  <c r="AE201" i="3"/>
  <c r="AC92" i="4"/>
  <c r="AC95" i="4" s="1"/>
  <c r="AC98" i="4" s="1"/>
  <c r="AC85" i="4"/>
  <c r="AC91" i="4" s="1"/>
  <c r="AC94" i="4" s="1"/>
  <c r="AG149" i="7"/>
  <c r="AE139" i="4" s="1"/>
  <c r="AE106" i="4" s="1"/>
  <c r="AE86" i="4"/>
  <c r="AE119" i="4"/>
  <c r="AG109" i="4"/>
  <c r="AG104" i="4"/>
  <c r="AG89" i="4"/>
  <c r="AG105" i="4"/>
  <c r="AG93" i="4"/>
  <c r="AG103" i="4"/>
  <c r="AG17" i="7"/>
  <c r="AA41" i="4" s="1"/>
  <c r="AD200" i="3"/>
  <c r="AD221" i="3"/>
  <c r="AG38" i="7"/>
  <c r="AD87" i="4"/>
  <c r="AD120" i="4"/>
  <c r="AF108" i="4"/>
  <c r="AF111" i="4" s="1"/>
  <c r="AF114" i="4" s="1"/>
  <c r="AG36" i="3"/>
  <c r="AG202" i="3" s="1"/>
  <c r="AG60" i="3"/>
  <c r="AF225" i="3"/>
  <c r="AG223" i="3"/>
  <c r="AF130" i="3"/>
  <c r="AF190" i="3" s="1"/>
  <c r="AF145" i="3"/>
  <c r="AF194" i="3"/>
  <c r="AK4" i="7"/>
  <c r="AF204" i="3"/>
  <c r="AD212" i="3"/>
  <c r="AD191" i="3"/>
  <c r="AG141" i="7"/>
  <c r="AE123" i="4" s="1"/>
  <c r="AE90" i="4" s="1"/>
  <c r="AC130" i="4" l="1"/>
  <c r="Y71" i="4" a="1"/>
  <c r="Y71" i="4" s="1"/>
  <c r="AD146" i="4"/>
  <c r="Z72" i="4" a="1"/>
  <c r="Z72" i="4" s="1"/>
  <c r="AJ145" i="7"/>
  <c r="AJ138" i="7"/>
  <c r="AJ164" i="7"/>
  <c r="AJ32" i="7"/>
  <c r="AJ144" i="7"/>
  <c r="AJ33" i="7"/>
  <c r="AJ134" i="7"/>
  <c r="AJ34" i="7"/>
  <c r="AJ146" i="7"/>
  <c r="AJ139" i="7"/>
  <c r="AJ147" i="7"/>
  <c r="AJ137" i="7"/>
  <c r="AJ37" i="7"/>
  <c r="AJ135" i="7"/>
  <c r="AJ136" i="7"/>
  <c r="AJ167" i="7"/>
  <c r="AJ35" i="7"/>
  <c r="AJ36" i="7"/>
  <c r="AJ10" i="7"/>
  <c r="AJ15" i="7"/>
  <c r="AJ12" i="7"/>
  <c r="AJ14" i="7"/>
  <c r="AJ11" i="7"/>
  <c r="AJ16" i="7"/>
  <c r="AJ13" i="7"/>
  <c r="AD224" i="3"/>
  <c r="AD226" i="3" s="1"/>
  <c r="AD227" i="3" s="1"/>
  <c r="AD214" i="3"/>
  <c r="AD216" i="3" s="1"/>
  <c r="AD217" i="3" s="1"/>
  <c r="AD193" i="3"/>
  <c r="AD195" i="3" s="1"/>
  <c r="AD196" i="3" s="1"/>
  <c r="AD203" i="3"/>
  <c r="AD205" i="3" s="1"/>
  <c r="AD206" i="3" s="1"/>
  <c r="AH148" i="7"/>
  <c r="AH93" i="4"/>
  <c r="AH103" i="4"/>
  <c r="AH105" i="4"/>
  <c r="AH109" i="4"/>
  <c r="AH89" i="4"/>
  <c r="AH104" i="4"/>
  <c r="AG108" i="4"/>
  <c r="AG111" i="4" s="1"/>
  <c r="AG114" i="4" s="1"/>
  <c r="AF102" i="4"/>
  <c r="AF101" i="4" s="1"/>
  <c r="AF135" i="4"/>
  <c r="AF134" i="4" s="1"/>
  <c r="AC97" i="4"/>
  <c r="AD125" i="4"/>
  <c r="AD128" i="4" s="1"/>
  <c r="AD131" i="4" s="1"/>
  <c r="AD118" i="4"/>
  <c r="AD124" i="4" s="1"/>
  <c r="AD127" i="4" s="1"/>
  <c r="AH38" i="7"/>
  <c r="AE120" i="4"/>
  <c r="AE87" i="4"/>
  <c r="AD85" i="4"/>
  <c r="AD91" i="4" s="1"/>
  <c r="AD94" i="4" s="1"/>
  <c r="AD92" i="4"/>
  <c r="AD95" i="4" s="1"/>
  <c r="AD98" i="4" s="1"/>
  <c r="AE140" i="4"/>
  <c r="AE143" i="4" s="1"/>
  <c r="AH36" i="3"/>
  <c r="AH202" i="3" s="1"/>
  <c r="AH60" i="3"/>
  <c r="AL4" i="7"/>
  <c r="AG145" i="3"/>
  <c r="AG194" i="3"/>
  <c r="AG204" i="3"/>
  <c r="AH223" i="3"/>
  <c r="AG225" i="3"/>
  <c r="AG130" i="3"/>
  <c r="AG190" i="3" s="1"/>
  <c r="AE121" i="4"/>
  <c r="AE88" i="4" s="1"/>
  <c r="AA42" i="4"/>
  <c r="AA45" i="4" s="1"/>
  <c r="AA47" i="4" s="1"/>
  <c r="AG129" i="4"/>
  <c r="AG145" i="4"/>
  <c r="AG147" i="4" s="1"/>
  <c r="AE107" i="4"/>
  <c r="AE110" i="4" s="1"/>
  <c r="AF119" i="4"/>
  <c r="AF86" i="4"/>
  <c r="AH140" i="7"/>
  <c r="AG23" i="3"/>
  <c r="AG213" i="3" s="1"/>
  <c r="AG48" i="3"/>
  <c r="AG210" i="3" s="1"/>
  <c r="AK5" i="7"/>
  <c r="AF201" i="3"/>
  <c r="AF144" i="3"/>
  <c r="AF129" i="3"/>
  <c r="AF211" i="3" s="1"/>
  <c r="AH17" i="7"/>
  <c r="AB41" i="4" s="1"/>
  <c r="AH149" i="7"/>
  <c r="AF139" i="4" s="1"/>
  <c r="AF106" i="4" s="1"/>
  <c r="AE212" i="3"/>
  <c r="AE191" i="3"/>
  <c r="AE200" i="3"/>
  <c r="AE221" i="3"/>
  <c r="AH141" i="7"/>
  <c r="AF123" i="4" s="1"/>
  <c r="AF90" i="4" s="1"/>
  <c r="AD130" i="4" l="1"/>
  <c r="Z71" i="4" a="1"/>
  <c r="Z71" i="4" s="1"/>
  <c r="AE146" i="4"/>
  <c r="AA72" i="4" a="1"/>
  <c r="AA72" i="4" s="1"/>
  <c r="AK35" i="7"/>
  <c r="AK36" i="7"/>
  <c r="AK144" i="7"/>
  <c r="AK164" i="7"/>
  <c r="AK134" i="7"/>
  <c r="AK138" i="7"/>
  <c r="AK145" i="7"/>
  <c r="AK147" i="7"/>
  <c r="AK33" i="7"/>
  <c r="AK137" i="7"/>
  <c r="AK32" i="7"/>
  <c r="AK37" i="7"/>
  <c r="AK135" i="7"/>
  <c r="AK34" i="7"/>
  <c r="AK136" i="7"/>
  <c r="AK167" i="7"/>
  <c r="AK146" i="7"/>
  <c r="AK139" i="7"/>
  <c r="AK15" i="7"/>
  <c r="AK16" i="7"/>
  <c r="AK13" i="7"/>
  <c r="AK14" i="7"/>
  <c r="AK12" i="7"/>
  <c r="AK11" i="7"/>
  <c r="AK10" i="7"/>
  <c r="AE224" i="3"/>
  <c r="AE226" i="3" s="1"/>
  <c r="AE227" i="3" s="1"/>
  <c r="AI141" i="7"/>
  <c r="AG123" i="4" s="1"/>
  <c r="AG90" i="4" s="1"/>
  <c r="AE214" i="3"/>
  <c r="AE216" i="3" s="1"/>
  <c r="AE217" i="3" s="1"/>
  <c r="AE203" i="3"/>
  <c r="AE205" i="3" s="1"/>
  <c r="AE206" i="3" s="1"/>
  <c r="AE193" i="3"/>
  <c r="AE195" i="3" s="1"/>
  <c r="AE196" i="3" s="1"/>
  <c r="AI149" i="7"/>
  <c r="AG139" i="4" s="1"/>
  <c r="AG106" i="4" s="1"/>
  <c r="AI140" i="7"/>
  <c r="AH129" i="4"/>
  <c r="AH145" i="4"/>
  <c r="AH147" i="4" s="1"/>
  <c r="AE92" i="4"/>
  <c r="AE95" i="4" s="1"/>
  <c r="AE98" i="4" s="1"/>
  <c r="AE85" i="4"/>
  <c r="AE91" i="4" s="1"/>
  <c r="AE94" i="4" s="1"/>
  <c r="AF107" i="4"/>
  <c r="AF110" i="4" s="1"/>
  <c r="AE118" i="4"/>
  <c r="AE124" i="4" s="1"/>
  <c r="AE127" i="4" s="1"/>
  <c r="AE125" i="4"/>
  <c r="AE128" i="4" s="1"/>
  <c r="AE131" i="4" s="1"/>
  <c r="AF120" i="4"/>
  <c r="AF87" i="4"/>
  <c r="AI109" i="4"/>
  <c r="AI104" i="4"/>
  <c r="AI89" i="4"/>
  <c r="AI93" i="4"/>
  <c r="AI103" i="4"/>
  <c r="AI105" i="4"/>
  <c r="AF121" i="4"/>
  <c r="AF88" i="4" s="1"/>
  <c r="AB42" i="4"/>
  <c r="AB45" i="4" s="1"/>
  <c r="AB47" i="4" s="1"/>
  <c r="AI148" i="7"/>
  <c r="AG102" i="4"/>
  <c r="AG101" i="4" s="1"/>
  <c r="AG135" i="4"/>
  <c r="AG134" i="4" s="1"/>
  <c r="AI17" i="7"/>
  <c r="AC41" i="4" s="1"/>
  <c r="AF200" i="3"/>
  <c r="AF221" i="3"/>
  <c r="AI38" i="7"/>
  <c r="AH23" i="3"/>
  <c r="AH213" i="3" s="1"/>
  <c r="AH48" i="3"/>
  <c r="AH210" i="3" s="1"/>
  <c r="AG144" i="3"/>
  <c r="AL5" i="7"/>
  <c r="AG129" i="3"/>
  <c r="AG211" i="3" s="1"/>
  <c r="AG201" i="3"/>
  <c r="AE113" i="4"/>
  <c r="AG119" i="4"/>
  <c r="AG86" i="4"/>
  <c r="AI36" i="3"/>
  <c r="AI202" i="3" s="1"/>
  <c r="AI60" i="3"/>
  <c r="AH194" i="3"/>
  <c r="AH130" i="3"/>
  <c r="AH190" i="3" s="1"/>
  <c r="AH145" i="3"/>
  <c r="AM4" i="7"/>
  <c r="AH204" i="3"/>
  <c r="AH225" i="3"/>
  <c r="AI223" i="3"/>
  <c r="AH108" i="4"/>
  <c r="AH111" i="4" s="1"/>
  <c r="AH114" i="4" s="1"/>
  <c r="AF212" i="3"/>
  <c r="AF191" i="3"/>
  <c r="AD97" i="4"/>
  <c r="AF140" i="4"/>
  <c r="AF143" i="4" s="1"/>
  <c r="AE130" i="4" l="1"/>
  <c r="AA71" i="4" a="1"/>
  <c r="AA71" i="4" s="1"/>
  <c r="AF146" i="4"/>
  <c r="AB72" i="4" a="1"/>
  <c r="AB72" i="4" s="1"/>
  <c r="AL134" i="7"/>
  <c r="AL139" i="7"/>
  <c r="AL137" i="7"/>
  <c r="AL35" i="7"/>
  <c r="AL144" i="7"/>
  <c r="AL167" i="7"/>
  <c r="AL145" i="7"/>
  <c r="AL135" i="7"/>
  <c r="AL147" i="7"/>
  <c r="AL32" i="7"/>
  <c r="AL36" i="7"/>
  <c r="AL37" i="7"/>
  <c r="AL136" i="7"/>
  <c r="AL34" i="7"/>
  <c r="AL146" i="7"/>
  <c r="AL138" i="7"/>
  <c r="AL33" i="7"/>
  <c r="AL164" i="7"/>
  <c r="AL10" i="7"/>
  <c r="AL14" i="7"/>
  <c r="AL15" i="7"/>
  <c r="AL16" i="7"/>
  <c r="AL11" i="7"/>
  <c r="AL13" i="7"/>
  <c r="AL12" i="7"/>
  <c r="AF224" i="3"/>
  <c r="AF226" i="3" s="1"/>
  <c r="AF227" i="3" s="1"/>
  <c r="AF214" i="3"/>
  <c r="AF216" i="3" s="1"/>
  <c r="AF217" i="3" s="1"/>
  <c r="AF193" i="3"/>
  <c r="AF195" i="3" s="1"/>
  <c r="AF196" i="3" s="1"/>
  <c r="AF203" i="3"/>
  <c r="AF205" i="3" s="1"/>
  <c r="AF206" i="3" s="1"/>
  <c r="AG140" i="4"/>
  <c r="AG143" i="4" s="1"/>
  <c r="AG107" i="4"/>
  <c r="AG110" i="4" s="1"/>
  <c r="AJ141" i="7"/>
  <c r="AH123" i="4" s="1"/>
  <c r="AH90" i="4" s="1"/>
  <c r="AJ148" i="7"/>
  <c r="AJ17" i="7"/>
  <c r="AD41" i="4" s="1"/>
  <c r="AG121" i="4"/>
  <c r="AG88" i="4" s="1"/>
  <c r="AC42" i="4"/>
  <c r="AC45" i="4" s="1"/>
  <c r="AC47" i="4" s="1"/>
  <c r="AF125" i="4"/>
  <c r="AF128" i="4" s="1"/>
  <c r="AF131" i="4" s="1"/>
  <c r="AF118" i="4"/>
  <c r="AF124" i="4" s="1"/>
  <c r="AF127" i="4" s="1"/>
  <c r="AH119" i="4"/>
  <c r="AJ140" i="7"/>
  <c r="AH86" i="4"/>
  <c r="AJ60" i="3"/>
  <c r="AJ36" i="3"/>
  <c r="AJ202" i="3" s="1"/>
  <c r="AN4" i="7"/>
  <c r="AI145" i="3"/>
  <c r="AI130" i="3"/>
  <c r="AI190" i="3" s="1"/>
  <c r="AI225" i="3"/>
  <c r="AJ223" i="3"/>
  <c r="AI194" i="3"/>
  <c r="AI204" i="3"/>
  <c r="AG191" i="3"/>
  <c r="AG212" i="3"/>
  <c r="AI108" i="4"/>
  <c r="AI111" i="4" s="1"/>
  <c r="AI114" i="4" s="1"/>
  <c r="AH135" i="4"/>
  <c r="AH134" i="4" s="1"/>
  <c r="AH102" i="4"/>
  <c r="AH101" i="4" s="1"/>
  <c r="AI23" i="3"/>
  <c r="AI213" i="3" s="1"/>
  <c r="AI48" i="3"/>
  <c r="AI210" i="3" s="1"/>
  <c r="AM5" i="7"/>
  <c r="AH201" i="3"/>
  <c r="AH129" i="3"/>
  <c r="AH211" i="3" s="1"/>
  <c r="AH144" i="3"/>
  <c r="AG120" i="4"/>
  <c r="AG87" i="4"/>
  <c r="AF113" i="4"/>
  <c r="AI145" i="4"/>
  <c r="AI147" i="4" s="1"/>
  <c r="AI129" i="4"/>
  <c r="AE97" i="4"/>
  <c r="AJ38" i="7"/>
  <c r="AG200" i="3"/>
  <c r="AG221" i="3"/>
  <c r="AJ104" i="4"/>
  <c r="AJ105" i="4"/>
  <c r="AJ89" i="4"/>
  <c r="AJ109" i="4"/>
  <c r="AJ103" i="4"/>
  <c r="AJ93" i="4"/>
  <c r="AF92" i="4"/>
  <c r="AF95" i="4" s="1"/>
  <c r="AF98" i="4" s="1"/>
  <c r="AF85" i="4"/>
  <c r="AF91" i="4" s="1"/>
  <c r="AF94" i="4" s="1"/>
  <c r="AJ149" i="7"/>
  <c r="AH139" i="4" s="1"/>
  <c r="AH106" i="4" s="1"/>
  <c r="AF130" i="4" l="1"/>
  <c r="AB71" i="4" a="1"/>
  <c r="AB71" i="4" s="1"/>
  <c r="AG146" i="4"/>
  <c r="AC72" i="4" a="1"/>
  <c r="AC72" i="4" s="1"/>
  <c r="AM146" i="7"/>
  <c r="AM134" i="7"/>
  <c r="AM139" i="7"/>
  <c r="AM164" i="7"/>
  <c r="AM137" i="7"/>
  <c r="AM33" i="7"/>
  <c r="AM167" i="7"/>
  <c r="AM34" i="7"/>
  <c r="AM144" i="7"/>
  <c r="AM35" i="7"/>
  <c r="AM135" i="7"/>
  <c r="AM147" i="7"/>
  <c r="AM138" i="7"/>
  <c r="AM32" i="7"/>
  <c r="AM145" i="7"/>
  <c r="AM36" i="7"/>
  <c r="AM136" i="7"/>
  <c r="AM37" i="7"/>
  <c r="AM14" i="7"/>
  <c r="AM13" i="7"/>
  <c r="AM10" i="7"/>
  <c r="AM12" i="7"/>
  <c r="AM11" i="7"/>
  <c r="AM15" i="7"/>
  <c r="AM16" i="7"/>
  <c r="AG224" i="3"/>
  <c r="AG226" i="3" s="1"/>
  <c r="AG227" i="3" s="1"/>
  <c r="AG214" i="3"/>
  <c r="AG216" i="3" s="1"/>
  <c r="AG217" i="3" s="1"/>
  <c r="AG113" i="4"/>
  <c r="AG193" i="3"/>
  <c r="AG195" i="3" s="1"/>
  <c r="AG196" i="3" s="1"/>
  <c r="AG203" i="3"/>
  <c r="AG205" i="3" s="1"/>
  <c r="AG206" i="3" s="1"/>
  <c r="AJ108" i="4"/>
  <c r="AJ111" i="4" s="1"/>
  <c r="AJ114" i="4" s="1"/>
  <c r="AK141" i="7"/>
  <c r="AI123" i="4" s="1"/>
  <c r="AI90" i="4" s="1"/>
  <c r="AH87" i="4"/>
  <c r="AH85" i="4" s="1"/>
  <c r="AH120" i="4"/>
  <c r="AH118" i="4" s="1"/>
  <c r="AD42" i="4"/>
  <c r="AD45" i="4" s="1"/>
  <c r="AD47" i="4" s="1"/>
  <c r="AH121" i="4"/>
  <c r="AG125" i="4"/>
  <c r="AG128" i="4" s="1"/>
  <c r="AG131" i="4" s="1"/>
  <c r="AG118" i="4"/>
  <c r="AG124" i="4" s="1"/>
  <c r="AG127" i="4" s="1"/>
  <c r="AH107" i="4"/>
  <c r="AH110" i="4" s="1"/>
  <c r="AK140" i="7"/>
  <c r="AH221" i="3"/>
  <c r="AH200" i="3"/>
  <c r="AH140" i="4"/>
  <c r="AH143" i="4" s="1"/>
  <c r="AK17" i="7"/>
  <c r="AE41" i="4" s="1"/>
  <c r="AK149" i="7"/>
  <c r="AI139" i="4" s="1"/>
  <c r="AI106" i="4" s="1"/>
  <c r="AK60" i="3"/>
  <c r="AK36" i="3"/>
  <c r="AK202" i="3" s="1"/>
  <c r="AJ225" i="3"/>
  <c r="AK223" i="3"/>
  <c r="AJ194" i="3"/>
  <c r="AJ130" i="3"/>
  <c r="AJ190" i="3" s="1"/>
  <c r="AJ204" i="3"/>
  <c r="AJ145" i="3"/>
  <c r="AO4" i="7"/>
  <c r="AK148" i="7"/>
  <c r="AI102" i="4"/>
  <c r="AI101" i="4" s="1"/>
  <c r="AI135" i="4"/>
  <c r="AI134" i="4" s="1"/>
  <c r="AH191" i="3"/>
  <c r="AH212" i="3"/>
  <c r="AK103" i="4"/>
  <c r="AK105" i="4"/>
  <c r="AK89" i="4"/>
  <c r="AK93" i="4"/>
  <c r="AK109" i="4"/>
  <c r="AK104" i="4"/>
  <c r="AF97" i="4"/>
  <c r="AI119" i="4"/>
  <c r="AI86" i="4"/>
  <c r="AJ145" i="4"/>
  <c r="AJ147" i="4" s="1"/>
  <c r="AK38" i="7"/>
  <c r="AG85" i="4"/>
  <c r="AG91" i="4" s="1"/>
  <c r="AG94" i="4" s="1"/>
  <c r="AG92" i="4"/>
  <c r="AG95" i="4" s="1"/>
  <c r="AG98" i="4" s="1"/>
  <c r="AJ23" i="3"/>
  <c r="AJ213" i="3" s="1"/>
  <c r="AJ48" i="3"/>
  <c r="AJ210" i="3" s="1"/>
  <c r="AI129" i="3"/>
  <c r="AI211" i="3" s="1"/>
  <c r="AI144" i="3"/>
  <c r="AN5" i="7"/>
  <c r="AI201" i="3"/>
  <c r="AG130" i="4" l="1"/>
  <c r="AC71" i="4" a="1"/>
  <c r="AC71" i="4" s="1"/>
  <c r="AH146" i="4"/>
  <c r="AD72" i="4" a="1"/>
  <c r="AD72" i="4" s="1"/>
  <c r="AN33" i="7"/>
  <c r="AN146" i="7"/>
  <c r="AN34" i="7"/>
  <c r="AN164" i="7"/>
  <c r="AN137" i="7"/>
  <c r="AN167" i="7"/>
  <c r="AN144" i="7"/>
  <c r="AN36" i="7"/>
  <c r="AN135" i="7"/>
  <c r="AN147" i="7"/>
  <c r="AN145" i="7"/>
  <c r="AN138" i="7"/>
  <c r="AN134" i="7"/>
  <c r="AN37" i="7"/>
  <c r="AN136" i="7"/>
  <c r="AN139" i="7"/>
  <c r="AN32" i="7"/>
  <c r="AN35" i="7"/>
  <c r="AN13" i="7"/>
  <c r="AN16" i="7"/>
  <c r="AN15" i="7"/>
  <c r="AN11" i="7"/>
  <c r="AN12" i="7"/>
  <c r="AN10" i="7"/>
  <c r="AN14" i="7"/>
  <c r="AH224" i="3"/>
  <c r="AH226" i="3" s="1"/>
  <c r="AH227" i="3" s="1"/>
  <c r="AL149" i="7"/>
  <c r="AJ139" i="4" s="1"/>
  <c r="AJ106" i="4" s="1"/>
  <c r="AH214" i="3"/>
  <c r="AH216" i="3" s="1"/>
  <c r="AH217" i="3" s="1"/>
  <c r="AH193" i="3"/>
  <c r="AH195" i="3" s="1"/>
  <c r="AH196" i="3" s="1"/>
  <c r="AH203" i="3"/>
  <c r="AH205" i="3" s="1"/>
  <c r="AH206" i="3" s="1"/>
  <c r="AI140" i="4"/>
  <c r="AI143" i="4" s="1"/>
  <c r="AL141" i="7"/>
  <c r="AJ123" i="4" s="1"/>
  <c r="AJ90" i="4" s="1"/>
  <c r="AI107" i="4"/>
  <c r="AI110" i="4" s="1"/>
  <c r="AK108" i="4"/>
  <c r="AK111" i="4" s="1"/>
  <c r="AK114" i="4" s="1"/>
  <c r="AG97" i="4"/>
  <c r="AI212" i="3"/>
  <c r="AI191" i="3"/>
  <c r="AI121" i="4"/>
  <c r="AI88" i="4" s="1"/>
  <c r="AE42" i="4"/>
  <c r="AE45" i="4" s="1"/>
  <c r="AE47" i="4" s="1"/>
  <c r="AJ135" i="4"/>
  <c r="AJ134" i="4" s="1"/>
  <c r="AJ102" i="4"/>
  <c r="AJ101" i="4" s="1"/>
  <c r="AK48" i="3"/>
  <c r="AK210" i="3" s="1"/>
  <c r="AK23" i="3"/>
  <c r="AK213" i="3" s="1"/>
  <c r="AJ129" i="3"/>
  <c r="AJ211" i="3" s="1"/>
  <c r="AJ144" i="3"/>
  <c r="AJ201" i="3"/>
  <c r="AO5" i="7"/>
  <c r="AK145" i="4"/>
  <c r="AK147" i="4" s="1"/>
  <c r="AJ129" i="4"/>
  <c r="AL38" i="7"/>
  <c r="AL148" i="7"/>
  <c r="AL140" i="7"/>
  <c r="AI221" i="3"/>
  <c r="AI200" i="3"/>
  <c r="AL60" i="3"/>
  <c r="AL36" i="3"/>
  <c r="AL202" i="3" s="1"/>
  <c r="AK145" i="3"/>
  <c r="AK204" i="3"/>
  <c r="AP4" i="7"/>
  <c r="AL223" i="3"/>
  <c r="AK225" i="3"/>
  <c r="AK194" i="3"/>
  <c r="AK130" i="3"/>
  <c r="AK190" i="3" s="1"/>
  <c r="AH113" i="4"/>
  <c r="AJ119" i="4"/>
  <c r="AJ86" i="4"/>
  <c r="AL89" i="4"/>
  <c r="AL109" i="4"/>
  <c r="AL105" i="4"/>
  <c r="AL104" i="4"/>
  <c r="AL93" i="4"/>
  <c r="AL103" i="4"/>
  <c r="AL17" i="7"/>
  <c r="AF41" i="4" s="1"/>
  <c r="AI87" i="4"/>
  <c r="AI120" i="4"/>
  <c r="AH88" i="4"/>
  <c r="AH124" i="4"/>
  <c r="AH127" i="4" s="1"/>
  <c r="AH125" i="4"/>
  <c r="AH128" i="4" s="1"/>
  <c r="AH131" i="4" s="1"/>
  <c r="AI146" i="4" l="1"/>
  <c r="AE72" i="4" a="1"/>
  <c r="AE72" i="4" s="1"/>
  <c r="AH130" i="4"/>
  <c r="AD71" i="4" a="1"/>
  <c r="AD71" i="4" s="1"/>
  <c r="AO145" i="7"/>
  <c r="AO138" i="7"/>
  <c r="AO33" i="7"/>
  <c r="AO167" i="7"/>
  <c r="AO164" i="7"/>
  <c r="AO137" i="7"/>
  <c r="AO34" i="7"/>
  <c r="AO135" i="7"/>
  <c r="AO35" i="7"/>
  <c r="AO147" i="7"/>
  <c r="AO144" i="7"/>
  <c r="AO36" i="7"/>
  <c r="AO37" i="7"/>
  <c r="AO146" i="7"/>
  <c r="AO134" i="7"/>
  <c r="AO32" i="7"/>
  <c r="AO136" i="7"/>
  <c r="AO139" i="7"/>
  <c r="AO10" i="7"/>
  <c r="AO16" i="7"/>
  <c r="AO13" i="7"/>
  <c r="AO14" i="7"/>
  <c r="AO11" i="7"/>
  <c r="AO12" i="7"/>
  <c r="AO15" i="7"/>
  <c r="AJ107" i="4"/>
  <c r="AJ110" i="4" s="1"/>
  <c r="AJ113" i="4" s="1"/>
  <c r="AJ140" i="4"/>
  <c r="AJ143" i="4" s="1"/>
  <c r="AI224" i="3"/>
  <c r="AI226" i="3" s="1"/>
  <c r="AI227" i="3" s="1"/>
  <c r="AI214" i="3"/>
  <c r="AI216" i="3" s="1"/>
  <c r="AI217" i="3" s="1"/>
  <c r="AI193" i="3"/>
  <c r="AI195" i="3" s="1"/>
  <c r="AI196" i="3" s="1"/>
  <c r="AM148" i="7"/>
  <c r="AI203" i="3"/>
  <c r="AI205" i="3" s="1"/>
  <c r="AI206" i="3" s="1"/>
  <c r="AM141" i="7"/>
  <c r="AK123" i="4" s="1"/>
  <c r="AK90" i="4" s="1"/>
  <c r="AI113" i="4"/>
  <c r="AL108" i="4"/>
  <c r="AL111" i="4" s="1"/>
  <c r="AL114" i="4" s="1"/>
  <c r="AM60" i="3"/>
  <c r="AM36" i="3"/>
  <c r="AM202" i="3" s="1"/>
  <c r="AL130" i="3"/>
  <c r="AL190" i="3" s="1"/>
  <c r="AL145" i="3"/>
  <c r="AL194" i="3"/>
  <c r="AQ4" i="7"/>
  <c r="AM223" i="3"/>
  <c r="AL225" i="3"/>
  <c r="AL204" i="3"/>
  <c r="AM38" i="7"/>
  <c r="AM149" i="7"/>
  <c r="AK139" i="4" s="1"/>
  <c r="AK106" i="4" s="1"/>
  <c r="AK129" i="4"/>
  <c r="AL145" i="4"/>
  <c r="AL147" i="4" s="1"/>
  <c r="AH92" i="4"/>
  <c r="AH95" i="4" s="1"/>
  <c r="AH98" i="4" s="1"/>
  <c r="AH91" i="4"/>
  <c r="AH94" i="4" s="1"/>
  <c r="AI125" i="4"/>
  <c r="AI128" i="4" s="1"/>
  <c r="AI131" i="4" s="1"/>
  <c r="AI118" i="4"/>
  <c r="AI124" i="4" s="1"/>
  <c r="AI127" i="4" s="1"/>
  <c r="AM17" i="7"/>
  <c r="AG41" i="4" s="1"/>
  <c r="AK102" i="4"/>
  <c r="AK101" i="4" s="1"/>
  <c r="AK135" i="4"/>
  <c r="AK134" i="4" s="1"/>
  <c r="AJ212" i="3"/>
  <c r="AJ191" i="3"/>
  <c r="AI85" i="4"/>
  <c r="AI91" i="4" s="1"/>
  <c r="AI94" i="4" s="1"/>
  <c r="AI92" i="4"/>
  <c r="AI95" i="4" s="1"/>
  <c r="AI98" i="4" s="1"/>
  <c r="AL48" i="3"/>
  <c r="AL210" i="3" s="1"/>
  <c r="AL23" i="3"/>
  <c r="AL213" i="3" s="1"/>
  <c r="AP5" i="7"/>
  <c r="AK144" i="3"/>
  <c r="AK129" i="3"/>
  <c r="AK211" i="3" s="1"/>
  <c r="AK201" i="3"/>
  <c r="AM140" i="7"/>
  <c r="AJ221" i="3"/>
  <c r="AJ200" i="3"/>
  <c r="AJ87" i="4"/>
  <c r="AJ120" i="4"/>
  <c r="AM105" i="4"/>
  <c r="AM104" i="4"/>
  <c r="AM109" i="4"/>
  <c r="AM103" i="4"/>
  <c r="AM89" i="4"/>
  <c r="AM93" i="4"/>
  <c r="AF42" i="4"/>
  <c r="AF45" i="4" s="1"/>
  <c r="AF47" i="4" s="1"/>
  <c r="AJ121" i="4"/>
  <c r="AJ88" i="4" s="1"/>
  <c r="AK119" i="4"/>
  <c r="AK86" i="4"/>
  <c r="AJ146" i="4" l="1"/>
  <c r="AF72" i="4" a="1"/>
  <c r="AF72" i="4" s="1"/>
  <c r="AI130" i="4"/>
  <c r="AE71" i="4" a="1"/>
  <c r="AE71" i="4" s="1"/>
  <c r="AP135" i="7"/>
  <c r="AP37" i="7"/>
  <c r="AP145" i="7"/>
  <c r="AP34" i="7"/>
  <c r="AP35" i="7"/>
  <c r="AP36" i="7"/>
  <c r="AP164" i="7"/>
  <c r="AP137" i="7"/>
  <c r="AP146" i="7"/>
  <c r="AP138" i="7"/>
  <c r="AP139" i="7"/>
  <c r="AP144" i="7"/>
  <c r="AP147" i="7"/>
  <c r="AP32" i="7"/>
  <c r="AP167" i="7"/>
  <c r="AP136" i="7"/>
  <c r="AP33" i="7"/>
  <c r="AP134" i="7"/>
  <c r="AP13" i="7"/>
  <c r="AP12" i="7"/>
  <c r="AP10" i="7"/>
  <c r="AP16" i="7"/>
  <c r="AP15" i="7"/>
  <c r="AP14" i="7"/>
  <c r="AP11" i="7"/>
  <c r="AJ224" i="3"/>
  <c r="AJ226" i="3" s="1"/>
  <c r="AJ227" i="3" s="1"/>
  <c r="AJ214" i="3"/>
  <c r="AJ216" i="3" s="1"/>
  <c r="AJ217" i="3" s="1"/>
  <c r="AJ203" i="3"/>
  <c r="AJ205" i="3" s="1"/>
  <c r="AJ206" i="3" s="1"/>
  <c r="AJ193" i="3"/>
  <c r="AJ195" i="3" s="1"/>
  <c r="AJ196" i="3" s="1"/>
  <c r="AK107" i="4"/>
  <c r="AK110" i="4" s="1"/>
  <c r="AK113" i="4" s="1"/>
  <c r="AK140" i="4"/>
  <c r="AK143" i="4" s="1"/>
  <c r="AN140" i="7"/>
  <c r="AN149" i="7"/>
  <c r="AL139" i="4" s="1"/>
  <c r="AL106" i="4" s="1"/>
  <c r="AI97" i="4"/>
  <c r="AN36" i="3"/>
  <c r="AN202" i="3" s="1"/>
  <c r="AN60" i="3"/>
  <c r="AR4" i="7"/>
  <c r="AN223" i="3"/>
  <c r="AM145" i="3"/>
  <c r="AM225" i="3"/>
  <c r="AM194" i="3"/>
  <c r="AM130" i="3"/>
  <c r="AM190" i="3" s="1"/>
  <c r="AM204" i="3"/>
  <c r="AK191" i="3"/>
  <c r="AK212" i="3"/>
  <c r="AN38" i="7"/>
  <c r="AM48" i="3"/>
  <c r="AM210" i="3" s="1"/>
  <c r="AM23" i="3"/>
  <c r="AM213" i="3" s="1"/>
  <c r="AL201" i="3"/>
  <c r="AL129" i="3"/>
  <c r="AL211" i="3" s="1"/>
  <c r="AL144" i="3"/>
  <c r="AQ5" i="7"/>
  <c r="AH97" i="4"/>
  <c r="AJ118" i="4"/>
  <c r="AJ124" i="4" s="1"/>
  <c r="AJ127" i="4" s="1"/>
  <c r="AJ125" i="4"/>
  <c r="AJ128" i="4" s="1"/>
  <c r="AJ131" i="4" s="1"/>
  <c r="AL135" i="4"/>
  <c r="AL134" i="4" s="1"/>
  <c r="AL102" i="4"/>
  <c r="AL101" i="4" s="1"/>
  <c r="AN148" i="7"/>
  <c r="AN93" i="4"/>
  <c r="AN104" i="4"/>
  <c r="AN103" i="4"/>
  <c r="AN105" i="4"/>
  <c r="AN109" i="4"/>
  <c r="AN89" i="4"/>
  <c r="AJ85" i="4"/>
  <c r="AJ91" i="4" s="1"/>
  <c r="AJ94" i="4" s="1"/>
  <c r="AJ92" i="4"/>
  <c r="AJ95" i="4" s="1"/>
  <c r="AJ98" i="4" s="1"/>
  <c r="AK200" i="3"/>
  <c r="AK221" i="3"/>
  <c r="AL119" i="4"/>
  <c r="AL86" i="4"/>
  <c r="AL129" i="4"/>
  <c r="AM145" i="4"/>
  <c r="AM147" i="4" s="1"/>
  <c r="AN17" i="7"/>
  <c r="AH41" i="4" s="1"/>
  <c r="AG42" i="4"/>
  <c r="AG45" i="4" s="1"/>
  <c r="AG47" i="4" s="1"/>
  <c r="AK121" i="4"/>
  <c r="AK88" i="4" s="1"/>
  <c r="AM108" i="4"/>
  <c r="AM111" i="4" s="1"/>
  <c r="AM114" i="4" s="1"/>
  <c r="AK87" i="4"/>
  <c r="AK85" i="4" s="1"/>
  <c r="AK120" i="4"/>
  <c r="AN141" i="7"/>
  <c r="AL123" i="4" s="1"/>
  <c r="AL90" i="4" s="1"/>
  <c r="AJ130" i="4" l="1"/>
  <c r="AF71" i="4" a="1"/>
  <c r="AF71" i="4" s="1"/>
  <c r="AK146" i="4"/>
  <c r="AG72" i="4" a="1"/>
  <c r="AG72" i="4" s="1"/>
  <c r="AQ147" i="7"/>
  <c r="AQ135" i="7"/>
  <c r="AQ32" i="7"/>
  <c r="AQ37" i="7"/>
  <c r="AQ136" i="7"/>
  <c r="AQ134" i="7"/>
  <c r="AQ146" i="7"/>
  <c r="AQ138" i="7"/>
  <c r="AQ139" i="7"/>
  <c r="AQ144" i="7"/>
  <c r="AQ137" i="7"/>
  <c r="AQ34" i="7"/>
  <c r="AQ145" i="7"/>
  <c r="AQ35" i="7"/>
  <c r="AQ36" i="7"/>
  <c r="AQ167" i="7"/>
  <c r="AQ164" i="7"/>
  <c r="AQ33" i="7"/>
  <c r="AQ10" i="7"/>
  <c r="AQ16" i="7"/>
  <c r="AQ15" i="7"/>
  <c r="AQ12" i="7"/>
  <c r="AQ14" i="7"/>
  <c r="AQ13" i="7"/>
  <c r="AQ11" i="7"/>
  <c r="AK224" i="3"/>
  <c r="AK226" i="3" s="1"/>
  <c r="AK227" i="3" s="1"/>
  <c r="AL107" i="4"/>
  <c r="AL110" i="4" s="1"/>
  <c r="AL113" i="4" s="1"/>
  <c r="AL140" i="4"/>
  <c r="AL143" i="4" s="1"/>
  <c r="AK214" i="3"/>
  <c r="AK216" i="3" s="1"/>
  <c r="AK217" i="3" s="1"/>
  <c r="AK203" i="3"/>
  <c r="AK205" i="3" s="1"/>
  <c r="AK206" i="3" s="1"/>
  <c r="AK193" i="3"/>
  <c r="AK195" i="3" s="1"/>
  <c r="AK196" i="3" s="1"/>
  <c r="AK92" i="4"/>
  <c r="AK95" i="4" s="1"/>
  <c r="AK98" i="4" s="1"/>
  <c r="AO149" i="7"/>
  <c r="AM139" i="4" s="1"/>
  <c r="AM106" i="4" s="1"/>
  <c r="AO141" i="7"/>
  <c r="AM123" i="4" s="1"/>
  <c r="AM90" i="4" s="1"/>
  <c r="AO148" i="7"/>
  <c r="AN108" i="4"/>
  <c r="AN111" i="4" s="1"/>
  <c r="AN114" i="4" s="1"/>
  <c r="AO17" i="7"/>
  <c r="AI41" i="4" s="1"/>
  <c r="AH42" i="4"/>
  <c r="AH45" i="4" s="1"/>
  <c r="AH47" i="4" s="1"/>
  <c r="AL121" i="4"/>
  <c r="AL88" i="4" s="1"/>
  <c r="AO38" i="7"/>
  <c r="AM129" i="4"/>
  <c r="AN145" i="4"/>
  <c r="AN147" i="4" s="1"/>
  <c r="AN48" i="3"/>
  <c r="AN210" i="3" s="1"/>
  <c r="AN23" i="3"/>
  <c r="AN213" i="3" s="1"/>
  <c r="AM201" i="3"/>
  <c r="AM144" i="3"/>
  <c r="AR5" i="7"/>
  <c r="AM129" i="3"/>
  <c r="AM211" i="3" s="1"/>
  <c r="AL200" i="3"/>
  <c r="AL221" i="3"/>
  <c r="AO103" i="4"/>
  <c r="AO105" i="4"/>
  <c r="AO89" i="4"/>
  <c r="AO104" i="4"/>
  <c r="AO109" i="4"/>
  <c r="AO93" i="4"/>
  <c r="AL87" i="4"/>
  <c r="AL85" i="4" s="1"/>
  <c r="AL120" i="4"/>
  <c r="AM135" i="4"/>
  <c r="AM134" i="4" s="1"/>
  <c r="AM102" i="4"/>
  <c r="AM101" i="4" s="1"/>
  <c r="AJ97" i="4"/>
  <c r="AL212" i="3"/>
  <c r="AL191" i="3"/>
  <c r="AK118" i="4"/>
  <c r="AK124" i="4" s="1"/>
  <c r="AK127" i="4" s="1"/>
  <c r="AK125" i="4"/>
  <c r="AK128" i="4" s="1"/>
  <c r="AK131" i="4" s="1"/>
  <c r="AK91" i="4"/>
  <c r="AK94" i="4" s="1"/>
  <c r="AM86" i="4"/>
  <c r="AO140" i="7"/>
  <c r="AM119" i="4"/>
  <c r="AO36" i="3"/>
  <c r="AO202" i="3" s="1"/>
  <c r="AO60" i="3"/>
  <c r="AN204" i="3"/>
  <c r="AO223" i="3"/>
  <c r="AN194" i="3"/>
  <c r="AS4" i="7"/>
  <c r="AN145" i="3"/>
  <c r="AN225" i="3"/>
  <c r="AN130" i="3"/>
  <c r="AN190" i="3" s="1"/>
  <c r="AL146" i="4" l="1"/>
  <c r="AH72" i="4" a="1"/>
  <c r="AH72" i="4" s="1"/>
  <c r="AK130" i="4"/>
  <c r="AG71" i="4" a="1"/>
  <c r="AG71" i="4" s="1"/>
  <c r="AR167" i="7"/>
  <c r="AR147" i="7"/>
  <c r="AR134" i="7"/>
  <c r="AR139" i="7"/>
  <c r="AR136" i="7"/>
  <c r="AR144" i="7"/>
  <c r="AR145" i="7"/>
  <c r="AR32" i="7"/>
  <c r="AR137" i="7"/>
  <c r="AR135" i="7"/>
  <c r="AR138" i="7"/>
  <c r="AR34" i="7"/>
  <c r="AR146" i="7"/>
  <c r="AR35" i="7"/>
  <c r="AR36" i="7"/>
  <c r="AR37" i="7"/>
  <c r="AR164" i="7"/>
  <c r="AR33" i="7"/>
  <c r="AR12" i="7"/>
  <c r="AR11" i="7"/>
  <c r="AR15" i="7"/>
  <c r="AR13" i="7"/>
  <c r="AR14" i="7"/>
  <c r="AR10" i="7"/>
  <c r="AR16" i="7"/>
  <c r="AM107" i="4"/>
  <c r="AM110" i="4" s="1"/>
  <c r="AM113" i="4" s="1"/>
  <c r="AL224" i="3"/>
  <c r="AL226" i="3" s="1"/>
  <c r="AL227" i="3" s="1"/>
  <c r="AM140" i="4"/>
  <c r="AM143" i="4" s="1"/>
  <c r="AL214" i="3"/>
  <c r="AL216" i="3" s="1"/>
  <c r="AL217" i="3" s="1"/>
  <c r="AL203" i="3"/>
  <c r="AL205" i="3" s="1"/>
  <c r="AL206" i="3" s="1"/>
  <c r="AL193" i="3"/>
  <c r="AL195" i="3" s="1"/>
  <c r="AL196" i="3" s="1"/>
  <c r="AP149" i="7"/>
  <c r="AN139" i="4" s="1"/>
  <c r="AN106" i="4" s="1"/>
  <c r="AL91" i="4"/>
  <c r="AL94" i="4" s="1"/>
  <c r="AP140" i="7"/>
  <c r="AO23" i="3"/>
  <c r="AO213" i="3" s="1"/>
  <c r="AO48" i="3"/>
  <c r="AO210" i="3" s="1"/>
  <c r="AN201" i="3"/>
  <c r="AS5" i="7"/>
  <c r="AN144" i="3"/>
  <c r="AN129" i="3"/>
  <c r="AN211" i="3" s="1"/>
  <c r="AL125" i="4"/>
  <c r="AL128" i="4" s="1"/>
  <c r="AL131" i="4" s="1"/>
  <c r="AL118" i="4"/>
  <c r="AL124" i="4" s="1"/>
  <c r="AL127" i="4" s="1"/>
  <c r="AO108" i="4"/>
  <c r="AO111" i="4" s="1"/>
  <c r="AO114" i="4" s="1"/>
  <c r="AP141" i="7"/>
  <c r="AN123" i="4" s="1"/>
  <c r="AN90" i="4" s="1"/>
  <c r="AP36" i="3"/>
  <c r="AP202" i="3" s="1"/>
  <c r="AP60" i="3"/>
  <c r="AO194" i="3"/>
  <c r="AO204" i="3"/>
  <c r="AP223" i="3"/>
  <c r="AO225" i="3"/>
  <c r="AT4" i="7"/>
  <c r="AO145" i="3"/>
  <c r="AO130" i="3"/>
  <c r="AO190" i="3" s="1"/>
  <c r="AN86" i="4"/>
  <c r="AN119" i="4"/>
  <c r="AN129" i="4"/>
  <c r="AO145" i="4"/>
  <c r="AO147" i="4" s="1"/>
  <c r="AM121" i="4"/>
  <c r="AM88" i="4" s="1"/>
  <c r="AI42" i="4"/>
  <c r="AI45" i="4" s="1"/>
  <c r="AI47" i="4" s="1"/>
  <c r="AM212" i="3"/>
  <c r="AM191" i="3"/>
  <c r="AL92" i="4"/>
  <c r="AL95" i="4" s="1"/>
  <c r="AL98" i="4" s="1"/>
  <c r="AP103" i="4"/>
  <c r="AP105" i="4"/>
  <c r="AP93" i="4"/>
  <c r="AP109" i="4"/>
  <c r="AP89" i="4"/>
  <c r="AP104" i="4"/>
  <c r="AM200" i="3"/>
  <c r="AM221" i="3"/>
  <c r="AP17" i="7"/>
  <c r="AJ41" i="4" s="1"/>
  <c r="AK97" i="4"/>
  <c r="AN102" i="4"/>
  <c r="AN101" i="4" s="1"/>
  <c r="AN135" i="4"/>
  <c r="AN134" i="4" s="1"/>
  <c r="AP148" i="7"/>
  <c r="AP38" i="7"/>
  <c r="AM87" i="4"/>
  <c r="AM120" i="4"/>
  <c r="AM146" i="4" l="1"/>
  <c r="AI72" i="4" a="1"/>
  <c r="AI72" i="4" s="1"/>
  <c r="AL130" i="4"/>
  <c r="AH71" i="4" a="1"/>
  <c r="AH71" i="4" s="1"/>
  <c r="AS136" i="7"/>
  <c r="AS35" i="7"/>
  <c r="AS167" i="7"/>
  <c r="AS36" i="7"/>
  <c r="AS146" i="7"/>
  <c r="AS37" i="7"/>
  <c r="AS144" i="7"/>
  <c r="AS145" i="7"/>
  <c r="AS134" i="7"/>
  <c r="AS164" i="7"/>
  <c r="AS33" i="7"/>
  <c r="AS34" i="7"/>
  <c r="AS137" i="7"/>
  <c r="AS147" i="7"/>
  <c r="AS139" i="7"/>
  <c r="AS135" i="7"/>
  <c r="AS32" i="7"/>
  <c r="AS138" i="7"/>
  <c r="AS12" i="7"/>
  <c r="AS16" i="7"/>
  <c r="AS11" i="7"/>
  <c r="AS10" i="7"/>
  <c r="AS14" i="7"/>
  <c r="AS15" i="7"/>
  <c r="AS13" i="7"/>
  <c r="AL97" i="4"/>
  <c r="AM224" i="3"/>
  <c r="AM226" i="3" s="1"/>
  <c r="AM227" i="3" s="1"/>
  <c r="AM214" i="3"/>
  <c r="AM216" i="3" s="1"/>
  <c r="AM217" i="3" s="1"/>
  <c r="AN107" i="4"/>
  <c r="AN110" i="4" s="1"/>
  <c r="AN113" i="4" s="1"/>
  <c r="AM193" i="3"/>
  <c r="AM195" i="3" s="1"/>
  <c r="AM196" i="3" s="1"/>
  <c r="AM203" i="3"/>
  <c r="AM205" i="3" s="1"/>
  <c r="AM206" i="3" s="1"/>
  <c r="AN140" i="4"/>
  <c r="AN143" i="4" s="1"/>
  <c r="AQ141" i="7"/>
  <c r="AO123" i="4" s="1"/>
  <c r="AO90" i="4" s="1"/>
  <c r="AQ149" i="7"/>
  <c r="AO139" i="4" s="1"/>
  <c r="AO106" i="4" s="1"/>
  <c r="AQ148" i="7"/>
  <c r="AQ36" i="3"/>
  <c r="AQ202" i="3" s="1"/>
  <c r="AQ60" i="3"/>
  <c r="AP145" i="3"/>
  <c r="AU4" i="7"/>
  <c r="AP194" i="3"/>
  <c r="AP204" i="3"/>
  <c r="AQ223" i="3"/>
  <c r="AP225" i="3"/>
  <c r="AP130" i="3"/>
  <c r="AP190" i="3" s="1"/>
  <c r="AN212" i="3"/>
  <c r="AN191" i="3"/>
  <c r="AO102" i="4"/>
  <c r="AO101" i="4" s="1"/>
  <c r="AO135" i="4"/>
  <c r="AO134" i="4" s="1"/>
  <c r="AQ17" i="7"/>
  <c r="AK41" i="4" s="1"/>
  <c r="AN200" i="3"/>
  <c r="AN221" i="3"/>
  <c r="AP145" i="4"/>
  <c r="AP147" i="4" s="1"/>
  <c r="AO129" i="4"/>
  <c r="AM118" i="4"/>
  <c r="AM124" i="4" s="1"/>
  <c r="AM127" i="4" s="1"/>
  <c r="AM125" i="4"/>
  <c r="AM128" i="4" s="1"/>
  <c r="AM131" i="4" s="1"/>
  <c r="AN87" i="4"/>
  <c r="AN85" i="4" s="1"/>
  <c r="AN120" i="4"/>
  <c r="AO86" i="4"/>
  <c r="AO119" i="4"/>
  <c r="AQ140" i="7"/>
  <c r="AQ104" i="4"/>
  <c r="AQ93" i="4"/>
  <c r="AQ105" i="4"/>
  <c r="AQ103" i="4"/>
  <c r="AQ109" i="4"/>
  <c r="AQ89" i="4"/>
  <c r="AM85" i="4"/>
  <c r="AM91" i="4" s="1"/>
  <c r="AM94" i="4" s="1"/>
  <c r="AM92" i="4"/>
  <c r="AM95" i="4" s="1"/>
  <c r="AM98" i="4" s="1"/>
  <c r="AQ38" i="7"/>
  <c r="AJ42" i="4"/>
  <c r="AJ45" i="4" s="1"/>
  <c r="AJ47" i="4" s="1"/>
  <c r="AN121" i="4"/>
  <c r="AN88" i="4" s="1"/>
  <c r="AP108" i="4"/>
  <c r="AP111" i="4" s="1"/>
  <c r="AP114" i="4" s="1"/>
  <c r="AP23" i="3"/>
  <c r="AP213" i="3" s="1"/>
  <c r="AP48" i="3"/>
  <c r="AP210" i="3" s="1"/>
  <c r="AO129" i="3"/>
  <c r="AO211" i="3" s="1"/>
  <c r="AO201" i="3"/>
  <c r="AO144" i="3"/>
  <c r="AT5" i="7"/>
  <c r="AM130" i="4" l="1"/>
  <c r="AI71" i="4" a="1"/>
  <c r="AI71" i="4" s="1"/>
  <c r="AN146" i="4"/>
  <c r="AJ72" i="4" a="1"/>
  <c r="AJ72" i="4" s="1"/>
  <c r="AT164" i="7"/>
  <c r="AT167" i="7"/>
  <c r="AT136" i="7"/>
  <c r="AT35" i="7"/>
  <c r="AT32" i="7"/>
  <c r="AT33" i="7"/>
  <c r="AT137" i="7"/>
  <c r="AT139" i="7"/>
  <c r="AT36" i="7"/>
  <c r="AT37" i="7"/>
  <c r="AT144" i="7"/>
  <c r="AT34" i="7"/>
  <c r="AT135" i="7"/>
  <c r="AT145" i="7"/>
  <c r="AT138" i="7"/>
  <c r="AT146" i="7"/>
  <c r="AT147" i="7"/>
  <c r="AT134" i="7"/>
  <c r="AT10" i="7"/>
  <c r="AT12" i="7"/>
  <c r="AT15" i="7"/>
  <c r="AT13" i="7"/>
  <c r="AT16" i="7"/>
  <c r="AT14" i="7"/>
  <c r="AT11" i="7"/>
  <c r="AN224" i="3"/>
  <c r="AN226" i="3" s="1"/>
  <c r="AN227" i="3" s="1"/>
  <c r="AO140" i="4"/>
  <c r="AO143" i="4" s="1"/>
  <c r="AN214" i="3"/>
  <c r="AN216" i="3" s="1"/>
  <c r="AN217" i="3" s="1"/>
  <c r="AN193" i="3"/>
  <c r="AN195" i="3" s="1"/>
  <c r="AN196" i="3" s="1"/>
  <c r="AN203" i="3"/>
  <c r="AN205" i="3" s="1"/>
  <c r="AN206" i="3" s="1"/>
  <c r="AR149" i="7"/>
  <c r="AP139" i="4" s="1"/>
  <c r="AP106" i="4" s="1"/>
  <c r="AO107" i="4"/>
  <c r="AO110" i="4" s="1"/>
  <c r="AR141" i="7"/>
  <c r="AP123" i="4" s="1"/>
  <c r="AP90" i="4" s="1"/>
  <c r="AN92" i="4"/>
  <c r="AN95" i="4" s="1"/>
  <c r="AN98" i="4" s="1"/>
  <c r="AR140" i="7"/>
  <c r="AR17" i="7"/>
  <c r="AL41" i="4" s="1"/>
  <c r="AQ145" i="4"/>
  <c r="AQ147" i="4" s="1"/>
  <c r="AP129" i="4"/>
  <c r="AN91" i="4"/>
  <c r="AN94" i="4" s="1"/>
  <c r="AQ23" i="3"/>
  <c r="AQ213" i="3" s="1"/>
  <c r="AQ48" i="3"/>
  <c r="AQ210" i="3" s="1"/>
  <c r="AU5" i="7"/>
  <c r="AP144" i="3"/>
  <c r="AP201" i="3"/>
  <c r="AP129" i="3"/>
  <c r="AP211" i="3" s="1"/>
  <c r="AO221" i="3"/>
  <c r="AO200" i="3"/>
  <c r="AO121" i="4"/>
  <c r="AO88" i="4" s="1"/>
  <c r="AK42" i="4"/>
  <c r="AK45" i="4" s="1"/>
  <c r="AK47" i="4" s="1"/>
  <c r="AR148" i="7"/>
  <c r="AP102" i="4"/>
  <c r="AP101" i="4" s="1"/>
  <c r="AP135" i="4"/>
  <c r="AP134" i="4" s="1"/>
  <c r="AR93" i="4"/>
  <c r="AR104" i="4"/>
  <c r="AR105" i="4"/>
  <c r="AR109" i="4"/>
  <c r="AR89" i="4"/>
  <c r="AR103" i="4"/>
  <c r="AO191" i="3"/>
  <c r="AO212" i="3"/>
  <c r="AM97" i="4"/>
  <c r="AR60" i="3"/>
  <c r="AR36" i="3"/>
  <c r="AR202" i="3" s="1"/>
  <c r="AV4" i="7"/>
  <c r="AQ225" i="3"/>
  <c r="AR223" i="3"/>
  <c r="AQ130" i="3"/>
  <c r="AQ190" i="3" s="1"/>
  <c r="AQ145" i="3"/>
  <c r="AQ204" i="3"/>
  <c r="AQ194" i="3"/>
  <c r="AN118" i="4"/>
  <c r="AN124" i="4" s="1"/>
  <c r="AN127" i="4" s="1"/>
  <c r="AN125" i="4"/>
  <c r="AN128" i="4" s="1"/>
  <c r="AN131" i="4" s="1"/>
  <c r="AR38" i="7"/>
  <c r="AQ108" i="4"/>
  <c r="AQ111" i="4" s="1"/>
  <c r="AQ114" i="4" s="1"/>
  <c r="AP119" i="4"/>
  <c r="AP86" i="4"/>
  <c r="AO87" i="4"/>
  <c r="AO120" i="4"/>
  <c r="AN130" i="4" l="1"/>
  <c r="AJ71" i="4" a="1"/>
  <c r="AJ71" i="4" s="1"/>
  <c r="AO146" i="4"/>
  <c r="AK72" i="4" a="1"/>
  <c r="AK72" i="4" s="1"/>
  <c r="AU144" i="7"/>
  <c r="AU164" i="7"/>
  <c r="AU139" i="7"/>
  <c r="AU136" i="7"/>
  <c r="AU33" i="7"/>
  <c r="AU137" i="7"/>
  <c r="AU134" i="7"/>
  <c r="AU147" i="7"/>
  <c r="AU35" i="7"/>
  <c r="AU135" i="7"/>
  <c r="AU36" i="7"/>
  <c r="AU37" i="7"/>
  <c r="AU138" i="7"/>
  <c r="AU32" i="7"/>
  <c r="AU146" i="7"/>
  <c r="AU167" i="7"/>
  <c r="AU34" i="7"/>
  <c r="AU145" i="7"/>
  <c r="AU14" i="7"/>
  <c r="AU11" i="7"/>
  <c r="AU16" i="7"/>
  <c r="AU12" i="7"/>
  <c r="AU15" i="7"/>
  <c r="AU13" i="7"/>
  <c r="AU10" i="7"/>
  <c r="AO224" i="3"/>
  <c r="AO226" i="3" s="1"/>
  <c r="AO227" i="3" s="1"/>
  <c r="AO214" i="3"/>
  <c r="AO216" i="3" s="1"/>
  <c r="AO217" i="3" s="1"/>
  <c r="AO203" i="3"/>
  <c r="AO205" i="3" s="1"/>
  <c r="AO206" i="3" s="1"/>
  <c r="AO193" i="3"/>
  <c r="AO195" i="3" s="1"/>
  <c r="AO196" i="3" s="1"/>
  <c r="AP140" i="4"/>
  <c r="AP143" i="4" s="1"/>
  <c r="AP107" i="4"/>
  <c r="AP110" i="4" s="1"/>
  <c r="AP113" i="4" s="1"/>
  <c r="AO113" i="4"/>
  <c r="AS149" i="7"/>
  <c r="AQ139" i="4" s="1"/>
  <c r="AQ106" i="4" s="1"/>
  <c r="AS148" i="7"/>
  <c r="AS141" i="7"/>
  <c r="AQ123" i="4" s="1"/>
  <c r="AQ90" i="4" s="1"/>
  <c r="AP87" i="4"/>
  <c r="AP85" i="4" s="1"/>
  <c r="AP120" i="4"/>
  <c r="AP118" i="4" s="1"/>
  <c r="AS109" i="4"/>
  <c r="AS105" i="4"/>
  <c r="AS103" i="4"/>
  <c r="AS104" i="4"/>
  <c r="AS89" i="4"/>
  <c r="AS93" i="4"/>
  <c r="AP200" i="3"/>
  <c r="AP221" i="3"/>
  <c r="AO125" i="4"/>
  <c r="AO128" i="4" s="1"/>
  <c r="AO131" i="4" s="1"/>
  <c r="AO118" i="4"/>
  <c r="AO124" i="4" s="1"/>
  <c r="AO127" i="4" s="1"/>
  <c r="AR145" i="4"/>
  <c r="AR147" i="4" s="1"/>
  <c r="AQ129" i="4"/>
  <c r="AO85" i="4"/>
  <c r="AO91" i="4" s="1"/>
  <c r="AO94" i="4" s="1"/>
  <c r="AO92" i="4"/>
  <c r="AO95" i="4" s="1"/>
  <c r="AO98" i="4" s="1"/>
  <c r="AS60" i="3"/>
  <c r="AS36" i="3"/>
  <c r="AS202" i="3" s="1"/>
  <c r="AR194" i="3"/>
  <c r="AR130" i="3"/>
  <c r="AR190" i="3" s="1"/>
  <c r="AR145" i="3"/>
  <c r="AR204" i="3"/>
  <c r="AS223" i="3"/>
  <c r="AW4" i="7"/>
  <c r="AR225" i="3"/>
  <c r="AN97" i="4"/>
  <c r="AS17" i="7"/>
  <c r="AM41" i="4" s="1"/>
  <c r="AQ86" i="4"/>
  <c r="AQ119" i="4"/>
  <c r="AS140" i="7"/>
  <c r="AL42" i="4"/>
  <c r="AL45" i="4" s="1"/>
  <c r="AL47" i="4" s="1"/>
  <c r="AP121" i="4"/>
  <c r="AR23" i="3"/>
  <c r="AR213" i="3" s="1"/>
  <c r="AR48" i="3"/>
  <c r="AR210" i="3" s="1"/>
  <c r="AQ129" i="3"/>
  <c r="AQ211" i="3" s="1"/>
  <c r="AV5" i="7"/>
  <c r="AQ201" i="3"/>
  <c r="AQ144" i="3"/>
  <c r="AP191" i="3"/>
  <c r="AP212" i="3"/>
  <c r="AS38" i="7"/>
  <c r="AR108" i="4"/>
  <c r="AR111" i="4" s="1"/>
  <c r="AR114" i="4" s="1"/>
  <c r="AQ135" i="4"/>
  <c r="AQ134" i="4" s="1"/>
  <c r="AQ102" i="4"/>
  <c r="AQ101" i="4" s="1"/>
  <c r="AO130" i="4" l="1"/>
  <c r="AK71" i="4" a="1"/>
  <c r="AK71" i="4" s="1"/>
  <c r="AP146" i="4"/>
  <c r="AL72" i="4" a="1"/>
  <c r="AL72" i="4" s="1"/>
  <c r="AV137" i="7"/>
  <c r="AV33" i="7"/>
  <c r="AV164" i="7"/>
  <c r="AV144" i="7"/>
  <c r="AV34" i="7"/>
  <c r="AV135" i="7"/>
  <c r="AV147" i="7"/>
  <c r="AV136" i="7"/>
  <c r="AV139" i="7"/>
  <c r="AV167" i="7"/>
  <c r="AV146" i="7"/>
  <c r="AV134" i="7"/>
  <c r="AV138" i="7"/>
  <c r="AV32" i="7"/>
  <c r="AV145" i="7"/>
  <c r="AV35" i="7"/>
  <c r="AV36" i="7"/>
  <c r="AV37" i="7"/>
  <c r="AV15" i="7"/>
  <c r="AV10" i="7"/>
  <c r="AV11" i="7"/>
  <c r="AV14" i="7"/>
  <c r="AV13" i="7"/>
  <c r="AV12" i="7"/>
  <c r="AV16" i="7"/>
  <c r="AP224" i="3"/>
  <c r="AP226" i="3" s="1"/>
  <c r="AP227" i="3" s="1"/>
  <c r="AQ107" i="4"/>
  <c r="AQ110" i="4" s="1"/>
  <c r="AQ113" i="4" s="1"/>
  <c r="AP214" i="3"/>
  <c r="AP216" i="3" s="1"/>
  <c r="AP217" i="3" s="1"/>
  <c r="AP203" i="3"/>
  <c r="AP205" i="3" s="1"/>
  <c r="AP206" i="3" s="1"/>
  <c r="AP193" i="3"/>
  <c r="AP195" i="3" s="1"/>
  <c r="AP196" i="3" s="1"/>
  <c r="AQ140" i="4"/>
  <c r="AQ143" i="4" s="1"/>
  <c r="AT149" i="7"/>
  <c r="AR139" i="4" s="1"/>
  <c r="AR106" i="4" s="1"/>
  <c r="AT140" i="7"/>
  <c r="AS48" i="3"/>
  <c r="AS210" i="3" s="1"/>
  <c r="AS23" i="3"/>
  <c r="AS213" i="3" s="1"/>
  <c r="AR144" i="3"/>
  <c r="AR129" i="3"/>
  <c r="AR211" i="3" s="1"/>
  <c r="AR201" i="3"/>
  <c r="AW5" i="7"/>
  <c r="AQ191" i="3"/>
  <c r="AQ212" i="3"/>
  <c r="AO97" i="4"/>
  <c r="AQ200" i="3"/>
  <c r="AQ221" i="3"/>
  <c r="AS145" i="4"/>
  <c r="AS147" i="4" s="1"/>
  <c r="AR129" i="4"/>
  <c r="AQ87" i="4"/>
  <c r="AQ85" i="4" s="1"/>
  <c r="AQ120" i="4"/>
  <c r="AT60" i="3"/>
  <c r="AT36" i="3"/>
  <c r="AT202" i="3" s="1"/>
  <c r="AS194" i="3"/>
  <c r="AX4" i="7"/>
  <c r="AT223" i="3"/>
  <c r="AS145" i="3"/>
  <c r="AS130" i="3"/>
  <c r="AS190" i="3" s="1"/>
  <c r="AS225" i="3"/>
  <c r="AS204" i="3"/>
  <c r="AR86" i="4"/>
  <c r="AR119" i="4"/>
  <c r="AS108" i="4"/>
  <c r="AS111" i="4" s="1"/>
  <c r="AS114" i="4" s="1"/>
  <c r="AM42" i="4"/>
  <c r="AM45" i="4" s="1"/>
  <c r="AM47" i="4" s="1"/>
  <c r="AQ121" i="4"/>
  <c r="AQ88" i="4" s="1"/>
  <c r="AT38" i="7"/>
  <c r="AT17" i="7"/>
  <c r="AN41" i="4" s="1"/>
  <c r="AP88" i="4"/>
  <c r="AP125" i="4"/>
  <c r="AP128" i="4" s="1"/>
  <c r="AP131" i="4" s="1"/>
  <c r="AT148" i="7"/>
  <c r="AR135" i="4"/>
  <c r="AR134" i="4" s="1"/>
  <c r="AR102" i="4"/>
  <c r="AR101" i="4" s="1"/>
  <c r="AT141" i="7"/>
  <c r="AR123" i="4" s="1"/>
  <c r="AR90" i="4" s="1"/>
  <c r="AP124" i="4"/>
  <c r="AP127" i="4" s="1"/>
  <c r="AT105" i="4"/>
  <c r="AT109" i="4"/>
  <c r="AT104" i="4"/>
  <c r="AT93" i="4"/>
  <c r="AT89" i="4"/>
  <c r="AT103" i="4"/>
  <c r="AP130" i="4" l="1"/>
  <c r="AL71" i="4" a="1"/>
  <c r="AL71" i="4" s="1"/>
  <c r="AQ146" i="4"/>
  <c r="AM72" i="4" a="1"/>
  <c r="AM72" i="4" s="1"/>
  <c r="AW137" i="7"/>
  <c r="AW147" i="7"/>
  <c r="AW33" i="7"/>
  <c r="AW32" i="7"/>
  <c r="AW34" i="7"/>
  <c r="AW139" i="7"/>
  <c r="AW35" i="7"/>
  <c r="AW164" i="7"/>
  <c r="AW167" i="7"/>
  <c r="AW146" i="7"/>
  <c r="AW134" i="7"/>
  <c r="AW135" i="7"/>
  <c r="AW136" i="7"/>
  <c r="AW37" i="7"/>
  <c r="AW138" i="7"/>
  <c r="AW36" i="7"/>
  <c r="AW144" i="7"/>
  <c r="AW145" i="7"/>
  <c r="AW16" i="7"/>
  <c r="AW13" i="7"/>
  <c r="AW10" i="7"/>
  <c r="AW14" i="7"/>
  <c r="AW11" i="7"/>
  <c r="AW15" i="7"/>
  <c r="AW12" i="7"/>
  <c r="AQ224" i="3"/>
  <c r="AQ226" i="3" s="1"/>
  <c r="AQ227" i="3" s="1"/>
  <c r="AR140" i="4"/>
  <c r="AR143" i="4" s="1"/>
  <c r="AQ214" i="3"/>
  <c r="AQ216" i="3" s="1"/>
  <c r="AQ217" i="3" s="1"/>
  <c r="AQ203" i="3"/>
  <c r="AQ205" i="3" s="1"/>
  <c r="AQ206" i="3" s="1"/>
  <c r="AQ193" i="3"/>
  <c r="AQ195" i="3" s="1"/>
  <c r="AQ196" i="3" s="1"/>
  <c r="AU149" i="7"/>
  <c r="AS139" i="4" s="1"/>
  <c r="AS106" i="4" s="1"/>
  <c r="AR107" i="4"/>
  <c r="AR110" i="4" s="1"/>
  <c r="AR113" i="4" s="1"/>
  <c r="AQ91" i="4"/>
  <c r="AQ94" i="4" s="1"/>
  <c r="AQ97" i="4" s="1"/>
  <c r="AT108" i="4"/>
  <c r="AT111" i="4" s="1"/>
  <c r="AT114" i="4" s="1"/>
  <c r="AT48" i="3"/>
  <c r="AT210" i="3" s="1"/>
  <c r="AT23" i="3"/>
  <c r="AT213" i="3" s="1"/>
  <c r="AX5" i="7"/>
  <c r="AS144" i="3"/>
  <c r="AS129" i="3"/>
  <c r="AS211" i="3" s="1"/>
  <c r="AS201" i="3"/>
  <c r="AU60" i="3"/>
  <c r="AU36" i="3"/>
  <c r="AU202" i="3" s="1"/>
  <c r="AT130" i="3"/>
  <c r="AT190" i="3" s="1"/>
  <c r="AT225" i="3"/>
  <c r="AT145" i="3"/>
  <c r="AT204" i="3"/>
  <c r="AU223" i="3"/>
  <c r="AY4" i="7"/>
  <c r="AT194" i="3"/>
  <c r="AU38" i="7"/>
  <c r="AU17" i="7"/>
  <c r="AO41" i="4" s="1"/>
  <c r="AS129" i="4"/>
  <c r="AT145" i="4"/>
  <c r="AT147" i="4" s="1"/>
  <c r="AR120" i="4"/>
  <c r="AR87" i="4"/>
  <c r="AU148" i="7"/>
  <c r="AU103" i="4"/>
  <c r="AU93" i="4"/>
  <c r="AU89" i="4"/>
  <c r="AU105" i="4"/>
  <c r="AU109" i="4"/>
  <c r="AU104" i="4"/>
  <c r="AS119" i="4"/>
  <c r="AU140" i="7"/>
  <c r="AS86" i="4"/>
  <c r="AU141" i="7"/>
  <c r="AS123" i="4" s="1"/>
  <c r="AS90" i="4" s="1"/>
  <c r="AS102" i="4"/>
  <c r="AS101" i="4" s="1"/>
  <c r="AS135" i="4"/>
  <c r="AS134" i="4" s="1"/>
  <c r="AP92" i="4"/>
  <c r="AP95" i="4" s="1"/>
  <c r="AP98" i="4" s="1"/>
  <c r="AP91" i="4"/>
  <c r="AP94" i="4" s="1"/>
  <c r="AR221" i="3"/>
  <c r="AR200" i="3"/>
  <c r="AR191" i="3"/>
  <c r="AR212" i="3"/>
  <c r="AN42" i="4"/>
  <c r="AN45" i="4" s="1"/>
  <c r="AN47" i="4" s="1"/>
  <c r="AR121" i="4"/>
  <c r="AR88" i="4" s="1"/>
  <c r="AQ92" i="4"/>
  <c r="AQ95" i="4" s="1"/>
  <c r="AQ98" i="4" s="1"/>
  <c r="AQ118" i="4"/>
  <c r="AQ124" i="4" s="1"/>
  <c r="AQ127" i="4" s="1"/>
  <c r="AQ125" i="4"/>
  <c r="AQ128" i="4" s="1"/>
  <c r="AQ131" i="4" s="1"/>
  <c r="AR146" i="4" l="1"/>
  <c r="AN72" i="4" a="1"/>
  <c r="AN72" i="4" s="1"/>
  <c r="AQ130" i="4"/>
  <c r="AM71" i="4" a="1"/>
  <c r="AM71" i="4" s="1"/>
  <c r="AX37" i="7"/>
  <c r="AX167" i="7"/>
  <c r="AX135" i="7"/>
  <c r="AX147" i="7"/>
  <c r="AX139" i="7"/>
  <c r="AX34" i="7"/>
  <c r="AX164" i="7"/>
  <c r="AX32" i="7"/>
  <c r="AX134" i="7"/>
  <c r="AX33" i="7"/>
  <c r="AX36" i="7"/>
  <c r="AX146" i="7"/>
  <c r="AX35" i="7"/>
  <c r="AX144" i="7"/>
  <c r="AX137" i="7"/>
  <c r="AX138" i="7"/>
  <c r="AX145" i="7"/>
  <c r="AX136" i="7"/>
  <c r="AX10" i="7"/>
  <c r="AX15" i="7"/>
  <c r="AX11" i="7"/>
  <c r="AX14" i="7"/>
  <c r="AX12" i="7"/>
  <c r="AX13" i="7"/>
  <c r="AX16" i="7"/>
  <c r="AR224" i="3"/>
  <c r="AR226" i="3" s="1"/>
  <c r="AR227" i="3" s="1"/>
  <c r="AR214" i="3"/>
  <c r="AR216" i="3" s="1"/>
  <c r="AR217" i="3" s="1"/>
  <c r="AR203" i="3"/>
  <c r="AR205" i="3" s="1"/>
  <c r="AR206" i="3" s="1"/>
  <c r="AS107" i="4"/>
  <c r="AS110" i="4" s="1"/>
  <c r="AS113" i="4" s="1"/>
  <c r="AS140" i="4"/>
  <c r="AS143" i="4" s="1"/>
  <c r="AR193" i="3"/>
  <c r="AR195" i="3" s="1"/>
  <c r="AR196" i="3" s="1"/>
  <c r="AU108" i="4"/>
  <c r="AU111" i="4" s="1"/>
  <c r="AU114" i="4" s="1"/>
  <c r="AV17" i="7"/>
  <c r="AP41" i="4" s="1"/>
  <c r="AO42" i="4"/>
  <c r="AO45" i="4" s="1"/>
  <c r="AO47" i="4" s="1"/>
  <c r="AS121" i="4"/>
  <c r="AS88" i="4" s="1"/>
  <c r="AS221" i="3"/>
  <c r="AS200" i="3"/>
  <c r="AS120" i="4"/>
  <c r="AS87" i="4"/>
  <c r="AV140" i="7"/>
  <c r="AV148" i="7"/>
  <c r="AT129" i="4"/>
  <c r="AU145" i="4"/>
  <c r="AU147" i="4" s="1"/>
  <c r="AR85" i="4"/>
  <c r="AR91" i="4" s="1"/>
  <c r="AR94" i="4" s="1"/>
  <c r="AR92" i="4"/>
  <c r="AR95" i="4" s="1"/>
  <c r="AR98" i="4" s="1"/>
  <c r="AV103" i="4"/>
  <c r="AV105" i="4"/>
  <c r="AV93" i="4"/>
  <c r="AV109" i="4"/>
  <c r="AV104" i="4"/>
  <c r="AV89" i="4"/>
  <c r="AT86" i="4"/>
  <c r="AT119" i="4"/>
  <c r="AS191" i="3"/>
  <c r="AS212" i="3"/>
  <c r="AP97" i="4"/>
  <c r="AR118" i="4"/>
  <c r="AR124" i="4" s="1"/>
  <c r="AR127" i="4" s="1"/>
  <c r="AR125" i="4"/>
  <c r="AR128" i="4" s="1"/>
  <c r="AR131" i="4" s="1"/>
  <c r="AV38" i="7"/>
  <c r="AT102" i="4"/>
  <c r="AT101" i="4" s="1"/>
  <c r="AT135" i="4"/>
  <c r="AT134" i="4" s="1"/>
  <c r="AU48" i="3"/>
  <c r="AU210" i="3" s="1"/>
  <c r="AU23" i="3"/>
  <c r="AU213" i="3" s="1"/>
  <c r="AY5" i="7"/>
  <c r="AT201" i="3"/>
  <c r="AT129" i="3"/>
  <c r="AT211" i="3" s="1"/>
  <c r="AT144" i="3"/>
  <c r="AV149" i="7"/>
  <c r="AT139" i="4" s="1"/>
  <c r="AT106" i="4" s="1"/>
  <c r="AV36" i="3"/>
  <c r="AV202" i="3" s="1"/>
  <c r="AV60" i="3"/>
  <c r="AV223" i="3"/>
  <c r="AU130" i="3"/>
  <c r="AU190" i="3" s="1"/>
  <c r="AU194" i="3"/>
  <c r="AU204" i="3"/>
  <c r="AU225" i="3"/>
  <c r="AU145" i="3"/>
  <c r="AZ4" i="7"/>
  <c r="AV141" i="7"/>
  <c r="AT123" i="4" s="1"/>
  <c r="AT90" i="4" s="1"/>
  <c r="AR130" i="4" l="1"/>
  <c r="AN71" i="4" a="1"/>
  <c r="AN71" i="4" s="1"/>
  <c r="AS146" i="4"/>
  <c r="AO72" i="4" a="1"/>
  <c r="AO72" i="4" s="1"/>
  <c r="AY145" i="7"/>
  <c r="AY138" i="7"/>
  <c r="AY32" i="7"/>
  <c r="AY136" i="7"/>
  <c r="AY37" i="7"/>
  <c r="AY167" i="7"/>
  <c r="AY135" i="7"/>
  <c r="AY147" i="7"/>
  <c r="AY146" i="7"/>
  <c r="AY33" i="7"/>
  <c r="AY164" i="7"/>
  <c r="AY134" i="7"/>
  <c r="AY139" i="7"/>
  <c r="AY36" i="7"/>
  <c r="AY144" i="7"/>
  <c r="AY137" i="7"/>
  <c r="AY34" i="7"/>
  <c r="AY35" i="7"/>
  <c r="AY10" i="7"/>
  <c r="AY13" i="7"/>
  <c r="AY15" i="7"/>
  <c r="AY12" i="7"/>
  <c r="AY16" i="7"/>
  <c r="AY11" i="7"/>
  <c r="AY14" i="7"/>
  <c r="AS224" i="3"/>
  <c r="AS226" i="3" s="1"/>
  <c r="AS227" i="3" s="1"/>
  <c r="AS214" i="3"/>
  <c r="AS216" i="3" s="1"/>
  <c r="AS217" i="3" s="1"/>
  <c r="AS193" i="3"/>
  <c r="AS195" i="3" s="1"/>
  <c r="AS196" i="3" s="1"/>
  <c r="AS203" i="3"/>
  <c r="AS205" i="3" s="1"/>
  <c r="AS206" i="3" s="1"/>
  <c r="AW149" i="7"/>
  <c r="AU139" i="4" s="1"/>
  <c r="AU106" i="4" s="1"/>
  <c r="AW141" i="7"/>
  <c r="AU123" i="4" s="1"/>
  <c r="AU90" i="4" s="1"/>
  <c r="AS85" i="4"/>
  <c r="AS91" i="4" s="1"/>
  <c r="AS94" i="4" s="1"/>
  <c r="AS92" i="4"/>
  <c r="AS95" i="4" s="1"/>
  <c r="AS98" i="4" s="1"/>
  <c r="AT140" i="4"/>
  <c r="AT143" i="4" s="1"/>
  <c r="AV108" i="4"/>
  <c r="AV111" i="4" s="1"/>
  <c r="AV114" i="4" s="1"/>
  <c r="AT200" i="3"/>
  <c r="AT221" i="3"/>
  <c r="AT107" i="4"/>
  <c r="AT110" i="4" s="1"/>
  <c r="AS118" i="4"/>
  <c r="AS124" i="4" s="1"/>
  <c r="AS127" i="4" s="1"/>
  <c r="AS125" i="4"/>
  <c r="AS128" i="4" s="1"/>
  <c r="AS131" i="4" s="1"/>
  <c r="AW36" i="3"/>
  <c r="AW202" i="3" s="1"/>
  <c r="AW60" i="3"/>
  <c r="AW223" i="3"/>
  <c r="AV194" i="3"/>
  <c r="AV225" i="3"/>
  <c r="AV204" i="3"/>
  <c r="BA4" i="7"/>
  <c r="AV130" i="3"/>
  <c r="AV190" i="3" s="1"/>
  <c r="AV145" i="3"/>
  <c r="AT121" i="4"/>
  <c r="AT88" i="4" s="1"/>
  <c r="AP42" i="4"/>
  <c r="AP45" i="4" s="1"/>
  <c r="AP47" i="4" s="1"/>
  <c r="AR97" i="4"/>
  <c r="AW38" i="7"/>
  <c r="AU119" i="4"/>
  <c r="AU86" i="4"/>
  <c r="AU129" i="4"/>
  <c r="AV145" i="4"/>
  <c r="AV147" i="4" s="1"/>
  <c r="AW17" i="7"/>
  <c r="AQ41" i="4" s="1"/>
  <c r="AU135" i="4"/>
  <c r="AU134" i="4" s="1"/>
  <c r="AU102" i="4"/>
  <c r="AU101" i="4" s="1"/>
  <c r="AV48" i="3"/>
  <c r="AV210" i="3" s="1"/>
  <c r="AV23" i="3"/>
  <c r="AV213" i="3" s="1"/>
  <c r="AZ5" i="7"/>
  <c r="AU129" i="3"/>
  <c r="AU211" i="3" s="1"/>
  <c r="AU201" i="3"/>
  <c r="AU144" i="3"/>
  <c r="AT191" i="3"/>
  <c r="AT212" i="3"/>
  <c r="AW148" i="7"/>
  <c r="AW104" i="4"/>
  <c r="AW89" i="4"/>
  <c r="AW93" i="4"/>
  <c r="AW109" i="4"/>
  <c r="AW103" i="4"/>
  <c r="AW105" i="4"/>
  <c r="AW140" i="7"/>
  <c r="AT120" i="4"/>
  <c r="AT87" i="4"/>
  <c r="AS130" i="4" l="1"/>
  <c r="AO71" i="4" a="1"/>
  <c r="AO71" i="4" s="1"/>
  <c r="AT146" i="4"/>
  <c r="AP72" i="4" a="1"/>
  <c r="AP72" i="4" s="1"/>
  <c r="AZ145" i="7"/>
  <c r="AZ138" i="7"/>
  <c r="AZ164" i="7"/>
  <c r="AZ146" i="7"/>
  <c r="AZ34" i="7"/>
  <c r="AZ35" i="7"/>
  <c r="AZ135" i="7"/>
  <c r="AZ36" i="7"/>
  <c r="AZ147" i="7"/>
  <c r="AZ136" i="7"/>
  <c r="AZ134" i="7"/>
  <c r="AZ139" i="7"/>
  <c r="AZ137" i="7"/>
  <c r="AZ32" i="7"/>
  <c r="AZ144" i="7"/>
  <c r="AZ33" i="7"/>
  <c r="AZ167" i="7"/>
  <c r="AZ37" i="7"/>
  <c r="AZ16" i="7"/>
  <c r="AZ12" i="7"/>
  <c r="AZ15" i="7"/>
  <c r="AZ10" i="7"/>
  <c r="AZ11" i="7"/>
  <c r="AZ14" i="7"/>
  <c r="AZ13" i="7"/>
  <c r="AU107" i="4"/>
  <c r="AU110" i="4" s="1"/>
  <c r="AU113" i="4" s="1"/>
  <c r="AU140" i="4"/>
  <c r="AU143" i="4" s="1"/>
  <c r="AT224" i="3"/>
  <c r="AT226" i="3" s="1"/>
  <c r="AT227" i="3" s="1"/>
  <c r="AT214" i="3"/>
  <c r="AT216" i="3" s="1"/>
  <c r="AT217" i="3" s="1"/>
  <c r="AT193" i="3"/>
  <c r="AT195" i="3" s="1"/>
  <c r="AT196" i="3" s="1"/>
  <c r="AT203" i="3"/>
  <c r="AT205" i="3" s="1"/>
  <c r="AT206" i="3" s="1"/>
  <c r="AX141" i="7"/>
  <c r="AV123" i="4" s="1"/>
  <c r="AV90" i="4" s="1"/>
  <c r="AX140" i="7"/>
  <c r="AX36" i="3"/>
  <c r="AX202" i="3" s="1"/>
  <c r="AX60" i="3"/>
  <c r="AW194" i="3"/>
  <c r="AW225" i="3"/>
  <c r="BB4" i="7"/>
  <c r="AX223" i="3"/>
  <c r="AW204" i="3"/>
  <c r="AW130" i="3"/>
  <c r="AW190" i="3" s="1"/>
  <c r="AW145" i="3"/>
  <c r="AT113" i="4"/>
  <c r="AW108" i="4"/>
  <c r="AW111" i="4" s="1"/>
  <c r="AW114" i="4" s="1"/>
  <c r="AU221" i="3"/>
  <c r="AU200" i="3"/>
  <c r="AX17" i="7"/>
  <c r="AR41" i="4" s="1"/>
  <c r="AV135" i="4"/>
  <c r="AV134" i="4" s="1"/>
  <c r="AV102" i="4"/>
  <c r="AV101" i="4" s="1"/>
  <c r="AU87" i="4"/>
  <c r="AU85" i="4" s="1"/>
  <c r="AU120" i="4"/>
  <c r="AQ42" i="4"/>
  <c r="AQ45" i="4" s="1"/>
  <c r="AQ47" i="4" s="1"/>
  <c r="AU121" i="4"/>
  <c r="AU88" i="4" s="1"/>
  <c r="AW23" i="3"/>
  <c r="AW213" i="3" s="1"/>
  <c r="AW48" i="3"/>
  <c r="AW210" i="3" s="1"/>
  <c r="AV144" i="3"/>
  <c r="AV201" i="3"/>
  <c r="AV129" i="3"/>
  <c r="AV211" i="3" s="1"/>
  <c r="BA5" i="7"/>
  <c r="AU191" i="3"/>
  <c r="AU212" i="3"/>
  <c r="AV119" i="4"/>
  <c r="AV86" i="4"/>
  <c r="AT92" i="4"/>
  <c r="AT95" i="4" s="1"/>
  <c r="AT98" i="4" s="1"/>
  <c r="AT85" i="4"/>
  <c r="AT91" i="4" s="1"/>
  <c r="AT94" i="4" s="1"/>
  <c r="AW145" i="4"/>
  <c r="AW147" i="4" s="1"/>
  <c r="AV129" i="4"/>
  <c r="AX149" i="7"/>
  <c r="AV139" i="4" s="1"/>
  <c r="AV106" i="4" s="1"/>
  <c r="AX38" i="7"/>
  <c r="AT125" i="4"/>
  <c r="AT128" i="4" s="1"/>
  <c r="AT131" i="4" s="1"/>
  <c r="AT118" i="4"/>
  <c r="AT124" i="4" s="1"/>
  <c r="AT127" i="4" s="1"/>
  <c r="AX148" i="7"/>
  <c r="AX103" i="4"/>
  <c r="AX93" i="4"/>
  <c r="AX109" i="4"/>
  <c r="AX89" i="4"/>
  <c r="AX105" i="4"/>
  <c r="AX104" i="4"/>
  <c r="AS97" i="4"/>
  <c r="AU146" i="4" l="1"/>
  <c r="AQ72" i="4" a="1"/>
  <c r="AQ72" i="4" s="1"/>
  <c r="AT130" i="4"/>
  <c r="AP71" i="4" a="1"/>
  <c r="AP71" i="4" s="1"/>
  <c r="BA35" i="7"/>
  <c r="BA36" i="7"/>
  <c r="BA144" i="7"/>
  <c r="BA164" i="7"/>
  <c r="BA134" i="7"/>
  <c r="BA138" i="7"/>
  <c r="BA135" i="7"/>
  <c r="BA146" i="7"/>
  <c r="BA136" i="7"/>
  <c r="BA37" i="7"/>
  <c r="BA147" i="7"/>
  <c r="BA137" i="7"/>
  <c r="BA32" i="7"/>
  <c r="BA167" i="7"/>
  <c r="BA33" i="7"/>
  <c r="BA34" i="7"/>
  <c r="BA145" i="7"/>
  <c r="BA139" i="7"/>
  <c r="BA14" i="7"/>
  <c r="BA10" i="7"/>
  <c r="BA12" i="7"/>
  <c r="BA11" i="7"/>
  <c r="BA15" i="7"/>
  <c r="BA16" i="7"/>
  <c r="BA13" i="7"/>
  <c r="AU224" i="3"/>
  <c r="AU226" i="3" s="1"/>
  <c r="AU227" i="3" s="1"/>
  <c r="AU214" i="3"/>
  <c r="AU216" i="3" s="1"/>
  <c r="AU217" i="3" s="1"/>
  <c r="AU193" i="3"/>
  <c r="AU195" i="3" s="1"/>
  <c r="AU196" i="3" s="1"/>
  <c r="AU203" i="3"/>
  <c r="AU205" i="3" s="1"/>
  <c r="AU206" i="3" s="1"/>
  <c r="AY149" i="7"/>
  <c r="AW139" i="4" s="1"/>
  <c r="AW106" i="4" s="1"/>
  <c r="AU92" i="4"/>
  <c r="AU95" i="4" s="1"/>
  <c r="AU98" i="4" s="1"/>
  <c r="AY17" i="7"/>
  <c r="AS41" i="4" s="1"/>
  <c r="AW120" i="4" s="1"/>
  <c r="AV120" i="4"/>
  <c r="AV87" i="4"/>
  <c r="AX23" i="3"/>
  <c r="AX213" i="3" s="1"/>
  <c r="AX48" i="3"/>
  <c r="BB5" i="7"/>
  <c r="AW201" i="3"/>
  <c r="AW129" i="3"/>
  <c r="AW211" i="3" s="1"/>
  <c r="AW144" i="3"/>
  <c r="AY141" i="7"/>
  <c r="AW123" i="4" s="1"/>
  <c r="AW90" i="4" s="1"/>
  <c r="AW129" i="4"/>
  <c r="AY105" i="4"/>
  <c r="AY89" i="4"/>
  <c r="AY109" i="4"/>
  <c r="AY104" i="4"/>
  <c r="AY103" i="4"/>
  <c r="AY93" i="4"/>
  <c r="AV121" i="4"/>
  <c r="AV88" i="4" s="1"/>
  <c r="AR42" i="4"/>
  <c r="AR45" i="4" s="1"/>
  <c r="AR47" i="4" s="1"/>
  <c r="AX108" i="4"/>
  <c r="AX111" i="4" s="1"/>
  <c r="AX114" i="4" s="1"/>
  <c r="AW86" i="4"/>
  <c r="AW119" i="4"/>
  <c r="AT97" i="4"/>
  <c r="AU118" i="4"/>
  <c r="AU124" i="4" s="1"/>
  <c r="AU127" i="4" s="1"/>
  <c r="AU125" i="4"/>
  <c r="AU128" i="4" s="1"/>
  <c r="AU131" i="4" s="1"/>
  <c r="AW135" i="4"/>
  <c r="AW134" i="4" s="1"/>
  <c r="AW102" i="4"/>
  <c r="AW101" i="4" s="1"/>
  <c r="AY148" i="7"/>
  <c r="AY38" i="7"/>
  <c r="AV212" i="3"/>
  <c r="AV191" i="3"/>
  <c r="AU91" i="4"/>
  <c r="AU94" i="4" s="1"/>
  <c r="AV200" i="3"/>
  <c r="AV221" i="3"/>
  <c r="AV107" i="4"/>
  <c r="AV110" i="4" s="1"/>
  <c r="AV140" i="4"/>
  <c r="AV143" i="4" s="1"/>
  <c r="AY140" i="7"/>
  <c r="AV146" i="4" l="1"/>
  <c r="AR72" i="4" a="1"/>
  <c r="AR72" i="4" s="1"/>
  <c r="AU130" i="4"/>
  <c r="AQ71" i="4" a="1"/>
  <c r="AQ71" i="4" s="1"/>
  <c r="BB134" i="7"/>
  <c r="BB139" i="7"/>
  <c r="BB137" i="7"/>
  <c r="BB35" i="7"/>
  <c r="BB144" i="7"/>
  <c r="BB138" i="7"/>
  <c r="BB146" i="7"/>
  <c r="BB136" i="7"/>
  <c r="BB34" i="7"/>
  <c r="BB36" i="7"/>
  <c r="BB164" i="7"/>
  <c r="BB37" i="7"/>
  <c r="BB147" i="7"/>
  <c r="BB32" i="7"/>
  <c r="BB33" i="7"/>
  <c r="BB167" i="7"/>
  <c r="BB135" i="7"/>
  <c r="BB145" i="7"/>
  <c r="BB12" i="7"/>
  <c r="BB10" i="7"/>
  <c r="BB14" i="7"/>
  <c r="BB15" i="7"/>
  <c r="BB11" i="7"/>
  <c r="BB13" i="7"/>
  <c r="BB16" i="7"/>
  <c r="AV224" i="3"/>
  <c r="AV226" i="3" s="1"/>
  <c r="AV227" i="3" s="1"/>
  <c r="AV214" i="3"/>
  <c r="AV216" i="3" s="1"/>
  <c r="AV217" i="3" s="1"/>
  <c r="AW107" i="4"/>
  <c r="AW110" i="4" s="1"/>
  <c r="AW113" i="4" s="1"/>
  <c r="AW140" i="4"/>
  <c r="AW143" i="4" s="1"/>
  <c r="AV203" i="3"/>
  <c r="AV205" i="3" s="1"/>
  <c r="AV206" i="3" s="1"/>
  <c r="AV193" i="3"/>
  <c r="AV195" i="3" s="1"/>
  <c r="AV196" i="3" s="1"/>
  <c r="AW118" i="4"/>
  <c r="AZ141" i="7"/>
  <c r="AX123" i="4" s="1"/>
  <c r="AX90" i="4" s="1"/>
  <c r="AW87" i="4"/>
  <c r="AW85" i="4" s="1"/>
  <c r="AZ140" i="7"/>
  <c r="AW212" i="3"/>
  <c r="AW191" i="3"/>
  <c r="AX145" i="4"/>
  <c r="AX147" i="4" s="1"/>
  <c r="AX129" i="4"/>
  <c r="AU97" i="4"/>
  <c r="AZ17" i="7"/>
  <c r="AT41" i="4" s="1"/>
  <c r="AX120" i="4" s="1"/>
  <c r="AZ149" i="7"/>
  <c r="AX139" i="4" s="1"/>
  <c r="AX106" i="4" s="1"/>
  <c r="AV92" i="4"/>
  <c r="AV95" i="4" s="1"/>
  <c r="AV98" i="4" s="1"/>
  <c r="AV85" i="4"/>
  <c r="AV91" i="4" s="1"/>
  <c r="AV94" i="4" s="1"/>
  <c r="AW121" i="4"/>
  <c r="AS42" i="4"/>
  <c r="AS45" i="4" s="1"/>
  <c r="AS47" i="4" s="1"/>
  <c r="AY108" i="4"/>
  <c r="AY111" i="4" s="1"/>
  <c r="AY114" i="4" s="1"/>
  <c r="AW200" i="3"/>
  <c r="AW221" i="3"/>
  <c r="AV125" i="4"/>
  <c r="AV128" i="4" s="1"/>
  <c r="AV131" i="4" s="1"/>
  <c r="AV118" i="4"/>
  <c r="AV124" i="4" s="1"/>
  <c r="AV127" i="4" s="1"/>
  <c r="AV113" i="4"/>
  <c r="AZ148" i="7"/>
  <c r="AZ38" i="7"/>
  <c r="AV130" i="4" l="1"/>
  <c r="AR71" i="4" a="1"/>
  <c r="AR71" i="4" s="1"/>
  <c r="AW146" i="4"/>
  <c r="AS72" i="4" a="1"/>
  <c r="AS72" i="4" s="1"/>
  <c r="AW224" i="3"/>
  <c r="AW226" i="3" s="1"/>
  <c r="AW227" i="3" s="1"/>
  <c r="AW214" i="3"/>
  <c r="AW216" i="3" s="1"/>
  <c r="AW217" i="3" s="1"/>
  <c r="AW203" i="3"/>
  <c r="AW205" i="3" s="1"/>
  <c r="AW206" i="3" s="1"/>
  <c r="AW193" i="3"/>
  <c r="AW195" i="3" s="1"/>
  <c r="AW196" i="3" s="1"/>
  <c r="AX87" i="4"/>
  <c r="BA17" i="7"/>
  <c r="AU41" i="4" s="1"/>
  <c r="AY87" i="4" s="1"/>
  <c r="BA149" i="7"/>
  <c r="AY139" i="4" s="1"/>
  <c r="AY106" i="4" s="1"/>
  <c r="AX121" i="4"/>
  <c r="AX88" i="4" s="1"/>
  <c r="AT42" i="4"/>
  <c r="AT45" i="4" s="1"/>
  <c r="AT47" i="4" s="1"/>
  <c r="BA148" i="7"/>
  <c r="AX102" i="4"/>
  <c r="AX101" i="4" s="1"/>
  <c r="AX107" i="4" s="1"/>
  <c r="AX110" i="4" s="1"/>
  <c r="AX135" i="4"/>
  <c r="AX134" i="4" s="1"/>
  <c r="AX140" i="4" s="1"/>
  <c r="AX143" i="4" s="1"/>
  <c r="AW88" i="4"/>
  <c r="AW125" i="4"/>
  <c r="AW128" i="4" s="1"/>
  <c r="AW131" i="4" s="1"/>
  <c r="AV97" i="4"/>
  <c r="BA141" i="7"/>
  <c r="AY123" i="4" s="1"/>
  <c r="AY90" i="4" s="1"/>
  <c r="BA38" i="7"/>
  <c r="AW124" i="4"/>
  <c r="AW127" i="4" s="1"/>
  <c r="AX119" i="4"/>
  <c r="AX118" i="4" s="1"/>
  <c r="AX86" i="4"/>
  <c r="BA140" i="7"/>
  <c r="AX130" i="3"/>
  <c r="AX190" i="3" s="1"/>
  <c r="AX145" i="3"/>
  <c r="AX146" i="4" l="1"/>
  <c r="AT72" i="4" a="1"/>
  <c r="AT72" i="4" s="1"/>
  <c r="AW130" i="4"/>
  <c r="AS71" i="4" a="1"/>
  <c r="AS71" i="4" s="1"/>
  <c r="AX92" i="4"/>
  <c r="AX95" i="4" s="1"/>
  <c r="AX98" i="4" s="1"/>
  <c r="AX85" i="4"/>
  <c r="AX91" i="4" s="1"/>
  <c r="AX94" i="4" s="1"/>
  <c r="AX97" i="4" s="1"/>
  <c r="AX124" i="4"/>
  <c r="AX127" i="4" s="1"/>
  <c r="AY120" i="4"/>
  <c r="AX125" i="4"/>
  <c r="AX128" i="4" s="1"/>
  <c r="AX131" i="4" s="1"/>
  <c r="AX204" i="3"/>
  <c r="AY36" i="3"/>
  <c r="AY202" i="3" s="1"/>
  <c r="AY60" i="3"/>
  <c r="AW92" i="4"/>
  <c r="AW95" i="4" s="1"/>
  <c r="AW98" i="4" s="1"/>
  <c r="AW91" i="4"/>
  <c r="AW94" i="4" s="1"/>
  <c r="AY121" i="4"/>
  <c r="AY88" i="4" s="1"/>
  <c r="AY92" i="4" s="1"/>
  <c r="AY95" i="4" s="1"/>
  <c r="AY98" i="4" s="1"/>
  <c r="AU42" i="4"/>
  <c r="AU45" i="4" s="1"/>
  <c r="AU47" i="4" s="1"/>
  <c r="AX113" i="4"/>
  <c r="AX194" i="3"/>
  <c r="AY145" i="3"/>
  <c r="AY223" i="3"/>
  <c r="AX225" i="3"/>
  <c r="BC4" i="7"/>
  <c r="AX130" i="4" l="1"/>
  <c r="AT71" i="4" a="1"/>
  <c r="AT71" i="4" s="1"/>
  <c r="AY125" i="4"/>
  <c r="AY128" i="4" s="1"/>
  <c r="BC5" i="7"/>
  <c r="AY23" i="3"/>
  <c r="AY213" i="3" s="1"/>
  <c r="AY48" i="3"/>
  <c r="AY210" i="3" s="1"/>
  <c r="AW97" i="4"/>
  <c r="AZ60" i="3"/>
  <c r="AZ36" i="3"/>
  <c r="AZ202" i="3" s="1"/>
  <c r="AY130" i="3"/>
  <c r="AY190" i="3" s="1"/>
  <c r="AZ223" i="3"/>
  <c r="AY225" i="3"/>
  <c r="AY204" i="3"/>
  <c r="BD4" i="7"/>
  <c r="BA103" i="4" s="1"/>
  <c r="AY194" i="3"/>
  <c r="AX201" i="3"/>
  <c r="AX129" i="3"/>
  <c r="AX144" i="3"/>
  <c r="AX210" i="3"/>
  <c r="AY201" i="3"/>
  <c r="AZ109" i="4"/>
  <c r="AZ89" i="4"/>
  <c r="AZ104" i="4"/>
  <c r="AZ93" i="4"/>
  <c r="AZ103" i="4"/>
  <c r="AZ105" i="4"/>
  <c r="AZ204" i="3"/>
  <c r="AZ145" i="3"/>
  <c r="AZ225" i="3"/>
  <c r="AZ194" i="3"/>
  <c r="AZ130" i="3"/>
  <c r="AZ190" i="3" s="1"/>
  <c r="AY145" i="4" l="1"/>
  <c r="AY147" i="4" s="1"/>
  <c r="BC146" i="7"/>
  <c r="BC134" i="7"/>
  <c r="BC139" i="7"/>
  <c r="BC145" i="7"/>
  <c r="BC35" i="7"/>
  <c r="BC36" i="7"/>
  <c r="BC138" i="7"/>
  <c r="BC37" i="7"/>
  <c r="BC167" i="7"/>
  <c r="BC33" i="7"/>
  <c r="BC136" i="7"/>
  <c r="BC164" i="7"/>
  <c r="BC32" i="7"/>
  <c r="BC137" i="7"/>
  <c r="BC144" i="7"/>
  <c r="BC34" i="7"/>
  <c r="BC147" i="7"/>
  <c r="BC135" i="7"/>
  <c r="BC11" i="7"/>
  <c r="BC14" i="7"/>
  <c r="BC16" i="7"/>
  <c r="BC12" i="7"/>
  <c r="BC10" i="7"/>
  <c r="BC15" i="7"/>
  <c r="BC13" i="7"/>
  <c r="AY119" i="4"/>
  <c r="AY118" i="4" s="1"/>
  <c r="AY124" i="4" s="1"/>
  <c r="AY127" i="4" s="1"/>
  <c r="AU71" i="4" s="1" a="1"/>
  <c r="AU71" i="4" s="1"/>
  <c r="AY129" i="3"/>
  <c r="AY211" i="3" s="1"/>
  <c r="BD5" i="7"/>
  <c r="AY144" i="3"/>
  <c r="AY221" i="3" s="1"/>
  <c r="AY135" i="4"/>
  <c r="AY134" i="4" s="1"/>
  <c r="AY140" i="4" s="1"/>
  <c r="AY143" i="4" s="1"/>
  <c r="AY129" i="4"/>
  <c r="AY131" i="4" s="1"/>
  <c r="BA105" i="4"/>
  <c r="BA60" i="3"/>
  <c r="BA36" i="3"/>
  <c r="BA202" i="3" s="1"/>
  <c r="AZ23" i="3"/>
  <c r="AZ213" i="3" s="1"/>
  <c r="AZ48" i="3"/>
  <c r="AZ210" i="3" s="1"/>
  <c r="BA93" i="4"/>
  <c r="BA104" i="4"/>
  <c r="BA109" i="4"/>
  <c r="BA89" i="4"/>
  <c r="BA223" i="3"/>
  <c r="BA224" i="3" s="1"/>
  <c r="BA226" i="3" s="1"/>
  <c r="BA227" i="3" s="1"/>
  <c r="BE4" i="7"/>
  <c r="BB104" i="4" s="1"/>
  <c r="AX212" i="3"/>
  <c r="AX191" i="3"/>
  <c r="AX221" i="3"/>
  <c r="AX200" i="3"/>
  <c r="AX211" i="3"/>
  <c r="AZ108" i="4"/>
  <c r="AZ111" i="4" s="1"/>
  <c r="AZ114" i="4" s="1"/>
  <c r="AY146" i="4" l="1"/>
  <c r="AU72" i="4" a="1"/>
  <c r="AU72" i="4" s="1"/>
  <c r="AZ145" i="4"/>
  <c r="AZ147" i="4" s="1"/>
  <c r="BD33" i="7"/>
  <c r="BD146" i="7"/>
  <c r="BD34" i="7"/>
  <c r="BD145" i="7"/>
  <c r="BD134" i="7"/>
  <c r="BD138" i="7"/>
  <c r="BD147" i="7"/>
  <c r="BD139" i="7"/>
  <c r="BD167" i="7"/>
  <c r="BD164" i="7"/>
  <c r="BD136" i="7"/>
  <c r="BD141" i="7" s="1"/>
  <c r="BD35" i="7"/>
  <c r="BD36" i="7"/>
  <c r="BD37" i="7"/>
  <c r="BD32" i="7"/>
  <c r="BD144" i="7"/>
  <c r="BD135" i="7"/>
  <c r="BD137" i="7"/>
  <c r="BD15" i="7"/>
  <c r="BD14" i="7"/>
  <c r="BD13" i="7"/>
  <c r="BD16" i="7"/>
  <c r="BD11" i="7"/>
  <c r="BD12" i="7"/>
  <c r="BD10" i="7"/>
  <c r="BB140" i="7"/>
  <c r="BB141" i="7"/>
  <c r="AZ123" i="4" s="1"/>
  <c r="AZ90" i="4" s="1"/>
  <c r="AZ86" i="4"/>
  <c r="BB17" i="7"/>
  <c r="AV41" i="4" s="1"/>
  <c r="AZ87" i="4" s="1"/>
  <c r="AY86" i="4"/>
  <c r="AY85" i="4" s="1"/>
  <c r="AY91" i="4" s="1"/>
  <c r="AY94" i="4" s="1"/>
  <c r="AY97" i="4" s="1"/>
  <c r="AZ135" i="4"/>
  <c r="AZ134" i="4" s="1"/>
  <c r="AY102" i="4"/>
  <c r="AY101" i="4" s="1"/>
  <c r="AY107" i="4" s="1"/>
  <c r="AY110" i="4" s="1"/>
  <c r="BB148" i="7"/>
  <c r="BB38" i="7"/>
  <c r="AV42" i="4" s="1"/>
  <c r="BC141" i="7"/>
  <c r="BA123" i="4" s="1"/>
  <c r="BA90" i="4" s="1"/>
  <c r="AZ129" i="4"/>
  <c r="BB149" i="7"/>
  <c r="AZ139" i="4" s="1"/>
  <c r="AZ106" i="4" s="1"/>
  <c r="AY224" i="3"/>
  <c r="AY226" i="3" s="1"/>
  <c r="AY227" i="3" s="1"/>
  <c r="AZ144" i="3"/>
  <c r="AZ221" i="3" s="1"/>
  <c r="AZ129" i="3"/>
  <c r="AZ211" i="3" s="1"/>
  <c r="AY200" i="3"/>
  <c r="AY203" i="3" s="1"/>
  <c r="AY205" i="3" s="1"/>
  <c r="AY206" i="3" s="1"/>
  <c r="AX224" i="3"/>
  <c r="AX226" i="3" s="1"/>
  <c r="AX227" i="3" s="1"/>
  <c r="AX214" i="3"/>
  <c r="AX216" i="3" s="1"/>
  <c r="AX217" i="3" s="1"/>
  <c r="AX193" i="3"/>
  <c r="AX195" i="3" s="1"/>
  <c r="AX196" i="3" s="1"/>
  <c r="BA201" i="3"/>
  <c r="BA203" i="3" s="1"/>
  <c r="BA205" i="3" s="1"/>
  <c r="BA206" i="3" s="1"/>
  <c r="AY130" i="4"/>
  <c r="AX203" i="3"/>
  <c r="AX205" i="3" s="1"/>
  <c r="AX206" i="3" s="1"/>
  <c r="BB103" i="4"/>
  <c r="BB93" i="4"/>
  <c r="BB109" i="4"/>
  <c r="BB105" i="4"/>
  <c r="BA108" i="4"/>
  <c r="BA111" i="4" s="1"/>
  <c r="BA114" i="4" s="1"/>
  <c r="BB89" i="4"/>
  <c r="BA48" i="3"/>
  <c r="BA210" i="3" s="1"/>
  <c r="BA23" i="3"/>
  <c r="BA213" i="3" s="1"/>
  <c r="AY191" i="3"/>
  <c r="AY212" i="3"/>
  <c r="BE5" i="7"/>
  <c r="AZ201" i="3"/>
  <c r="AZ212" i="3"/>
  <c r="AZ191" i="3"/>
  <c r="BE167" i="7" l="1"/>
  <c r="BB145" i="4" s="1"/>
  <c r="BB147" i="4" s="1"/>
  <c r="BE134" i="7"/>
  <c r="BE138" i="7"/>
  <c r="BE33" i="7"/>
  <c r="BE135" i="7"/>
  <c r="BE32" i="7"/>
  <c r="BE136" i="7"/>
  <c r="BE164" i="7"/>
  <c r="BB129" i="4" s="1"/>
  <c r="BE147" i="7"/>
  <c r="BE146" i="7"/>
  <c r="BE149" i="7" s="1"/>
  <c r="BC139" i="4" s="1"/>
  <c r="BE144" i="7"/>
  <c r="BB102" i="4" s="1"/>
  <c r="BB101" i="4" s="1"/>
  <c r="BE139" i="7"/>
  <c r="BE34" i="7"/>
  <c r="BE145" i="7"/>
  <c r="BE137" i="7"/>
  <c r="BE35" i="7"/>
  <c r="BE36" i="7"/>
  <c r="BE37" i="7"/>
  <c r="BE10" i="7"/>
  <c r="BE13" i="7"/>
  <c r="BE11" i="7"/>
  <c r="BE16" i="7"/>
  <c r="BE14" i="7"/>
  <c r="BE15" i="7"/>
  <c r="BE12" i="7"/>
  <c r="BC149" i="7"/>
  <c r="BA139" i="4" s="1"/>
  <c r="BA106" i="4" s="1"/>
  <c r="AZ85" i="4"/>
  <c r="AV45" i="4"/>
  <c r="AV47" i="4" s="1"/>
  <c r="AZ119" i="4"/>
  <c r="BC140" i="7"/>
  <c r="BC17" i="7"/>
  <c r="AW41" i="4" s="1"/>
  <c r="BA120" i="4" s="1"/>
  <c r="AZ120" i="4"/>
  <c r="AZ200" i="3"/>
  <c r="AZ203" i="3" s="1"/>
  <c r="AZ205" i="3" s="1"/>
  <c r="AZ206" i="3" s="1"/>
  <c r="BC38" i="7"/>
  <c r="AW42" i="4" s="1"/>
  <c r="BC148" i="7"/>
  <c r="AY113" i="4"/>
  <c r="AZ102" i="4"/>
  <c r="AZ101" i="4" s="1"/>
  <c r="AZ107" i="4" s="1"/>
  <c r="AZ110" i="4" s="1"/>
  <c r="AZ113" i="4" s="1"/>
  <c r="AZ121" i="4"/>
  <c r="AZ88" i="4" s="1"/>
  <c r="BB108" i="4"/>
  <c r="BB111" i="4" s="1"/>
  <c r="BB114" i="4" s="1"/>
  <c r="AZ140" i="4"/>
  <c r="AZ143" i="4" s="1"/>
  <c r="AZ214" i="3"/>
  <c r="AZ216" i="3" s="1"/>
  <c r="AZ217" i="3" s="1"/>
  <c r="AZ224" i="3"/>
  <c r="AZ226" i="3" s="1"/>
  <c r="AZ227" i="3" s="1"/>
  <c r="AY214" i="3"/>
  <c r="AY216" i="3" s="1"/>
  <c r="AY217" i="3" s="1"/>
  <c r="BA212" i="3"/>
  <c r="BA214" i="3" s="1"/>
  <c r="BA216" i="3" s="1"/>
  <c r="BA217" i="3" s="1"/>
  <c r="BA191" i="3"/>
  <c r="BA193" i="3" s="1"/>
  <c r="BA195" i="3" s="1"/>
  <c r="BA196" i="3" s="1"/>
  <c r="AZ193" i="3"/>
  <c r="AZ195" i="3" s="1"/>
  <c r="AZ196" i="3" s="1"/>
  <c r="AY193" i="3"/>
  <c r="AY195" i="3" s="1"/>
  <c r="AY196" i="3" s="1"/>
  <c r="BA145" i="4"/>
  <c r="BA147" i="4" s="1"/>
  <c r="BA129" i="4"/>
  <c r="BB86" i="4"/>
  <c r="BB119" i="4"/>
  <c r="AZ146" i="4" l="1"/>
  <c r="AV72" i="4" a="1"/>
  <c r="AV72" i="4" s="1"/>
  <c r="BE141" i="7"/>
  <c r="BC123" i="4" s="1"/>
  <c r="BC90" i="4" s="1"/>
  <c r="BE17" i="7"/>
  <c r="AY41" i="4" s="1"/>
  <c r="BB135" i="4"/>
  <c r="BB134" i="4" s="1"/>
  <c r="BC106" i="4"/>
  <c r="BC107" i="4" s="1"/>
  <c r="BC110" i="4" s="1"/>
  <c r="BC113" i="4" s="1"/>
  <c r="BC140" i="4"/>
  <c r="BC143" i="4" s="1"/>
  <c r="BE38" i="7"/>
  <c r="AW45" i="4"/>
  <c r="AW47" i="4" s="1"/>
  <c r="AZ125" i="4"/>
  <c r="AZ128" i="4" s="1"/>
  <c r="AZ131" i="4" s="1"/>
  <c r="AZ118" i="4"/>
  <c r="AZ124" i="4" s="1"/>
  <c r="AZ127" i="4" s="1"/>
  <c r="BA87" i="4"/>
  <c r="BA121" i="4"/>
  <c r="BA88" i="4" s="1"/>
  <c r="BD148" i="7"/>
  <c r="BE148" i="7" s="1"/>
  <c r="BB123" i="4"/>
  <c r="BB90" i="4" s="1"/>
  <c r="BD17" i="7"/>
  <c r="AX41" i="4" s="1"/>
  <c r="BB87" i="4" s="1"/>
  <c r="BD140" i="7"/>
  <c r="BE140" i="7" s="1"/>
  <c r="BD38" i="7"/>
  <c r="AX42" i="4" s="1"/>
  <c r="BA102" i="4"/>
  <c r="BA101" i="4" s="1"/>
  <c r="BA107" i="4" s="1"/>
  <c r="BA110" i="4" s="1"/>
  <c r="BA135" i="4"/>
  <c r="BA134" i="4" s="1"/>
  <c r="BA140" i="4" s="1"/>
  <c r="BA143" i="4" s="1"/>
  <c r="BA119" i="4"/>
  <c r="BA118" i="4" s="1"/>
  <c r="BA86" i="4"/>
  <c r="BD149" i="7"/>
  <c r="BB139" i="4" s="1"/>
  <c r="BB106" i="4" s="1"/>
  <c r="BB107" i="4" s="1"/>
  <c r="BB110" i="4" s="1"/>
  <c r="AZ92" i="4"/>
  <c r="AZ95" i="4" s="1"/>
  <c r="AZ98" i="4" s="1"/>
  <c r="AZ91" i="4"/>
  <c r="AZ94" i="4" s="1"/>
  <c r="BA146" i="4" l="1"/>
  <c r="AW72" i="4" a="1"/>
  <c r="AW72" i="4" s="1"/>
  <c r="AZ130" i="4"/>
  <c r="AV71" i="4" a="1"/>
  <c r="AV71" i="4" s="1"/>
  <c r="BC146" i="4"/>
  <c r="AY72" i="4" a="1"/>
  <c r="AY72" i="4" s="1"/>
  <c r="AY42" i="4"/>
  <c r="BC121" i="4"/>
  <c r="BC88" i="4" s="1"/>
  <c r="BC120" i="4"/>
  <c r="BC87" i="4"/>
  <c r="AY45" i="4"/>
  <c r="AY47" i="4" s="1"/>
  <c r="BA124" i="4"/>
  <c r="BA127" i="4" s="1"/>
  <c r="AX45" i="4"/>
  <c r="AX47" i="4" s="1"/>
  <c r="F65" i="4" s="1"/>
  <c r="BA85" i="4"/>
  <c r="BA91" i="4" s="1"/>
  <c r="BA94" i="4" s="1"/>
  <c r="BA97" i="4" s="1"/>
  <c r="BA92" i="4"/>
  <c r="BA95" i="4" s="1"/>
  <c r="BA98" i="4" s="1"/>
  <c r="BA125" i="4"/>
  <c r="BA128" i="4" s="1"/>
  <c r="BA131" i="4" s="1"/>
  <c r="BB120" i="4"/>
  <c r="BB118" i="4" s="1"/>
  <c r="BB140" i="4"/>
  <c r="BB143" i="4" s="1"/>
  <c r="BA113" i="4"/>
  <c r="BB121" i="4"/>
  <c r="BB88" i="4" s="1"/>
  <c r="BB92" i="4" s="1"/>
  <c r="BB95" i="4" s="1"/>
  <c r="BB98" i="4" s="1"/>
  <c r="AZ97" i="4"/>
  <c r="BB113" i="4"/>
  <c r="BB85" i="4"/>
  <c r="BA130" i="4" l="1"/>
  <c r="AW71" i="4" a="1"/>
  <c r="AW71" i="4" s="1"/>
  <c r="BB146" i="4"/>
  <c r="AX72" i="4" a="1"/>
  <c r="AX72" i="4" s="1"/>
  <c r="F77" i="4" s="1"/>
  <c r="C14" i="8" s="1"/>
  <c r="BC85" i="4"/>
  <c r="BC91" i="4" s="1"/>
  <c r="BC94" i="4" s="1"/>
  <c r="BC97" i="4" s="1"/>
  <c r="BC92" i="4"/>
  <c r="BC95" i="4" s="1"/>
  <c r="BC98" i="4" s="1"/>
  <c r="BC118" i="4"/>
  <c r="BC124" i="4" s="1"/>
  <c r="BC127" i="4" s="1"/>
  <c r="BC125" i="4"/>
  <c r="BC128" i="4" s="1"/>
  <c r="BC131" i="4" s="1"/>
  <c r="G65" i="4"/>
  <c r="C5" i="8" s="1"/>
  <c r="C7" i="8" s="1"/>
  <c r="BB91" i="4"/>
  <c r="BB94" i="4" s="1"/>
  <c r="BB97" i="4" s="1"/>
  <c r="BB124" i="4"/>
  <c r="BB127" i="4" s="1"/>
  <c r="BB125" i="4"/>
  <c r="BB128" i="4" s="1"/>
  <c r="BB131" i="4" s="1"/>
  <c r="B5" i="8"/>
  <c r="B7" i="8" s="1"/>
  <c r="F67" i="4"/>
  <c r="E77" i="4" l="1"/>
  <c r="B14" i="8" s="1"/>
  <c r="BB130" i="4"/>
  <c r="AX71" i="4" a="1"/>
  <c r="AX71" i="4" s="1"/>
  <c r="F76" i="4" s="1"/>
  <c r="C13" i="8" s="1"/>
  <c r="C15" i="8" s="1"/>
  <c r="BC130" i="4"/>
  <c r="AY71" i="4" a="1"/>
  <c r="AY71" i="4" s="1"/>
  <c r="G67" i="4"/>
  <c r="E76" i="4" l="1"/>
  <c r="B13" i="8" s="1"/>
  <c r="B15" i="8" s="1"/>
  <c r="E7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tc={A7D28B31-006B-4DD7-B3B8-D6DEE14F717E}</author>
    <author>tc={00785D79-8C39-4750-B93A-43689D21D5E2}</author>
    <author>tc={BC8A5110-8E44-4051-B634-1E6F001E07AF}</author>
    <author>tc={975BF996-6160-458C-9D3E-874E9928F5F2}</author>
    <author>tc={47576FD6-7A28-4D90-B987-2CC838C583DF}</author>
    <author>tc={3FD8E67A-959B-46C4-8DCC-4440936DFF75}</author>
    <author>tc={6D05732E-8BB9-4A0B-A27E-553E3E378C3F}</author>
    <author>Tim Denne</author>
  </authors>
  <commentList>
    <comment ref="A8" authorId="0" shapeId="0" xr:uid="{A7D28B31-006B-4DD7-B3B8-D6DEE14F717E}">
      <text>
        <t>[Threaded comment]
Your version of Excel allows you to read this threaded comment; however, any edits to it will get removed if the file is opened in a newer version of Excel. Learn more: https://go.microsoft.com/fwlink/?linkid=870924
Comment:
    Which regional council or unitary authority, using definitions as per https://www.lgnz.co.nz/regionals/</t>
      </text>
    </comment>
    <comment ref="A10" authorId="1" shapeId="0" xr:uid="{00785D79-8C39-4750-B93A-43689D21D5E2}">
      <text>
        <t>[Threaded comment]
Your version of Excel allows you to read this threaded comment; however, any edits to it will get removed if the file is opened in a newer version of Excel. Learn more: https://go.microsoft.com/fwlink/?linkid=870924
Comment:
    The date of submission of the application - together with the expected commissioning date, this is used to calculate the speed of implementation score.</t>
      </text>
    </comment>
    <comment ref="A11" authorId="2" shapeId="0" xr:uid="{BC8A5110-8E44-4051-B634-1E6F001E07AF}">
      <text>
        <t>[Threaded comment]
Your version of Excel allows you to read this threaded comment; however, any edits to it will get removed if the file is opened in a newer version of Excel. Learn more: https://go.microsoft.com/fwlink/?linkid=870924
Comment:
    This is the calendar year during which the first expenditure on the Preferred Project occurs.</t>
      </text>
    </comment>
    <comment ref="A12" authorId="3" shapeId="0" xr:uid="{975BF996-6160-458C-9D3E-874E9928F5F2}">
      <text>
        <t>[Threaded comment]
Your version of Excel allows you to read this threaded comment; however, any edits to it will get removed if the file is opened in a newer version of Excel. Learn more: https://go.microsoft.com/fwlink/?linkid=870924
Comment:
    This is the date when the project will become operational.</t>
      </text>
    </comment>
    <comment ref="A21" authorId="4" shapeId="0" xr:uid="{47576FD6-7A28-4D90-B987-2CC838C583DF}">
      <text>
        <t>[Threaded comment]
Your version of Excel allows you to read this threaded comment; however, any edits to it will get removed if the file is opened in a newer version of Excel. Learn more: https://go.microsoft.com/fwlink/?linkid=870924
Comment:
    Commercial Buildings: please respond with “No”. Commercial space heating is not governed by the RMA rules for industrial process heat.
Industrial: if your project reduces coal consumption, please note that the use of coal to provide industrial process heat is subject to the Resource Management (National Environmental Standards for Greenhouse Gas Emissions from Industrial Process Heat) Regulations 2023 (SL 2023/165) – New Zealand Legislation.</t>
      </text>
    </comment>
    <comment ref="A22" authorId="5" shapeId="0" xr:uid="{3FD8E67A-959B-46C4-8DCC-4440936DFF75}">
      <text>
        <t>[Threaded comment]
Your version of Excel allows you to read this threaded comment; however, any edits to it will get removed if the file is opened in a newer version of Excel. Learn more: https://go.microsoft.com/fwlink/?linkid=870924
Comment:
    With reference to Resource Management (National Environmental Standards for Greenhouse Gas Emissions from Industrial Process Heat) Regulations 2023 (SL 2023/165) – New Zealand Legislation, the only valid project would be one that brought forward the timing of the requirement to phase-out the use of coal for industrial process heat from the start of 2037.</t>
      </text>
    </comment>
    <comment ref="A23" authorId="6" shapeId="0" xr:uid="{6D05732E-8BB9-4A0B-A27E-553E3E378C3F}">
      <text>
        <t>[Threaded comment]
Your version of Excel allows you to read this threaded comment; however, any edits to it will get removed if the file is opened in a newer version of Excel. Learn more: https://go.microsoft.com/fwlink/?linkid=870924
Comment:
    Note that high temperature heat pump projects will be evaluated over a maximum lifetime of 20 years. Other projects will be evaluated over a maximum lifetime of up to 25 years.</t>
      </text>
    </comment>
    <comment ref="A28" authorId="7" shapeId="0" xr:uid="{16E9A259-9797-4731-9792-29C46CB492ED}">
      <text>
        <r>
          <rPr>
            <sz val="9"/>
            <color indexed="81"/>
            <rFont val="Tahoma"/>
            <family val="2"/>
          </rPr>
          <t xml:space="preserve">This might be the weighted average cost of capital (WACC) or higher. It should be in nominal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Tim Denne</author>
    <author>tc={9801518E-64FF-4CBE-A1DC-F0245DB133AB}</author>
    <author>tc={D68D2717-F572-44A4-807D-0C2863A29A32}</author>
    <author>tc={B9AE5672-E3D0-4E52-A06F-CBEAA5CB69E0}</author>
    <author>tc={B187C689-E4F0-478E-AA93-20DBE15D78D4}</author>
    <author>tc={7B034D84-D197-4CCD-BC48-C2660418A646}</author>
    <author>tc={29CA0E7A-113A-49AC-A5B9-2A7C94F1B96F}</author>
    <author>tc={4B95563D-A0EB-4FD6-B7FA-A0073CE9EAEC}</author>
    <author>tc={6B3DF73A-A7E2-437D-BBF5-EFD2E905AA11}</author>
    <author>tc={134AB500-7A13-40D1-AE9F-230168DCBB1A}</author>
    <author>tc={08B30D32-1AC9-4474-B627-2EB6E21F3DEB}</author>
    <author>tc={B15D0C86-357E-43F5-AAE5-92B41466818E}</author>
    <author>tc={4715A132-1AAA-4372-9223-24B49E0D5CC8}</author>
    <author>tc={C625AEBE-BE42-4779-BD2B-F047E6F0DB12}</author>
    <author>tc={C4B8366A-7E67-4793-BBDC-7885AFBB0637}</author>
    <author>tc={39CF5F88-0E0B-4F53-9D76-70B56744FEA6}</author>
    <author>tc={702DB999-FAF0-48F0-BAE3-0CF46FC0427D}</author>
    <author>tc={2DF3B7A8-F7FE-42E2-B8EC-E0673788F5D2}</author>
    <author>tc={AEBE9C18-2C3A-4F51-BA5E-E72A1E8953DD}</author>
  </authors>
  <commentList>
    <comment ref="A6" authorId="0" shapeId="0" xr:uid="{5359920C-3DAA-4C3A-AB56-44526B69975D}">
      <text>
        <r>
          <rPr>
            <sz val="9"/>
            <color indexed="81"/>
            <rFont val="Tahoma"/>
            <family val="2"/>
          </rPr>
          <t>Debt finance assumptions included below are assumed to be in nominal terms but without requiring an inflation adjustment to calculate them</t>
        </r>
      </text>
    </comment>
    <comment ref="G15" authorId="1" shapeId="0" xr:uid="{9801518E-64FF-4CBE-A1DC-F0245DB133AB}">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27" authorId="2" shapeId="0" xr:uid="{D68D2717-F572-44A4-807D-0C2863A29A3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40" authorId="3" shapeId="0" xr:uid="{B9AE5672-E3D0-4E52-A06F-CBEAA5CB69E0}">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G41" authorId="4" shapeId="0" xr:uid="{B187C689-E4F0-478E-AA93-20DBE15D78D4}">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52" authorId="5" shapeId="0" xr:uid="{7B034D84-D197-4CCD-BC48-C2660418A64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63" authorId="6" shapeId="0" xr:uid="{29CA0E7A-113A-49AC-A5B9-2A7C94F1B96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76" authorId="7" shapeId="0" xr:uid="{4B95563D-A0EB-4FD6-B7FA-A0073CE9EAE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90" authorId="8" shapeId="0" xr:uid="{6B3DF73A-A7E2-437D-BBF5-EFD2E905AA1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03" authorId="9" shapeId="0" xr:uid="{134AB500-7A13-40D1-AE9F-230168DCBB1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116" authorId="10" shapeId="0" xr:uid="{08B30D32-1AC9-4474-B627-2EB6E21F3DEB}">
      <text>
        <t>[Threaded comment]
Your version of Excel allows you to read this threaded comment; however, any edits to it will get removed if the file is opened in a newer version of Excel. Learn more: https://go.microsoft.com/fwlink/?linkid=870924
Comment:
    'Fuel'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
      </text>
    </comment>
    <comment ref="G117" authorId="11" shapeId="0" xr:uid="{B15D0C86-357E-43F5-AAE5-92B41466818E}">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32" authorId="12" shapeId="0" xr:uid="{4715A132-1AAA-4372-9223-24B49E0D5CC8}">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49" authorId="13" shapeId="0" xr:uid="{C625AEBE-BE42-4779-BD2B-F047E6F0DB1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60" authorId="14" shapeId="0" xr:uid="{C4B8366A-7E67-4793-BBDC-7885AFBB0637}">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3" authorId="15" shapeId="0" xr:uid="{39CF5F88-0E0B-4F53-9D76-70B56744FEA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6" authorId="16" shapeId="0" xr:uid="{702DB999-FAF0-48F0-BAE3-0CF46FC0427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80" authorId="17" shapeId="0" xr:uid="{2DF3B7A8-F7FE-42E2-B8EC-E0673788F5D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83" authorId="18" shapeId="0" xr:uid="{AEBE9C18-2C3A-4F51-BA5E-E72A1E8953D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tc={EF2D52A9-30B0-43CF-B6B3-6646816A32AA}</author>
    <author>tc={6A5321F3-4999-464F-899E-ACF57A8D7CA3}</author>
    <author>tc={FA4950CF-66C2-4222-B0A5-08C273CBBD28}</author>
    <author>tc={5C5E1B04-8194-4DAF-B213-3E2C5C26BFCA}</author>
    <author>tc={AF63B22B-EF48-4D4C-81E6-7E5BF669E035}</author>
    <author>tc={03546D28-FB51-4264-9912-D4CB2EEDB03C}</author>
    <author>tc={550820E7-1CAA-4EED-AD07-350B2BE7F63C}</author>
    <author>tc={7C9CACC5-489A-45B8-A1A0-4D5A4A450086}</author>
    <author>tc={14FCC550-1EC7-4EBC-B59C-8CFA9BBFAD21}</author>
    <author>tc={9003105A-0263-4C11-902C-580A729D970A}</author>
    <author>tc={56DFB85B-75CB-4DAC-AD91-7161B6BD1C88}</author>
    <author>tc={6A92E070-CA19-4ED2-B31F-0165B5D508F6}</author>
    <author>tc={A8D9480C-8D67-459B-9031-3518A56FBF5C}</author>
    <author>tc={5BF1CD45-FA60-47B3-AB3D-6DE4909A103F}</author>
    <author>tc={CC565FF2-799D-4A86-A78E-71BD9C4F0009}</author>
    <author>tc={F6EB6B97-1FB0-4248-90E6-486303D69EC2}</author>
    <author>tc={DDA9CE3A-F1B6-4335-9655-5EB84717868E}</author>
    <author>tc={5E130C58-3E68-4EFA-A534-4713BD9DBD81}</author>
    <author>tc={CECF92D3-3F1C-479D-851D-4C58C04F442F}</author>
    <author>tc={45475DB8-697E-4417-8771-0D409F7F79DC}</author>
  </authors>
  <commentList>
    <comment ref="K9" authorId="0" shapeId="0" xr:uid="{EF2D52A9-30B0-43CF-B6B3-6646816A32A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9" authorId="1" shapeId="0" xr:uid="{6A5321F3-4999-464F-899E-ACF57A8D7CA3}">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30" authorId="2" shapeId="0" xr:uid="{FA4950CF-66C2-4222-B0A5-08C273CBBD28}">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K31" authorId="3" shapeId="0" xr:uid="{5C5E1B04-8194-4DAF-B213-3E2C5C26BFC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40" authorId="4" shapeId="0" xr:uid="{AF63B22B-EF48-4D4C-81E6-7E5BF669E035}">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I50" authorId="5" shapeId="0" xr:uid="{03546D28-FB51-4264-9912-D4CB2EEDB03C}">
      <text>
        <t>[Threaded comment]
Your version of Excel allows you to read this threaded comment; however, any edits to it will get removed if the file is opened in a newer version of Excel. Learn more: https://go.microsoft.com/fwlink/?linkid=870924
Comment:
    Use the drop-down menu to specify the type of fuel. Eg, Natural gas, LPG, etc.
Do not type different values, and do not leave a cell blank - i.e. leave as '&lt;Select&gt;' if there is no entry to make</t>
      </text>
    </comment>
    <comment ref="J50" authorId="6" shapeId="0" xr:uid="{550820E7-1CAA-4EED-AD07-350B2BE7F63C}">
      <text>
        <t>[Threaded comment]
Your version of Excel allows you to read this threaded comment; however, any edits to it will get removed if the file is opened in a newer version of Excel. Learn more: https://go.microsoft.com/fwlink/?linkid=870924
Comment:
    Use the drop-down menu to specify the units of the fuel projection. Eg, GJ, kg, kWh, litre.
Do not type different values, and do not leave a cell blank - i.e. leave as '&lt;Select&gt;' if there is no entry to make</t>
      </text>
    </comment>
    <comment ref="K50" authorId="7" shapeId="0" xr:uid="{7C9CACC5-489A-45B8-A1A0-4D5A4A45008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63" authorId="8" shapeId="0" xr:uid="{14FCC550-1EC7-4EBC-B59C-8CFA9BBFAD2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77" authorId="9" shapeId="0" xr:uid="{9003105A-0263-4C11-902C-580A729D970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90" authorId="10" shapeId="0" xr:uid="{56DFB85B-75CB-4DAC-AD91-7161B6BD1C88}">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103" authorId="11" shapeId="0" xr:uid="{6A92E070-CA19-4ED2-B31F-0165B5D508F6}">
      <text>
        <t>[Threaded comment]
Your version of Excel allows you to read this threaded comment; however, any edits to it will get removed if the file is opened in a newer version of Excel. Learn more: https://go.microsoft.com/fwlink/?linkid=870924
Comment:
    'Fuel'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
      </text>
    </comment>
    <comment ref="K104" authorId="12" shapeId="0" xr:uid="{A8D9480C-8D67-459B-9031-3518A56FBF5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18" authorId="13" shapeId="0" xr:uid="{5BF1CD45-FA60-47B3-AB3D-6DE4909A103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33" authorId="14" shapeId="0" xr:uid="{CC565FF2-799D-4A86-A78E-71BD9C4F0009}">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43" authorId="15" shapeId="0" xr:uid="{F6EB6B97-1FB0-4248-90E6-486303D69EC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56" authorId="16" shapeId="0" xr:uid="{DDA9CE3A-F1B6-4335-9655-5EB84717868E}">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59" authorId="17" shapeId="0" xr:uid="{5E130C58-3E68-4EFA-A534-4713BD9DBD8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63" authorId="18" shapeId="0" xr:uid="{CECF92D3-3F1C-479D-851D-4C58C04F442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K166" authorId="19" shapeId="0" xr:uid="{45475DB8-697E-4417-8771-0D409F7F79D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Tim Denne</author>
  </authors>
  <commentList>
    <comment ref="D163" authorId="0" shapeId="0" xr:uid="{223DB0CF-82CA-445A-8B65-5CF3E82A86AC}">
      <text>
        <r>
          <rPr>
            <sz val="9"/>
            <color indexed="81"/>
            <rFont val="Tahoma"/>
            <family val="2"/>
          </rPr>
          <t>This isolates the projected future repayments</t>
        </r>
      </text>
    </comment>
    <comment ref="D164" authorId="0" shapeId="0" xr:uid="{A36CF382-2D26-45C3-B922-9697164DE03B}">
      <text>
        <r>
          <rPr>
            <sz val="9"/>
            <color indexed="81"/>
            <rFont val="Tahoma"/>
            <family val="2"/>
          </rPr>
          <t>The future repayments are estimated as the amount left to repay multiplied by the original amount scheduled to be repaid in this year as a percentage of the sum of the original amounts still to be paid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Tim Denne</author>
  </authors>
  <commentList>
    <comment ref="F9" authorId="0" shapeId="0" xr:uid="{F57D3474-4B7F-4D5F-881F-70F5DFAAA868}">
      <text>
        <r>
          <rPr>
            <sz val="9"/>
            <color indexed="81"/>
            <rFont val="Tahoma"/>
            <family val="2"/>
          </rPr>
          <t>1L = 0.546 m3
1L = 25 MJ
Source: https://www.elgas.com.au/elgas-knowledge-hub/residential-lpg/lpg-gas-unit-conversions/</t>
        </r>
      </text>
    </comment>
    <comment ref="K18" authorId="0" shapeId="0" xr:uid="{97778E09-D6C2-435A-BC13-ACB93AB13482}">
      <text>
        <r>
          <rPr>
            <sz val="9"/>
            <color indexed="81"/>
            <rFont val="Tahoma"/>
            <family val="2"/>
          </rPr>
          <t>https://www.mbie.govt.nz/assets/Data-Files/Energy/electricity-demand-generation-scenarios-2024-results.xlsx</t>
        </r>
      </text>
    </comment>
    <comment ref="H22" authorId="0" shapeId="0" xr:uid="{E11F5794-9087-4AE0-9A2A-947C56346FC0}">
      <text>
        <r>
          <rPr>
            <sz val="9"/>
            <color indexed="81"/>
            <rFont val="Tahoma"/>
            <family val="2"/>
          </rPr>
          <t>https://www.elgas.com.au/elgas-knowledge-hub/residential-lpg/lpg-gas-unit-conversions/</t>
        </r>
      </text>
    </comment>
    <comment ref="H23" authorId="0" shapeId="0" xr:uid="{C8348852-1240-4346-BC02-72D217001428}">
      <text>
        <r>
          <rPr>
            <sz val="9"/>
            <color indexed="81"/>
            <rFont val="Tahoma"/>
            <family val="2"/>
          </rPr>
          <t>https://www.elgas.com.au/elgas-knowledge-hub/residential-lpg/lpg-gas-unit-conversions/</t>
        </r>
      </text>
    </comment>
    <comment ref="K23" authorId="0" shapeId="0" xr:uid="{CA4B9D6A-405D-4C9B-B7EE-30B50B181A37}">
      <text>
        <r>
          <rPr>
            <sz val="9"/>
            <color indexed="81"/>
            <rFont val="Tahoma"/>
            <family val="2"/>
          </rPr>
          <t>EDGS assumption</t>
        </r>
      </text>
    </comment>
    <comment ref="K24" authorId="0" shapeId="0" xr:uid="{99A94A91-131A-468E-916B-D8CD6ED5D60C}">
      <text>
        <r>
          <rPr>
            <sz val="9"/>
            <color indexed="81"/>
            <rFont val="Tahoma"/>
            <family val="2"/>
          </rPr>
          <t>CBAx</t>
        </r>
      </text>
    </comment>
    <comment ref="K28" authorId="0" shapeId="0" xr:uid="{24D297D3-293C-4F52-8D4A-3B2B2AA0638C}">
      <text>
        <r>
          <rPr>
            <sz val="9"/>
            <color indexed="81"/>
            <rFont val="Tahoma"/>
            <family val="2"/>
          </rPr>
          <t>https://www.climatecommission.govt.nz/public/Advice-to-govt-docs/Target-and-budgets-final-reports/ENZ-results-for-Final-EB4-advice.xlsx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<sst xmlns="http://schemas.openxmlformats.org/spreadsheetml/2006/main" count="2129" uniqueCount="349">
  <si>
    <t>Input data</t>
  </si>
  <si>
    <t>Project information</t>
  </si>
  <si>
    <t>Applicant's name</t>
  </si>
  <si>
    <t>Sector</t>
  </si>
  <si>
    <t>Agriculture, Forestry and Fishing</t>
  </si>
  <si>
    <t>Region</t>
  </si>
  <si>
    <t>Gisborne</t>
  </si>
  <si>
    <t>Name for proposed project</t>
  </si>
  <si>
    <t>Date of application submission (dd/mm/yy)</t>
  </si>
  <si>
    <t>First year of expenditure (yyyy)</t>
  </si>
  <si>
    <t>Expected commissioning date of proposed project (dd/mm/yy)</t>
  </si>
  <si>
    <t>Project type</t>
  </si>
  <si>
    <t>Early replacement of asset</t>
  </si>
  <si>
    <t>If not a retrofit, what is the expected economic or useful life of the new investment?</t>
  </si>
  <si>
    <t>The same as the the proposed project</t>
  </si>
  <si>
    <t>Does the project replace the use of coal for industrial process heat?</t>
  </si>
  <si>
    <t>No</t>
  </si>
  <si>
    <t>If this project replaces coal consumption for industrial process heat, does the project bring forward the time of replacement from the start of 2037?</t>
  </si>
  <si>
    <t>Yes</t>
  </si>
  <si>
    <t>Is this a heat pump project?</t>
  </si>
  <si>
    <t>What level of loan contribution are you requesting? ($)</t>
  </si>
  <si>
    <t>Start date? (dd/mm/yyyy)</t>
  </si>
  <si>
    <t>How long would the loan be for? (years)</t>
  </si>
  <si>
    <t>What is your hurdle rate for this investment (%)</t>
  </si>
  <si>
    <t>What basis is used for the hurdle rate?</t>
  </si>
  <si>
    <t>Pre-tax Nominal</t>
  </si>
  <si>
    <t>Return on Equity</t>
  </si>
  <si>
    <t xml:space="preserve">Inflation </t>
  </si>
  <si>
    <t>Cashflow values may be specified in real (ie, current year values) or nominal (values for the year of the cost or revenue item)</t>
  </si>
  <si>
    <t>I will include my own inflation assumptions</t>
  </si>
  <si>
    <t>If an inflation rate has been used to produce a future nominal value, please note it below</t>
  </si>
  <si>
    <t>Inflation rate in the year</t>
  </si>
  <si>
    <t>Inflator - use this to convert real values to nominal</t>
  </si>
  <si>
    <t>Deflator - use this to convert nominal values to real</t>
  </si>
  <si>
    <t>1) Capital expenditure (CAPEX) ($) - please enter all costs as positive numbers</t>
  </si>
  <si>
    <t>Value basis</t>
  </si>
  <si>
    <t>Nominal</t>
  </si>
  <si>
    <t>Proposed Project (PP)</t>
  </si>
  <si>
    <t>Capex item</t>
  </si>
  <si>
    <t>Applicant comment</t>
  </si>
  <si>
    <t>Equipment purchase</t>
  </si>
  <si>
    <t>Civil works</t>
  </si>
  <si>
    <t>Electrical works</t>
  </si>
  <si>
    <t>Installation</t>
  </si>
  <si>
    <t>Indirect costs</t>
  </si>
  <si>
    <t>Project management</t>
  </si>
  <si>
    <t>Other</t>
  </si>
  <si>
    <t>Total capex in nominal dollars</t>
  </si>
  <si>
    <t>Base Case (BC)</t>
  </si>
  <si>
    <t>Expand if more items</t>
  </si>
  <si>
    <t>2) Operating &amp; Maintenance Expenditure (OPEX) ($) - please enter all costs as positive numbers</t>
  </si>
  <si>
    <t>2a) Non-fuel opex</t>
  </si>
  <si>
    <t>Opex item</t>
  </si>
  <si>
    <t>Equipment Operation Costs</t>
  </si>
  <si>
    <t>Maintenance, Repairs, Inspections</t>
  </si>
  <si>
    <t>Compliance Testing</t>
  </si>
  <si>
    <t>Optimisation</t>
  </si>
  <si>
    <t>Utilities and Consumables</t>
  </si>
  <si>
    <t>Total non-fuel opex in nominal dollars</t>
  </si>
  <si>
    <t>2b) Fuel consumption</t>
  </si>
  <si>
    <t>Fuel type</t>
  </si>
  <si>
    <t>Units</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</si>
  <si>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</si>
  <si>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</si>
  <si>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</si>
  <si>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</si>
  <si>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</si>
  <si>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</si>
  <si>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</si>
  <si>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</si>
  <si>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</si>
  <si>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</si>
  <si>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</si>
  <si>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</si>
  <si>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</si>
  <si>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</si>
  <si>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</si>
  <si>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</si>
  <si>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</si>
  <si>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</si>
  <si>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</si>
  <si>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</si>
  <si>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</si>
  <si>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</si>
  <si>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</si>
  <si>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</si>
  <si>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</si>
  <si>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</si>
  <si>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</si>
  <si>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</si>
  <si>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</si>
  <si>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</si>
  <si>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</si>
  <si>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</si>
  <si>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</si>
  <si>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</si>
  <si>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</si>
  <si>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</si>
  <si>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</si>
  <si>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</si>
  <si>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</si>
  <si>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</si>
  <si>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</si>
  <si>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</si>
  <si>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</si>
  <si>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</si>
  <si>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</si>
  <si>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2b) Expected fuel prices (excl GST)</t>
  </si>
  <si>
    <t>ETS cost included?</t>
  </si>
  <si>
    <t>Real</t>
  </si>
  <si>
    <t>2c) Fuel costs</t>
  </si>
  <si>
    <t>Proposed Project</t>
  </si>
  <si>
    <t>Total fuel opex in nominal dollars</t>
  </si>
  <si>
    <t>4) Finance Costs</t>
  </si>
  <si>
    <t>ALL VALUES TO BE IN NOMINAL TERMS</t>
  </si>
  <si>
    <t>Please include assumptions on commercial debt additional to concessioary loan</t>
  </si>
  <si>
    <t>Commercial debt drawn</t>
  </si>
  <si>
    <t>Principal repayment</t>
  </si>
  <si>
    <t>Total commercial debt</t>
  </si>
  <si>
    <t>Interest paid</t>
  </si>
  <si>
    <t>Fees</t>
  </si>
  <si>
    <t>Costs of debt</t>
  </si>
  <si>
    <t>Concessionary loan assumed</t>
  </si>
  <si>
    <t>Debt drawn</t>
  </si>
  <si>
    <t>Total debt</t>
  </si>
  <si>
    <t>5) Change in revenue</t>
  </si>
  <si>
    <r>
      <t xml:space="preserve">Because the project may only be part of the production process, it may be inappropriate to include all revenue. For analysis our interest is only in the </t>
    </r>
    <r>
      <rPr>
        <u/>
        <sz val="14"/>
        <color theme="1"/>
        <rFont val="Aptos Narrow"/>
        <family val="2"/>
        <scheme val="minor"/>
      </rPr>
      <t>change</t>
    </r>
    <r>
      <rPr>
        <sz val="14"/>
        <color theme="1"/>
        <rFont val="Aptos Narrow"/>
        <family val="2"/>
        <scheme val="minor"/>
      </rPr>
      <t xml:space="preserve"> in revenue. This means, you can either: (a) include only the change in revenue in the Proposed Project section and leave the Base Case revenue blank, or (b) include total revenue (or some part of it) for both the Proposed Project  and the Base Case. The difference between the PP and BC revenue values should be exactly the same regardless of whether approach (a) or (b) is taken</t>
    </r>
  </si>
  <si>
    <t>Revenue</t>
  </si>
  <si>
    <t>Sales revenue</t>
  </si>
  <si>
    <t>6)  Tax</t>
  </si>
  <si>
    <t>Estimated tax</t>
  </si>
  <si>
    <t xml:space="preserve">7)  Summary - Private perspective </t>
  </si>
  <si>
    <t>a) Nominal</t>
  </si>
  <si>
    <t>Non-fuel opex</t>
  </si>
  <si>
    <t>Fuel opex</t>
  </si>
  <si>
    <t>Cost of debt</t>
  </si>
  <si>
    <t>Total annual costs</t>
  </si>
  <si>
    <t>Net costs/revenue before tax</t>
  </si>
  <si>
    <t>Net costs/revenue after tax</t>
  </si>
  <si>
    <t>b) Real</t>
  </si>
  <si>
    <t>Financial projection basis</t>
  </si>
  <si>
    <t>GJ</t>
  </si>
  <si>
    <t>$/GJ</t>
  </si>
  <si>
    <t>Category</t>
  </si>
  <si>
    <t>Tax</t>
  </si>
  <si>
    <t>Final Year</t>
  </si>
  <si>
    <t>Base Case</t>
  </si>
  <si>
    <t>Emissions</t>
  </si>
  <si>
    <t>PP</t>
  </si>
  <si>
    <t>Electricity</t>
  </si>
  <si>
    <t>Natural Gas</t>
  </si>
  <si>
    <t>Coal - sub bituminous</t>
  </si>
  <si>
    <t>Coal - bituminous</t>
  </si>
  <si>
    <t>Coal - lignite</t>
  </si>
  <si>
    <t>Diesel</t>
  </si>
  <si>
    <t>LPG</t>
  </si>
  <si>
    <t>Light fuel oil</t>
  </si>
  <si>
    <t>Heavy fuel oil</t>
  </si>
  <si>
    <t>Geothermal</t>
  </si>
  <si>
    <t>Wood or wood chips</t>
  </si>
  <si>
    <t>BC</t>
  </si>
  <si>
    <t>Total PP</t>
  </si>
  <si>
    <t>Total BC</t>
  </si>
  <si>
    <t>Shadow costs</t>
  </si>
  <si>
    <t>ETS costs</t>
  </si>
  <si>
    <t>Summary - National Perspective</t>
  </si>
  <si>
    <t>Capex</t>
  </si>
  <si>
    <t>Emission costs</t>
  </si>
  <si>
    <t>Total costs</t>
  </si>
  <si>
    <t>Revenues</t>
  </si>
  <si>
    <t>Net</t>
  </si>
  <si>
    <t>Discount factor</t>
  </si>
  <si>
    <t>DR</t>
  </si>
  <si>
    <t>Final year for assessment (PP)</t>
  </si>
  <si>
    <t>Final year for assessment (BC)</t>
  </si>
  <si>
    <t>NPV</t>
  </si>
  <si>
    <t xml:space="preserve">PP </t>
  </si>
  <si>
    <t>Preferred:</t>
  </si>
  <si>
    <t>Basis</t>
  </si>
  <si>
    <t>Hurdle factor</t>
  </si>
  <si>
    <t>Net costs/revenues</t>
  </si>
  <si>
    <t>Private Returns</t>
  </si>
  <si>
    <t>Row No</t>
  </si>
  <si>
    <t xml:space="preserve">Summary - Private perspective </t>
  </si>
  <si>
    <t>Capex - equity funded</t>
  </si>
  <si>
    <t>Capex - debt funded</t>
  </si>
  <si>
    <t>Capex total</t>
  </si>
  <si>
    <t>Total annual costs (ROE basis)</t>
  </si>
  <si>
    <t>Total annual costs (ROI basis)</t>
  </si>
  <si>
    <t>Net costs/revenue before tax (ROE)</t>
  </si>
  <si>
    <t>Net costs/revenue before tax (ROI)</t>
  </si>
  <si>
    <t>Net costs/revenue after tax (ROE)</t>
  </si>
  <si>
    <t>Net costs/revenue after tax (ROI)</t>
  </si>
  <si>
    <t>National perspective</t>
  </si>
  <si>
    <t>Private perspective</t>
  </si>
  <si>
    <t>IRR</t>
  </si>
  <si>
    <t>Sectors</t>
  </si>
  <si>
    <t>Regions</t>
  </si>
  <si>
    <t>Fuel</t>
  </si>
  <si>
    <t>Consump-tion unit</t>
  </si>
  <si>
    <t>GJ conversion</t>
  </si>
  <si>
    <t>Unit for Emission Factor</t>
  </si>
  <si>
    <r>
      <t>Emission factor (kg CO</t>
    </r>
    <r>
      <rPr>
        <b/>
        <vertAlign val="subscript"/>
        <sz val="11"/>
        <color theme="1"/>
        <rFont val="Aptos Narrow"/>
        <family val="2"/>
        <scheme val="minor"/>
      </rPr>
      <t>2</t>
    </r>
    <r>
      <rPr>
        <b/>
        <sz val="11"/>
        <color theme="1"/>
        <rFont val="Aptos Narrow"/>
        <family val="2"/>
        <scheme val="minor"/>
      </rPr>
      <t>-e/unit)</t>
    </r>
  </si>
  <si>
    <r>
      <t>Emission factor (t CO</t>
    </r>
    <r>
      <rPr>
        <b/>
        <vertAlign val="subscript"/>
        <sz val="11"/>
        <color theme="1"/>
        <rFont val="Aptos Narrow"/>
        <family val="2"/>
        <scheme val="minor"/>
      </rPr>
      <t>2</t>
    </r>
    <r>
      <rPr>
        <b/>
        <sz val="11"/>
        <color theme="1"/>
        <rFont val="Aptos Narrow"/>
        <family val="2"/>
        <scheme val="minor"/>
      </rPr>
      <t>-e/ consumption unit)</t>
    </r>
  </si>
  <si>
    <t>Emission factors by year</t>
  </si>
  <si>
    <t>&lt;Select&gt;</t>
  </si>
  <si>
    <t>Commercial</t>
  </si>
  <si>
    <t>Northland</t>
  </si>
  <si>
    <t>MWh</t>
  </si>
  <si>
    <t>kWh</t>
  </si>
  <si>
    <t>Construction</t>
  </si>
  <si>
    <t>Auckland</t>
  </si>
  <si>
    <t>Waikato</t>
  </si>
  <si>
    <t>tonnes</t>
  </si>
  <si>
    <t>kg</t>
  </si>
  <si>
    <t>Dairy Product Manufacturing</t>
  </si>
  <si>
    <t>Bay of Plenty</t>
  </si>
  <si>
    <t>Industrial others</t>
  </si>
  <si>
    <t>Meat and Meat Product Manufacturing and Seafood</t>
  </si>
  <si>
    <t>Hawke’s Bay</t>
  </si>
  <si>
    <t>litres</t>
  </si>
  <si>
    <t>Mining</t>
  </si>
  <si>
    <t>Taranaki</t>
  </si>
  <si>
    <t>m3</t>
  </si>
  <si>
    <t>Non-Metallic Mineral Product Manufacturing</t>
  </si>
  <si>
    <t>Manawatu-Whanganui</t>
  </si>
  <si>
    <t>Other Food Product Manufacturing</t>
  </si>
  <si>
    <t>Wellington</t>
  </si>
  <si>
    <t>Petroleum, Basic Chemical and Rubber Product Manufacturing</t>
  </si>
  <si>
    <t>Tasman</t>
  </si>
  <si>
    <t>Primary Metal and Metal Product Manufacturing</t>
  </si>
  <si>
    <t>Nelson</t>
  </si>
  <si>
    <t>Pulp, Paper and Converted Paper Product Manufacturing</t>
  </si>
  <si>
    <t>Marlborough</t>
  </si>
  <si>
    <t>Wood Product Manufacturing</t>
  </si>
  <si>
    <t>West Coast</t>
  </si>
  <si>
    <t>Canterbury</t>
  </si>
  <si>
    <t>Electricity emisisons</t>
  </si>
  <si>
    <t>Otago</t>
  </si>
  <si>
    <t>Unit 1</t>
  </si>
  <si>
    <t>Unit 2</t>
  </si>
  <si>
    <t>Multiplier</t>
  </si>
  <si>
    <t>Parameter</t>
  </si>
  <si>
    <t>Southland</t>
  </si>
  <si>
    <t>Any</t>
  </si>
  <si>
    <t>EDGS - Reference scenario</t>
  </si>
  <si>
    <t>Electricity Allocation Factor (t CO2e/MWh)</t>
  </si>
  <si>
    <t>Wholesale price projection no ETS ($/MWh)</t>
  </si>
  <si>
    <t>Distribution costs ($/MWh)</t>
  </si>
  <si>
    <t>Total marginal cost ($/MWh)</t>
  </si>
  <si>
    <t>NZU Price projection</t>
  </si>
  <si>
    <t>Shadow price (central)</t>
  </si>
  <si>
    <t>Shadow price (low)</t>
  </si>
  <si>
    <t>Shadow price (chigh)</t>
  </si>
  <si>
    <t>CCC Current Policy Reference ($/MWh)</t>
  </si>
  <si>
    <t>Carbon price assumption</t>
  </si>
  <si>
    <t>Ex ETS</t>
  </si>
  <si>
    <t>Inflation</t>
  </si>
  <si>
    <t>Project Options</t>
  </si>
  <si>
    <t>Q2</t>
  </si>
  <si>
    <t>Final year</t>
  </si>
  <si>
    <t>Q3</t>
  </si>
  <si>
    <t>Q4</t>
  </si>
  <si>
    <t xml:space="preserve"> </t>
  </si>
  <si>
    <t>Retrofit of existing asset</t>
  </si>
  <si>
    <t>Expected final year of operation/use of existing asset</t>
  </si>
  <si>
    <t>Information not required</t>
  </si>
  <si>
    <t>Replacing asset at the end of its life</t>
  </si>
  <si>
    <t>Without the loan, what would the existing asset be replaced with at the end of its life?</t>
  </si>
  <si>
    <t>What would be the expected life of the replacement asset in the base case (no loan)</t>
  </si>
  <si>
    <t>Expected final year of operation/use of existing asset if not replaced early</t>
  </si>
  <si>
    <t>Choice</t>
  </si>
  <si>
    <t>Options</t>
  </si>
  <si>
    <t>The same as the current asset</t>
  </si>
  <si>
    <t>Hurdle rate</t>
  </si>
  <si>
    <t>Something different</t>
  </si>
  <si>
    <t>Pre-tax Real</t>
  </si>
  <si>
    <t>Post-tax Real</t>
  </si>
  <si>
    <t>Post-tax Nominal</t>
  </si>
  <si>
    <t>Return on Whole Investment</t>
  </si>
  <si>
    <t>Field</t>
  </si>
  <si>
    <t>Value</t>
  </si>
  <si>
    <t>Notes</t>
  </si>
  <si>
    <t>Base year</t>
  </si>
  <si>
    <t>ProjectID</t>
  </si>
  <si>
    <t>2%</t>
  </si>
  <si>
    <t>8%</t>
  </si>
  <si>
    <t>Energy savings</t>
  </si>
  <si>
    <t>Total</t>
  </si>
  <si>
    <t>Energy savings (GJ)</t>
  </si>
  <si>
    <t>Analysis year - this should be the current year</t>
  </si>
  <si>
    <t>Repayments</t>
  </si>
  <si>
    <t>Energy increase (increased output)</t>
  </si>
  <si>
    <t>Year:</t>
  </si>
  <si>
    <t>Is the hurdle rate for the return on equity only or for the whole investment</t>
  </si>
  <si>
    <r>
      <t xml:space="preserve">Information should be included on the </t>
    </r>
    <r>
      <rPr>
        <b/>
        <sz val="11"/>
        <color theme="1" tint="0.249977111117893"/>
        <rFont val="Aptos Narrow"/>
        <family val="2"/>
        <scheme val="minor"/>
      </rPr>
      <t>proposed project (assuming the loan is given)</t>
    </r>
    <r>
      <rPr>
        <sz val="11"/>
        <color theme="1" tint="0.249977111117893"/>
        <rFont val="Aptos Narrow"/>
        <family val="2"/>
        <scheme val="minor"/>
      </rPr>
      <t xml:space="preserve"> and the </t>
    </r>
    <r>
      <rPr>
        <b/>
        <sz val="11"/>
        <color theme="1" tint="0.249977111117893"/>
        <rFont val="Aptos Narrow"/>
        <family val="2"/>
        <scheme val="minor"/>
      </rPr>
      <t>base case 
(what you would do without the loan)</t>
    </r>
  </si>
  <si>
    <t>For EECA use only</t>
  </si>
  <si>
    <t>Energy savings ($)</t>
  </si>
  <si>
    <t>Revenue repayment</t>
  </si>
  <si>
    <t>Calculation</t>
  </si>
  <si>
    <t>Suggested repayment %</t>
  </si>
  <si>
    <t>Repayment amount</t>
  </si>
  <si>
    <t>$ savings</t>
  </si>
  <si>
    <t>2025</t>
  </si>
  <si>
    <t>Repayment</t>
  </si>
  <si>
    <t>Please enter the inflation rate you have assumed here:</t>
  </si>
  <si>
    <t>Proportion of year</t>
  </si>
  <si>
    <t>Inflator to end of year - use this to convert real values to nominal</t>
  </si>
  <si>
    <t>Occasion</t>
  </si>
  <si>
    <t>Initial application</t>
  </si>
  <si>
    <t>Costs of equity (excluding concessionary loan)</t>
  </si>
  <si>
    <t>Cost of equity</t>
  </si>
  <si>
    <t>Years from start:</t>
  </si>
  <si>
    <t>Initial schedule</t>
  </si>
  <si>
    <t>Payments made to date</t>
  </si>
  <si>
    <t>Revised schedule</t>
  </si>
  <si>
    <t>New schedule</t>
  </si>
  <si>
    <t>Q5</t>
  </si>
  <si>
    <t xml:space="preserve">Occasion </t>
  </si>
  <si>
    <t>Min/Max Validation Values</t>
  </si>
  <si>
    <t>12 months</t>
  </si>
  <si>
    <t>24 months</t>
  </si>
  <si>
    <t>36 months</t>
  </si>
  <si>
    <t>48 months</t>
  </si>
  <si>
    <t>60 months</t>
  </si>
  <si>
    <t>The spreadsheet consists of the following tabs:</t>
  </si>
  <si>
    <t>Concessionary Loans Application Template</t>
  </si>
  <si>
    <r>
      <t>This spreadsheet is for the applicant to fill in information about the '</t>
    </r>
    <r>
      <rPr>
        <b/>
        <sz val="11"/>
        <color theme="1"/>
        <rFont val="Aptos Narrow"/>
        <family val="2"/>
        <scheme val="minor"/>
      </rPr>
      <t>Proposed Project</t>
    </r>
    <r>
      <rPr>
        <sz val="11"/>
        <color theme="1"/>
        <rFont val="Aptos Narrow"/>
        <family val="2"/>
        <scheme val="minor"/>
      </rPr>
      <t xml:space="preserve">' (i.e., the project for which </t>
    </r>
    <r>
      <rPr>
        <b/>
        <sz val="11"/>
        <color theme="1"/>
        <rFont val="Aptos Narrow"/>
        <family val="2"/>
        <scheme val="minor"/>
      </rPr>
      <t>Concessions Loan</t>
    </r>
    <r>
      <rPr>
        <sz val="11"/>
        <color theme="1"/>
        <rFont val="Aptos Narrow"/>
        <family val="2"/>
        <scheme val="minor"/>
      </rPr>
      <t xml:space="preserve"> funds are sought) and also a '</t>
    </r>
    <r>
      <rPr>
        <b/>
        <sz val="11"/>
        <color theme="1"/>
        <rFont val="Aptos Narrow"/>
        <family val="2"/>
        <scheme val="minor"/>
      </rPr>
      <t>Base Case</t>
    </r>
    <r>
      <rPr>
        <sz val="11"/>
        <color theme="1"/>
        <rFont val="Aptos Narrow"/>
        <family val="2"/>
        <scheme val="minor"/>
      </rPr>
      <t xml:space="preserve">' (i.e., the outcomes if the project were not to proceed).
For example, the </t>
    </r>
    <r>
      <rPr>
        <b/>
        <sz val="11"/>
        <color theme="1"/>
        <rFont val="Aptos Narrow"/>
        <family val="2"/>
        <scheme val="minor"/>
      </rPr>
      <t>Proposed Project</t>
    </r>
    <r>
      <rPr>
        <sz val="11"/>
        <color theme="1"/>
        <rFont val="Aptos Narrow"/>
        <family val="2"/>
        <scheme val="minor"/>
      </rPr>
      <t xml:space="preserve"> could be the replacement of a </t>
    </r>
    <r>
      <rPr>
        <b/>
        <sz val="11"/>
        <color theme="1"/>
        <rFont val="Aptos Narrow"/>
        <family val="2"/>
        <scheme val="minor"/>
      </rPr>
      <t>coal-fired boiler</t>
    </r>
    <r>
      <rPr>
        <sz val="11"/>
        <color theme="1"/>
        <rFont val="Aptos Narrow"/>
        <family val="2"/>
        <scheme val="minor"/>
      </rPr>
      <t xml:space="preserve"> with a </t>
    </r>
    <r>
      <rPr>
        <b/>
        <sz val="11"/>
        <color theme="1"/>
        <rFont val="Aptos Narrow"/>
        <family val="2"/>
        <scheme val="minor"/>
      </rPr>
      <t>biomass boiler</t>
    </r>
    <r>
      <rPr>
        <sz val="11"/>
        <color theme="1"/>
        <rFont val="Aptos Narrow"/>
        <family val="2"/>
        <scheme val="minor"/>
      </rPr>
      <t xml:space="preserve">, whereas the </t>
    </r>
    <r>
      <rPr>
        <b/>
        <sz val="11"/>
        <color theme="1"/>
        <rFont val="Aptos Narrow"/>
        <family val="2"/>
        <scheme val="minor"/>
      </rPr>
      <t>Base Case</t>
    </r>
    <r>
      <rPr>
        <sz val="11"/>
        <color theme="1"/>
        <rFont val="Aptos Narrow"/>
        <family val="2"/>
        <scheme val="minor"/>
      </rPr>
      <t xml:space="preserve"> could be the </t>
    </r>
    <r>
      <rPr>
        <b/>
        <sz val="11"/>
        <color theme="1"/>
        <rFont val="Aptos Narrow"/>
        <family val="2"/>
        <scheme val="minor"/>
      </rPr>
      <t xml:space="preserve">coal-fired boiler </t>
    </r>
    <r>
      <rPr>
        <sz val="11"/>
        <color theme="1"/>
        <rFont val="Aptos Narrow"/>
        <family val="2"/>
        <scheme val="minor"/>
      </rPr>
      <t>continuing to operate.</t>
    </r>
  </si>
  <si>
    <t>Scenario</t>
  </si>
  <si>
    <t>ProjectId</t>
  </si>
  <si>
    <t>LifeCycleMonths</t>
  </si>
  <si>
    <t>ExpenseType</t>
  </si>
  <si>
    <t>capex</t>
  </si>
  <si>
    <t>opex</t>
  </si>
  <si>
    <t>72 months</t>
  </si>
  <si>
    <t>84 months</t>
  </si>
  <si>
    <t>96 months</t>
  </si>
  <si>
    <t>108 months</t>
  </si>
  <si>
    <t>120 months</t>
  </si>
  <si>
    <r>
      <rPr>
        <b/>
        <i/>
        <sz val="11"/>
        <color theme="1"/>
        <rFont val="Calibri"/>
        <family val="2"/>
      </rPr>
      <t>Project description:</t>
    </r>
    <r>
      <rPr>
        <sz val="11"/>
        <color theme="1"/>
        <rFont val="Aptos Narrow"/>
        <family val="2"/>
        <scheme val="minor"/>
      </rPr>
      <t xml:space="preserve">  </t>
    </r>
  </si>
  <si>
    <r>
      <t>This has some</t>
    </r>
    <r>
      <rPr>
        <b/>
        <sz val="11"/>
        <color theme="1"/>
        <rFont val="Aptos Narrow"/>
        <family val="2"/>
        <scheme val="minor"/>
      </rPr>
      <t xml:space="preserve"> input cells </t>
    </r>
    <r>
      <rPr>
        <sz val="11"/>
        <color theme="1"/>
        <rFont val="Aptos Narrow"/>
        <family val="2"/>
        <scheme val="minor"/>
      </rPr>
      <t xml:space="preserve">for applicants to fill in regarding the </t>
    </r>
    <r>
      <rPr>
        <b/>
        <sz val="11"/>
        <color theme="1"/>
        <rFont val="Aptos Narrow"/>
        <family val="2"/>
        <scheme val="minor"/>
      </rPr>
      <t>name</t>
    </r>
    <r>
      <rPr>
        <sz val="11"/>
        <color theme="1"/>
        <rFont val="Aptos Narrow"/>
        <family val="2"/>
        <scheme val="minor"/>
      </rPr>
      <t xml:space="preserve"> and</t>
    </r>
    <r>
      <rPr>
        <b/>
        <sz val="11"/>
        <color theme="1"/>
        <rFont val="Aptos Narrow"/>
        <family val="2"/>
        <scheme val="minor"/>
      </rPr>
      <t xml:space="preserve"> type of project</t>
    </r>
    <r>
      <rPr>
        <sz val="11"/>
        <color theme="1"/>
        <rFont val="Aptos Narrow"/>
        <family val="2"/>
        <scheme val="minor"/>
      </rPr>
      <t>, starting dates and the applicant's</t>
    </r>
    <r>
      <rPr>
        <b/>
        <sz val="11"/>
        <color theme="1"/>
        <rFont val="Aptos Narrow"/>
        <family val="2"/>
        <scheme val="minor"/>
      </rPr>
      <t xml:space="preserve"> investment criteria.</t>
    </r>
  </si>
  <si>
    <r>
      <rPr>
        <b/>
        <i/>
        <sz val="11"/>
        <color theme="1"/>
        <rFont val="Calibri"/>
        <family val="2"/>
      </rPr>
      <t>Inputs:</t>
    </r>
    <r>
      <rPr>
        <sz val="11"/>
        <color theme="1"/>
        <rFont val="Aptos Narrow"/>
        <family val="2"/>
        <scheme val="minor"/>
      </rPr>
      <t xml:space="preserve">  </t>
    </r>
  </si>
  <si>
    <r>
      <t xml:space="preserve">This is the </t>
    </r>
    <r>
      <rPr>
        <b/>
        <sz val="11"/>
        <color theme="1"/>
        <rFont val="Aptos Narrow"/>
        <family val="2"/>
        <scheme val="minor"/>
      </rPr>
      <t>main tab</t>
    </r>
    <r>
      <rPr>
        <sz val="11"/>
        <color theme="1"/>
        <rFont val="Aptos Narrow"/>
        <family val="2"/>
        <scheme val="minor"/>
      </rPr>
      <t xml:space="preserve"> for the applicant to fill in projected </t>
    </r>
    <r>
      <rPr>
        <b/>
        <sz val="11"/>
        <color theme="1"/>
        <rFont val="Aptos Narrow"/>
        <family val="2"/>
        <scheme val="minor"/>
      </rPr>
      <t>Capex</t>
    </r>
    <r>
      <rPr>
        <sz val="11"/>
        <color theme="1"/>
        <rFont val="Aptos Narrow"/>
        <family val="2"/>
        <scheme val="minor"/>
      </rPr>
      <t xml:space="preserve"> and</t>
    </r>
    <r>
      <rPr>
        <b/>
        <sz val="11"/>
        <color theme="1"/>
        <rFont val="Aptos Narrow"/>
        <family val="2"/>
        <scheme val="minor"/>
      </rPr>
      <t xml:space="preserve"> Opex</t>
    </r>
    <r>
      <rPr>
        <sz val="11"/>
        <color theme="1"/>
        <rFont val="Aptos Narrow"/>
        <family val="2"/>
        <scheme val="minor"/>
      </rPr>
      <t xml:space="preserve"> cashflows for the </t>
    </r>
    <r>
      <rPr>
        <b/>
        <sz val="11"/>
        <color theme="1"/>
        <rFont val="Aptos Narrow"/>
        <family val="2"/>
        <scheme val="minor"/>
      </rPr>
      <t>Proposed Project</t>
    </r>
    <r>
      <rPr>
        <sz val="11"/>
        <color theme="1"/>
        <rFont val="Aptos Narrow"/>
        <family val="2"/>
        <scheme val="minor"/>
      </rPr>
      <t xml:space="preserve"> and the</t>
    </r>
    <r>
      <rPr>
        <b/>
        <sz val="11"/>
        <color theme="1"/>
        <rFont val="Aptos Narrow"/>
        <family val="2"/>
        <scheme val="minor"/>
      </rPr>
      <t xml:space="preserve"> Base Case</t>
    </r>
    <r>
      <rPr>
        <sz val="11"/>
        <color theme="1"/>
        <rFont val="Aptos Narrow"/>
        <family val="2"/>
        <scheme val="minor"/>
      </rPr>
      <t xml:space="preserve">, as well as projected </t>
    </r>
    <r>
      <rPr>
        <b/>
        <sz val="11"/>
        <color theme="1"/>
        <rFont val="Aptos Narrow"/>
        <family val="2"/>
        <scheme val="minor"/>
      </rPr>
      <t>fuel consumption</t>
    </r>
    <r>
      <rPr>
        <sz val="11"/>
        <color theme="1"/>
        <rFont val="Aptos Narrow"/>
        <family val="2"/>
        <scheme val="minor"/>
      </rPr>
      <t xml:space="preserve"> for both situations.</t>
    </r>
  </si>
  <si>
    <r>
      <rPr>
        <b/>
        <i/>
        <sz val="11"/>
        <color theme="1"/>
        <rFont val="Calibri"/>
        <family val="2"/>
      </rPr>
      <t xml:space="preserve">Scratch: </t>
    </r>
    <r>
      <rPr>
        <sz val="11"/>
        <color theme="1"/>
        <rFont val="Aptos Narrow"/>
        <family val="2"/>
        <scheme val="minor"/>
      </rPr>
      <t xml:space="preserve"> </t>
    </r>
  </si>
  <si>
    <t>This is a tab which applicants can use if they wish to do their own bespoke calculations - noting that the rest of the spreadsheet is 'locked-down' to enable EECA to extract and evaluate data in a rigorous fashion.</t>
  </si>
  <si>
    <r>
      <rPr>
        <b/>
        <i/>
        <sz val="11"/>
        <color theme="1"/>
        <rFont val="Aptos Narrow"/>
        <family val="2"/>
        <scheme val="minor"/>
      </rPr>
      <t>Real values:</t>
    </r>
    <r>
      <rPr>
        <sz val="11"/>
        <color theme="1"/>
        <rFont val="Aptos Narrow"/>
        <family val="2"/>
        <scheme val="minor"/>
      </rPr>
      <t xml:space="preserve">  </t>
    </r>
  </si>
  <si>
    <t xml:space="preserve">Results: </t>
  </si>
  <si>
    <r>
      <t>This tab includes</t>
    </r>
    <r>
      <rPr>
        <b/>
        <sz val="11"/>
        <color theme="1"/>
        <rFont val="Aptos Narrow"/>
        <family val="2"/>
        <scheme val="minor"/>
      </rPr>
      <t xml:space="preserve"> calculated values </t>
    </r>
    <r>
      <rPr>
        <sz val="11"/>
        <color theme="1"/>
        <rFont val="Aptos Narrow"/>
        <family val="2"/>
        <scheme val="minor"/>
      </rPr>
      <t xml:space="preserve">derived from both the </t>
    </r>
    <r>
      <rPr>
        <b/>
        <sz val="11"/>
        <color theme="1"/>
        <rFont val="Aptos Narrow"/>
        <family val="2"/>
        <scheme val="minor"/>
      </rPr>
      <t xml:space="preserve">Project description </t>
    </r>
    <r>
      <rPr>
        <sz val="11"/>
        <color theme="1"/>
        <rFont val="Aptos Narrow"/>
        <family val="2"/>
        <scheme val="minor"/>
      </rPr>
      <t>and</t>
    </r>
    <r>
      <rPr>
        <b/>
        <sz val="11"/>
        <color theme="1"/>
        <rFont val="Aptos Narrow"/>
        <family val="2"/>
        <scheme val="minor"/>
      </rPr>
      <t xml:space="preserve"> Inputs</t>
    </r>
    <r>
      <rPr>
        <sz val="11"/>
        <color theme="1"/>
        <rFont val="Aptos Narrow"/>
        <family val="2"/>
        <scheme val="minor"/>
      </rPr>
      <t xml:space="preserve"> tabs.</t>
    </r>
  </si>
  <si>
    <r>
      <t xml:space="preserve">This tab shows a summary of </t>
    </r>
    <r>
      <rPr>
        <b/>
        <sz val="11"/>
        <color theme="1"/>
        <rFont val="Aptos Narrow"/>
        <family val="2"/>
        <scheme val="minor"/>
      </rPr>
      <t>energy savings (GJ and $)</t>
    </r>
    <r>
      <rPr>
        <sz val="11"/>
        <color theme="1"/>
        <rFont val="Aptos Narrow"/>
        <family val="2"/>
        <scheme val="minor"/>
      </rPr>
      <t xml:space="preserve">, as well as </t>
    </r>
    <r>
      <rPr>
        <b/>
        <sz val="11"/>
        <color theme="1"/>
        <rFont val="Aptos Narrow"/>
        <family val="2"/>
        <scheme val="minor"/>
      </rPr>
      <t>repayments</t>
    </r>
    <r>
      <rPr>
        <sz val="11"/>
        <color theme="1"/>
        <rFont val="Aptos Narrow"/>
        <family val="2"/>
        <scheme val="minor"/>
      </rPr>
      <t xml:space="preserve">. </t>
    </r>
    <r>
      <rPr>
        <b/>
        <sz val="11"/>
        <color theme="1"/>
        <rFont val="Aptos Narrow"/>
        <family val="2"/>
        <scheme val="minor"/>
      </rPr>
      <t>NOTE:</t>
    </r>
    <r>
      <rPr>
        <sz val="11"/>
        <color theme="1"/>
        <rFont val="Aptos Narrow"/>
        <family val="2"/>
        <scheme val="minor"/>
      </rPr>
      <t xml:space="preserve"> a row to enter </t>
    </r>
    <r>
      <rPr>
        <b/>
        <sz val="11"/>
        <color theme="1"/>
        <rFont val="Aptos Narrow"/>
        <family val="2"/>
        <scheme val="minor"/>
      </rPr>
      <t>payments made to date</t>
    </r>
    <r>
      <rPr>
        <sz val="11"/>
        <color theme="1"/>
        <rFont val="Aptos Narrow"/>
        <family val="2"/>
        <scheme val="minor"/>
      </rPr>
      <t xml:space="preserve"> is include in r</t>
    </r>
    <r>
      <rPr>
        <b/>
        <sz val="11"/>
        <color theme="1"/>
        <rFont val="Aptos Narrow"/>
        <family val="2"/>
        <scheme val="minor"/>
      </rPr>
      <t>epayments</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</si>
</sst>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43" formatCode="_-* #,##0.00_-;\-* #,##0.00_-;_-* &quot;-&quot;??_-;_-@_-"/>
    <numFmt numFmtId="164" formatCode="0.0000"/>
    <numFmt numFmtId="165" formatCode="0.000"/>
    <numFmt numFmtId="166" formatCode="&quot;$&quot;#,##0.00"/>
    <numFmt numFmtId="167" formatCode="_-* #,##0_-;\-* #,##0_-;_-* &quot;-&quot;??_-;_-@_-"/>
    <numFmt numFmtId="168" formatCode="_-* #,##0.000_-;\-* #,##0.000_-;_-* &quot;-&quot;??_-;_-@_-"/>
    <numFmt numFmtId="169" formatCode="0.0"/>
    <numFmt numFmtId="170" formatCode="#,##0.0"/>
    <numFmt numFmtId="171" formatCode="&quot;$&quot;#,##0"/>
    <numFmt numFmtId="172" formatCode="0.0%"/>
  </numFmts>
  <fonts count="37"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4"/>
      <color theme="0"/>
      <name val="Aptos Narrow"/>
      <family val="2"/>
      <scheme val="minor"/>
    </font>
    <font>
      <b/>
      <i/>
      <sz val="11"/>
      <color theme="1"/>
      <name val="Aptos Narrow"/>
      <family val="2"/>
      <scheme val="minor"/>
    </font>
    <font>
      <sz val="11"/>
      <color theme="4"/>
      <name val="Aptos Narrow"/>
      <family val="2"/>
      <scheme val="minor"/>
    </font>
    <font>
      <sz val="11"/>
      <name val="Aptos Narrow"/>
      <family val="2"/>
      <scheme val="minor"/>
    </font>
    <font>
      <sz val="11"/>
      <color rgb="FFFF00FF"/>
      <name val="Aptos Narrow"/>
      <family val="2"/>
      <scheme val="minor"/>
    </font>
    <font>
      <sz val="9"/>
      <color indexed="81"/>
      <name val="Tahoma"/>
      <family val="2"/>
    </font>
    <font>
      <b/>
      <vertAlign val="subscript"/>
      <sz val="11"/>
      <color theme="1"/>
      <name val="Aptos Narrow"/>
      <family val="2"/>
      <scheme val="minor"/>
    </font>
    <font>
      <b/>
      <sz val="14"/>
      <color theme="1"/>
      <name val="Aptos Narrow"/>
      <family val="2"/>
      <scheme val="minor"/>
    </font>
    <font>
      <b/>
      <sz val="11"/>
      <color rgb="FF00B050"/>
      <name val="Aptos Narrow"/>
      <family val="2"/>
      <scheme val="minor"/>
    </font>
    <font>
      <sz val="11"/>
      <color rgb="FF00B050"/>
      <name val="Aptos Narrow"/>
      <family val="2"/>
      <scheme val="minor"/>
    </font>
    <font>
      <sz val="9"/>
      <color rgb="FF00B050"/>
      <name val="Aptos Narrow"/>
      <family val="2"/>
      <scheme val="minor"/>
    </font>
    <font>
      <sz val="9"/>
      <color theme="1"/>
      <name val="Aptos Narrow"/>
      <family val="2"/>
      <scheme val="minor"/>
    </font>
    <font>
      <b/>
      <sz val="11"/>
      <color rgb="FFFF0000"/>
      <name val="Aptos Narrow"/>
      <family val="2"/>
      <scheme val="minor"/>
    </font>
    <font>
      <sz val="9"/>
      <color rgb="FFFF0000"/>
      <name val="Aptos Narrow"/>
      <family val="2"/>
      <scheme val="minor"/>
    </font>
    <font>
      <b/>
      <sz val="11"/>
      <name val="Aptos Narrow"/>
      <family val="2"/>
      <scheme val="minor"/>
    </font>
    <font>
      <sz val="9"/>
      <name val="Aptos Narrow"/>
      <family val="2"/>
      <scheme val="minor"/>
    </font>
    <font>
      <sz val="8"/>
      <name val="Aptos Narrow"/>
      <family val="2"/>
      <scheme val="minor"/>
    </font>
    <font>
      <sz val="11"/>
      <color theme="1"/>
      <name val="Aptos Narrow"/>
      <family val="2"/>
    </font>
    <font>
      <sz val="10"/>
      <color theme="1"/>
      <name val="Aptos Narrow"/>
      <family val="2"/>
      <scheme val="minor"/>
    </font>
    <font>
      <sz val="10"/>
      <color rgb="FF00B050"/>
      <name val="Aptos Narrow"/>
      <family val="2"/>
      <scheme val="minor"/>
    </font>
    <font>
      <b/>
      <sz val="11"/>
      <color theme="5"/>
      <name val="Aptos Narrow"/>
      <family val="2"/>
      <scheme val="minor"/>
    </font>
    <font>
      <sz val="14"/>
      <color theme="1"/>
      <name val="Aptos Narrow"/>
      <family val="2"/>
      <scheme val="minor"/>
    </font>
    <font>
      <u/>
      <sz val="14"/>
      <color theme="1"/>
      <name val="Aptos Narrow"/>
      <family val="2"/>
      <scheme val="minor"/>
    </font>
    <font>
      <sz val="11"/>
      <color rgb="FF00B050"/>
      <name val="Aptos"/>
      <family val="2"/>
    </font>
    <font>
      <sz val="11"/>
      <color rgb="FFFF0000"/>
      <name val="Aptos"/>
      <family val="2"/>
    </font>
    <font>
      <b/>
      <i/>
      <sz val="11"/>
      <color rgb="FF00B050"/>
      <name val="Aptos Narrow"/>
      <family val="2"/>
      <scheme val="minor"/>
    </font>
    <font>
      <b/>
      <i/>
      <sz val="11"/>
      <color rgb="FFFF0000"/>
      <name val="Aptos Narrow"/>
      <family val="2"/>
      <scheme val="minor"/>
    </font>
    <font>
      <sz val="11"/>
      <color theme="1"/>
      <name val="Calibri"/>
      <family val="2"/>
    </font>
    <font>
      <sz val="10"/>
      <color rgb="FFFF0000"/>
      <name val="Aptos Narrow"/>
      <family val="2"/>
      <scheme val="minor"/>
    </font>
    <font>
      <b/>
      <i/>
      <sz val="11"/>
      <color theme="1"/>
      <name val="Calibri"/>
      <family val="2"/>
    </font>
    <font>
      <sz val="11"/>
      <color theme="1" tint="0.249977111117893"/>
      <name val="Aptos Narrow"/>
      <family val="2"/>
      <scheme val="minor"/>
    </font>
    <font>
      <b/>
      <sz val="11"/>
      <color theme="1" tint="0.249977111117893"/>
      <name val="Aptos Narrow"/>
      <family val="2"/>
      <scheme val="minor"/>
    </font>
    <font>
      <b/>
      <sz val="18"/>
      <color theme="4" tint="-0.249977111117893"/>
      <name val="Aptos Narrow"/>
      <family val="2"/>
      <scheme val="minor"/>
    </font>
  </fonts>
  <fills count="14">
    <fill>
      <patternFill patternType="none"/>
    </fill>
    <fill>
      <patternFill patternType="gray125"/>
    </fill>
    <fill>
      <patternFill patternType="solid">
        <fgColor theme="1"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rgb="FFC0E6F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FFFCC"/>
        <bgColor indexed="64"/>
      </patternFill>
    </fill>
    <fill>
      <patternFill patternType="solid">
        <fgColor theme="3" tint="0.749992370372631"/>
        <bgColor theme="4" tint="0.79998168889431442"/>
      </patternFill>
    </fill>
    <fill>
      <patternFill patternType="solid">
        <fgColor theme="3" tint="0.749992370372631"/>
        <bgColor indexed="64"/>
      </patternFill>
    </fill>
  </fills>
  <borders count="4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indexed="64"/>
      </bottom>
      <diagonal/>
    </border>
    <border>
      <left style="thin">
        <color theme="4" tint="0.39997558519241921"/>
      </left>
      <right/>
      <top/>
      <bottom style="thin">
        <color theme="4" tint="0.39997558519241921"/>
      </bottom>
      <diagonal/>
    </border>
    <border>
      <left/>
      <right/>
      <top style="thin">
        <color indexed="64"/>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indexed="64"/>
      </right>
      <top style="thin">
        <color theme="1" tint="0.249977111117893"/>
      </top>
      <bottom style="thin">
        <color indexed="64"/>
      </bottom>
      <diagonal/>
    </border>
    <border>
      <left style="thin">
        <color indexed="64"/>
      </left>
      <right style="thin">
        <color indexed="64"/>
      </right>
      <top style="thin">
        <color theme="1" tint="0.249977111117893"/>
      </top>
      <bottom style="thin">
        <color indexed="64"/>
      </bottom>
      <diagonal/>
    </border>
    <border>
      <left style="thin">
        <color indexed="64"/>
      </left>
      <right style="thin">
        <color theme="1" tint="0.249977111117893"/>
      </right>
      <top style="thin">
        <color theme="1" tint="0.249977111117893"/>
      </top>
      <bottom style="thin">
        <color indexed="64"/>
      </bottom>
      <diagonal/>
    </border>
    <border>
      <left style="thin">
        <color theme="1" tint="0.249977111117893"/>
      </left>
      <right style="thin">
        <color indexed="64"/>
      </right>
      <top style="thin">
        <color indexed="64"/>
      </top>
      <bottom style="thin">
        <color indexed="64"/>
      </bottom>
      <diagonal/>
    </border>
    <border>
      <left style="thin">
        <color indexed="64"/>
      </left>
      <right style="thin">
        <color theme="1" tint="0.249977111117893"/>
      </right>
      <top style="thin">
        <color indexed="64"/>
      </top>
      <bottom style="thin">
        <color indexed="64"/>
      </bottom>
      <diagonal/>
    </border>
    <border>
      <left style="thin">
        <color theme="1" tint="0.249977111117893"/>
      </left>
      <right style="thin">
        <color indexed="64"/>
      </right>
      <top style="thin">
        <color indexed="64"/>
      </top>
      <bottom style="thin">
        <color theme="1" tint="0.249977111117893"/>
      </bottom>
      <diagonal/>
    </border>
    <border>
      <left style="thin">
        <color indexed="64"/>
      </left>
      <right style="thin">
        <color indexed="64"/>
      </right>
      <top style="thin">
        <color indexed="64"/>
      </top>
      <bottom style="thin">
        <color theme="1" tint="0.249977111117893"/>
      </bottom>
      <diagonal/>
    </border>
    <border>
      <left style="thin">
        <color indexed="64"/>
      </left>
      <right style="thin">
        <color theme="1" tint="0.249977111117893"/>
      </right>
      <top style="thin">
        <color indexed="64"/>
      </top>
      <bottom style="thin">
        <color theme="1" tint="0.249977111117893"/>
      </bottom>
      <diagonal/>
    </border>
    <border>
      <left style="thin">
        <color theme="0"/>
      </left>
      <right style="thin">
        <color theme="0"/>
      </right>
      <top style="thin">
        <color theme="0"/>
      </top>
      <bottom style="thin">
        <color theme="0"/>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left>
      <right style="thin">
        <color theme="0" tint="-4.9989318521683403E-2"/>
      </right>
      <top style="thin">
        <color theme="0"/>
      </top>
      <bottom style="thin">
        <color theme="0"/>
      </bottom>
      <diagonal/>
    </border>
    <border>
      <left/>
      <right/>
      <top style="thin">
        <color theme="4" tint="0.39997558519241921"/>
      </top>
      <bottom/>
      <diagonal/>
    </border>
    <border>
      <left/>
      <right/>
      <top style="thin">
        <color theme="4" tint="0.39997558519241921"/>
      </top>
      <bottom style="thin">
        <color indexed="64"/>
      </bottom>
      <diagonal/>
    </border>
    <border>
      <left/>
      <right/>
      <top/>
      <bottom style="thin">
        <color theme="4" tint="0.39997558519241921"/>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tint="-4.9989318521683403E-2"/>
      </right>
      <top style="thin">
        <color theme="0"/>
      </top>
      <bottom/>
      <diagonal/>
    </border>
    <border>
      <left style="thin">
        <color theme="4" tint="0.39997558519241921"/>
      </left>
      <right/>
      <top style="thin">
        <color theme="4" tint="0.39997558519241921"/>
      </top>
      <bottom/>
      <diagonal/>
    </border>
    <border>
      <left style="thin">
        <color theme="4" tint="0.39997558519241921"/>
      </left>
      <right/>
      <top style="thin">
        <color indexed="64"/>
      </top>
      <bottom/>
      <diagonal/>
    </border>
    <border>
      <left/>
      <right style="thin">
        <color theme="4" tint="0.39997558519241921"/>
      </right>
      <top/>
      <bottom/>
      <diagonal/>
    </border>
    <border>
      <left style="thin">
        <color theme="4" tint="0.39997558519241921"/>
      </left>
      <right/>
      <top style="thin">
        <color indexed="64"/>
      </top>
      <bottom style="thin">
        <color theme="4" tint="0.39997558519241921"/>
      </bottom>
      <diagonal/>
    </border>
    <border>
      <left/>
      <right/>
      <top style="thin">
        <color indexed="64"/>
      </top>
      <bottom style="thin">
        <color theme="4" tint="0.39997558519241921"/>
      </bottom>
      <diagonal/>
    </border>
    <border>
      <left style="thin">
        <color theme="4" tint="0.39997558519241921"/>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5">
    <xf numFmtId="0" fontId="0" fillId="0" borderId="0" xfId="0"/>
    <xf numFmtId="0" fontId="5" fillId="3" borderId="0" xfId="0" applyFont="1" applyFill="1"/>
    <xf numFmtId="0" fontId="0" fillId="3" borderId="0" xfId="0" applyFill="1"/>
    <xf numFmtId="0" fontId="7" fillId="3" borderId="0" xfId="0" applyFont="1" applyFill="1"/>
    <xf numFmtId="0" fontId="2" fillId="3" borderId="0" xfId="0" applyFont="1" applyFill="1"/>
    <xf numFmtId="0" fontId="3" fillId="0" borderId="0" xfId="0" applyFont="1"/>
    <xf numFmtId="0" fontId="0" fillId="0" borderId="0" xfId="0" applyAlignment="1">
      <alignment horizontal="left" wrapText="1"/>
    </xf>
    <xf numFmtId="0" fontId="11" fillId="3" borderId="0" xfId="0" applyFont="1" applyFill="1"/>
    <xf numFmtId="0" fontId="13" fillId="3" borderId="0" xfId="0" applyFont="1" applyFill="1"/>
    <xf numFmtId="0" fontId="0" fillId="0" borderId="0" xfId="0" applyProtection="1">
      <protection locked="0"/>
    </xf>
    <xf numFmtId="0" fontId="16" fillId="3" borderId="0" xfId="0" applyFont="1" applyFill="1"/>
    <xf numFmtId="0" fontId="2" fillId="0" borderId="0" xfId="0" applyFont="1" applyProtection="1">
      <protection locked="0"/>
    </xf>
    <xf numFmtId="0" fontId="18" fillId="3" borderId="0" xfId="0" applyFont="1" applyFill="1"/>
    <xf numFmtId="0" fontId="3" fillId="3" borderId="0" xfId="0" applyFont="1" applyFill="1"/>
    <xf numFmtId="0" fontId="3" fillId="3" borderId="2" xfId="0" applyFont="1" applyFill="1" applyBorder="1" applyAlignment="1">
      <alignment horizontal="left" wrapText="1"/>
    </xf>
    <xf numFmtId="0" fontId="3" fillId="3" borderId="2" xfId="0" applyFont="1" applyFill="1" applyBorder="1"/>
    <xf numFmtId="164" fontId="0" fillId="0" borderId="0" xfId="0" applyNumberFormat="1"/>
    <xf numFmtId="165" fontId="0" fillId="0" borderId="0" xfId="0" applyNumberFormat="1"/>
    <xf numFmtId="164" fontId="0" fillId="0" borderId="0" xfId="0" applyNumberFormat="1" applyAlignment="1">
      <alignment horizontal="right"/>
    </xf>
    <xf numFmtId="165" fontId="0" fillId="0" borderId="0" xfId="0" applyNumberFormat="1" applyAlignment="1">
      <alignment horizontal="right"/>
    </xf>
    <xf numFmtId="1" fontId="21" fillId="0" borderId="0" xfId="0" applyNumberFormat="1" applyFont="1"/>
    <xf numFmtId="167" fontId="21" fillId="0" borderId="0" xfId="1" applyNumberFormat="1" applyFont="1" applyFill="1" applyBorder="1"/>
    <xf numFmtId="168" fontId="0" fillId="0" borderId="0" xfId="0" applyNumberFormat="1"/>
    <xf numFmtId="2" fontId="0" fillId="0" borderId="0" xfId="0" applyNumberFormat="1" applyProtection="1">
      <protection locked="0"/>
    </xf>
    <xf numFmtId="2" fontId="2" fillId="0" borderId="0" xfId="0" applyNumberFormat="1" applyFont="1" applyProtection="1">
      <protection locked="0"/>
    </xf>
    <xf numFmtId="0" fontId="5" fillId="3" borderId="2" xfId="0" applyFont="1" applyFill="1" applyBorder="1"/>
    <xf numFmtId="0" fontId="0" fillId="3" borderId="2" xfId="0" applyFill="1" applyBorder="1"/>
    <xf numFmtId="0" fontId="16" fillId="3" borderId="2" xfId="0" applyFont="1" applyFill="1" applyBorder="1"/>
    <xf numFmtId="0" fontId="12" fillId="3" borderId="2" xfId="0" applyFont="1" applyFill="1" applyBorder="1"/>
    <xf numFmtId="0" fontId="2" fillId="3" borderId="2" xfId="0" applyFont="1" applyFill="1" applyBorder="1"/>
    <xf numFmtId="0" fontId="0" fillId="0" borderId="2" xfId="0" applyBorder="1"/>
    <xf numFmtId="165" fontId="2" fillId="0" borderId="0" xfId="0" applyNumberFormat="1" applyFont="1"/>
    <xf numFmtId="0" fontId="3" fillId="3" borderId="2" xfId="0" applyFont="1" applyFill="1" applyBorder="1" applyAlignment="1">
      <alignment horizontal="right" wrapText="1"/>
    </xf>
    <xf numFmtId="0" fontId="3" fillId="0" borderId="2" xfId="0" applyFont="1" applyBorder="1"/>
    <xf numFmtId="0" fontId="7" fillId="3" borderId="2" xfId="0" applyFont="1" applyFill="1" applyBorder="1"/>
    <xf numFmtId="9" fontId="0" fillId="0" borderId="0" xfId="0" applyNumberFormat="1"/>
    <xf numFmtId="9" fontId="0" fillId="3" borderId="2" xfId="0" applyNumberFormat="1" applyFill="1" applyBorder="1"/>
    <xf numFmtId="1" fontId="0" fillId="0" borderId="0" xfId="0" applyNumberFormat="1"/>
    <xf numFmtId="0" fontId="0" fillId="0" borderId="3" xfId="0" applyBorder="1"/>
    <xf numFmtId="3" fontId="0" fillId="0" borderId="0" xfId="0" applyNumberFormat="1"/>
    <xf numFmtId="3" fontId="0" fillId="0" borderId="3" xfId="0" applyNumberFormat="1" applyBorder="1"/>
    <xf numFmtId="49" fontId="0" fillId="0" borderId="0" xfId="0" applyNumberFormat="1"/>
    <xf numFmtId="0" fontId="13" fillId="0" borderId="3" xfId="0" applyFont="1" applyBorder="1" applyProtection="1">
      <protection locked="0"/>
    </xf>
    <xf numFmtId="0" fontId="2" fillId="0" borderId="3" xfId="0" applyFont="1" applyBorder="1" applyProtection="1">
      <protection locked="0"/>
    </xf>
    <xf numFmtId="3" fontId="0" fillId="0" borderId="2" xfId="0" applyNumberFormat="1" applyBorder="1"/>
    <xf numFmtId="1" fontId="0" fillId="0" borderId="0" xfId="0" applyNumberFormat="1" applyAlignment="1">
      <alignment horizontal="left"/>
    </xf>
    <xf numFmtId="0" fontId="24" fillId="0" borderId="0" xfId="0" applyFont="1"/>
    <xf numFmtId="9" fontId="0" fillId="0" borderId="0" xfId="0" applyNumberFormat="1" applyAlignment="1">
      <alignment horizontal="left"/>
    </xf>
    <xf numFmtId="9" fontId="0" fillId="0" borderId="3" xfId="0" applyNumberFormat="1" applyBorder="1" applyAlignment="1">
      <alignment horizontal="right"/>
    </xf>
    <xf numFmtId="3" fontId="13" fillId="3" borderId="0" xfId="0" applyNumberFormat="1" applyFont="1" applyFill="1"/>
    <xf numFmtId="0" fontId="25" fillId="3" borderId="0" xfId="0" applyFont="1" applyFill="1"/>
    <xf numFmtId="3" fontId="2" fillId="3" borderId="0" xfId="0" applyNumberFormat="1" applyFont="1" applyFill="1"/>
    <xf numFmtId="1" fontId="3" fillId="0" borderId="2" xfId="0" applyNumberFormat="1" applyFont="1" applyBorder="1" applyAlignment="1">
      <alignment horizontal="right"/>
    </xf>
    <xf numFmtId="3" fontId="23" fillId="0" borderId="0" xfId="1" applyNumberFormat="1" applyFont="1" applyFill="1" applyAlignment="1" applyProtection="1">
      <alignment vertical="center"/>
      <protection locked="0"/>
    </xf>
    <xf numFmtId="0" fontId="2" fillId="0" borderId="2" xfId="0" applyFont="1" applyBorder="1" applyProtection="1">
      <protection locked="0"/>
    </xf>
    <xf numFmtId="0" fontId="0" fillId="0" borderId="2" xfId="0" applyBorder="1" applyProtection="1">
      <protection locked="0"/>
    </xf>
    <xf numFmtId="6" fontId="0" fillId="0" borderId="0" xfId="0" applyNumberFormat="1"/>
    <xf numFmtId="1" fontId="3" fillId="3" borderId="2" xfId="0" applyNumberFormat="1" applyFont="1" applyFill="1" applyBorder="1" applyAlignment="1">
      <alignment horizontal="right"/>
    </xf>
    <xf numFmtId="0" fontId="7" fillId="3" borderId="0" xfId="0" applyFont="1" applyFill="1" applyAlignment="1">
      <alignment horizontal="left" indent="1"/>
    </xf>
    <xf numFmtId="1" fontId="0" fillId="0" borderId="3" xfId="0" applyNumberFormat="1" applyBorder="1"/>
    <xf numFmtId="3" fontId="2" fillId="3" borderId="2" xfId="0" applyNumberFormat="1" applyFont="1" applyFill="1" applyBorder="1"/>
    <xf numFmtId="0" fontId="0" fillId="3" borderId="3" xfId="0" applyFill="1" applyBorder="1"/>
    <xf numFmtId="0" fontId="0" fillId="0" borderId="3" xfId="0" applyBorder="1" applyAlignment="1">
      <alignment horizontal="center"/>
    </xf>
    <xf numFmtId="0" fontId="0" fillId="0" borderId="6" xfId="0" applyBorder="1"/>
    <xf numFmtId="3" fontId="0" fillId="0" borderId="6" xfId="0" applyNumberFormat="1" applyBorder="1"/>
    <xf numFmtId="171" fontId="0" fillId="0" borderId="3" xfId="0" applyNumberFormat="1" applyBorder="1"/>
    <xf numFmtId="0" fontId="3" fillId="3" borderId="0" xfId="0" applyFont="1" applyFill="1" applyAlignment="1">
      <alignment horizontal="right"/>
    </xf>
    <xf numFmtId="6" fontId="0" fillId="4" borderId="0" xfId="0" applyNumberFormat="1" applyFill="1"/>
    <xf numFmtId="164" fontId="0" fillId="0" borderId="2" xfId="0" applyNumberFormat="1" applyBorder="1"/>
    <xf numFmtId="2" fontId="31" fillId="0" borderId="0" xfId="2" applyNumberFormat="1" applyFont="1" applyFill="1" applyBorder="1"/>
    <xf numFmtId="1" fontId="31" fillId="0" borderId="0" xfId="0" applyNumberFormat="1" applyFont="1"/>
    <xf numFmtId="172" fontId="0" fillId="0" borderId="0" xfId="2" applyNumberFormat="1" applyFont="1"/>
    <xf numFmtId="0" fontId="0" fillId="0" borderId="7" xfId="0" applyBorder="1"/>
    <xf numFmtId="9" fontId="0" fillId="0" borderId="7" xfId="0" applyNumberFormat="1" applyBorder="1" applyAlignment="1">
      <alignment horizontal="right"/>
    </xf>
    <xf numFmtId="0" fontId="7" fillId="5" borderId="4" xfId="1" applyNumberFormat="1" applyFont="1" applyFill="1" applyBorder="1" applyAlignment="1">
      <alignment horizontal="left"/>
    </xf>
    <xf numFmtId="0" fontId="7" fillId="0" borderId="4" xfId="1" applyNumberFormat="1" applyFont="1" applyBorder="1" applyAlignment="1">
      <alignment horizontal="left"/>
    </xf>
    <xf numFmtId="170" fontId="22" fillId="0" borderId="0" xfId="0" applyNumberFormat="1" applyFont="1"/>
    <xf numFmtId="0" fontId="7" fillId="5" borderId="9" xfId="1" applyNumberFormat="1" applyFont="1" applyFill="1" applyBorder="1" applyAlignment="1">
      <alignment horizontal="left"/>
    </xf>
    <xf numFmtId="0" fontId="7" fillId="5" borderId="8" xfId="1" applyNumberFormat="1" applyFont="1" applyFill="1" applyBorder="1" applyAlignment="1">
      <alignment horizontal="left"/>
    </xf>
    <xf numFmtId="170" fontId="22" fillId="0" borderId="2" xfId="0" applyNumberFormat="1" applyFont="1" applyBorder="1"/>
    <xf numFmtId="0" fontId="0" fillId="6" borderId="0" xfId="0" applyFill="1"/>
    <xf numFmtId="9" fontId="0" fillId="6" borderId="0" xfId="2" applyFont="1" applyFill="1"/>
    <xf numFmtId="0" fontId="0" fillId="6" borderId="3" xfId="0" applyFill="1" applyBorder="1"/>
    <xf numFmtId="0" fontId="3" fillId="0" borderId="10" xfId="0" applyFont="1" applyBorder="1"/>
    <xf numFmtId="1" fontId="0" fillId="0" borderId="10" xfId="0" applyNumberFormat="1" applyBorder="1" applyAlignment="1">
      <alignment horizontal="right"/>
    </xf>
    <xf numFmtId="9" fontId="0" fillId="0" borderId="3" xfId="0" applyNumberFormat="1" applyBorder="1"/>
    <xf numFmtId="9" fontId="7" fillId="3" borderId="2" xfId="0" applyNumberFormat="1" applyFont="1" applyFill="1" applyBorder="1" applyAlignment="1">
      <alignment horizontal="right"/>
    </xf>
    <xf numFmtId="0" fontId="7" fillId="3" borderId="0" xfId="0" applyFont="1" applyFill="1" applyAlignment="1">
      <alignment horizontal="center"/>
    </xf>
    <xf numFmtId="1" fontId="6" fillId="0" borderId="0" xfId="0" applyNumberFormat="1" applyFont="1" applyAlignment="1">
      <alignment horizontal="right"/>
    </xf>
    <xf numFmtId="0" fontId="22" fillId="3" borderId="2" xfId="0" applyFont="1" applyFill="1" applyBorder="1"/>
    <xf numFmtId="2" fontId="22" fillId="3" borderId="0" xfId="0" applyNumberFormat="1" applyFont="1" applyFill="1"/>
    <xf numFmtId="169" fontId="22" fillId="3" borderId="0" xfId="0" applyNumberFormat="1" applyFont="1" applyFill="1"/>
    <xf numFmtId="169" fontId="0" fillId="3" borderId="0" xfId="0" applyNumberFormat="1" applyFill="1"/>
    <xf numFmtId="0" fontId="12" fillId="3" borderId="2" xfId="0" applyFont="1" applyFill="1" applyBorder="1" applyAlignment="1">
      <alignment wrapText="1"/>
    </xf>
    <xf numFmtId="0" fontId="13" fillId="3" borderId="2" xfId="0" applyFont="1" applyFill="1" applyBorder="1"/>
    <xf numFmtId="43" fontId="15" fillId="3" borderId="0" xfId="1" applyFont="1" applyFill="1" applyProtection="1"/>
    <xf numFmtId="0" fontId="13" fillId="3" borderId="1" xfId="0" applyFont="1" applyFill="1" applyBorder="1"/>
    <xf numFmtId="0" fontId="0" fillId="3" borderId="1" xfId="0" applyFill="1" applyBorder="1"/>
    <xf numFmtId="3" fontId="14" fillId="3" borderId="1" xfId="1" applyNumberFormat="1" applyFont="1" applyFill="1" applyBorder="1" applyProtection="1"/>
    <xf numFmtId="3" fontId="14" fillId="3" borderId="0" xfId="1" applyNumberFormat="1" applyFont="1" applyFill="1" applyBorder="1" applyProtection="1"/>
    <xf numFmtId="0" fontId="16" fillId="3" borderId="2" xfId="0" applyFont="1" applyFill="1" applyBorder="1" applyAlignment="1">
      <alignment wrapText="1"/>
    </xf>
    <xf numFmtId="0" fontId="2" fillId="3" borderId="2" xfId="0" applyFont="1" applyFill="1" applyBorder="1" applyAlignment="1">
      <alignment wrapText="1"/>
    </xf>
    <xf numFmtId="166" fontId="14" fillId="3" borderId="0" xfId="1" applyNumberFormat="1" applyFont="1" applyFill="1" applyProtection="1"/>
    <xf numFmtId="0" fontId="2" fillId="0" borderId="0" xfId="0" applyFont="1"/>
    <xf numFmtId="3" fontId="17" fillId="3" borderId="0" xfId="1" applyNumberFormat="1" applyFont="1" applyFill="1" applyBorder="1" applyProtection="1"/>
    <xf numFmtId="0" fontId="11" fillId="3" borderId="2" xfId="0" applyFont="1" applyFill="1" applyBorder="1"/>
    <xf numFmtId="0" fontId="13" fillId="3" borderId="2" xfId="0" applyFont="1" applyFill="1" applyBorder="1" applyAlignment="1">
      <alignment wrapText="1"/>
    </xf>
    <xf numFmtId="2" fontId="15" fillId="3" borderId="0" xfId="1" applyNumberFormat="1" applyFont="1" applyFill="1" applyProtection="1"/>
    <xf numFmtId="43" fontId="0" fillId="3" borderId="0" xfId="1" applyFont="1" applyFill="1" applyBorder="1" applyProtection="1"/>
    <xf numFmtId="0" fontId="30" fillId="3" borderId="2" xfId="0" applyFont="1" applyFill="1" applyBorder="1"/>
    <xf numFmtId="2" fontId="17" fillId="3" borderId="0" xfId="1" applyNumberFormat="1" applyFont="1" applyFill="1" applyBorder="1" applyProtection="1"/>
    <xf numFmtId="0" fontId="0" fillId="3" borderId="0" xfId="0" applyFill="1" applyAlignment="1">
      <alignment horizontal="left"/>
    </xf>
    <xf numFmtId="0" fontId="16" fillId="3" borderId="2" xfId="0" applyFont="1" applyFill="1" applyBorder="1" applyAlignment="1">
      <alignment horizontal="left" wrapText="1"/>
    </xf>
    <xf numFmtId="43" fontId="15" fillId="3" borderId="0" xfId="1" applyFont="1" applyFill="1" applyAlignment="1" applyProtection="1">
      <alignment horizontal="left"/>
    </xf>
    <xf numFmtId="0" fontId="13" fillId="3" borderId="0" xfId="0" applyFont="1" applyFill="1" applyAlignment="1">
      <alignment horizontal="left"/>
    </xf>
    <xf numFmtId="3" fontId="23" fillId="3" borderId="0" xfId="1" applyNumberFormat="1" applyFont="1" applyFill="1" applyBorder="1" applyProtection="1"/>
    <xf numFmtId="0" fontId="32" fillId="3" borderId="0" xfId="0" applyFont="1" applyFill="1" applyAlignment="1">
      <alignment horizontal="left"/>
    </xf>
    <xf numFmtId="3" fontId="32" fillId="3" borderId="0" xfId="1" applyNumberFormat="1" applyFont="1" applyFill="1" applyBorder="1" applyProtection="1"/>
    <xf numFmtId="2" fontId="23" fillId="0" borderId="0" xfId="1" applyNumberFormat="1" applyFont="1" applyFill="1" applyProtection="1"/>
    <xf numFmtId="2" fontId="23" fillId="3" borderId="0" xfId="1" applyNumberFormat="1" applyFont="1" applyFill="1" applyProtection="1"/>
    <xf numFmtId="2" fontId="23" fillId="3" borderId="2" xfId="1" applyNumberFormat="1" applyFont="1" applyFill="1" applyBorder="1" applyProtection="1"/>
    <xf numFmtId="0" fontId="2" fillId="3" borderId="0" xfId="0" applyFont="1" applyFill="1" applyAlignment="1">
      <alignment horizontal="left"/>
    </xf>
    <xf numFmtId="2" fontId="32" fillId="0" borderId="0" xfId="1" applyNumberFormat="1" applyFont="1" applyFill="1" applyProtection="1"/>
    <xf numFmtId="2" fontId="32" fillId="3" borderId="0" xfId="1" applyNumberFormat="1" applyFont="1" applyFill="1" applyProtection="1"/>
    <xf numFmtId="2" fontId="32" fillId="3" borderId="2" xfId="1" applyNumberFormat="1" applyFont="1" applyFill="1" applyBorder="1" applyProtection="1"/>
    <xf numFmtId="2" fontId="19" fillId="3" borderId="0" xfId="1" applyNumberFormat="1" applyFont="1" applyFill="1" applyBorder="1" applyProtection="1"/>
    <xf numFmtId="0" fontId="25" fillId="3" borderId="0" xfId="0" applyFont="1" applyFill="1" applyAlignment="1">
      <alignment horizontal="left" wrapText="1"/>
    </xf>
    <xf numFmtId="0" fontId="12" fillId="3" borderId="0" xfId="0" applyFont="1" applyFill="1"/>
    <xf numFmtId="2" fontId="0" fillId="3" borderId="0" xfId="0" applyNumberFormat="1" applyFill="1"/>
    <xf numFmtId="0" fontId="2" fillId="3" borderId="0" xfId="0" applyFont="1" applyFill="1" applyAlignment="1">
      <alignment wrapText="1"/>
    </xf>
    <xf numFmtId="0" fontId="2" fillId="3" borderId="0" xfId="0" applyFont="1" applyFill="1" applyAlignment="1">
      <alignment horizontal="left" wrapText="1"/>
    </xf>
    <xf numFmtId="0" fontId="13" fillId="3" borderId="0" xfId="0" applyFont="1" applyFill="1" applyAlignment="1">
      <alignment wrapText="1"/>
    </xf>
    <xf numFmtId="0" fontId="0" fillId="0" borderId="0" xfId="0" applyAlignment="1">
      <alignment horizontal="left"/>
    </xf>
    <xf numFmtId="3" fontId="13" fillId="0" borderId="0" xfId="0" applyNumberFormat="1" applyFont="1" applyProtection="1">
      <protection locked="0"/>
    </xf>
    <xf numFmtId="3" fontId="2" fillId="0" borderId="0" xfId="0" applyNumberFormat="1" applyFont="1" applyProtection="1">
      <protection locked="0"/>
    </xf>
    <xf numFmtId="0" fontId="2" fillId="0" borderId="0" xfId="0" applyFont="1" applyAlignment="1" applyProtection="1">
      <alignment wrapText="1"/>
      <protection locked="0"/>
    </xf>
    <xf numFmtId="0" fontId="6" fillId="3" borderId="2" xfId="0" applyFont="1" applyFill="1" applyBorder="1"/>
    <xf numFmtId="172" fontId="22" fillId="3" borderId="0" xfId="0" applyNumberFormat="1" applyFont="1" applyFill="1"/>
    <xf numFmtId="3" fontId="23" fillId="3" borderId="1" xfId="1" applyNumberFormat="1" applyFont="1" applyFill="1" applyBorder="1" applyProtection="1"/>
    <xf numFmtId="166" fontId="14" fillId="0" borderId="0" xfId="1" applyNumberFormat="1" applyFont="1" applyFill="1" applyProtection="1"/>
    <xf numFmtId="3" fontId="13" fillId="3" borderId="0" xfId="0" applyNumberFormat="1" applyFont="1" applyFill="1" applyAlignment="1">
      <alignment wrapText="1"/>
    </xf>
    <xf numFmtId="3" fontId="13" fillId="3" borderId="2" xfId="0" applyNumberFormat="1" applyFont="1" applyFill="1" applyBorder="1" applyAlignment="1">
      <alignment wrapText="1"/>
    </xf>
    <xf numFmtId="3" fontId="12" fillId="3" borderId="0" xfId="0" applyNumberFormat="1" applyFont="1" applyFill="1"/>
    <xf numFmtId="3" fontId="16" fillId="3" borderId="0" xfId="0" applyNumberFormat="1" applyFont="1" applyFill="1"/>
    <xf numFmtId="0" fontId="0" fillId="0" borderId="11" xfId="0" applyBorder="1" applyProtection="1">
      <protection locked="0"/>
    </xf>
    <xf numFmtId="0" fontId="0" fillId="0" borderId="12" xfId="0" applyBorder="1"/>
    <xf numFmtId="171" fontId="0" fillId="0" borderId="13" xfId="0" applyNumberFormat="1" applyBorder="1"/>
    <xf numFmtId="9" fontId="0" fillId="0" borderId="14" xfId="2" applyFont="1" applyBorder="1"/>
    <xf numFmtId="0" fontId="0" fillId="0" borderId="15" xfId="0" applyBorder="1"/>
    <xf numFmtId="9" fontId="0" fillId="0" borderId="16" xfId="2" applyFont="1" applyBorder="1"/>
    <xf numFmtId="0" fontId="0" fillId="0" borderId="17" xfId="0" applyBorder="1"/>
    <xf numFmtId="9" fontId="0" fillId="0" borderId="18" xfId="0" applyNumberFormat="1" applyBorder="1" applyAlignment="1">
      <alignment horizontal="right"/>
    </xf>
    <xf numFmtId="9" fontId="0" fillId="0" borderId="19" xfId="0" applyNumberFormat="1" applyBorder="1" applyAlignment="1">
      <alignment horizontal="right"/>
    </xf>
    <xf numFmtId="0" fontId="18" fillId="9" borderId="0" xfId="0" applyFont="1" applyFill="1"/>
    <xf numFmtId="9" fontId="6" fillId="5" borderId="20" xfId="1" applyNumberFormat="1" applyFont="1" applyFill="1" applyBorder="1" applyAlignment="1" applyProtection="1">
      <alignment horizontal="left" vertical="center"/>
      <protection locked="0"/>
    </xf>
    <xf numFmtId="0" fontId="6" fillId="0" borderId="20" xfId="0" applyFont="1" applyBorder="1" applyAlignment="1" applyProtection="1">
      <alignment horizontal="left" vertical="center"/>
      <protection locked="0"/>
    </xf>
    <xf numFmtId="0" fontId="6" fillId="5" borderId="20" xfId="0" applyFont="1" applyFill="1" applyBorder="1" applyAlignment="1" applyProtection="1">
      <alignment horizontal="left" vertical="center"/>
      <protection locked="0"/>
    </xf>
    <xf numFmtId="14" fontId="6" fillId="0" borderId="20" xfId="0" applyNumberFormat="1" applyFont="1" applyBorder="1" applyAlignment="1" applyProtection="1">
      <alignment horizontal="left" vertical="center"/>
      <protection locked="0"/>
    </xf>
    <xf numFmtId="1" fontId="6" fillId="5" borderId="20" xfId="0" applyNumberFormat="1" applyFont="1" applyFill="1" applyBorder="1" applyAlignment="1" applyProtection="1">
      <alignment horizontal="left" vertical="center"/>
      <protection locked="0"/>
    </xf>
    <xf numFmtId="0" fontId="0" fillId="3" borderId="20" xfId="0" applyFill="1" applyBorder="1" applyAlignment="1" applyProtection="1">
      <alignment horizontal="left" vertical="center"/>
      <protection locked="0"/>
    </xf>
    <xf numFmtId="0" fontId="8" fillId="3" borderId="20" xfId="0" applyFont="1" applyFill="1" applyBorder="1" applyProtection="1">
      <protection locked="0"/>
    </xf>
    <xf numFmtId="166" fontId="6" fillId="0" borderId="20" xfId="1" applyNumberFormat="1" applyFont="1" applyBorder="1" applyAlignment="1" applyProtection="1">
      <alignment horizontal="left" vertical="center"/>
      <protection locked="0"/>
    </xf>
    <xf numFmtId="14" fontId="6" fillId="5" borderId="20" xfId="1" applyNumberFormat="1" applyFont="1" applyFill="1" applyBorder="1" applyAlignment="1" applyProtection="1">
      <alignment horizontal="left" vertical="center"/>
      <protection locked="0"/>
    </xf>
    <xf numFmtId="1" fontId="6" fillId="0" borderId="20" xfId="1" applyNumberFormat="1" applyFont="1" applyBorder="1" applyAlignment="1" applyProtection="1">
      <alignment horizontal="left" vertical="center"/>
      <protection locked="0"/>
    </xf>
    <xf numFmtId="9" fontId="6" fillId="0" borderId="20" xfId="1" applyNumberFormat="1" applyFont="1" applyBorder="1" applyAlignment="1" applyProtection="1">
      <alignment horizontal="left" vertical="center"/>
      <protection locked="0"/>
    </xf>
    <xf numFmtId="0" fontId="4" fillId="2" borderId="21" xfId="0" applyFont="1" applyFill="1" applyBorder="1"/>
    <xf numFmtId="0" fontId="0" fillId="2" borderId="22" xfId="0" applyFill="1" applyBorder="1"/>
    <xf numFmtId="0" fontId="0" fillId="2" borderId="23" xfId="0" applyFill="1" applyBorder="1"/>
    <xf numFmtId="0" fontId="5" fillId="8" borderId="24" xfId="0" applyFont="1" applyFill="1" applyBorder="1" applyAlignment="1">
      <alignment vertical="top"/>
    </xf>
    <xf numFmtId="0" fontId="18" fillId="9" borderId="25" xfId="0" applyFont="1" applyFill="1" applyBorder="1"/>
    <xf numFmtId="0" fontId="0" fillId="0" borderId="26" xfId="0" applyBorder="1" applyProtection="1">
      <protection locked="0"/>
    </xf>
    <xf numFmtId="0" fontId="0" fillId="7" borderId="26" xfId="0" applyFill="1" applyBorder="1" applyProtection="1">
      <protection locked="0"/>
    </xf>
    <xf numFmtId="0" fontId="0" fillId="3" borderId="26" xfId="0" applyFill="1" applyBorder="1" applyProtection="1">
      <protection locked="0"/>
    </xf>
    <xf numFmtId="0" fontId="8" fillId="0" borderId="26" xfId="0" applyFont="1" applyBorder="1"/>
    <xf numFmtId="0" fontId="8" fillId="7" borderId="26" xfId="0" applyFont="1" applyFill="1" applyBorder="1" applyProtection="1">
      <protection locked="0"/>
    </xf>
    <xf numFmtId="0" fontId="8" fillId="3" borderId="26" xfId="0" applyFont="1" applyFill="1" applyBorder="1" applyProtection="1">
      <protection locked="0"/>
    </xf>
    <xf numFmtId="0" fontId="13" fillId="10" borderId="0" xfId="0" applyFont="1" applyFill="1" applyAlignment="1">
      <alignment horizontal="left"/>
    </xf>
    <xf numFmtId="0" fontId="23" fillId="10" borderId="27" xfId="1" applyNumberFormat="1" applyFont="1" applyFill="1" applyBorder="1" applyAlignment="1" applyProtection="1">
      <alignment horizontal="left" vertical="center"/>
    </xf>
    <xf numFmtId="9" fontId="0" fillId="0" borderId="0" xfId="2" applyFont="1"/>
    <xf numFmtId="0" fontId="18" fillId="3" borderId="2" xfId="0" applyFont="1" applyFill="1" applyBorder="1"/>
    <xf numFmtId="2" fontId="22" fillId="3" borderId="2" xfId="0" applyNumberFormat="1" applyFont="1" applyFill="1" applyBorder="1"/>
    <xf numFmtId="169" fontId="22" fillId="3" borderId="2" xfId="0" applyNumberFormat="1" applyFont="1" applyFill="1" applyBorder="1"/>
    <xf numFmtId="0" fontId="0" fillId="3" borderId="2" xfId="0" applyFill="1" applyBorder="1" applyAlignment="1">
      <alignment horizontal="right"/>
    </xf>
    <xf numFmtId="166" fontId="0" fillId="0" borderId="0" xfId="0" applyNumberFormat="1"/>
    <xf numFmtId="171" fontId="0" fillId="0" borderId="0" xfId="0" applyNumberFormat="1"/>
    <xf numFmtId="0" fontId="13" fillId="0" borderId="0" xfId="0" applyFont="1" applyAlignment="1">
      <alignment wrapText="1"/>
    </xf>
    <xf numFmtId="2" fontId="13" fillId="0" borderId="0" xfId="0" applyNumberFormat="1" applyFont="1" applyAlignment="1">
      <alignment wrapText="1"/>
    </xf>
    <xf numFmtId="2" fontId="32" fillId="0" borderId="0" xfId="0" applyNumberFormat="1" applyFont="1"/>
    <xf numFmtId="167" fontId="0" fillId="0" borderId="0" xfId="1" applyNumberFormat="1" applyFont="1"/>
    <xf numFmtId="0" fontId="2" fillId="3" borderId="1" xfId="0" applyFont="1" applyFill="1" applyBorder="1"/>
    <xf numFmtId="3" fontId="32" fillId="3" borderId="1" xfId="1" applyNumberFormat="1" applyFont="1" applyFill="1" applyBorder="1" applyProtection="1"/>
    <xf numFmtId="43" fontId="15" fillId="3" borderId="1" xfId="1" applyFont="1" applyFill="1" applyBorder="1" applyProtection="1"/>
    <xf numFmtId="43" fontId="15" fillId="3" borderId="0" xfId="1" applyFont="1" applyFill="1" applyBorder="1" applyProtection="1"/>
    <xf numFmtId="2" fontId="23" fillId="3" borderId="1" xfId="1" applyNumberFormat="1" applyFont="1" applyFill="1" applyBorder="1" applyProtection="1"/>
    <xf numFmtId="2" fontId="32" fillId="3" borderId="1" xfId="1" applyNumberFormat="1" applyFont="1" applyFill="1" applyBorder="1" applyProtection="1"/>
    <xf numFmtId="2" fontId="0" fillId="3" borderId="1" xfId="0" applyNumberFormat="1" applyFill="1" applyBorder="1"/>
    <xf numFmtId="0" fontId="2" fillId="3" borderId="1" xfId="0" applyFont="1" applyFill="1" applyBorder="1" applyAlignment="1">
      <alignment wrapText="1"/>
    </xf>
    <xf numFmtId="172" fontId="22" fillId="0" borderId="0" xfId="0" applyNumberFormat="1" applyFont="1" applyProtection="1">
      <protection locked="0"/>
    </xf>
    <xf numFmtId="0" fontId="8" fillId="0" borderId="26" xfId="0" applyFont="1" applyBorder="1" applyAlignment="1">
      <alignment horizontal="left" vertical="top" wrapText="1"/>
    </xf>
    <xf numFmtId="0" fontId="6" fillId="12" borderId="20" xfId="0" applyFont="1" applyFill="1" applyBorder="1" applyAlignment="1" applyProtection="1">
      <alignment horizontal="left" vertical="center"/>
      <protection locked="0"/>
    </xf>
    <xf numFmtId="0" fontId="0" fillId="11" borderId="3" xfId="0" applyFill="1" applyBorder="1" applyProtection="1">
      <protection locked="0"/>
    </xf>
    <xf numFmtId="0" fontId="36" fillId="0" borderId="0" xfId="0" applyFont="1" applyAlignment="1">
      <alignment vertical="top"/>
    </xf>
    <xf numFmtId="0" fontId="7" fillId="3" borderId="30" xfId="0" applyFont="1" applyFill="1" applyBorder="1" applyAlignment="1">
      <alignment vertical="top"/>
    </xf>
    <xf numFmtId="0" fontId="0" fillId="3" borderId="30" xfId="0" applyFill="1" applyBorder="1" applyAlignment="1">
      <alignment vertical="top"/>
    </xf>
    <xf numFmtId="0" fontId="7" fillId="3" borderId="30" xfId="0" applyFont="1" applyFill="1" applyBorder="1" applyAlignment="1">
      <alignment horizontal="left" vertical="top" wrapText="1"/>
    </xf>
    <xf numFmtId="0" fontId="7" fillId="3" borderId="30" xfId="0" applyFont="1" applyFill="1" applyBorder="1" applyAlignment="1">
      <alignment vertical="top" wrapText="1"/>
    </xf>
    <xf numFmtId="0" fontId="7" fillId="3" borderId="31" xfId="0" applyFont="1" applyFill="1" applyBorder="1" applyAlignment="1">
      <alignment vertical="top"/>
    </xf>
    <xf numFmtId="9" fontId="6" fillId="5" borderId="32" xfId="1" applyNumberFormat="1" applyFont="1" applyFill="1" applyBorder="1" applyAlignment="1" applyProtection="1">
      <alignment horizontal="left" vertical="center"/>
      <protection locked="0"/>
    </xf>
    <xf numFmtId="0" fontId="0" fillId="7" borderId="33" xfId="0" applyFill="1" applyBorder="1" applyProtection="1">
      <protection locked="0"/>
    </xf>
    <xf numFmtId="0" fontId="7" fillId="0" borderId="35" xfId="1" applyNumberFormat="1" applyFont="1" applyFill="1" applyBorder="1" applyAlignment="1">
      <alignment horizontal="left"/>
    </xf>
    <xf numFmtId="170" fontId="22" fillId="0" borderId="1" xfId="0" applyNumberFormat="1" applyFont="1" applyBorder="1"/>
    <xf numFmtId="0" fontId="0" fillId="0" borderId="1" xfId="0" applyBorder="1"/>
    <xf numFmtId="0" fontId="12" fillId="3" borderId="27" xfId="0" applyFont="1" applyFill="1" applyBorder="1" applyAlignment="1">
      <alignment wrapText="1"/>
    </xf>
    <xf numFmtId="0" fontId="12" fillId="3" borderId="27" xfId="0" applyFont="1" applyFill="1" applyBorder="1"/>
    <xf numFmtId="0" fontId="13" fillId="5" borderId="1" xfId="0" applyFont="1" applyFill="1" applyBorder="1"/>
    <xf numFmtId="0" fontId="13" fillId="5" borderId="1" xfId="0" applyFont="1" applyFill="1" applyBorder="1" applyAlignment="1">
      <alignment horizontal="left"/>
    </xf>
    <xf numFmtId="0" fontId="23" fillId="5" borderId="1" xfId="1" applyNumberFormat="1" applyFont="1" applyFill="1" applyBorder="1" applyAlignment="1">
      <alignment horizontal="left" vertical="center"/>
    </xf>
    <xf numFmtId="3" fontId="23" fillId="5" borderId="1" xfId="1" applyNumberFormat="1" applyFont="1" applyFill="1" applyBorder="1" applyAlignment="1">
      <alignment vertical="center"/>
    </xf>
    <xf numFmtId="0" fontId="13" fillId="0" borderId="27" xfId="0" applyFont="1" applyBorder="1"/>
    <xf numFmtId="0" fontId="13" fillId="0" borderId="27" xfId="0" applyFont="1" applyBorder="1" applyAlignment="1">
      <alignment horizontal="left"/>
    </xf>
    <xf numFmtId="0" fontId="23" fillId="0" borderId="27" xfId="1" applyNumberFormat="1" applyFont="1" applyBorder="1" applyAlignment="1">
      <alignment horizontal="left" vertical="center"/>
    </xf>
    <xf numFmtId="3" fontId="23" fillId="0" borderId="27" xfId="1" applyNumberFormat="1" applyFont="1" applyBorder="1" applyAlignment="1">
      <alignment vertical="center"/>
    </xf>
    <xf numFmtId="0" fontId="13" fillId="5" borderId="27" xfId="0" applyFont="1" applyFill="1" applyBorder="1"/>
    <xf numFmtId="0" fontId="13" fillId="5" borderId="27" xfId="0" applyFont="1" applyFill="1" applyBorder="1" applyAlignment="1">
      <alignment horizontal="left"/>
    </xf>
    <xf numFmtId="0" fontId="23" fillId="5" borderId="27" xfId="1" applyNumberFormat="1" applyFont="1" applyFill="1" applyBorder="1" applyAlignment="1">
      <alignment horizontal="left" vertical="center"/>
    </xf>
    <xf numFmtId="3" fontId="23" fillId="5" borderId="27" xfId="1" applyNumberFormat="1" applyFont="1" applyFill="1" applyBorder="1" applyAlignment="1">
      <alignment vertical="center"/>
    </xf>
    <xf numFmtId="0" fontId="13" fillId="5" borderId="28" xfId="0" applyFont="1" applyFill="1" applyBorder="1"/>
    <xf numFmtId="0" fontId="13" fillId="5" borderId="5" xfId="0" applyFont="1" applyFill="1" applyBorder="1" applyAlignment="1">
      <alignment horizontal="left"/>
    </xf>
    <xf numFmtId="0" fontId="23" fillId="5" borderId="28" xfId="1" applyNumberFormat="1" applyFont="1" applyFill="1" applyBorder="1" applyAlignment="1">
      <alignment horizontal="left" vertical="center"/>
    </xf>
    <xf numFmtId="3" fontId="23" fillId="5" borderId="5" xfId="1" applyNumberFormat="1" applyFont="1" applyFill="1" applyBorder="1" applyAlignment="1">
      <alignment vertical="center"/>
    </xf>
    <xf numFmtId="0" fontId="13" fillId="5" borderId="8" xfId="0" applyFont="1" applyFill="1" applyBorder="1"/>
    <xf numFmtId="0" fontId="27" fillId="5" borderId="1" xfId="0" applyFont="1" applyFill="1" applyBorder="1" applyAlignment="1">
      <alignment horizontal="left" vertical="center"/>
    </xf>
    <xf numFmtId="0" fontId="27" fillId="0" borderId="27" xfId="0" applyFont="1" applyBorder="1" applyAlignment="1">
      <alignment horizontal="left" vertical="center"/>
    </xf>
    <xf numFmtId="0" fontId="27" fillId="5" borderId="27" xfId="0" applyFont="1" applyFill="1" applyBorder="1" applyAlignment="1">
      <alignment horizontal="left" vertical="center"/>
    </xf>
    <xf numFmtId="0" fontId="12" fillId="3" borderId="0" xfId="0" applyFont="1" applyFill="1" applyAlignment="1">
      <alignment wrapText="1"/>
    </xf>
    <xf numFmtId="0" fontId="13" fillId="5" borderId="38" xfId="0" applyFont="1" applyFill="1" applyBorder="1"/>
    <xf numFmtId="0" fontId="13" fillId="0" borderId="5" xfId="0" applyFont="1" applyBorder="1"/>
    <xf numFmtId="0" fontId="13" fillId="5" borderId="5" xfId="0" applyFont="1" applyFill="1" applyBorder="1"/>
    <xf numFmtId="0" fontId="2" fillId="5" borderId="5" xfId="0" applyFont="1" applyFill="1" applyBorder="1" applyAlignment="1">
      <alignment horizontal="left"/>
    </xf>
    <xf numFmtId="0" fontId="2" fillId="0" borderId="5" xfId="0" applyFont="1" applyBorder="1" applyAlignment="1">
      <alignment horizontal="left"/>
    </xf>
    <xf numFmtId="0" fontId="16" fillId="3" borderId="27" xfId="0" applyFont="1" applyFill="1" applyBorder="1" applyAlignment="1">
      <alignment wrapText="1"/>
    </xf>
    <xf numFmtId="0" fontId="16" fillId="3" borderId="27" xfId="0" applyFont="1" applyFill="1" applyBorder="1"/>
    <xf numFmtId="0" fontId="2" fillId="5" borderId="1" xfId="0" applyFont="1" applyFill="1" applyBorder="1"/>
    <xf numFmtId="0" fontId="2" fillId="5" borderId="1" xfId="0" applyFont="1" applyFill="1" applyBorder="1" applyAlignment="1">
      <alignment horizontal="left"/>
    </xf>
    <xf numFmtId="0" fontId="32" fillId="5" borderId="1" xfId="1" applyNumberFormat="1" applyFont="1" applyFill="1" applyBorder="1" applyAlignment="1">
      <alignment horizontal="left" vertical="center"/>
    </xf>
    <xf numFmtId="3" fontId="32" fillId="5" borderId="1" xfId="1" applyNumberFormat="1" applyFont="1" applyFill="1" applyBorder="1" applyAlignment="1">
      <alignment vertical="center"/>
    </xf>
    <xf numFmtId="0" fontId="2" fillId="0" borderId="27" xfId="0" applyFont="1" applyBorder="1"/>
    <xf numFmtId="0" fontId="2" fillId="0" borderId="27" xfId="0" applyFont="1" applyBorder="1" applyAlignment="1">
      <alignment horizontal="left"/>
    </xf>
    <xf numFmtId="0" fontId="32" fillId="0" borderId="27" xfId="0" applyFont="1" applyBorder="1" applyAlignment="1">
      <alignment horizontal="left"/>
    </xf>
    <xf numFmtId="3" fontId="32" fillId="0" borderId="27" xfId="1" applyNumberFormat="1" applyFont="1" applyBorder="1" applyAlignment="1">
      <alignment vertical="center"/>
    </xf>
    <xf numFmtId="0" fontId="2" fillId="5" borderId="27" xfId="0" applyFont="1" applyFill="1" applyBorder="1"/>
    <xf numFmtId="0" fontId="2" fillId="5" borderId="27" xfId="0" applyFont="1" applyFill="1" applyBorder="1" applyAlignment="1">
      <alignment horizontal="left"/>
    </xf>
    <xf numFmtId="0" fontId="32" fillId="5" borderId="27" xfId="0" applyFont="1" applyFill="1" applyBorder="1" applyAlignment="1">
      <alignment horizontal="left"/>
    </xf>
    <xf numFmtId="3" fontId="32" fillId="5" borderId="27" xfId="1" applyNumberFormat="1" applyFont="1" applyFill="1" applyBorder="1" applyAlignment="1">
      <alignment vertical="center"/>
    </xf>
    <xf numFmtId="0" fontId="28" fillId="5" borderId="5" xfId="0" applyFont="1" applyFill="1" applyBorder="1" applyAlignment="1">
      <alignment horizontal="left" vertical="center"/>
    </xf>
    <xf numFmtId="0" fontId="28" fillId="0" borderId="5" xfId="0" applyFont="1" applyBorder="1" applyAlignment="1">
      <alignment horizontal="left" vertical="center"/>
    </xf>
    <xf numFmtId="0" fontId="16" fillId="3" borderId="0" xfId="0" applyFont="1" applyFill="1" applyAlignment="1">
      <alignment wrapText="1"/>
    </xf>
    <xf numFmtId="0" fontId="23" fillId="5" borderId="1" xfId="1" applyNumberFormat="1" applyFont="1" applyFill="1" applyBorder="1" applyAlignment="1">
      <alignment horizontal="left"/>
    </xf>
    <xf numFmtId="3" fontId="23" fillId="5" borderId="1" xfId="1" applyNumberFormat="1" applyFont="1" applyFill="1" applyBorder="1"/>
    <xf numFmtId="0" fontId="23" fillId="0" borderId="27" xfId="1" applyNumberFormat="1" applyFont="1" applyBorder="1" applyAlignment="1">
      <alignment horizontal="left"/>
    </xf>
    <xf numFmtId="3" fontId="23" fillId="0" borderId="27" xfId="1" applyNumberFormat="1" applyFont="1" applyBorder="1"/>
    <xf numFmtId="0" fontId="23" fillId="5" borderId="27" xfId="1" applyNumberFormat="1" applyFont="1" applyFill="1" applyBorder="1" applyAlignment="1">
      <alignment horizontal="left"/>
    </xf>
    <xf numFmtId="3" fontId="23" fillId="5" borderId="27" xfId="1" applyNumberFormat="1" applyFont="1" applyFill="1" applyBorder="1"/>
    <xf numFmtId="0" fontId="13" fillId="0" borderId="28" xfId="0" applyFont="1" applyBorder="1"/>
    <xf numFmtId="0" fontId="13" fillId="0" borderId="28" xfId="0" applyFont="1" applyBorder="1" applyAlignment="1">
      <alignment horizontal="left"/>
    </xf>
    <xf numFmtId="0" fontId="23" fillId="0" borderId="28" xfId="1" applyNumberFormat="1" applyFont="1" applyBorder="1" applyAlignment="1">
      <alignment horizontal="left"/>
    </xf>
    <xf numFmtId="3" fontId="23" fillId="0" borderId="28" xfId="1" applyNumberFormat="1" applyFont="1" applyBorder="1"/>
    <xf numFmtId="0" fontId="27" fillId="5" borderId="38" xfId="0" applyFont="1" applyFill="1" applyBorder="1" applyAlignment="1">
      <alignment horizontal="left" vertical="center"/>
    </xf>
    <xf numFmtId="0" fontId="27" fillId="0" borderId="5" xfId="0" applyFont="1" applyBorder="1" applyAlignment="1">
      <alignment horizontal="left" vertical="center"/>
    </xf>
    <xf numFmtId="0" fontId="27" fillId="5" borderId="5" xfId="0" applyFont="1" applyFill="1" applyBorder="1" applyAlignment="1">
      <alignment horizontal="left" vertical="center"/>
    </xf>
    <xf numFmtId="0" fontId="12" fillId="3" borderId="29" xfId="0" applyFont="1" applyFill="1" applyBorder="1" applyAlignment="1">
      <alignment wrapText="1"/>
    </xf>
    <xf numFmtId="0" fontId="12" fillId="3" borderId="39" xfId="0" applyFont="1" applyFill="1" applyBorder="1"/>
    <xf numFmtId="0" fontId="27" fillId="0" borderId="28" xfId="0" applyFont="1" applyBorder="1" applyAlignment="1">
      <alignment horizontal="left" vertical="center"/>
    </xf>
    <xf numFmtId="0" fontId="16" fillId="3" borderId="34" xfId="0" applyFont="1" applyFill="1" applyBorder="1"/>
    <xf numFmtId="0" fontId="28" fillId="5" borderId="35" xfId="0" applyFont="1" applyFill="1" applyBorder="1" applyAlignment="1">
      <alignment horizontal="left" vertical="center"/>
    </xf>
    <xf numFmtId="3" fontId="32" fillId="5" borderId="1" xfId="0" applyNumberFormat="1" applyFont="1" applyFill="1" applyBorder="1" applyAlignment="1">
      <alignment horizontal="left"/>
    </xf>
    <xf numFmtId="3" fontId="32" fillId="5" borderId="1" xfId="1" applyNumberFormat="1" applyFont="1" applyFill="1" applyBorder="1"/>
    <xf numFmtId="0" fontId="28" fillId="0" borderId="34" xfId="0" applyFont="1" applyBorder="1" applyAlignment="1">
      <alignment horizontal="left" vertical="center"/>
    </xf>
    <xf numFmtId="3" fontId="32" fillId="0" borderId="27" xfId="0" applyNumberFormat="1" applyFont="1" applyBorder="1" applyAlignment="1">
      <alignment horizontal="left"/>
    </xf>
    <xf numFmtId="3" fontId="32" fillId="0" borderId="27" xfId="1" applyNumberFormat="1" applyFont="1" applyBorder="1"/>
    <xf numFmtId="0" fontId="28" fillId="5" borderId="34" xfId="0" applyFont="1" applyFill="1" applyBorder="1" applyAlignment="1">
      <alignment horizontal="left" vertical="center"/>
    </xf>
    <xf numFmtId="3" fontId="32" fillId="5" borderId="27" xfId="0" applyNumberFormat="1" applyFont="1" applyFill="1" applyBorder="1" applyAlignment="1">
      <alignment horizontal="left"/>
    </xf>
    <xf numFmtId="3" fontId="32" fillId="5" borderId="27" xfId="1" applyNumberFormat="1" applyFont="1" applyFill="1" applyBorder="1"/>
    <xf numFmtId="0" fontId="28" fillId="0" borderId="8" xfId="0" applyFont="1" applyBorder="1"/>
    <xf numFmtId="0" fontId="2" fillId="0" borderId="28" xfId="0" applyFont="1" applyBorder="1"/>
    <xf numFmtId="0" fontId="2" fillId="0" borderId="28" xfId="0" applyFont="1" applyBorder="1" applyAlignment="1">
      <alignment horizontal="left"/>
    </xf>
    <xf numFmtId="3" fontId="32" fillId="0" borderId="28" xfId="0" applyNumberFormat="1" applyFont="1" applyBorder="1" applyAlignment="1">
      <alignment horizontal="left"/>
    </xf>
    <xf numFmtId="3" fontId="32" fillId="0" borderId="28" xfId="1" applyNumberFormat="1" applyFont="1" applyBorder="1"/>
    <xf numFmtId="0" fontId="16" fillId="3" borderId="39" xfId="0" applyFont="1" applyFill="1" applyBorder="1"/>
    <xf numFmtId="3" fontId="2" fillId="5" borderId="1" xfId="0" applyNumberFormat="1" applyFont="1" applyFill="1" applyBorder="1" applyAlignment="1">
      <alignment horizontal="left"/>
    </xf>
    <xf numFmtId="3" fontId="2" fillId="0" borderId="27" xfId="0" applyNumberFormat="1" applyFont="1" applyBorder="1" applyAlignment="1">
      <alignment horizontal="left"/>
    </xf>
    <xf numFmtId="3" fontId="2" fillId="5" borderId="27" xfId="0" applyNumberFormat="1" applyFont="1" applyFill="1" applyBorder="1" applyAlignment="1">
      <alignment horizontal="left"/>
    </xf>
    <xf numFmtId="3" fontId="2" fillId="0" borderId="28" xfId="0" applyNumberFormat="1" applyFont="1" applyBorder="1" applyAlignment="1">
      <alignment horizontal="left"/>
    </xf>
    <xf numFmtId="0" fontId="2" fillId="5" borderId="5" xfId="0" applyFont="1" applyFill="1" applyBorder="1" applyAlignment="1">
      <alignment horizontal="right"/>
    </xf>
    <xf numFmtId="0" fontId="2" fillId="0" borderId="5" xfId="0" applyFont="1" applyBorder="1" applyAlignment="1">
      <alignment horizontal="right"/>
    </xf>
    <xf numFmtId="0" fontId="2" fillId="5" borderId="27" xfId="0" applyFont="1" applyFill="1" applyBorder="1" applyAlignment="1">
      <alignment horizontal="right"/>
    </xf>
    <xf numFmtId="0" fontId="13" fillId="5" borderId="1" xfId="1" applyNumberFormat="1" applyFont="1" applyFill="1" applyBorder="1" applyAlignment="1">
      <alignment horizontal="left"/>
    </xf>
    <xf numFmtId="170" fontId="23" fillId="5" borderId="1" xfId="1" applyNumberFormat="1" applyFont="1" applyFill="1" applyBorder="1"/>
    <xf numFmtId="0" fontId="13" fillId="0" borderId="27" xfId="1" applyNumberFormat="1" applyFont="1" applyBorder="1" applyAlignment="1">
      <alignment horizontal="left"/>
    </xf>
    <xf numFmtId="0" fontId="32" fillId="0" borderId="27" xfId="1" applyNumberFormat="1" applyFont="1" applyBorder="1" applyAlignment="1">
      <alignment horizontal="left" vertical="center"/>
    </xf>
    <xf numFmtId="170" fontId="23" fillId="0" borderId="27" xfId="1" applyNumberFormat="1" applyFont="1" applyBorder="1"/>
    <xf numFmtId="0" fontId="13" fillId="5" borderId="27" xfId="1" applyNumberFormat="1" applyFont="1" applyFill="1" applyBorder="1" applyAlignment="1">
      <alignment horizontal="left"/>
    </xf>
    <xf numFmtId="0" fontId="32" fillId="5" borderId="27" xfId="1" applyNumberFormat="1" applyFont="1" applyFill="1" applyBorder="1" applyAlignment="1">
      <alignment horizontal="left" vertical="center"/>
    </xf>
    <xf numFmtId="170" fontId="23" fillId="5" borderId="27" xfId="1" applyNumberFormat="1" applyFont="1" applyFill="1" applyBorder="1"/>
    <xf numFmtId="0" fontId="29" fillId="3" borderId="0" xfId="0" applyFont="1" applyFill="1"/>
    <xf numFmtId="0" fontId="2" fillId="5" borderId="5" xfId="1" applyNumberFormat="1" applyFont="1" applyFill="1" applyBorder="1"/>
    <xf numFmtId="0" fontId="2" fillId="0" borderId="5" xfId="1" applyNumberFormat="1" applyFont="1" applyBorder="1"/>
    <xf numFmtId="0" fontId="2" fillId="5" borderId="1" xfId="1" applyNumberFormat="1" applyFont="1" applyFill="1" applyBorder="1"/>
    <xf numFmtId="170" fontId="32" fillId="5" borderId="1" xfId="1" applyNumberFormat="1" applyFont="1" applyFill="1" applyBorder="1"/>
    <xf numFmtId="0" fontId="2" fillId="0" borderId="27" xfId="1" applyNumberFormat="1" applyFont="1" applyBorder="1"/>
    <xf numFmtId="0" fontId="2" fillId="0" borderId="27" xfId="1" applyNumberFormat="1" applyFont="1" applyBorder="1" applyAlignment="1">
      <alignment horizontal="left"/>
    </xf>
    <xf numFmtId="170" fontId="32" fillId="0" borderId="27" xfId="1" applyNumberFormat="1" applyFont="1" applyBorder="1"/>
    <xf numFmtId="0" fontId="2" fillId="5" borderId="27" xfId="1" applyNumberFormat="1" applyFont="1" applyFill="1" applyBorder="1"/>
    <xf numFmtId="0" fontId="2" fillId="5" borderId="27" xfId="1" applyNumberFormat="1" applyFont="1" applyFill="1" applyBorder="1" applyAlignment="1">
      <alignment horizontal="left"/>
    </xf>
    <xf numFmtId="170" fontId="32" fillId="5" borderId="27" xfId="1" applyNumberFormat="1" applyFont="1" applyFill="1" applyBorder="1"/>
    <xf numFmtId="0" fontId="32" fillId="0" borderId="27" xfId="1" applyNumberFormat="1" applyFont="1" applyBorder="1" applyAlignment="1">
      <alignment horizontal="left"/>
    </xf>
    <xf numFmtId="0" fontId="32" fillId="5" borderId="27" xfId="1" applyNumberFormat="1" applyFont="1" applyFill="1" applyBorder="1" applyAlignment="1">
      <alignment horizontal="left"/>
    </xf>
    <xf numFmtId="0" fontId="30" fillId="3" borderId="0" xfId="0" applyFont="1" applyFill="1"/>
    <xf numFmtId="170" fontId="13" fillId="5" borderId="5" xfId="1" applyNumberFormat="1" applyFont="1" applyFill="1" applyBorder="1"/>
    <xf numFmtId="3" fontId="13" fillId="5" borderId="5" xfId="1" applyNumberFormat="1" applyFont="1" applyFill="1" applyBorder="1"/>
    <xf numFmtId="170" fontId="13" fillId="5" borderId="1" xfId="1" applyNumberFormat="1" applyFont="1" applyFill="1" applyBorder="1"/>
    <xf numFmtId="170" fontId="13" fillId="5" borderId="27" xfId="1" applyNumberFormat="1" applyFont="1" applyFill="1" applyBorder="1"/>
    <xf numFmtId="170" fontId="2" fillId="5" borderId="5" xfId="1" applyNumberFormat="1" applyFont="1" applyFill="1" applyBorder="1"/>
    <xf numFmtId="0" fontId="2" fillId="5" borderId="5" xfId="1" applyNumberFormat="1" applyFont="1" applyFill="1" applyBorder="1" applyAlignment="1">
      <alignment horizontal="right"/>
    </xf>
    <xf numFmtId="0" fontId="16" fillId="3" borderId="27" xfId="0" applyFont="1" applyFill="1" applyBorder="1" applyAlignment="1">
      <alignment horizontal="left" wrapText="1"/>
    </xf>
    <xf numFmtId="170" fontId="2" fillId="5" borderId="1" xfId="1" applyNumberFormat="1" applyFont="1" applyFill="1" applyBorder="1"/>
    <xf numFmtId="0" fontId="2" fillId="5" borderId="1" xfId="1" applyNumberFormat="1" applyFont="1" applyFill="1" applyBorder="1" applyAlignment="1">
      <alignment horizontal="left"/>
    </xf>
    <xf numFmtId="170" fontId="2" fillId="5" borderId="27" xfId="1" applyNumberFormat="1" applyFont="1" applyFill="1" applyBorder="1"/>
    <xf numFmtId="0" fontId="16" fillId="3" borderId="0" xfId="0" applyFont="1" applyFill="1" applyAlignment="1">
      <alignment horizontal="left" wrapText="1"/>
    </xf>
    <xf numFmtId="0" fontId="12" fillId="3" borderId="27" xfId="0" applyFont="1" applyFill="1" applyBorder="1" applyAlignment="1">
      <alignment horizontal="left" wrapText="1"/>
    </xf>
    <xf numFmtId="0" fontId="13" fillId="5" borderId="35" xfId="0" applyFont="1" applyFill="1" applyBorder="1"/>
    <xf numFmtId="0" fontId="13" fillId="0" borderId="34" xfId="0" applyFont="1" applyBorder="1"/>
    <xf numFmtId="0" fontId="23" fillId="0" borderId="27" xfId="0" applyFont="1" applyBorder="1" applyAlignment="1">
      <alignment horizontal="left"/>
    </xf>
    <xf numFmtId="0" fontId="13" fillId="5" borderId="34" xfId="0" applyFont="1" applyFill="1" applyBorder="1"/>
    <xf numFmtId="0" fontId="23" fillId="5" borderId="27" xfId="0" applyFont="1" applyFill="1" applyBorder="1" applyAlignment="1">
      <alignment horizontal="left"/>
    </xf>
    <xf numFmtId="0" fontId="13" fillId="5" borderId="28" xfId="0" applyFont="1" applyFill="1" applyBorder="1" applyAlignment="1">
      <alignment horizontal="left"/>
    </xf>
    <xf numFmtId="0" fontId="23" fillId="5" borderId="28" xfId="0" applyFont="1" applyFill="1" applyBorder="1" applyAlignment="1">
      <alignment horizontal="left"/>
    </xf>
    <xf numFmtId="3" fontId="23" fillId="5" borderId="28" xfId="1" applyNumberFormat="1" applyFont="1" applyFill="1" applyBorder="1"/>
    <xf numFmtId="0" fontId="12" fillId="3" borderId="0" xfId="0" applyFont="1" applyFill="1" applyAlignment="1">
      <alignment horizontal="left" wrapText="1"/>
    </xf>
    <xf numFmtId="0" fontId="13" fillId="5" borderId="1" xfId="0" applyFont="1" applyFill="1" applyBorder="1" applyAlignment="1">
      <alignment horizontal="right"/>
    </xf>
    <xf numFmtId="0" fontId="13" fillId="0" borderId="27" xfId="0" applyFont="1" applyBorder="1" applyAlignment="1">
      <alignment horizontal="right"/>
    </xf>
    <xf numFmtId="0" fontId="13" fillId="5" borderId="27" xfId="0" applyFont="1" applyFill="1" applyBorder="1" applyAlignment="1">
      <alignment horizontal="right"/>
    </xf>
    <xf numFmtId="0" fontId="13" fillId="5" borderId="28" xfId="0" applyFont="1" applyFill="1" applyBorder="1" applyAlignment="1">
      <alignment horizontal="right"/>
    </xf>
    <xf numFmtId="0" fontId="2" fillId="5" borderId="5" xfId="0" applyFont="1" applyFill="1" applyBorder="1"/>
    <xf numFmtId="0" fontId="2" fillId="0" borderId="5" xfId="0" applyFont="1" applyBorder="1"/>
    <xf numFmtId="0" fontId="13" fillId="3" borderId="35" xfId="0" applyFont="1" applyFill="1" applyBorder="1"/>
    <xf numFmtId="0" fontId="13" fillId="3" borderId="1" xfId="0" applyFont="1" applyFill="1" applyBorder="1" applyAlignment="1">
      <alignment horizontal="left"/>
    </xf>
    <xf numFmtId="2" fontId="23" fillId="5" borderId="1" xfId="1" applyNumberFormat="1" applyFont="1" applyFill="1" applyBorder="1"/>
    <xf numFmtId="0" fontId="13" fillId="3" borderId="34" xfId="0" applyFont="1" applyFill="1" applyBorder="1"/>
    <xf numFmtId="0" fontId="13" fillId="3" borderId="27" xfId="0" applyFont="1" applyFill="1" applyBorder="1"/>
    <xf numFmtId="0" fontId="13" fillId="3" borderId="27" xfId="0" applyFont="1" applyFill="1" applyBorder="1" applyAlignment="1">
      <alignment horizontal="left"/>
    </xf>
    <xf numFmtId="2" fontId="23" fillId="0" borderId="27" xfId="1" applyNumberFormat="1" applyFont="1" applyBorder="1"/>
    <xf numFmtId="2" fontId="23" fillId="5" borderId="27" xfId="1" applyNumberFormat="1" applyFont="1" applyFill="1" applyBorder="1"/>
    <xf numFmtId="0" fontId="13" fillId="3" borderId="8" xfId="0" applyFont="1" applyFill="1" applyBorder="1"/>
    <xf numFmtId="0" fontId="13" fillId="3" borderId="28" xfId="0" applyFont="1" applyFill="1" applyBorder="1"/>
    <xf numFmtId="0" fontId="13" fillId="3" borderId="28" xfId="0" applyFont="1" applyFill="1" applyBorder="1" applyAlignment="1">
      <alignment horizontal="left"/>
    </xf>
    <xf numFmtId="0" fontId="23" fillId="0" borderId="28" xfId="1" applyNumberFormat="1" applyFont="1" applyBorder="1" applyAlignment="1">
      <alignment horizontal="left" vertical="center"/>
    </xf>
    <xf numFmtId="2" fontId="23" fillId="0" borderId="28" xfId="1" applyNumberFormat="1" applyFont="1" applyBorder="1"/>
    <xf numFmtId="0" fontId="12" fillId="3" borderId="0" xfId="0" applyFont="1" applyFill="1" applyAlignment="1">
      <alignment horizontal="left"/>
    </xf>
    <xf numFmtId="0" fontId="12" fillId="3" borderId="36" xfId="0" applyFont="1" applyFill="1" applyBorder="1"/>
    <xf numFmtId="2" fontId="23" fillId="3" borderId="0" xfId="1" applyNumberFormat="1" applyFont="1" applyFill="1" applyBorder="1" applyProtection="1"/>
    <xf numFmtId="0" fontId="2" fillId="3" borderId="35" xfId="0" applyFont="1" applyFill="1" applyBorder="1"/>
    <xf numFmtId="0" fontId="2" fillId="3" borderId="1" xfId="0" applyFont="1" applyFill="1" applyBorder="1" applyAlignment="1">
      <alignment horizontal="left"/>
    </xf>
    <xf numFmtId="2" fontId="32" fillId="5" borderId="1" xfId="1" applyNumberFormat="1" applyFont="1" applyFill="1" applyBorder="1"/>
    <xf numFmtId="0" fontId="2" fillId="3" borderId="34" xfId="0" applyFont="1" applyFill="1" applyBorder="1"/>
    <xf numFmtId="0" fontId="2" fillId="3" borderId="27" xfId="0" applyFont="1" applyFill="1" applyBorder="1"/>
    <xf numFmtId="0" fontId="2" fillId="3" borderId="27" xfId="0" applyFont="1" applyFill="1" applyBorder="1" applyAlignment="1">
      <alignment horizontal="left"/>
    </xf>
    <xf numFmtId="0" fontId="22" fillId="0" borderId="27" xfId="0" applyFont="1" applyBorder="1"/>
    <xf numFmtId="2" fontId="32" fillId="0" borderId="27" xfId="1" applyNumberFormat="1" applyFont="1" applyBorder="1"/>
    <xf numFmtId="0" fontId="22" fillId="5" borderId="27" xfId="0" applyFont="1" applyFill="1" applyBorder="1"/>
    <xf numFmtId="2" fontId="32" fillId="5" borderId="27" xfId="1" applyNumberFormat="1" applyFont="1" applyFill="1" applyBorder="1"/>
    <xf numFmtId="0" fontId="2" fillId="3" borderId="8" xfId="0" applyFont="1" applyFill="1" applyBorder="1"/>
    <xf numFmtId="0" fontId="2" fillId="3" borderId="28" xfId="0" applyFont="1" applyFill="1" applyBorder="1"/>
    <xf numFmtId="0" fontId="2" fillId="3" borderId="28" xfId="0" applyFont="1" applyFill="1" applyBorder="1" applyAlignment="1">
      <alignment horizontal="left"/>
    </xf>
    <xf numFmtId="0" fontId="22" fillId="0" borderId="28" xfId="0" applyFont="1" applyBorder="1"/>
    <xf numFmtId="2" fontId="32" fillId="0" borderId="28" xfId="1" applyNumberFormat="1" applyFont="1" applyBorder="1"/>
    <xf numFmtId="0" fontId="16" fillId="3" borderId="0" xfId="0" applyFont="1" applyFill="1" applyAlignment="1">
      <alignment horizontal="left"/>
    </xf>
    <xf numFmtId="0" fontId="16" fillId="3" borderId="36" xfId="0" applyFont="1" applyFill="1" applyBorder="1"/>
    <xf numFmtId="2" fontId="32" fillId="3" borderId="0" xfId="1" applyNumberFormat="1" applyFont="1" applyFill="1" applyBorder="1" applyProtection="1"/>
    <xf numFmtId="0" fontId="2" fillId="3" borderId="37" xfId="0" applyFont="1" applyFill="1" applyBorder="1"/>
    <xf numFmtId="0" fontId="13" fillId="3" borderId="38" xfId="0" applyFont="1" applyFill="1" applyBorder="1" applyAlignment="1">
      <alignment horizontal="left"/>
    </xf>
    <xf numFmtId="0" fontId="32" fillId="5" borderId="38" xfId="1" applyNumberFormat="1" applyFont="1" applyFill="1" applyBorder="1" applyAlignment="1">
      <alignment horizontal="left" vertical="center"/>
    </xf>
    <xf numFmtId="0" fontId="12" fillId="3" borderId="29" xfId="0" applyFont="1" applyFill="1" applyBorder="1"/>
    <xf numFmtId="3" fontId="23" fillId="5" borderId="1" xfId="0" applyNumberFormat="1" applyFont="1" applyFill="1" applyBorder="1"/>
    <xf numFmtId="0" fontId="2" fillId="3" borderId="38" xfId="0" applyFont="1" applyFill="1" applyBorder="1" applyAlignment="1">
      <alignment wrapText="1"/>
    </xf>
    <xf numFmtId="0" fontId="2" fillId="3" borderId="38" xfId="0" applyFont="1" applyFill="1" applyBorder="1" applyAlignment="1">
      <alignment horizontal="left" wrapText="1"/>
    </xf>
    <xf numFmtId="0" fontId="16" fillId="3" borderId="29" xfId="0" applyFont="1" applyFill="1" applyBorder="1"/>
    <xf numFmtId="0" fontId="2" fillId="3" borderId="1" xfId="0" applyFont="1" applyFill="1" applyBorder="1" applyAlignment="1">
      <alignment horizontal="left" wrapText="1"/>
    </xf>
    <xf numFmtId="3" fontId="32" fillId="5" borderId="1" xfId="0" applyNumberFormat="1" applyFont="1" applyFill="1" applyBorder="1"/>
    <xf numFmtId="0" fontId="13" fillId="3" borderId="38" xfId="0" applyFont="1" applyFill="1" applyBorder="1" applyAlignment="1">
      <alignment wrapText="1"/>
    </xf>
    <xf numFmtId="2" fontId="23" fillId="5" borderId="38" xfId="0" applyNumberFormat="1" applyFont="1" applyFill="1" applyBorder="1" applyAlignment="1">
      <alignment wrapText="1"/>
    </xf>
    <xf numFmtId="2" fontId="32" fillId="5" borderId="38" xfId="0" applyNumberFormat="1" applyFont="1" applyFill="1" applyBorder="1" applyAlignment="1">
      <alignment wrapText="1"/>
    </xf>
    <xf numFmtId="3" fontId="32" fillId="0" borderId="0" xfId="1" applyNumberFormat="1" applyFont="1" applyFill="1" applyAlignment="1" applyProtection="1">
      <alignment vertical="center"/>
      <protection locked="0"/>
    </xf>
    <xf numFmtId="0" fontId="0" fillId="13" borderId="20" xfId="0" applyFill="1" applyBorder="1" applyAlignment="1">
      <alignment horizontal="left" vertical="center"/>
    </xf>
    <xf numFmtId="0" fontId="0" fillId="0" borderId="0" xfId="0" applyAlignment="1">
      <alignment horizontal="right"/>
    </xf>
    <xf numFmtId="0" fontId="0" fillId="0" borderId="0" xfId="0" applyAlignment="1">
      <alignment horizontal="left"/>
    </xf>
    <xf numFmtId="0" fontId="0" fillId="0" borderId="0" xfId="0" applyAlignment="1">
      <alignment horizontal="right" wrapText="1"/>
    </xf>
    <xf numFmtId="0" fontId="0" fillId="0" borderId="0" xfId="0" applyAlignment="1">
      <alignment horizontal="left" wrapText="1"/>
    </xf>
    <xf numFmtId="0" fontId="5" fillId="0" borderId="0" xfId="0" applyFont="1" applyAlignment="1">
      <alignment horizontal="right" wrapText="1"/>
    </xf>
    <xf numFmtId="0" fontId="36" fillId="0" borderId="0" xfId="0" applyFont="1" applyAlignment="1">
      <alignment horizontal="left" vertical="top"/>
    </xf>
    <xf numFmtId="0" fontId="0" fillId="0" borderId="0" xfId="0" applyAlignment="1">
      <alignment horizontal="left" vertical="top" wrapText="1"/>
    </xf>
    <xf numFmtId="0" fontId="34" fillId="8" borderId="0" xfId="0" applyFont="1" applyFill="1" applyAlignment="1">
      <alignment horizontal="left" vertical="top" wrapText="1"/>
    </xf>
    <xf numFmtId="0" fontId="34" fillId="8" borderId="25" xfId="0" applyFont="1" applyFill="1" applyBorder="1" applyAlignment="1">
      <alignment horizontal="left" vertical="top" wrapText="1"/>
    </xf>
    <xf numFmtId="0" fontId="25" fillId="3" borderId="0" xfId="0" applyFont="1" applyFill="1" applyAlignment="1">
      <alignment horizontal="left" wrapText="1"/>
    </xf>
    <xf numFmtId="0" fontId="25" fillId="3" borderId="0" xfId="0" applyFont="1" applyFill="1" applyAlignment="1">
      <alignment horizontal="left" vertical="top" wrapText="1"/>
    </xf>
  </cellXfs>
  <cellStyles count="3">
    <cellStyle name="Comma" xfId="1" builtinId="3"/>
    <cellStyle name="Normal" xfId="0" builtinId="0"/>
    <cellStyle name="Percent" xfId="2" builtinId="5"/>
  </cellStyles>
  <dxfs count="945">
    <dxf>
      <fill>
        <patternFill patternType="solid">
          <bgColor theme="0"/>
        </patternFill>
      </fill>
    </dxf>
    <dxf>
      <fill>
        <patternFill>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2F2F2"/>
        </patternFill>
      </fill>
    </dxf>
    <dxf>
      <fill>
        <patternFill>
          <bgColor rgb="FFC0E6F5"/>
        </patternFill>
      </fill>
    </dxf>
    <dxf>
      <fill>
        <patternFill>
          <bgColor rgb="FFC0E6F5"/>
        </patternFill>
      </fill>
    </dxf>
    <dxf>
      <font>
        <color rgb="FFF2F2F2"/>
      </font>
      <fill>
        <patternFill>
          <bgColor rgb="FFF2F2F2"/>
        </patternFill>
      </fill>
    </dxf>
    <dxf>
      <font>
        <color rgb="FFF2F2F2"/>
      </font>
      <fill>
        <patternFill>
          <bgColor theme="0" tint="-4.9989318521683403E-2"/>
        </patternFill>
      </fill>
    </dxf>
    <dxf>
      <font>
        <color rgb="FFF2F2F2"/>
      </font>
      <fill>
        <patternFill>
          <bgColor rgb="FFF2F2F2"/>
        </patternFill>
      </fill>
    </dxf>
    <dxf>
      <fill>
        <patternFill>
          <bgColor rgb="FFC0E6F5"/>
        </patternFill>
      </fill>
    </dxf>
    <dxf>
      <fill>
        <patternFill>
          <bgColor rgb="FFC0E6F5"/>
        </patternFill>
      </fill>
    </dxf>
    <dxf>
      <fill>
        <patternFill>
          <bgColor rgb="FFF2F2F2"/>
        </patternFill>
      </fill>
    </dxf>
    <dxf>
      <font>
        <color theme="0" tint="-0.34998626667073579"/>
      </font>
    </dxf>
    <dxf>
      <font>
        <color theme="0" tint="-0.34998626667073579"/>
      </font>
    </dxf>
    <dxf>
      <numFmt numFmtId="0" formatCode="General"/>
    </dxf>
    <dxf>
      <numFmt numFmtId="0" formatCode="General"/>
    </dxf>
    <dxf>
      <border outline="0">
        <right style="thin">
          <color theme="4" tint="0.39997558519241921"/>
        </right>
      </border>
    </dxf>
    <dxf>
      <font>
        <b val="0"/>
        <i val="0"/>
        <strike val="0"/>
        <condense val="0"/>
        <extend val="0"/>
        <outline val="0"/>
        <shadow val="0"/>
        <u val="none"/>
        <vertAlign val="baseline"/>
        <sz val="11"/>
        <color theme="1"/>
        <name val="Aptos Narrow"/>
        <family val="2"/>
        <scheme val="minor"/>
      </font>
    </dxf>
    <dxf>
      <border>
        <bottom style="thin">
          <color indexed="64"/>
        </bottom>
      </border>
    </dxf>
    <dxf>
      <font>
        <b/>
        <i val="0"/>
        <strike val="0"/>
        <condense val="0"/>
        <extend val="0"/>
        <outline val="0"/>
        <shadow val="0"/>
        <u val="none"/>
        <vertAlign val="baseline"/>
        <sz val="11"/>
        <color theme="0"/>
        <name val="Aptos Narrow"/>
        <family val="2"/>
        <scheme val="minor"/>
      </font>
      <numFmt numFmtId="1" formatCode="0"/>
      <fill>
        <patternFill patternType="solid">
          <fgColor theme="4"/>
          <bgColor theme="4"/>
        </patternFill>
      </fill>
      <alignment horizontal="right" vertical="bottom" textRotation="0" wrapText="0" indent="0" justifyLastLine="0" shrinkToFit="0" readingOrder="0"/>
    </dxf>
    <dxf>
      <numFmt numFmtId="166" formatCode="&quot;$&quot;#,##0.00"/>
    </dxf>
    <dxf>
      <border outline="0">
        <bottom style="thin">
          <color indexed="64"/>
        </bottom>
      </border>
    </dxf>
    <dxf>
      <fill>
        <patternFill patternType="solid">
          <fgColor indexed="64"/>
          <bgColor theme="0" tint="-4.9989318521683403E-2"/>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Aptos Narrow"/>
        <family val="2"/>
        <scheme val="minor"/>
      </font>
    </dxf>
    <dxf>
      <border outline="0">
        <bottom style="thin">
          <color indexed="64"/>
        </bottom>
      </border>
    </dxf>
    <dxf>
      <fill>
        <patternFill patternType="solid">
          <fgColor indexed="64"/>
          <bgColor theme="0" tint="-4.9989318521683403E-2"/>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0" formatCode="#,##0.0"/>
      <border diagonalUp="0" diagonalDown="0">
        <left/>
        <right/>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Aptos Narrow"/>
        <family val="2"/>
        <scheme val="minor"/>
      </font>
    </dxf>
    <dxf>
      <border outline="0">
        <bottom style="thin">
          <color indexed="64"/>
        </bottom>
      </border>
    </dxf>
    <dxf>
      <fill>
        <patternFill patternType="solid">
          <fgColor indexed="64"/>
          <bgColor theme="0" tint="-4.9989318521683403E-2"/>
        </patternFill>
      </fill>
      <alignment horizontal="right" vertical="bottom" textRotation="0" wrapText="0" indent="0" justifyLastLine="0" shrinkToFit="0" readingOrder="0"/>
    </dxf>
    <dxf>
      <border outline="0">
        <bottom style="thin">
          <color indexed="64"/>
        </bottom>
      </border>
    </dxf>
    <dxf>
      <font>
        <strike val="0"/>
        <outline val="0"/>
        <shadow val="0"/>
        <u val="none"/>
        <vertAlign val="baseline"/>
        <sz val="11"/>
        <color auto="1"/>
        <name val="Aptos Narrow"/>
        <family val="2"/>
        <scheme val="minor"/>
      </font>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left"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style="thin">
          <color theme="4" tint="0.39997558519241921"/>
        </left>
        <right/>
        <top style="thin">
          <color indexed="64"/>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right style="thin">
          <color theme="4" tint="0.39997558519241921"/>
        </right>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2" formatCode="0.00"/>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right style="thin">
          <color theme="4" tint="0.39997558519241921"/>
        </right>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left"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indexed="64"/>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indexed="64"/>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border diagonalUp="0" diagonalDown="0">
        <left style="thin">
          <color theme="4" tint="0.39997558519241921"/>
        </left>
        <right/>
        <top style="thin">
          <color theme="4" tint="0.39997558519241921"/>
        </top>
        <bottom style="thin">
          <color indexed="64"/>
        </bottom>
        <vertical/>
        <horizontal/>
      </border>
    </dxf>
    <dxf>
      <border outline="0">
        <top style="thin">
          <color theme="4" tint="0.39997558519241921"/>
        </top>
        <bottom style="thin">
          <color indexed="64"/>
        </bottom>
      </border>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left" vertical="bottom" textRotation="0" wrapText="0" indent="0" justifyLastLine="0" shrinkToFit="0" readingOrder="0"/>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right/>
        <top style="thin">
          <color theme="4" tint="0.39997558519241921"/>
        </top>
        <bottom style="thin">
          <color indexed="64"/>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border diagonalUp="0" diagonalDown="0">
        <left style="thin">
          <color theme="4" tint="0.39997558519241921"/>
        </left>
        <right/>
        <top style="thin">
          <color theme="4" tint="0.39997558519241921"/>
        </top>
        <bottom style="thin">
          <color indexed="64"/>
        </bottom>
        <vertical/>
        <horizontal/>
      </border>
    </dxf>
    <dxf>
      <border outline="0">
        <top style="thin">
          <color theme="4" tint="0.39997558519241921"/>
        </top>
        <bottom style="thin">
          <color indexed="64"/>
        </bottom>
      </border>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indexed="64"/>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00B050"/>
        <name val="Aptos"/>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theme="4" tint="0.39997558519241921"/>
        </left>
        <right/>
        <top style="thin">
          <color theme="4" tint="0.39997558519241921"/>
        </top>
        <bottom/>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170"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50"/>
        <name val="Aptos"/>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numFmt numFmtId="3" formatCode="#,##0"/>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numFmt numFmtId="3" formatCode="#,##0"/>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rgb="FFFF0000"/>
        <name val="Aptos Narrow"/>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family val="2"/>
        <scheme val="none"/>
      </font>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FF0000"/>
        <name val="Aptos Narrow"/>
        <family val="2"/>
        <scheme val="minor"/>
      </font>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0" formatCode="Genera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family val="2"/>
        <scheme val="none"/>
      </font>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00B050"/>
        <name val="Aptos Narrow"/>
        <family val="2"/>
        <scheme val="minor"/>
      </font>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FF0000"/>
        <name val="Aptos Narrow"/>
        <family val="2"/>
        <scheme val="minor"/>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indexed="64"/>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3" formatCode="#,##0"/>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B050"/>
        <name val="Aptos Narrow"/>
        <family val="2"/>
        <scheme val="minor"/>
      </font>
      <numFmt numFmtId="0" formatCode="General"/>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0" formatCode="General"/>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ill>
        <patternFill patternType="solid">
          <fgColor indexed="64"/>
          <bgColor rgb="FFC0E6F5"/>
        </patternFill>
      </fill>
      <border diagonalUp="0" diagonalDown="0">
        <left style="thin">
          <color theme="0"/>
        </left>
        <right style="thin">
          <color theme="0" tint="-4.9989318521683403E-2"/>
        </right>
        <top style="thin">
          <color theme="0"/>
        </top>
        <bottom style="thin">
          <color theme="0"/>
        </bottom>
        <vertical/>
        <horizontal/>
      </border>
      <protection locked="0" hidden="0"/>
    </dxf>
    <dxf>
      <font>
        <b val="0"/>
        <i val="0"/>
        <strike val="0"/>
        <condense val="0"/>
        <extend val="0"/>
        <outline val="0"/>
        <shadow val="0"/>
        <u val="none"/>
        <vertAlign val="baseline"/>
        <sz val="11"/>
        <color auto="1"/>
        <name val="Aptos Narrow"/>
        <family val="2"/>
        <scheme val="minor"/>
      </font>
      <fill>
        <patternFill patternType="solid">
          <fgColor indexed="64"/>
          <bgColor theme="0" tint="-4.9989318521683403E-2"/>
        </patternFill>
      </fill>
      <alignment horizontal="general" vertical="top" textRotation="0" wrapText="0" indent="0" justifyLastLine="0" shrinkToFit="0" readingOrder="0"/>
      <border diagonalUp="0" diagonalDown="0">
        <left/>
        <right style="thin">
          <color theme="0"/>
        </right>
        <top style="thin">
          <color theme="0"/>
        </top>
        <bottom style="thin">
          <color theme="0"/>
        </bottom>
        <vertical/>
        <horizontal/>
      </border>
    </dxf>
    <dxf>
      <border outline="0">
        <left style="thin">
          <color theme="0" tint="-4.9989318521683403E-2"/>
        </left>
        <bottom style="thin">
          <color theme="0" tint="-4.9989318521683403E-2"/>
        </bottom>
      </border>
    </dxf>
    <dxf>
      <font>
        <b/>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dxf>
  </dxfs>
  <tableStyles count="0" defaultTableStyle="TableStyleMedium2" defaultPivotStyle="PivotStyleLight16"/>
  <colors>
    <mruColors>
      <color rgb="FFC0E6F5"/>
      <color rgb="FFA6A6A6"/>
      <color rgb="FFFF00FF"/>
      <color rgb="FFF2F2F2"/>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CCG722" id="{8F510751-4C33-41B4-AFD4-28C15096B2E7}" userId="CCG722"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4DAA81-4150-4D1A-A861-7D56BF0E1900}" name="ProjectDescription" displayName="ProjectDescription" ref="A3:C30" totalsRowShown="0" headerRowDxfId="944" tableBorderDxfId="943">
  <autoFilter ref="A3:C30" xr:uid="{944DAA81-4150-4D1A-A861-7D56BF0E1900}">
    <filterColumn colId="0" hiddenButton="1"/>
    <filterColumn colId="1" hiddenButton="1"/>
    <filterColumn colId="2" hiddenButton="1"/>
  </autoFilter>
  <tableColumns count="3">
    <tableColumn id="1" xr3:uid="{5D9992AA-1D09-401B-A839-F7CB538E05FD}" name="Field" dataDxfId="942"/>
    <tableColumn id="2" xr3:uid="{742A9BCA-64A6-4388-A81A-6120CDEA09F5}" name="Value"/>
    <tableColumn id="3" xr3:uid="{C13F7BE1-CEA9-4E42-8531-66AF7ACBC6AE}" name="Notes" dataDxfId="9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08305A-B5CC-4AEE-9AFC-5F75E3AD9FBF}" name="Capex_PP" displayName="Capex_PP" ref="D9:BE16" totalsRowShown="0" headerRowDxfId="940" dataDxfId="939" tableBorderDxfId="938" dataCellStyle="Comma">
  <autoFilter ref="D9:BE16" xr:uid="{C808305A-B5CC-4AEE-9AFC-5F75E3AD9FBF}"/>
  <tableColumns count="54">
    <tableColumn id="1" xr3:uid="{36581AD0-6F55-4F9B-AAB8-DCA78E7F694C}" name="ProjectId" dataDxfId="937">
      <calculatedColumnFormula>'Project description'!$B$5</calculatedColumnFormula>
    </tableColumn>
    <tableColumn id="2" xr3:uid="{C0ABFAEC-53F0-4D1C-957E-F0A8A7451454}" name="LifeCycleMonths" dataDxfId="936">
      <calculatedColumnFormula>Lists!$B$34</calculatedColumnFormula>
    </tableColumn>
    <tableColumn id="3" xr3:uid="{240501D0-920A-43ED-94BC-2EB2A0704A6C}" name="Scenario" dataDxfId="935"/>
    <tableColumn id="4" xr3:uid="{A3A08194-C6F0-4320-A929-F3BEA7BABF26}" name="ExpenseType" dataDxfId="934"/>
    <tableColumn id="5" xr3:uid="{4D472F4B-E1FD-4122-BF5C-29C54E6F710E}" name="Capex item" dataDxfId="933"/>
    <tableColumn id="6" xr3:uid="{B94218D4-64B7-4D16-959F-16891A90B785}" name="Value basis" dataDxfId="932"/>
    <tableColumn id="7" xr3:uid="{39862540-744B-4D6F-9423-6C272954D760}" name="Base year" dataDxfId="931">
      <calculatedColumnFormula>Analysis_year</calculatedColumnFormula>
    </tableColumn>
    <tableColumn id="8" xr3:uid="{D060A8C4-FA37-4C59-876F-6DEF9EA3964E}" name="Applicant comment" dataDxfId="930" dataCellStyle="Comma">
      <calculatedColumnFormula>IF(Inputs!G16="","",Inputs!G16)</calculatedColumnFormula>
    </tableColumn>
    <tableColumn id="9" xr3:uid="{283BC6A8-2935-439F-A7AA-7883E70834D4}" name="2025" dataDxfId="929" dataCellStyle="Comma">
      <calculatedColumnFormula>Inputs!H16*IF(Inputs!$E16="Real",1,L$5)</calculatedColumnFormula>
    </tableColumn>
    <tableColumn id="10" xr3:uid="{449CD95F-D34A-4265-A1DB-E2C91414063D}" name="2026" dataDxfId="928" dataCellStyle="Comma">
      <calculatedColumnFormula>Inputs!I16*IF(Inputs!$E16="Real",1,M$5)</calculatedColumnFormula>
    </tableColumn>
    <tableColumn id="11" xr3:uid="{1391BE7A-D4DB-41F4-8BE5-AE38F53128E8}" name="2027" dataDxfId="927" dataCellStyle="Comma">
      <calculatedColumnFormula>Inputs!J16*IF(Inputs!$E16="Real",1,N$5)</calculatedColumnFormula>
    </tableColumn>
    <tableColumn id="12" xr3:uid="{14D1F72A-4645-46C8-92AF-92C73F769481}" name="2028" dataDxfId="926" dataCellStyle="Comma">
      <calculatedColumnFormula>Inputs!K16*IF(Inputs!$E16="Real",1,O$5)</calculatedColumnFormula>
    </tableColumn>
    <tableColumn id="13" xr3:uid="{6186AE77-06D1-441E-93E9-6A38A04A7488}" name="2029" dataDxfId="925" dataCellStyle="Comma">
      <calculatedColumnFormula>Inputs!L16*IF(Inputs!$E16="Real",1,P$5)</calculatedColumnFormula>
    </tableColumn>
    <tableColumn id="14" xr3:uid="{BD8BEDD3-99C2-4195-AD37-9BC50210E91D}" name="2030" dataDxfId="924" dataCellStyle="Comma">
      <calculatedColumnFormula>Inputs!M16*IF(Inputs!$E16="Real",1,Q$5)</calculatedColumnFormula>
    </tableColumn>
    <tableColumn id="15" xr3:uid="{5341550C-C235-406B-89A8-D9B0A6D8FA06}" name="2031" dataDxfId="923" dataCellStyle="Comma">
      <calculatedColumnFormula>Inputs!N16*IF(Inputs!$E16="Real",1,R$5)</calculatedColumnFormula>
    </tableColumn>
    <tableColumn id="16" xr3:uid="{7F8881E3-C8AA-4AE5-B396-1B0778EFBC77}" name="2032" dataDxfId="922" dataCellStyle="Comma">
      <calculatedColumnFormula>Inputs!O16*IF(Inputs!$E16="Real",1,S$5)</calculatedColumnFormula>
    </tableColumn>
    <tableColumn id="17" xr3:uid="{B95B7D98-ACD6-4B73-B3E9-A903C1B7AB9D}" name="2033" dataDxfId="921" dataCellStyle="Comma">
      <calculatedColumnFormula>Inputs!P16*IF(Inputs!$E16="Real",1,T$5)</calculatedColumnFormula>
    </tableColumn>
    <tableColumn id="18" xr3:uid="{386F0DBA-D02E-4A82-9D27-466A0D243555}" name="2034" dataDxfId="920" dataCellStyle="Comma">
      <calculatedColumnFormula>Inputs!Q16*IF(Inputs!$E16="Real",1,U$5)</calculatedColumnFormula>
    </tableColumn>
    <tableColumn id="19" xr3:uid="{A55E7C54-8FBE-4B47-973E-C3977A01214F}" name="2035" dataDxfId="919" dataCellStyle="Comma">
      <calculatedColumnFormula>Inputs!R16*IF(Inputs!$E16="Real",1,V$5)</calculatedColumnFormula>
    </tableColumn>
    <tableColumn id="20" xr3:uid="{FCB91121-1C52-4340-9EE5-01E9AC9EC562}" name="2036" dataDxfId="918" dataCellStyle="Comma">
      <calculatedColumnFormula>Inputs!S16*IF(Inputs!$E16="Real",1,W$5)</calculatedColumnFormula>
    </tableColumn>
    <tableColumn id="21" xr3:uid="{12F85E21-BA8D-46EC-BDEF-20B7FC7F7A3F}" name="2037" dataDxfId="917" dataCellStyle="Comma">
      <calculatedColumnFormula>Inputs!T16*IF(Inputs!$E16="Real",1,X$5)</calculatedColumnFormula>
    </tableColumn>
    <tableColumn id="22" xr3:uid="{D6D4C8D6-0DB4-4C3A-839A-9D78990B98E7}" name="2038" dataDxfId="916" dataCellStyle="Comma">
      <calculatedColumnFormula>Inputs!U16*IF(Inputs!$E16="Real",1,Y$5)</calculatedColumnFormula>
    </tableColumn>
    <tableColumn id="23" xr3:uid="{2B5B6E54-CE88-4592-A02C-A9B197FA7C70}" name="2039" dataDxfId="915" dataCellStyle="Comma">
      <calculatedColumnFormula>Inputs!V16*IF(Inputs!$E16="Real",1,Z$5)</calculatedColumnFormula>
    </tableColumn>
    <tableColumn id="24" xr3:uid="{BFEDD593-FBE7-4ACF-8AEB-982BA430CCD4}" name="2040" dataDxfId="914" dataCellStyle="Comma">
      <calculatedColumnFormula>Inputs!W16*IF(Inputs!$E16="Real",1,AA$5)</calculatedColumnFormula>
    </tableColumn>
    <tableColumn id="25" xr3:uid="{AAD96CA0-7A75-4DDA-9430-6D53E2CB5BF1}" name="2041" dataDxfId="913" dataCellStyle="Comma">
      <calculatedColumnFormula>Inputs!X16*IF(Inputs!$E16="Real",1,AB$5)</calculatedColumnFormula>
    </tableColumn>
    <tableColumn id="26" xr3:uid="{9782A050-8F09-4F20-8298-EA66AAFD82E0}" name="2042" dataDxfId="912" dataCellStyle="Comma">
      <calculatedColumnFormula>Inputs!Y16*IF(Inputs!$E16="Real",1,AC$5)</calculatedColumnFormula>
    </tableColumn>
    <tableColumn id="27" xr3:uid="{809A9655-CBF7-4947-BB07-D9498DA93F02}" name="2043" dataDxfId="911" dataCellStyle="Comma">
      <calculatedColumnFormula>Inputs!Z16*IF(Inputs!$E16="Real",1,AD$5)</calculatedColumnFormula>
    </tableColumn>
    <tableColumn id="28" xr3:uid="{7BB94C40-7013-4715-BE74-325947F2324D}" name="2044" dataDxfId="910" dataCellStyle="Comma">
      <calculatedColumnFormula>Inputs!AA16*IF(Inputs!$E16="Real",1,AE$5)</calculatedColumnFormula>
    </tableColumn>
    <tableColumn id="29" xr3:uid="{DEB3860A-69BB-4D17-9932-F2E86FB9222C}" name="2045" dataDxfId="909" dataCellStyle="Comma">
      <calculatedColumnFormula>Inputs!AB16*IF(Inputs!$E16="Real",1,AF$5)</calculatedColumnFormula>
    </tableColumn>
    <tableColumn id="30" xr3:uid="{AC4BD45B-2263-43CF-89BC-4EFF18B6F044}" name="2046" dataDxfId="908" dataCellStyle="Comma">
      <calculatedColumnFormula>Inputs!AC16*IF(Inputs!$E16="Real",1,AG$5)</calculatedColumnFormula>
    </tableColumn>
    <tableColumn id="31" xr3:uid="{9AB7C183-4530-4A28-B8EF-0459DC2AF7D9}" name="2047" dataDxfId="907" dataCellStyle="Comma">
      <calculatedColumnFormula>Inputs!AD16*IF(Inputs!$E16="Real",1,AH$5)</calculatedColumnFormula>
    </tableColumn>
    <tableColumn id="32" xr3:uid="{1AA52A65-AD41-4217-A1A7-FA427A71FDA3}" name="2048" dataDxfId="906" dataCellStyle="Comma">
      <calculatedColumnFormula>Inputs!AE16*IF(Inputs!$E16="Real",1,AI$5)</calculatedColumnFormula>
    </tableColumn>
    <tableColumn id="33" xr3:uid="{D267FA05-D075-4722-9CC9-E2269F4BC372}" name="2049" dataDxfId="905" dataCellStyle="Comma">
      <calculatedColumnFormula>Inputs!AF16*IF(Inputs!$E16="Real",1,AJ$5)</calculatedColumnFormula>
    </tableColumn>
    <tableColumn id="34" xr3:uid="{256EBBFB-6DE3-4125-AB3C-D94A610F88FD}" name="2050" dataDxfId="904" dataCellStyle="Comma">
      <calculatedColumnFormula>Inputs!AG16*IF(Inputs!$E16="Real",1,AK$5)</calculatedColumnFormula>
    </tableColumn>
    <tableColumn id="35" xr3:uid="{567FDCE3-C0AF-4ADC-9993-CA0939F79DA2}" name="2051" dataDxfId="903" dataCellStyle="Comma">
      <calculatedColumnFormula>Inputs!AH16*IF(Inputs!$E16="Real",1,AL$5)</calculatedColumnFormula>
    </tableColumn>
    <tableColumn id="36" xr3:uid="{DD2DAB62-DB93-4B06-92E6-C3C26783ABA5}" name="2052" dataDxfId="902" dataCellStyle="Comma">
      <calculatedColumnFormula>Inputs!AI16*IF(Inputs!$E16="Real",1,AM$5)</calculatedColumnFormula>
    </tableColumn>
    <tableColumn id="37" xr3:uid="{2E9A6A99-6CCF-4725-858A-58CA72558206}" name="2053" dataDxfId="901" dataCellStyle="Comma">
      <calculatedColumnFormula>Inputs!AJ16*IF(Inputs!$E16="Real",1,AN$5)</calculatedColumnFormula>
    </tableColumn>
    <tableColumn id="38" xr3:uid="{62778143-2D1D-497B-BD12-810FAD166A51}" name="2054" dataDxfId="900" dataCellStyle="Comma">
      <calculatedColumnFormula>Inputs!AK16*IF(Inputs!$E16="Real",1,AO$5)</calculatedColumnFormula>
    </tableColumn>
    <tableColumn id="39" xr3:uid="{FF12E67C-D6A3-4316-83EE-778EA7ECB1A1}" name="2055" dataDxfId="899" dataCellStyle="Comma">
      <calculatedColumnFormula>Inputs!AL16*IF(Inputs!$E16="Real",1,AP$5)</calculatedColumnFormula>
    </tableColumn>
    <tableColumn id="40" xr3:uid="{0C53CAF1-54B8-4316-98DE-390C4DCB73D2}" name="2056" dataDxfId="898" dataCellStyle="Comma">
      <calculatedColumnFormula>Inputs!AM16*IF(Inputs!$E16="Real",1,AQ$5)</calculatedColumnFormula>
    </tableColumn>
    <tableColumn id="41" xr3:uid="{A86A0F28-D041-4A17-8B12-53EB4CD2458E}" name="2057" dataDxfId="897" dataCellStyle="Comma">
      <calculatedColumnFormula>Inputs!AN16*IF(Inputs!$E16="Real",1,AR$5)</calculatedColumnFormula>
    </tableColumn>
    <tableColumn id="42" xr3:uid="{2B10D0D8-42D5-44EE-BEE9-814C77F22AFB}" name="2058" dataDxfId="896" dataCellStyle="Comma">
      <calculatedColumnFormula>Inputs!AO16*IF(Inputs!$E16="Real",1,AS$5)</calculatedColumnFormula>
    </tableColumn>
    <tableColumn id="43" xr3:uid="{C4962CA7-9122-4EF6-A37F-A9EE79831F64}" name="2059" dataDxfId="895" dataCellStyle="Comma">
      <calculatedColumnFormula>Inputs!AP16*IF(Inputs!$E16="Real",1,AT$5)</calculatedColumnFormula>
    </tableColumn>
    <tableColumn id="44" xr3:uid="{16846E7D-B05F-4EA9-8519-8D381923E04C}" name="2060" dataDxfId="894" dataCellStyle="Comma">
      <calculatedColumnFormula>Inputs!AQ16*IF(Inputs!$E16="Real",1,AU$5)</calculatedColumnFormula>
    </tableColumn>
    <tableColumn id="45" xr3:uid="{027012B8-CF73-41BC-A12F-26C71F353BC0}" name="2061" dataDxfId="893" dataCellStyle="Comma">
      <calculatedColumnFormula>Inputs!AR16*IF(Inputs!$E16="Real",1,AV$5)</calculatedColumnFormula>
    </tableColumn>
    <tableColumn id="46" xr3:uid="{3EBD883E-D434-475B-93D6-271E8E0B0099}" name="2062" dataDxfId="892" dataCellStyle="Comma">
      <calculatedColumnFormula>Inputs!AS16*IF(Inputs!$E16="Real",1,AW$5)</calculatedColumnFormula>
    </tableColumn>
    <tableColumn id="47" xr3:uid="{C3A61D28-8763-4E31-B392-FB20268D79A0}" name="2063" dataDxfId="891" dataCellStyle="Comma">
      <calculatedColumnFormula>Inputs!AT16*IF(Inputs!$E16="Real",1,AX$5)</calculatedColumnFormula>
    </tableColumn>
    <tableColumn id="48" xr3:uid="{16C35022-7C74-472A-A539-077790662853}" name="2064" dataDxfId="890" dataCellStyle="Comma">
      <calculatedColumnFormula>Inputs!AU16*IF(Inputs!$E16="Real",1,AY$5)</calculatedColumnFormula>
    </tableColumn>
    <tableColumn id="49" xr3:uid="{B25606D7-B362-42EA-95E9-562265A07D1C}" name="2065" dataDxfId="889" dataCellStyle="Comma">
      <calculatedColumnFormula>Inputs!AV16*IF(Inputs!$E16="Real",1,AZ$5)</calculatedColumnFormula>
    </tableColumn>
    <tableColumn id="50" xr3:uid="{D5375A24-D6C3-4B21-A8F4-0812BCCF8E1E}" name="2066" dataDxfId="888" dataCellStyle="Comma">
      <calculatedColumnFormula>Inputs!AW16*IF(Inputs!$E16="Real",1,BA$5)</calculatedColumnFormula>
    </tableColumn>
    <tableColumn id="51" xr3:uid="{FE9FA4C3-46FC-4D6D-9C95-EAEDBA849C0E}" name="2067" dataDxfId="887" dataCellStyle="Comma">
      <calculatedColumnFormula>Inputs!AX16*IF(Inputs!$E16="Real",1,BB$5)</calculatedColumnFormula>
    </tableColumn>
    <tableColumn id="52" xr3:uid="{FB2DE342-5746-47E9-BBF1-BA35871A0467}" name="2068" dataDxfId="886" dataCellStyle="Comma">
      <calculatedColumnFormula>Inputs!AY16*IF(Inputs!$E16="Real",1,BC$5)</calculatedColumnFormula>
    </tableColumn>
    <tableColumn id="53" xr3:uid="{1091865F-2D20-4AE9-882E-844C3042E06C}" name="2069" dataDxfId="885" dataCellStyle="Comma">
      <calculatedColumnFormula>Inputs!AZ16*IF(Inputs!$E16="Real",1,BD$5)</calculatedColumnFormula>
    </tableColumn>
    <tableColumn id="54" xr3:uid="{4BB903D0-BF18-4F38-B4B2-DF27319514E2}" name="2070" dataDxfId="884" dataCellStyle="Comma">
      <calculatedColumnFormula>Inputs!BA16*IF(Inputs!$E16="Real",1,BE$5)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88CF35-95CA-414B-AD0F-EB732819B5CC}" name="Capex_BC" displayName="Capex_BC" ref="D19:BE26" totalsRowShown="0" headerRowDxfId="883" dataDxfId="882" tableBorderDxfId="881" dataCellStyle="Comma">
  <autoFilter ref="D19:BE26" xr:uid="{1E88CF35-95CA-414B-AD0F-EB732819B5CC}"/>
  <tableColumns count="54">
    <tableColumn id="1" xr3:uid="{70859FAF-8922-490A-A06A-9B2E87FEA6AC}" name="ProjectId">
      <calculatedColumnFormula>'Project description'!$B$5</calculatedColumnFormula>
    </tableColumn>
    <tableColumn id="2" xr3:uid="{3B476E56-F74B-4209-859E-E41AAD4A9B54}" name="LifeCycleMonths" dataDxfId="880">
      <calculatedColumnFormula>Lists!$B$34</calculatedColumnFormula>
    </tableColumn>
    <tableColumn id="3" xr3:uid="{2F214539-97AA-48A7-A759-B6D5A4BC6B7C}" name="Scenario" dataDxfId="879"/>
    <tableColumn id="4" xr3:uid="{F03F2A21-77DD-4D16-8A79-44A491A8AD16}" name="ExpenseType" dataDxfId="878"/>
    <tableColumn id="5" xr3:uid="{172EBA4B-2AC6-4A9F-86D8-666940014E0F}" name="Capex item" dataDxfId="877"/>
    <tableColumn id="6" xr3:uid="{ACCA04E5-CB73-47F8-8183-009F3ACD825F}" name="Value basis" dataDxfId="876"/>
    <tableColumn id="7" xr3:uid="{6E3D6F0D-0EA7-462D-88DA-7E8EB66D632B}" name="Base year" dataDxfId="875">
      <calculatedColumnFormula>Analysis_year</calculatedColumnFormula>
    </tableColumn>
    <tableColumn id="8" xr3:uid="{A86C396E-230D-4973-B40C-3D12E56B855A}" name="Applicant comment" dataDxfId="874">
      <calculatedColumnFormula>IF(Inputs!G28="","",Inputs!G28)</calculatedColumnFormula>
    </tableColumn>
    <tableColumn id="9" xr3:uid="{BE18AD21-4616-471C-A3A5-E912C138BA02}" name="2025" dataDxfId="873" dataCellStyle="Comma">
      <calculatedColumnFormula>Inputs!H28*IF(Inputs!$E28="Real",1,L$5)</calculatedColumnFormula>
    </tableColumn>
    <tableColumn id="10" xr3:uid="{ADADB428-2395-40BE-A6AF-3B48D4301706}" name="2026" dataDxfId="872" dataCellStyle="Comma">
      <calculatedColumnFormula>Inputs!I28*IF(Inputs!$E28="Real",1,M$5)</calculatedColumnFormula>
    </tableColumn>
    <tableColumn id="11" xr3:uid="{C1CC7A7B-290A-471D-9EE2-114613BCA3EF}" name="2027" dataDxfId="871" dataCellStyle="Comma">
      <calculatedColumnFormula>Inputs!J28*IF(Inputs!$E28="Real",1,N$5)</calculatedColumnFormula>
    </tableColumn>
    <tableColumn id="12" xr3:uid="{A01FC5AE-21C8-4F97-9FDD-12F6C022F7B7}" name="2028" dataDxfId="870" dataCellStyle="Comma">
      <calculatedColumnFormula>Inputs!K28*IF(Inputs!$E28="Real",1,O$5)</calculatedColumnFormula>
    </tableColumn>
    <tableColumn id="13" xr3:uid="{111E9490-E4C7-4935-97E5-1B66A0AF00D3}" name="2029" dataDxfId="869" dataCellStyle="Comma">
      <calculatedColumnFormula>Inputs!L28*IF(Inputs!$E28="Real",1,P$5)</calculatedColumnFormula>
    </tableColumn>
    <tableColumn id="14" xr3:uid="{32964720-033C-4594-ACEB-6C3090276AE6}" name="2030" dataDxfId="868" dataCellStyle="Comma">
      <calculatedColumnFormula>Inputs!M28*IF(Inputs!$E28="Real",1,Q$5)</calculatedColumnFormula>
    </tableColumn>
    <tableColumn id="15" xr3:uid="{3034A14E-0953-49AB-B90A-6117140BE7F8}" name="2031" dataDxfId="867" dataCellStyle="Comma">
      <calculatedColumnFormula>Inputs!N28*IF(Inputs!$E28="Real",1,R$5)</calculatedColumnFormula>
    </tableColumn>
    <tableColumn id="16" xr3:uid="{49D309E1-BB47-4900-8A04-0AE706075E28}" name="2032" dataDxfId="866" dataCellStyle="Comma">
      <calculatedColumnFormula>Inputs!O28*IF(Inputs!$E28="Real",1,S$5)</calculatedColumnFormula>
    </tableColumn>
    <tableColumn id="17" xr3:uid="{BC8F79A5-75E4-40A8-9C5E-2DD3B2ED1D1E}" name="2033" dataDxfId="865" dataCellStyle="Comma">
      <calculatedColumnFormula>Inputs!P28*IF(Inputs!$E28="Real",1,T$5)</calculatedColumnFormula>
    </tableColumn>
    <tableColumn id="18" xr3:uid="{2699AE04-70EE-43D4-918D-28E540DE90AC}" name="2034" dataDxfId="864" dataCellStyle="Comma">
      <calculatedColumnFormula>Inputs!Q28*IF(Inputs!$E28="Real",1,U$5)</calculatedColumnFormula>
    </tableColumn>
    <tableColumn id="19" xr3:uid="{FC115BE9-3B16-46E9-A68E-4210C7FC11C4}" name="2035" dataDxfId="863" dataCellStyle="Comma">
      <calculatedColumnFormula>Inputs!R28*IF(Inputs!$E28="Real",1,V$5)</calculatedColumnFormula>
    </tableColumn>
    <tableColumn id="20" xr3:uid="{E8BBAA12-C790-4ABD-844B-F373075EE29D}" name="2036" dataDxfId="862" dataCellStyle="Comma">
      <calculatedColumnFormula>Inputs!S28*IF(Inputs!$E28="Real",1,W$5)</calculatedColumnFormula>
    </tableColumn>
    <tableColumn id="21" xr3:uid="{5AFFD067-C8BB-4843-A00C-AE04ADECF4EE}" name="2037" dataDxfId="861" dataCellStyle="Comma">
      <calculatedColumnFormula>Inputs!T28*IF(Inputs!$E28="Real",1,X$5)</calculatedColumnFormula>
    </tableColumn>
    <tableColumn id="22" xr3:uid="{8B700AD0-F475-4C94-B929-D37E7F56B59A}" name="2038" dataDxfId="860" dataCellStyle="Comma">
      <calculatedColumnFormula>Inputs!U28*IF(Inputs!$E28="Real",1,Y$5)</calculatedColumnFormula>
    </tableColumn>
    <tableColumn id="23" xr3:uid="{9E6A161C-7728-40C9-8AB8-BCAE105E4D9F}" name="2039" dataDxfId="859" dataCellStyle="Comma">
      <calculatedColumnFormula>Inputs!V28*IF(Inputs!$E28="Real",1,Z$5)</calculatedColumnFormula>
    </tableColumn>
    <tableColumn id="24" xr3:uid="{FE808CE3-3118-4349-AF03-F4989C6EE451}" name="2040" dataDxfId="858" dataCellStyle="Comma">
      <calculatedColumnFormula>Inputs!W28*IF(Inputs!$E28="Real",1,AA$5)</calculatedColumnFormula>
    </tableColumn>
    <tableColumn id="25" xr3:uid="{104C2B8A-0CD0-49D7-BCF5-42B9B2396FB4}" name="2041" dataDxfId="857" dataCellStyle="Comma">
      <calculatedColumnFormula>Inputs!X28*IF(Inputs!$E28="Real",1,AB$5)</calculatedColumnFormula>
    </tableColumn>
    <tableColumn id="26" xr3:uid="{EE1762C6-590B-4C4E-A7BE-56C5A1F707C7}" name="2042" dataDxfId="856" dataCellStyle="Comma">
      <calculatedColumnFormula>Inputs!Y28*IF(Inputs!$E28="Real",1,AC$5)</calculatedColumnFormula>
    </tableColumn>
    <tableColumn id="27" xr3:uid="{C7E171C7-5085-48DF-8541-C93680B50104}" name="2043" dataDxfId="855" dataCellStyle="Comma">
      <calculatedColumnFormula>Inputs!Z28*IF(Inputs!$E28="Real",1,AD$5)</calculatedColumnFormula>
    </tableColumn>
    <tableColumn id="28" xr3:uid="{EFA78828-1873-4F6D-AD7A-99A3F785B1A4}" name="2044" dataDxfId="854" dataCellStyle="Comma">
      <calculatedColumnFormula>Inputs!AA28*IF(Inputs!$E28="Real",1,AE$5)</calculatedColumnFormula>
    </tableColumn>
    <tableColumn id="29" xr3:uid="{FC206372-D708-4C06-A54E-42C851D7E198}" name="2045" dataDxfId="853" dataCellStyle="Comma">
      <calculatedColumnFormula>Inputs!AB28*IF(Inputs!$E28="Real",1,AF$5)</calculatedColumnFormula>
    </tableColumn>
    <tableColumn id="30" xr3:uid="{FDD941D2-6036-47D0-9CE3-3E1A32CE6DCA}" name="2046" dataDxfId="852" dataCellStyle="Comma">
      <calculatedColumnFormula>Inputs!AC28*IF(Inputs!$E28="Real",1,AG$5)</calculatedColumnFormula>
    </tableColumn>
    <tableColumn id="31" xr3:uid="{1140FDBE-8D4E-4250-9EE9-5757F5594A32}" name="2047" dataDxfId="851" dataCellStyle="Comma">
      <calculatedColumnFormula>Inputs!AD28*IF(Inputs!$E28="Real",1,AH$5)</calculatedColumnFormula>
    </tableColumn>
    <tableColumn id="32" xr3:uid="{F79AD4C1-D17C-4478-9373-FE6E531C8D73}" name="2048" dataDxfId="850" dataCellStyle="Comma">
      <calculatedColumnFormula>Inputs!AE28*IF(Inputs!$E28="Real",1,AI$5)</calculatedColumnFormula>
    </tableColumn>
    <tableColumn id="33" xr3:uid="{FF5FCBA5-F76D-49C7-8C80-F27E17A2F8A7}" name="2049" dataDxfId="849" dataCellStyle="Comma">
      <calculatedColumnFormula>Inputs!AF28*IF(Inputs!$E28="Real",1,AJ$5)</calculatedColumnFormula>
    </tableColumn>
    <tableColumn id="34" xr3:uid="{685DFFFB-64D7-4503-ADBA-0188AA01ADF6}" name="2050" dataDxfId="848" dataCellStyle="Comma">
      <calculatedColumnFormula>Inputs!AG28*IF(Inputs!$E28="Real",1,AK$5)</calculatedColumnFormula>
    </tableColumn>
    <tableColumn id="35" xr3:uid="{F910A7E8-0958-4E49-A531-8605BC33A149}" name="2051" dataDxfId="847" dataCellStyle="Comma">
      <calculatedColumnFormula>Inputs!AH28*IF(Inputs!$E28="Real",1,AL$5)</calculatedColumnFormula>
    </tableColumn>
    <tableColumn id="36" xr3:uid="{CD8A8084-4282-4545-9A1C-638C35D17801}" name="2052" dataDxfId="846" dataCellStyle="Comma">
      <calculatedColumnFormula>Inputs!AI28*IF(Inputs!$E28="Real",1,AM$5)</calculatedColumnFormula>
    </tableColumn>
    <tableColumn id="37" xr3:uid="{801DAA8F-113E-486C-9B8D-CFB84B992558}" name="2053" dataDxfId="845" dataCellStyle="Comma">
      <calculatedColumnFormula>Inputs!AJ28*IF(Inputs!$E28="Real",1,AN$5)</calculatedColumnFormula>
    </tableColumn>
    <tableColumn id="38" xr3:uid="{06B07675-D08F-42BB-9BC9-1B1E07BEF4E1}" name="2054" dataDxfId="844" dataCellStyle="Comma">
      <calculatedColumnFormula>Inputs!AK28*IF(Inputs!$E28="Real",1,AO$5)</calculatedColumnFormula>
    </tableColumn>
    <tableColumn id="39" xr3:uid="{1FD8D05E-4D04-4894-9231-B6CDD491B0DB}" name="2055" dataDxfId="843" dataCellStyle="Comma">
      <calculatedColumnFormula>Inputs!AL28*IF(Inputs!$E28="Real",1,AP$5)</calculatedColumnFormula>
    </tableColumn>
    <tableColumn id="40" xr3:uid="{E2459A05-71D0-49A9-9D67-45DE875961EF}" name="2056" dataDxfId="842" dataCellStyle="Comma">
      <calculatedColumnFormula>Inputs!AM28*IF(Inputs!$E28="Real",1,AQ$5)</calculatedColumnFormula>
    </tableColumn>
    <tableColumn id="41" xr3:uid="{606A5A72-B0E4-49BB-8A65-15780CFE3F89}" name="2057" dataDxfId="841" dataCellStyle="Comma">
      <calculatedColumnFormula>Inputs!AN28*IF(Inputs!$E28="Real",1,AR$5)</calculatedColumnFormula>
    </tableColumn>
    <tableColumn id="42" xr3:uid="{1ED407B3-8692-42B2-8770-0C61E0C7B3F8}" name="2058" dataDxfId="840" dataCellStyle="Comma">
      <calculatedColumnFormula>Inputs!AO28*IF(Inputs!$E28="Real",1,AS$5)</calculatedColumnFormula>
    </tableColumn>
    <tableColumn id="43" xr3:uid="{3CD097B6-D6CC-4A40-89BC-656234960185}" name="2059" dataDxfId="839" dataCellStyle="Comma">
      <calculatedColumnFormula>Inputs!AP28*IF(Inputs!$E28="Real",1,AT$5)</calculatedColumnFormula>
    </tableColumn>
    <tableColumn id="44" xr3:uid="{DEB60B34-9137-4527-97C0-93918A2997B0}" name="2060" dataDxfId="838" dataCellStyle="Comma">
      <calculatedColumnFormula>Inputs!AQ28*IF(Inputs!$E28="Real",1,AU$5)</calculatedColumnFormula>
    </tableColumn>
    <tableColumn id="45" xr3:uid="{21BBE5DC-080F-4F2E-AF95-239A2A497685}" name="2061" dataDxfId="837" dataCellStyle="Comma">
      <calculatedColumnFormula>Inputs!AR28*IF(Inputs!$E28="Real",1,AV$5)</calculatedColumnFormula>
    </tableColumn>
    <tableColumn id="46" xr3:uid="{44AB95B3-1D8F-4878-A5C6-5ED5B218948B}" name="2062" dataDxfId="836" dataCellStyle="Comma">
      <calculatedColumnFormula>Inputs!AS28*IF(Inputs!$E28="Real",1,AW$5)</calculatedColumnFormula>
    </tableColumn>
    <tableColumn id="47" xr3:uid="{DDD37971-A38C-4C9C-9EB9-A87FC86C4623}" name="2063" dataDxfId="835" dataCellStyle="Comma">
      <calculatedColumnFormula>Inputs!AT28*IF(Inputs!$E28="Real",1,AX$5)</calculatedColumnFormula>
    </tableColumn>
    <tableColumn id="48" xr3:uid="{DE97A935-CF42-4EDB-AF06-E8AB15988EEB}" name="2064" dataDxfId="834" dataCellStyle="Comma">
      <calculatedColumnFormula>Inputs!AU28*IF(Inputs!$E28="Real",1,AY$5)</calculatedColumnFormula>
    </tableColumn>
    <tableColumn id="49" xr3:uid="{A36BB2F5-98A5-4066-9525-1295D5DF5BDF}" name="2065" dataDxfId="833" dataCellStyle="Comma">
      <calculatedColumnFormula>Inputs!AV28*IF(Inputs!$E28="Real",1,AZ$5)</calculatedColumnFormula>
    </tableColumn>
    <tableColumn id="50" xr3:uid="{9303D96D-92C5-474B-93EB-663E3A5BEE54}" name="2066" dataDxfId="832" dataCellStyle="Comma">
      <calculatedColumnFormula>Inputs!AW28*IF(Inputs!$E28="Real",1,BA$5)</calculatedColumnFormula>
    </tableColumn>
    <tableColumn id="51" xr3:uid="{6A6F14CD-6393-4786-914E-A0A00F86458B}" name="2067" dataDxfId="831" dataCellStyle="Comma">
      <calculatedColumnFormula>Inputs!AX28*IF(Inputs!$E28="Real",1,BB$5)</calculatedColumnFormula>
    </tableColumn>
    <tableColumn id="52" xr3:uid="{2CB5B265-5095-45AA-A96C-A55565DB0DB5}" name="2068" dataDxfId="830" dataCellStyle="Comma">
      <calculatedColumnFormula>Inputs!AY28*IF(Inputs!$E28="Real",1,BC$5)</calculatedColumnFormula>
    </tableColumn>
    <tableColumn id="53" xr3:uid="{31E2F2B8-D385-4703-894E-A2AFCC9BC7C6}" name="2069" dataDxfId="829" dataCellStyle="Comma">
      <calculatedColumnFormula>Inputs!AZ28*IF(Inputs!$E28="Real",1,BD$5)</calculatedColumnFormula>
    </tableColumn>
    <tableColumn id="54" xr3:uid="{7FA6F101-D512-41C7-A9E4-3CDDA3E1E6AC}" name="2070" dataDxfId="828" dataCellStyle="Comma">
      <calculatedColumnFormula>Inputs!BA28*IF(Inputs!$E28="Real",1,BE$5)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B24D796-592E-4B81-B222-820F1F464C27}" name="Opex_NonFuel_PP" displayName="Opex_NonFuel_PP" ref="D31:BE37" totalsRowShown="0" headerRowDxfId="827" dataDxfId="826" tableBorderDxfId="825" dataCellStyle="Comma">
  <autoFilter ref="D31:BE37" xr:uid="{DB24D796-592E-4B81-B222-820F1F464C27}"/>
  <tableColumns count="54">
    <tableColumn id="1" xr3:uid="{78B82BC2-3F61-4F12-A30F-4EBF38960015}" name="ProjectId" dataDxfId="824">
      <calculatedColumnFormula>'Project description'!$B$5</calculatedColumnFormula>
    </tableColumn>
    <tableColumn id="2" xr3:uid="{46B38794-3220-477A-848C-9CBEB30C1CB9}" name="LifeCycleMonths" dataDxfId="823">
      <calculatedColumnFormula>Lists!$B$34</calculatedColumnFormula>
    </tableColumn>
    <tableColumn id="3" xr3:uid="{F6F13043-D111-4FB5-BC46-7947EA312B21}" name="Scenario" dataDxfId="822"/>
    <tableColumn id="4" xr3:uid="{32CDF4F6-B4C4-4E5C-9415-BEE3FB51DD2F}" name="ExpenseType" dataDxfId="821"/>
    <tableColumn id="5" xr3:uid="{1CECFAD9-D812-49EE-B6B0-9538F37404A1}" name="Opex item" dataDxfId="820"/>
    <tableColumn id="6" xr3:uid="{1A17319E-FB67-47B2-9D98-3EADA3DE3807}" name="Value basis" dataDxfId="819"/>
    <tableColumn id="7" xr3:uid="{1879BFE4-049F-49DA-BD7A-AB2022B3F239}" name="Base year" dataDxfId="818">
      <calculatedColumnFormula>Analysis_year</calculatedColumnFormula>
    </tableColumn>
    <tableColumn id="8" xr3:uid="{072C1927-2052-49F8-96BB-2216A512AE77}" name="Applicant comment" dataDxfId="817" dataCellStyle="Comma">
      <calculatedColumnFormula>IF(Inputs!G42="","",Inputs!G42)</calculatedColumnFormula>
    </tableColumn>
    <tableColumn id="9" xr3:uid="{5235F341-6D6D-4D92-B9EC-3F0DD3A63D31}" name="2025" dataDxfId="816" dataCellStyle="Comma">
      <calculatedColumnFormula>Inputs!H42*IF(Inputs!$E42="Real",1,L$5)</calculatedColumnFormula>
    </tableColumn>
    <tableColumn id="10" xr3:uid="{74CEE479-8C4B-4326-AA43-35FBF77782AD}" name="2026" dataDxfId="815" dataCellStyle="Comma">
      <calculatedColumnFormula>Inputs!I42*IF(Inputs!$E42="Real",1,M$5)</calculatedColumnFormula>
    </tableColumn>
    <tableColumn id="11" xr3:uid="{29FB3D85-60A6-4E2B-B7CF-D5B63F505A34}" name="2027" dataDxfId="814" dataCellStyle="Comma">
      <calculatedColumnFormula>Inputs!J42*IF(Inputs!$E42="Real",1,N$5)</calculatedColumnFormula>
    </tableColumn>
    <tableColumn id="12" xr3:uid="{63076B32-ECF6-48FF-AC46-36240A05E0E8}" name="2028" dataDxfId="813" dataCellStyle="Comma">
      <calculatedColumnFormula>Inputs!K42*IF(Inputs!$E42="Real",1,O$5)</calculatedColumnFormula>
    </tableColumn>
    <tableColumn id="13" xr3:uid="{B62D1668-E329-4F6C-9027-5A509F5F2EB0}" name="2029" dataDxfId="812" dataCellStyle="Comma">
      <calculatedColumnFormula>Inputs!L42*IF(Inputs!$E42="Real",1,P$5)</calculatedColumnFormula>
    </tableColumn>
    <tableColumn id="14" xr3:uid="{F4097489-8ECF-4351-9064-B1645488181E}" name="2030" dataDxfId="811" dataCellStyle="Comma">
      <calculatedColumnFormula>Inputs!M42*IF(Inputs!$E42="Real",1,Q$5)</calculatedColumnFormula>
    </tableColumn>
    <tableColumn id="15" xr3:uid="{7E3D7B92-39C6-48EC-B996-DBD4E1A4829A}" name="2031" dataDxfId="810" dataCellStyle="Comma">
      <calculatedColumnFormula>Inputs!N42*IF(Inputs!$E42="Real",1,R$5)</calculatedColumnFormula>
    </tableColumn>
    <tableColumn id="16" xr3:uid="{FA80EE95-8FA1-4A49-967C-5CA2E6154D4E}" name="2032" dataDxfId="809" dataCellStyle="Comma">
      <calculatedColumnFormula>Inputs!O42*IF(Inputs!$E42="Real",1,S$5)</calculatedColumnFormula>
    </tableColumn>
    <tableColumn id="17" xr3:uid="{69EAB3F5-68D1-4914-9BFB-C61AFBC0D56E}" name="2033" dataDxfId="808" dataCellStyle="Comma">
      <calculatedColumnFormula>Inputs!P42*IF(Inputs!$E42="Real",1,T$5)</calculatedColumnFormula>
    </tableColumn>
    <tableColumn id="18" xr3:uid="{ABF87EEE-D70F-4B4E-AE7E-BA57FCB8F742}" name="2034" dataDxfId="807" dataCellStyle="Comma">
      <calculatedColumnFormula>Inputs!Q42*IF(Inputs!$E42="Real",1,U$5)</calculatedColumnFormula>
    </tableColumn>
    <tableColumn id="19" xr3:uid="{D51F5B0D-0EB7-4B72-8B33-D60F87EF6679}" name="2035" dataDxfId="806" dataCellStyle="Comma">
      <calculatedColumnFormula>Inputs!R42*IF(Inputs!$E42="Real",1,V$5)</calculatedColumnFormula>
    </tableColumn>
    <tableColumn id="20" xr3:uid="{3312A168-D063-4D02-8529-628DBA92C513}" name="2036" dataDxfId="805" dataCellStyle="Comma">
      <calculatedColumnFormula>Inputs!S42*IF(Inputs!$E42="Real",1,W$5)</calculatedColumnFormula>
    </tableColumn>
    <tableColumn id="21" xr3:uid="{F2041342-36BA-4E02-AE13-D6AE1E93B143}" name="2037" dataDxfId="804" dataCellStyle="Comma">
      <calculatedColumnFormula>Inputs!T42*IF(Inputs!$E42="Real",1,X$5)</calculatedColumnFormula>
    </tableColumn>
    <tableColumn id="22" xr3:uid="{0F74B5D4-5097-4D18-83D5-F74797869702}" name="2038" dataDxfId="803" dataCellStyle="Comma">
      <calculatedColumnFormula>Inputs!U42*IF(Inputs!$E42="Real",1,Y$5)</calculatedColumnFormula>
    </tableColumn>
    <tableColumn id="23" xr3:uid="{261BAB05-7C12-4982-B550-D00B90EF78DC}" name="2039" dataDxfId="802" dataCellStyle="Comma">
      <calculatedColumnFormula>Inputs!V42*IF(Inputs!$E42="Real",1,Z$5)</calculatedColumnFormula>
    </tableColumn>
    <tableColumn id="24" xr3:uid="{29DCC51E-6136-4CF7-AF7B-33E5A4E6231A}" name="2040" dataDxfId="801" dataCellStyle="Comma">
      <calculatedColumnFormula>Inputs!W42*IF(Inputs!$E42="Real",1,AA$5)</calculatedColumnFormula>
    </tableColumn>
    <tableColumn id="25" xr3:uid="{4B492659-564C-47C7-AEE8-A9069B0EB325}" name="2041" dataDxfId="800" dataCellStyle="Comma">
      <calculatedColumnFormula>Inputs!X42*IF(Inputs!$E42="Real",1,AB$5)</calculatedColumnFormula>
    </tableColumn>
    <tableColumn id="26" xr3:uid="{E45BBC09-5C6E-4BE7-8755-8BD999F022F1}" name="2042" dataDxfId="799" dataCellStyle="Comma">
      <calculatedColumnFormula>Inputs!Y42*IF(Inputs!$E42="Real",1,AC$5)</calculatedColumnFormula>
    </tableColumn>
    <tableColumn id="27" xr3:uid="{F6B24781-2E40-4B4C-A9FF-A2CFB495D824}" name="2043" dataDxfId="798" dataCellStyle="Comma">
      <calculatedColumnFormula>Inputs!Z42*IF(Inputs!$E42="Real",1,AD$5)</calculatedColumnFormula>
    </tableColumn>
    <tableColumn id="28" xr3:uid="{4207A4EE-3426-4423-8FAE-7291D7D24D75}" name="2044" dataDxfId="797" dataCellStyle="Comma">
      <calculatedColumnFormula>Inputs!AA42*IF(Inputs!$E42="Real",1,AE$5)</calculatedColumnFormula>
    </tableColumn>
    <tableColumn id="29" xr3:uid="{1F2AAB51-CA2A-453E-84A7-D75AA663F7F8}" name="2045" dataDxfId="796" dataCellStyle="Comma">
      <calculatedColumnFormula>Inputs!AB42*IF(Inputs!$E42="Real",1,AF$5)</calculatedColumnFormula>
    </tableColumn>
    <tableColumn id="30" xr3:uid="{2303DBEA-4A24-4D35-8EA5-808E68786965}" name="2046" dataDxfId="795" dataCellStyle="Comma">
      <calculatedColumnFormula>Inputs!AC42*IF(Inputs!$E42="Real",1,AG$5)</calculatedColumnFormula>
    </tableColumn>
    <tableColumn id="31" xr3:uid="{CFA8E895-6E40-4804-9F78-3E660C8DCC88}" name="2047" dataDxfId="794" dataCellStyle="Comma">
      <calculatedColumnFormula>Inputs!AD42*IF(Inputs!$E42="Real",1,AH$5)</calculatedColumnFormula>
    </tableColumn>
    <tableColumn id="32" xr3:uid="{EC580320-0C5C-45A2-85AD-06AA71EB2429}" name="2048" dataDxfId="793" dataCellStyle="Comma">
      <calculatedColumnFormula>Inputs!AE42*IF(Inputs!$E42="Real",1,AI$5)</calculatedColumnFormula>
    </tableColumn>
    <tableColumn id="33" xr3:uid="{85CAFB4C-2DB8-420B-B3AE-3D4B9A16050A}" name="2049" dataDxfId="792" dataCellStyle="Comma">
      <calculatedColumnFormula>Inputs!AF42*IF(Inputs!$E42="Real",1,AJ$5)</calculatedColumnFormula>
    </tableColumn>
    <tableColumn id="34" xr3:uid="{264CAD83-5E8D-42DF-90DF-3C074BE84DB2}" name="2050" dataDxfId="791" dataCellStyle="Comma">
      <calculatedColumnFormula>Inputs!AG42*IF(Inputs!$E42="Real",1,AK$5)</calculatedColumnFormula>
    </tableColumn>
    <tableColumn id="35" xr3:uid="{5BEC70F7-ECF2-46DE-822A-3C5765962EF8}" name="2051" dataDxfId="790" dataCellStyle="Comma">
      <calculatedColumnFormula>Inputs!AH42*IF(Inputs!$E42="Real",1,AL$5)</calculatedColumnFormula>
    </tableColumn>
    <tableColumn id="36" xr3:uid="{5EC00E72-80F6-417F-8340-F698A46D3C19}" name="2052" dataDxfId="789" dataCellStyle="Comma">
      <calculatedColumnFormula>Inputs!AI42*IF(Inputs!$E42="Real",1,AM$5)</calculatedColumnFormula>
    </tableColumn>
    <tableColumn id="37" xr3:uid="{BCF8E9E9-1A51-4639-9A09-373D888E0B22}" name="2053" dataDxfId="788" dataCellStyle="Comma">
      <calculatedColumnFormula>Inputs!AJ42*IF(Inputs!$E42="Real",1,AN$5)</calculatedColumnFormula>
    </tableColumn>
    <tableColumn id="38" xr3:uid="{0C8043E4-9C17-447A-B910-3E5686CD027F}" name="2054" dataDxfId="787" dataCellStyle="Comma">
      <calculatedColumnFormula>Inputs!AK42*IF(Inputs!$E42="Real",1,AO$5)</calculatedColumnFormula>
    </tableColumn>
    <tableColumn id="39" xr3:uid="{3A6B631C-6AA5-45C3-8BB0-E4E3EC62BF57}" name="2055" dataDxfId="786" dataCellStyle="Comma">
      <calculatedColumnFormula>Inputs!AL42*IF(Inputs!$E42="Real",1,AP$5)</calculatedColumnFormula>
    </tableColumn>
    <tableColumn id="40" xr3:uid="{473CC9BE-5C0A-444A-A534-166325A64461}" name="2056" dataDxfId="785" dataCellStyle="Comma">
      <calculatedColumnFormula>Inputs!AM42*IF(Inputs!$E42="Real",1,AQ$5)</calculatedColumnFormula>
    </tableColumn>
    <tableColumn id="41" xr3:uid="{4863111C-D6CE-4EF8-BEA1-1D3B4254E0AD}" name="2057" dataDxfId="784" dataCellStyle="Comma">
      <calculatedColumnFormula>Inputs!AN42*IF(Inputs!$E42="Real",1,AR$5)</calculatedColumnFormula>
    </tableColumn>
    <tableColumn id="42" xr3:uid="{CC5297E7-35A3-4AB6-848A-4F1BD268A07A}" name="2058" dataDxfId="783" dataCellStyle="Comma">
      <calculatedColumnFormula>Inputs!AO42*IF(Inputs!$E42="Real",1,AS$5)</calculatedColumnFormula>
    </tableColumn>
    <tableColumn id="43" xr3:uid="{26453D5E-9188-4487-A49E-094715CE4174}" name="2059" dataDxfId="782" dataCellStyle="Comma">
      <calculatedColumnFormula>Inputs!AP42*IF(Inputs!$E42="Real",1,AT$5)</calculatedColumnFormula>
    </tableColumn>
    <tableColumn id="44" xr3:uid="{6124700B-6CF6-418B-9987-136D8E10AC8C}" name="2060" dataDxfId="781" dataCellStyle="Comma">
      <calculatedColumnFormula>Inputs!AQ42*IF(Inputs!$E42="Real",1,AU$5)</calculatedColumnFormula>
    </tableColumn>
    <tableColumn id="45" xr3:uid="{4CDD34A8-2D0F-4F6F-8B99-1BF715D4C3C0}" name="2061" dataDxfId="780" dataCellStyle="Comma">
      <calculatedColumnFormula>Inputs!AR42*IF(Inputs!$E42="Real",1,AV$5)</calculatedColumnFormula>
    </tableColumn>
    <tableColumn id="46" xr3:uid="{8C115C31-CF4A-48AA-AE9B-1EF0DB8371D2}" name="2062" dataDxfId="779" dataCellStyle="Comma">
      <calculatedColumnFormula>Inputs!AS42*IF(Inputs!$E42="Real",1,AW$5)</calculatedColumnFormula>
    </tableColumn>
    <tableColumn id="47" xr3:uid="{57C5EC18-7C44-430F-814F-04F0126621BF}" name="2063" dataDxfId="778" dataCellStyle="Comma">
      <calculatedColumnFormula>Inputs!AT42*IF(Inputs!$E42="Real",1,AX$5)</calculatedColumnFormula>
    </tableColumn>
    <tableColumn id="48" xr3:uid="{39A5C530-8A93-4727-888C-0773CD77FBB4}" name="2064" dataDxfId="777" dataCellStyle="Comma">
      <calculatedColumnFormula>Inputs!AU42*IF(Inputs!$E42="Real",1,AY$5)</calculatedColumnFormula>
    </tableColumn>
    <tableColumn id="49" xr3:uid="{E988F61D-4693-4BA8-BE16-761F3482B3EC}" name="2065" dataDxfId="776" dataCellStyle="Comma">
      <calculatedColumnFormula>Inputs!AV42*IF(Inputs!$E42="Real",1,AZ$5)</calculatedColumnFormula>
    </tableColumn>
    <tableColumn id="50" xr3:uid="{A25CCFED-723A-45BA-BB02-EBAFBBC3A9D1}" name="2066" dataDxfId="775" dataCellStyle="Comma">
      <calculatedColumnFormula>Inputs!AW42*IF(Inputs!$E42="Real",1,BA$5)</calculatedColumnFormula>
    </tableColumn>
    <tableColumn id="51" xr3:uid="{EA2EA39F-0FCA-482E-B214-E3368683BDE1}" name="2067" dataDxfId="774" dataCellStyle="Comma">
      <calculatedColumnFormula>Inputs!AX42*IF(Inputs!$E42="Real",1,BB$5)</calculatedColumnFormula>
    </tableColumn>
    <tableColumn id="52" xr3:uid="{1E126EBD-65B8-41FB-8178-9537CAC3D181}" name="2068" dataDxfId="773" dataCellStyle="Comma">
      <calculatedColumnFormula>Inputs!AY42*IF(Inputs!$E42="Real",1,BC$5)</calculatedColumnFormula>
    </tableColumn>
    <tableColumn id="53" xr3:uid="{A3AE561D-99AF-47BC-B0A7-57A864344B3A}" name="2069" dataDxfId="772" dataCellStyle="Comma">
      <calculatedColumnFormula>Inputs!AZ42*IF(Inputs!$E42="Real",1,BD$5)</calculatedColumnFormula>
    </tableColumn>
    <tableColumn id="54" xr3:uid="{A2767173-CE47-4888-81D5-B858B2FCBAEA}" name="2070" dataDxfId="771" dataCellStyle="Comma">
      <calculatedColumnFormula>Inputs!BA42*IF(Inputs!$E42="Real",1,BE$5)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A7B166-2647-4248-96DF-EFA005E126C0}" name="Opex_NonFuel_BC" displayName="Opex_NonFuel_BC" ref="D40:BE46" totalsRowShown="0" headerRowDxfId="770" dataDxfId="769" tableBorderDxfId="768" dataCellStyle="Comma">
  <autoFilter ref="D40:BE46" xr:uid="{B3A7B166-2647-4248-96DF-EFA005E126C0}"/>
  <tableColumns count="54">
    <tableColumn id="1" xr3:uid="{CB05F37A-A994-408F-9A52-FF4CE753D1AE}" name="ProjectId" dataDxfId="767">
      <calculatedColumnFormula>'Project description'!$B$5</calculatedColumnFormula>
    </tableColumn>
    <tableColumn id="2" xr3:uid="{DBFCF447-E0E4-4315-BF85-52067F873033}" name="LifeCycleMonths" dataDxfId="766">
      <calculatedColumnFormula>Lists!$B$34</calculatedColumnFormula>
    </tableColumn>
    <tableColumn id="3" xr3:uid="{92F7C6A9-FC79-4D67-84F1-07421216762D}" name="Scenario" dataDxfId="765"/>
    <tableColumn id="4" xr3:uid="{B9AC90DE-D165-46D3-95B0-1055D2C924BF}" name="ExpenseType" dataDxfId="764"/>
    <tableColumn id="5" xr3:uid="{06C61D8F-BA9D-4FCA-9D8C-FBCB6559928A}" name="Opex item" dataDxfId="763"/>
    <tableColumn id="6" xr3:uid="{1C3F9A56-2E72-462B-82BD-02E49213A981}" name="Value basis" dataDxfId="762"/>
    <tableColumn id="7" xr3:uid="{F9F34DEF-4A19-4700-A3C7-93F84C370E83}" name="Base year" dataDxfId="761">
      <calculatedColumnFormula>Analysis_year</calculatedColumnFormula>
    </tableColumn>
    <tableColumn id="8" xr3:uid="{629D05A5-F9A0-4AFA-9CF3-80076834089A}" name="Applicant comment" dataDxfId="760">
      <calculatedColumnFormula>IF(Inputs!G53="","",Inputs!G53)</calculatedColumnFormula>
    </tableColumn>
    <tableColumn id="9" xr3:uid="{83E7D294-E808-4A62-B4F6-CA57926A8F53}" name="2025" dataDxfId="759" dataCellStyle="Comma">
      <calculatedColumnFormula>Inputs!H53*IF(Inputs!$E53="Real",1,L$5)</calculatedColumnFormula>
    </tableColumn>
    <tableColumn id="10" xr3:uid="{D67DC393-6377-4D58-876A-664D0FEC3591}" name="2026" dataDxfId="758" dataCellStyle="Comma">
      <calculatedColumnFormula>Inputs!I53*IF(Inputs!$E53="Real",1,M$5)</calculatedColumnFormula>
    </tableColumn>
    <tableColumn id="11" xr3:uid="{EA508519-8909-4194-8810-3453159C7091}" name="2027" dataDxfId="757" dataCellStyle="Comma">
      <calculatedColumnFormula>Inputs!J53*IF(Inputs!$E53="Real",1,N$5)</calculatedColumnFormula>
    </tableColumn>
    <tableColumn id="12" xr3:uid="{0F8A8F31-7BEE-45D5-B06B-69C0F5BE6D85}" name="2028" dataDxfId="756" dataCellStyle="Comma">
      <calculatedColumnFormula>Inputs!K53*IF(Inputs!$E53="Real",1,O$5)</calculatedColumnFormula>
    </tableColumn>
    <tableColumn id="13" xr3:uid="{AF6E5BB1-87C0-4E45-AE54-427CC6B8A73F}" name="2029" dataDxfId="755" dataCellStyle="Comma">
      <calculatedColumnFormula>Inputs!L53*IF(Inputs!$E53="Real",1,P$5)</calculatedColumnFormula>
    </tableColumn>
    <tableColumn id="14" xr3:uid="{5694DEF4-A3C4-4329-9BB8-C7A8B8FAACB2}" name="2030" dataDxfId="754" dataCellStyle="Comma">
      <calculatedColumnFormula>Inputs!M53*IF(Inputs!$E53="Real",1,Q$5)</calculatedColumnFormula>
    </tableColumn>
    <tableColumn id="15" xr3:uid="{5EB415F9-7E76-49C4-9961-452E8A83CF2A}" name="2031" dataDxfId="753" dataCellStyle="Comma">
      <calculatedColumnFormula>Inputs!N53*IF(Inputs!$E53="Real",1,R$5)</calculatedColumnFormula>
    </tableColumn>
    <tableColumn id="16" xr3:uid="{2ED4D46D-5540-43F2-B99E-06B9970AF11B}" name="2032" dataDxfId="752" dataCellStyle="Comma">
      <calculatedColumnFormula>Inputs!O53*IF(Inputs!$E53="Real",1,S$5)</calculatedColumnFormula>
    </tableColumn>
    <tableColumn id="17" xr3:uid="{D86CA3E8-954C-437C-8AEE-D8B0895D0648}" name="2033" dataDxfId="751" dataCellStyle="Comma">
      <calculatedColumnFormula>Inputs!P53*IF(Inputs!$E53="Real",1,T$5)</calculatedColumnFormula>
    </tableColumn>
    <tableColumn id="18" xr3:uid="{EB2075B2-E6E6-40F9-AE90-55D0D0AE3AF0}" name="2034" dataDxfId="750" dataCellStyle="Comma">
      <calculatedColumnFormula>Inputs!Q53*IF(Inputs!$E53="Real",1,U$5)</calculatedColumnFormula>
    </tableColumn>
    <tableColumn id="19" xr3:uid="{7C333EFC-8886-425F-9916-1018A8788C5D}" name="2035" dataDxfId="749" dataCellStyle="Comma">
      <calculatedColumnFormula>Inputs!R53*IF(Inputs!$E53="Real",1,V$5)</calculatedColumnFormula>
    </tableColumn>
    <tableColumn id="20" xr3:uid="{B7107C08-39F5-4B05-A7E8-20E8208BD1C6}" name="2036" dataDxfId="748" dataCellStyle="Comma">
      <calculatedColumnFormula>Inputs!S53*IF(Inputs!$E53="Real",1,W$5)</calculatedColumnFormula>
    </tableColumn>
    <tableColumn id="21" xr3:uid="{0072571A-8BBB-4361-861B-38226D160634}" name="2037" dataDxfId="747" dataCellStyle="Comma">
      <calculatedColumnFormula>Inputs!T53*IF(Inputs!$E53="Real",1,X$5)</calculatedColumnFormula>
    </tableColumn>
    <tableColumn id="22" xr3:uid="{AF371F08-F280-4756-B3DC-1C4E3C48AC40}" name="2038" dataDxfId="746" dataCellStyle="Comma">
      <calculatedColumnFormula>Inputs!U53*IF(Inputs!$E53="Real",1,Y$5)</calculatedColumnFormula>
    </tableColumn>
    <tableColumn id="23" xr3:uid="{E16DDE00-D23F-456F-8D8A-8A2A2037F2A0}" name="2039" dataDxfId="745" dataCellStyle="Comma">
      <calculatedColumnFormula>Inputs!V53*IF(Inputs!$E53="Real",1,Z$5)</calculatedColumnFormula>
    </tableColumn>
    <tableColumn id="24" xr3:uid="{1A137FF1-560E-4D7C-864E-5BE42A837564}" name="2040" dataDxfId="744" dataCellStyle="Comma">
      <calculatedColumnFormula>Inputs!W53*IF(Inputs!$E53="Real",1,AA$5)</calculatedColumnFormula>
    </tableColumn>
    <tableColumn id="25" xr3:uid="{95A66244-BEAF-4BCD-9FEA-F76C6C3652E0}" name="2041" dataDxfId="743" dataCellStyle="Comma">
      <calculatedColumnFormula>Inputs!X53*IF(Inputs!$E53="Real",1,AB$5)</calculatedColumnFormula>
    </tableColumn>
    <tableColumn id="26" xr3:uid="{03A70850-F1D3-4FBA-B3C7-2825AF12BF86}" name="2042" dataDxfId="742" dataCellStyle="Comma">
      <calculatedColumnFormula>Inputs!Y53*IF(Inputs!$E53="Real",1,AC$5)</calculatedColumnFormula>
    </tableColumn>
    <tableColumn id="27" xr3:uid="{11626DC8-870E-475F-B75F-6C7C5F42386A}" name="2043" dataDxfId="741" dataCellStyle="Comma">
      <calculatedColumnFormula>Inputs!Z53*IF(Inputs!$E53="Real",1,AD$5)</calculatedColumnFormula>
    </tableColumn>
    <tableColumn id="28" xr3:uid="{FDC61B60-1A03-4C82-AFA0-72EC8C82E97D}" name="2044" dataDxfId="740" dataCellStyle="Comma">
      <calculatedColumnFormula>Inputs!AA53*IF(Inputs!$E53="Real",1,AE$5)</calculatedColumnFormula>
    </tableColumn>
    <tableColumn id="29" xr3:uid="{6B8D9234-54B7-4ECA-886C-56105218B9D7}" name="2045" dataDxfId="739" dataCellStyle="Comma">
      <calculatedColumnFormula>Inputs!AB53*IF(Inputs!$E53="Real",1,AF$5)</calculatedColumnFormula>
    </tableColumn>
    <tableColumn id="30" xr3:uid="{7B0B43C2-A356-48A8-AEBD-37BB80803CA0}" name="2046" dataDxfId="738" dataCellStyle="Comma">
      <calculatedColumnFormula>Inputs!AC53*IF(Inputs!$E53="Real",1,AG$5)</calculatedColumnFormula>
    </tableColumn>
    <tableColumn id="31" xr3:uid="{87A17781-4FA4-40D2-AA75-BDE2982B64C6}" name="2047" dataDxfId="737" dataCellStyle="Comma">
      <calculatedColumnFormula>Inputs!AD53*IF(Inputs!$E53="Real",1,AH$5)</calculatedColumnFormula>
    </tableColumn>
    <tableColumn id="32" xr3:uid="{DC6514CE-1D8F-4198-8BBF-AAA946FB78AA}" name="2048" dataDxfId="736" dataCellStyle="Comma">
      <calculatedColumnFormula>Inputs!AE53*IF(Inputs!$E53="Real",1,AI$5)</calculatedColumnFormula>
    </tableColumn>
    <tableColumn id="33" xr3:uid="{535C36F3-2A52-425C-9394-B3558B744A26}" name="2049" dataDxfId="735" dataCellStyle="Comma">
      <calculatedColumnFormula>Inputs!AF53*IF(Inputs!$E53="Real",1,AJ$5)</calculatedColumnFormula>
    </tableColumn>
    <tableColumn id="34" xr3:uid="{4CB2D4EE-D829-41F8-990F-5F1D51E2F918}" name="2050" dataDxfId="734" dataCellStyle="Comma">
      <calculatedColumnFormula>Inputs!AG53*IF(Inputs!$E53="Real",1,AK$5)</calculatedColumnFormula>
    </tableColumn>
    <tableColumn id="35" xr3:uid="{D5CA8BDB-7305-42C8-AD26-013B8B81E075}" name="2051" dataDxfId="733" dataCellStyle="Comma">
      <calculatedColumnFormula>Inputs!AH53*IF(Inputs!$E53="Real",1,AL$5)</calculatedColumnFormula>
    </tableColumn>
    <tableColumn id="36" xr3:uid="{228AEBE4-F39A-4770-ACBE-00B1B944266A}" name="2052" dataDxfId="732" dataCellStyle="Comma">
      <calculatedColumnFormula>Inputs!AI53*IF(Inputs!$E53="Real",1,AM$5)</calculatedColumnFormula>
    </tableColumn>
    <tableColumn id="37" xr3:uid="{0727EB34-AE7A-4951-AD44-C6490F7CB900}" name="2053" dataDxfId="731" dataCellStyle="Comma">
      <calculatedColumnFormula>Inputs!AJ53*IF(Inputs!$E53="Real",1,AN$5)</calculatedColumnFormula>
    </tableColumn>
    <tableColumn id="38" xr3:uid="{2EB17D06-A2E8-4E12-A6D0-5103F3B8B2F6}" name="2054" dataDxfId="730" dataCellStyle="Comma">
      <calculatedColumnFormula>Inputs!AK53*IF(Inputs!$E53="Real",1,AO$5)</calculatedColumnFormula>
    </tableColumn>
    <tableColumn id="39" xr3:uid="{95DBEDB4-DF1F-47FD-B9BB-82CEB66403EF}" name="2055" dataDxfId="729" dataCellStyle="Comma">
      <calculatedColumnFormula>Inputs!AL53*IF(Inputs!$E53="Real",1,AP$5)</calculatedColumnFormula>
    </tableColumn>
    <tableColumn id="40" xr3:uid="{9E185EC9-984B-4B57-9132-9B9AFC0E3DD4}" name="2056" dataDxfId="728" dataCellStyle="Comma">
      <calculatedColumnFormula>Inputs!AM53*IF(Inputs!$E53="Real",1,AQ$5)</calculatedColumnFormula>
    </tableColumn>
    <tableColumn id="41" xr3:uid="{D1F74942-7910-4DDD-8B0E-822D5F995727}" name="2057" dataDxfId="727" dataCellStyle="Comma">
      <calculatedColumnFormula>Inputs!AN53*IF(Inputs!$E53="Real",1,AR$5)</calculatedColumnFormula>
    </tableColumn>
    <tableColumn id="42" xr3:uid="{1C5C1124-066B-412E-A71D-E5CCF3814980}" name="2058" dataDxfId="726" dataCellStyle="Comma">
      <calculatedColumnFormula>Inputs!AO53*IF(Inputs!$E53="Real",1,AS$5)</calculatedColumnFormula>
    </tableColumn>
    <tableColumn id="43" xr3:uid="{241DE309-2975-4B96-8BCF-39ED53B57AAC}" name="2059" dataDxfId="725" dataCellStyle="Comma">
      <calculatedColumnFormula>Inputs!AP53*IF(Inputs!$E53="Real",1,AT$5)</calculatedColumnFormula>
    </tableColumn>
    <tableColumn id="44" xr3:uid="{D130D211-3E86-4D8F-83B0-917FE71196B0}" name="2060" dataDxfId="724" dataCellStyle="Comma">
      <calculatedColumnFormula>Inputs!AQ53*IF(Inputs!$E53="Real",1,AU$5)</calculatedColumnFormula>
    </tableColumn>
    <tableColumn id="45" xr3:uid="{FAF742CF-A3CD-4C6F-9984-16375B542476}" name="2061" dataDxfId="723" dataCellStyle="Comma">
      <calculatedColumnFormula>Inputs!AR53*IF(Inputs!$E53="Real",1,AV$5)</calculatedColumnFormula>
    </tableColumn>
    <tableColumn id="46" xr3:uid="{8A077E23-50C1-42D6-A0B7-6CEC1B6F3D8B}" name="2062" dataDxfId="722" dataCellStyle="Comma">
      <calculatedColumnFormula>Inputs!AS53*IF(Inputs!$E53="Real",1,AW$5)</calculatedColumnFormula>
    </tableColumn>
    <tableColumn id="47" xr3:uid="{B68B2BC1-F4C1-4BA4-A91D-0ADFE295B801}" name="2063" dataDxfId="721" dataCellStyle="Comma">
      <calculatedColumnFormula>Inputs!AT53*IF(Inputs!$E53="Real",1,AX$5)</calculatedColumnFormula>
    </tableColumn>
    <tableColumn id="48" xr3:uid="{FAAD8831-59F8-4860-B0AF-888A99E5A3F3}" name="2064" dataDxfId="720" dataCellStyle="Comma">
      <calculatedColumnFormula>Inputs!AU53*IF(Inputs!$E53="Real",1,AY$5)</calculatedColumnFormula>
    </tableColumn>
    <tableColumn id="49" xr3:uid="{BC366C06-F771-46F4-B672-69C78DC72D47}" name="2065" dataDxfId="719" dataCellStyle="Comma">
      <calculatedColumnFormula>Inputs!AV53*IF(Inputs!$E53="Real",1,AZ$5)</calculatedColumnFormula>
    </tableColumn>
    <tableColumn id="50" xr3:uid="{56F03562-744C-4744-A1AF-0CCAD6CAB3D2}" name="2066" dataDxfId="718" dataCellStyle="Comma">
      <calculatedColumnFormula>Inputs!AW53*IF(Inputs!$E53="Real",1,BA$5)</calculatedColumnFormula>
    </tableColumn>
    <tableColumn id="51" xr3:uid="{75454701-7DC1-487A-AB60-365A61BFC81C}" name="2067" dataDxfId="717" dataCellStyle="Comma">
      <calculatedColumnFormula>Inputs!AX53*IF(Inputs!$E53="Real",1,BB$5)</calculatedColumnFormula>
    </tableColumn>
    <tableColumn id="52" xr3:uid="{9B4724C7-8659-428C-940B-CEEB3A0BF6ED}" name="2068" dataDxfId="716" dataCellStyle="Comma">
      <calculatedColumnFormula>Inputs!AY53*IF(Inputs!$E53="Real",1,BC$5)</calculatedColumnFormula>
    </tableColumn>
    <tableColumn id="53" xr3:uid="{79ADDE3F-D2E1-4EAC-A2CF-0017C9E1CFA5}" name="2069" dataDxfId="715" dataCellStyle="Comma">
      <calculatedColumnFormula>Inputs!AZ53*IF(Inputs!$E53="Real",1,BD$5)</calculatedColumnFormula>
    </tableColumn>
    <tableColumn id="54" xr3:uid="{71F57A95-92ED-4BB6-837E-E58EA9D9ECBF}" name="2070" dataDxfId="714" dataCellStyle="Comma">
      <calculatedColumnFormula>Inputs!BA53*IF(Inputs!$E53="Real",1,BE$5)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9388AA5-98B4-4F50-B212-9DBE08673485}" name="FuelUse_PP" displayName="FuelUse_PP" ref="F50:BE61" totalsRowShown="0" headerRowDxfId="713" dataDxfId="712" tableBorderDxfId="711" dataCellStyle="Comma">
  <autoFilter ref="F50:BE61" xr:uid="{19388AA5-98B4-4F50-B212-9DBE08673485}"/>
  <tableColumns count="52">
    <tableColumn id="1" xr3:uid="{F349B5F4-5CCF-4E3A-9A96-0E762D9C6414}" name="ProjectId" dataDxfId="710">
      <calculatedColumnFormula>'Project description'!$B$5</calculatedColumnFormula>
    </tableColumn>
    <tableColumn id="2" xr3:uid="{18123340-5EC1-4648-89BD-9DD4992F3676}" name="LifeCycleMonths" dataDxfId="709">
      <calculatedColumnFormula>Lists!$B$34</calculatedColumnFormula>
    </tableColumn>
    <tableColumn id="3" xr3:uid="{25D493D5-0516-4C7B-8272-82D1099B53B0}" name="Scenario" dataDxfId="708" dataCellStyle="Comma"/>
    <tableColumn id="4" xr3:uid="{92395929-1427-47D4-AD14-DCE70F99F551}" name="Fuel type" dataDxfId="707" dataCellStyle="Comma">
      <calculatedColumnFormula>Inputs!D64</calculatedColumnFormula>
    </tableColumn>
    <tableColumn id="5" xr3:uid="{1A17A66F-7728-491D-86BC-48D22A0908B6}" name="Units" dataDxfId="706" dataCellStyle="Comma"/>
    <tableColumn id="6" xr3:uid="{CC006F14-1EE9-40E0-B97B-8A33739DB080}" name="Applicant comment" dataDxfId="705" dataCellStyle="Comma">
      <calculatedColumnFormula>IF(Inputs!G64="","",Inputs!G64)</calculatedColumnFormula>
    </tableColumn>
    <tableColumn id="7" xr3:uid="{14BB031F-F837-4C50-99C7-4AAE92BD7B6C}" name="2025" dataDxfId="704" dataCellStyle="Comma">
      <calculatedColumnFormula>Inputs!H64*Data!$F3</calculatedColumnFormula>
    </tableColumn>
    <tableColumn id="8" xr3:uid="{29ABD6D2-8612-4CB1-9339-BCD40563AF7E}" name="2026" dataDxfId="703" dataCellStyle="Comma">
      <calculatedColumnFormula>Inputs!I64*Data!$F3</calculatedColumnFormula>
    </tableColumn>
    <tableColumn id="9" xr3:uid="{4658CE48-D2F9-4429-A47B-89060D318685}" name="2027" dataDxfId="702" dataCellStyle="Comma">
      <calculatedColumnFormula>Inputs!J64*Data!$F3</calculatedColumnFormula>
    </tableColumn>
    <tableColumn id="10" xr3:uid="{6AACE9A7-BC3C-4581-9BD7-7D98A04D7A8E}" name="2028" dataDxfId="701" dataCellStyle="Comma">
      <calculatedColumnFormula>Inputs!K64*Data!$F3</calculatedColumnFormula>
    </tableColumn>
    <tableColumn id="11" xr3:uid="{81C19E06-0B65-489E-B597-4B9717D617C2}" name="2029" dataDxfId="700" dataCellStyle="Comma">
      <calculatedColumnFormula>Inputs!L64*Data!$F3</calculatedColumnFormula>
    </tableColumn>
    <tableColumn id="12" xr3:uid="{4DA08BFC-3CF0-4B1D-B44B-249834ECA38D}" name="2030" dataDxfId="699" dataCellStyle="Comma">
      <calculatedColumnFormula>Inputs!M64*Data!$F3</calculatedColumnFormula>
    </tableColumn>
    <tableColumn id="13" xr3:uid="{6DD698CE-B5A6-4C77-B4BA-EB85642B3CF3}" name="2031" dataDxfId="698" dataCellStyle="Comma">
      <calculatedColumnFormula>Inputs!N64*Data!$F3</calculatedColumnFormula>
    </tableColumn>
    <tableColumn id="14" xr3:uid="{219A4D71-1F07-4203-878B-00926D87D026}" name="2032" dataDxfId="697" dataCellStyle="Comma">
      <calculatedColumnFormula>Inputs!O64*Data!$F3</calculatedColumnFormula>
    </tableColumn>
    <tableColumn id="15" xr3:uid="{7316E4C6-F086-43AB-B2F1-78EA79CE8C7A}" name="2033" dataDxfId="696" dataCellStyle="Comma">
      <calculatedColumnFormula>Inputs!P64*Data!$F3</calculatedColumnFormula>
    </tableColumn>
    <tableColumn id="16" xr3:uid="{BCF317C1-58B1-432A-895E-86246899487C}" name="2034" dataDxfId="695" dataCellStyle="Comma">
      <calculatedColumnFormula>Inputs!Q64*Data!$F3</calculatedColumnFormula>
    </tableColumn>
    <tableColumn id="17" xr3:uid="{6AB006F2-B2D5-439C-915F-ED66961522F1}" name="2035" dataDxfId="694" dataCellStyle="Comma">
      <calculatedColumnFormula>Inputs!R64*Data!$F3</calculatedColumnFormula>
    </tableColumn>
    <tableColumn id="18" xr3:uid="{FB9A3BF2-84D2-4C81-B1B1-96FA9DB0D3B1}" name="2036" dataDxfId="693" dataCellStyle="Comma">
      <calculatedColumnFormula>Inputs!S64*Data!$F3</calculatedColumnFormula>
    </tableColumn>
    <tableColumn id="19" xr3:uid="{AD0F8997-AF21-44E5-89AB-98A4C481BEC7}" name="2037" dataDxfId="692" dataCellStyle="Comma">
      <calculatedColumnFormula>Inputs!T64*Data!$F3</calculatedColumnFormula>
    </tableColumn>
    <tableColumn id="20" xr3:uid="{C34D5160-9A7D-47EB-9C5A-91307F8949B3}" name="2038" dataDxfId="691" dataCellStyle="Comma">
      <calculatedColumnFormula>Inputs!U64*Data!$F3</calculatedColumnFormula>
    </tableColumn>
    <tableColumn id="21" xr3:uid="{97CB924C-4D2D-42BD-A8C0-D212481A8FC7}" name="2039" dataDxfId="690" dataCellStyle="Comma">
      <calculatedColumnFormula>Inputs!V64*Data!$F3</calculatedColumnFormula>
    </tableColumn>
    <tableColumn id="22" xr3:uid="{6AF2B126-9999-4E00-8167-4FA2C07E1B65}" name="2040" dataDxfId="689" dataCellStyle="Comma">
      <calculatedColumnFormula>Inputs!W64*Data!$F3</calculatedColumnFormula>
    </tableColumn>
    <tableColumn id="23" xr3:uid="{FB6E273F-D203-41CF-910B-E78E6D210D82}" name="2041" dataDxfId="688" dataCellStyle="Comma">
      <calculatedColumnFormula>Inputs!X64*Data!$F3</calculatedColumnFormula>
    </tableColumn>
    <tableColumn id="24" xr3:uid="{38E5C93E-783F-493B-9868-B24AC1386AF9}" name="2042" dataDxfId="687" dataCellStyle="Comma">
      <calculatedColumnFormula>Inputs!Y64*Data!$F3</calculatedColumnFormula>
    </tableColumn>
    <tableColumn id="25" xr3:uid="{E12C06B3-D5F4-4789-B39D-7035669385E9}" name="2043" dataDxfId="686" dataCellStyle="Comma">
      <calculatedColumnFormula>Inputs!Z64*Data!$F3</calculatedColumnFormula>
    </tableColumn>
    <tableColumn id="26" xr3:uid="{7AFB99B9-F77C-4132-BF6D-523438AF760C}" name="2044" dataDxfId="685" dataCellStyle="Comma">
      <calculatedColumnFormula>Inputs!AA64*Data!$F3</calculatedColumnFormula>
    </tableColumn>
    <tableColumn id="27" xr3:uid="{EF077D63-B9BD-4375-9060-FECCBC7E2D5C}" name="2045" dataDxfId="684" dataCellStyle="Comma">
      <calculatedColumnFormula>Inputs!AB64*Data!$F3</calculatedColumnFormula>
    </tableColumn>
    <tableColumn id="28" xr3:uid="{CBC45B9D-5629-48D9-9389-04B08B66F225}" name="2046" dataDxfId="683" dataCellStyle="Comma">
      <calculatedColumnFormula>Inputs!AC64*Data!$F3</calculatedColumnFormula>
    </tableColumn>
    <tableColumn id="29" xr3:uid="{35A3EB7F-A457-4DAE-9EC7-70B5C157FE5E}" name="2047" dataDxfId="682" dataCellStyle="Comma">
      <calculatedColumnFormula>Inputs!AD64*Data!$F3</calculatedColumnFormula>
    </tableColumn>
    <tableColumn id="30" xr3:uid="{091D5AC5-27BD-430E-97E8-6C750792655F}" name="2048" dataDxfId="681" dataCellStyle="Comma">
      <calculatedColumnFormula>Inputs!AE64*Data!$F3</calculatedColumnFormula>
    </tableColumn>
    <tableColumn id="31" xr3:uid="{FEB9B153-F453-4671-9974-368E5BB95576}" name="2049" dataDxfId="680" dataCellStyle="Comma">
      <calculatedColumnFormula>Inputs!AF64*Data!$F3</calculatedColumnFormula>
    </tableColumn>
    <tableColumn id="32" xr3:uid="{3464E7DA-7474-42FC-B7E9-3190A2F6C0C6}" name="2050" dataDxfId="679" dataCellStyle="Comma">
      <calculatedColumnFormula>Inputs!AG64*Data!$F3</calculatedColumnFormula>
    </tableColumn>
    <tableColumn id="33" xr3:uid="{00D8EB9D-7A20-4457-AC90-B7E3B7ECDDE1}" name="2051" dataDxfId="678" dataCellStyle="Comma">
      <calculatedColumnFormula>Inputs!AH64*Data!$F3</calculatedColumnFormula>
    </tableColumn>
    <tableColumn id="34" xr3:uid="{2A96B685-4D17-4C55-BD73-ACD37387C499}" name="2052" dataDxfId="677" dataCellStyle="Comma">
      <calculatedColumnFormula>Inputs!AI64*Data!$F3</calculatedColumnFormula>
    </tableColumn>
    <tableColumn id="35" xr3:uid="{AE984C09-E00E-4AB8-BE4F-CA155965D3D8}" name="2053" dataDxfId="676" dataCellStyle="Comma">
      <calculatedColumnFormula>Inputs!AJ64*Data!$F3</calculatedColumnFormula>
    </tableColumn>
    <tableColumn id="36" xr3:uid="{FCAC2633-5FB1-4930-B299-14FD80E0DDB2}" name="2054" dataDxfId="675" dataCellStyle="Comma">
      <calculatedColumnFormula>Inputs!AK64*Data!$F3</calculatedColumnFormula>
    </tableColumn>
    <tableColumn id="37" xr3:uid="{6724FC6E-E2E5-4C6E-8A8F-02DAE22A1E2E}" name="2055" dataDxfId="674" dataCellStyle="Comma">
      <calculatedColumnFormula>Inputs!AL64*Data!$F3</calculatedColumnFormula>
    </tableColumn>
    <tableColumn id="38" xr3:uid="{8B4526DA-586A-4A2B-9FBE-7E7929054D2B}" name="2056" dataDxfId="673" dataCellStyle="Comma">
      <calculatedColumnFormula>Inputs!AM64*Data!$F3</calculatedColumnFormula>
    </tableColumn>
    <tableColumn id="39" xr3:uid="{4F13F276-C2FC-4731-B26D-08C922D9C8F2}" name="2057" dataDxfId="672" dataCellStyle="Comma">
      <calculatedColumnFormula>Inputs!AN64*Data!$F3</calculatedColumnFormula>
    </tableColumn>
    <tableColumn id="40" xr3:uid="{D2462E9F-CC0C-4426-BC3A-542F5261401A}" name="2058" dataDxfId="671" dataCellStyle="Comma">
      <calculatedColumnFormula>Inputs!AO64*Data!$F3</calculatedColumnFormula>
    </tableColumn>
    <tableColumn id="41" xr3:uid="{02BC8300-5CD8-434A-9257-796BE148B5DD}" name="2059" dataDxfId="670" dataCellStyle="Comma">
      <calculatedColumnFormula>Inputs!AP64*Data!$F3</calculatedColumnFormula>
    </tableColumn>
    <tableColumn id="42" xr3:uid="{E6A8CA5C-27B5-4060-82CF-D9C0D1F261C2}" name="2060" dataDxfId="669" dataCellStyle="Comma">
      <calculatedColumnFormula>Inputs!AQ64*Data!$F3</calculatedColumnFormula>
    </tableColumn>
    <tableColumn id="43" xr3:uid="{CD137560-8EFE-4936-8427-EC7F9D28AEA4}" name="2061" dataDxfId="668" dataCellStyle="Comma">
      <calculatedColumnFormula>Inputs!AR64*Data!$F3</calculatedColumnFormula>
    </tableColumn>
    <tableColumn id="44" xr3:uid="{72F09BEF-93D6-4976-B7C8-733486878529}" name="2062" dataDxfId="667" dataCellStyle="Comma">
      <calculatedColumnFormula>Inputs!AS64*Data!$F3</calculatedColumnFormula>
    </tableColumn>
    <tableColumn id="45" xr3:uid="{58DC85D1-223D-4F3E-A329-21E8DF50905E}" name="2063" dataDxfId="666" dataCellStyle="Comma">
      <calculatedColumnFormula>Inputs!AT64*Data!$F3</calculatedColumnFormula>
    </tableColumn>
    <tableColumn id="46" xr3:uid="{538CB16E-ED29-4D5C-8E40-944E97C78378}" name="2064" dataDxfId="665" dataCellStyle="Comma">
      <calculatedColumnFormula>Inputs!AU64*Data!$F3</calculatedColumnFormula>
    </tableColumn>
    <tableColumn id="47" xr3:uid="{F488A929-54E7-42F9-B615-FF55E9A84D5F}" name="2065" dataDxfId="664" dataCellStyle="Comma">
      <calculatedColumnFormula>Inputs!AV64*Data!$F3</calculatedColumnFormula>
    </tableColumn>
    <tableColumn id="48" xr3:uid="{A2E08EE3-1ED2-4302-86FE-6991F3128896}" name="2066" dataDxfId="663" dataCellStyle="Comma">
      <calculatedColumnFormula>Inputs!AW64*Data!$F3</calculatedColumnFormula>
    </tableColumn>
    <tableColumn id="49" xr3:uid="{7143FB43-BF6D-4CA6-B4D6-4B9828F9C002}" name="2067" dataDxfId="662" dataCellStyle="Comma">
      <calculatedColumnFormula>Inputs!AX64*Data!$F3</calculatedColumnFormula>
    </tableColumn>
    <tableColumn id="50" xr3:uid="{8767ACD1-887F-440C-BCEF-B571C6F367D9}" name="2068" dataDxfId="661" dataCellStyle="Comma">
      <calculatedColumnFormula>Inputs!AY64*Data!$F3</calculatedColumnFormula>
    </tableColumn>
    <tableColumn id="51" xr3:uid="{908F5936-FAD7-45F2-B4F2-91632ACDF0E8}" name="2069" dataDxfId="660" dataCellStyle="Comma">
      <calculatedColumnFormula>Inputs!AZ64*Data!$F3</calculatedColumnFormula>
    </tableColumn>
    <tableColumn id="52" xr3:uid="{2A6FC343-873E-4F7E-8587-46B5683461D7}" name="2070" dataDxfId="659" dataCellStyle="Comma">
      <calculatedColumnFormula>Inputs!BA64*Data!$F3</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61A111D-0167-4161-BB52-59F4DB78734A}" name="FuelUse_BC" displayName="FuelUse_BC" ref="F63:BE74" totalsRowShown="0" headerRowDxfId="658" dataDxfId="657" tableBorderDxfId="656" dataCellStyle="Comma">
  <autoFilter ref="F63:BE74" xr:uid="{661A111D-0167-4161-BB52-59F4DB78734A}"/>
  <tableColumns count="52">
    <tableColumn id="1" xr3:uid="{550F0D7C-ED73-4366-877C-FC264B07E18C}" name="ProjectId" dataDxfId="655" dataCellStyle="Comma">
      <calculatedColumnFormula>'Project description'!$B$5</calculatedColumnFormula>
    </tableColumn>
    <tableColumn id="2" xr3:uid="{7E8F0EF2-FE2F-4F37-B84B-A05030B3E354}" name="LifeCycleMonths" dataDxfId="654" dataCellStyle="Comma">
      <calculatedColumnFormula>Lists!$B$34</calculatedColumnFormula>
    </tableColumn>
    <tableColumn id="3" xr3:uid="{0E13B157-CE21-4276-9257-8756E835A976}" name="Scenario" dataDxfId="653" dataCellStyle="Comma"/>
    <tableColumn id="4" xr3:uid="{82ED7EB0-4CDB-4DE5-A219-E8E48DF59243}" name="Fuel type" dataDxfId="652" dataCellStyle="Comma">
      <calculatedColumnFormula>Inputs!D77</calculatedColumnFormula>
    </tableColumn>
    <tableColumn id="5" xr3:uid="{85E620A9-729F-4D44-8D4E-414984DB1F31}" name="Units" dataDxfId="651" dataCellStyle="Comma"/>
    <tableColumn id="6" xr3:uid="{F18A20F9-E15B-4433-B4C8-52FBBADB6728}" name="Applicant comment">
      <calculatedColumnFormula>IF(Inputs!G77="","",Inputs!G77)</calculatedColumnFormula>
    </tableColumn>
    <tableColumn id="7" xr3:uid="{0F10BE6D-9F1F-4BDD-81EA-2AD358D1527C}" name="2025" dataDxfId="650" dataCellStyle="Comma">
      <calculatedColumnFormula>Inputs!H77*Data!$F3</calculatedColumnFormula>
    </tableColumn>
    <tableColumn id="8" xr3:uid="{2581FB64-FBD4-4217-A5EE-778A260F0C42}" name="2026" dataDxfId="649" dataCellStyle="Comma">
      <calculatedColumnFormula>Inputs!I77*Data!$F3</calculatedColumnFormula>
    </tableColumn>
    <tableColumn id="9" xr3:uid="{5D4A416C-4D47-4A13-9E01-BD16D8C756E0}" name="2027" dataDxfId="648" dataCellStyle="Comma">
      <calculatedColumnFormula>Inputs!J77*Data!$F3</calculatedColumnFormula>
    </tableColumn>
    <tableColumn id="10" xr3:uid="{C7C51287-0E64-4243-A4F6-BCBDB571914B}" name="2028" dataDxfId="647" dataCellStyle="Comma">
      <calculatedColumnFormula>Inputs!K77*Data!$F3</calculatedColumnFormula>
    </tableColumn>
    <tableColumn id="11" xr3:uid="{4226D847-FC31-4A56-9845-A0E0F425DEE7}" name="2029" dataDxfId="646" dataCellStyle="Comma">
      <calculatedColumnFormula>Inputs!L77*Data!$F3</calculatedColumnFormula>
    </tableColumn>
    <tableColumn id="12" xr3:uid="{FEE8B738-1D11-433A-872B-DBC7E751AF9C}" name="2030" dataDxfId="645" dataCellStyle="Comma">
      <calculatedColumnFormula>Inputs!M77*Data!$F3</calculatedColumnFormula>
    </tableColumn>
    <tableColumn id="13" xr3:uid="{4A10828C-0853-4DC7-898F-51974F4517F3}" name="2031" dataDxfId="644" dataCellStyle="Comma">
      <calculatedColumnFormula>Inputs!N77*Data!$F3</calculatedColumnFormula>
    </tableColumn>
    <tableColumn id="14" xr3:uid="{EE2D8A04-68D2-4AA0-8F2D-9514A748AE8D}" name="2032" dataDxfId="643" dataCellStyle="Comma">
      <calculatedColumnFormula>Inputs!O77*Data!$F3</calculatedColumnFormula>
    </tableColumn>
    <tableColumn id="15" xr3:uid="{31F35ABB-BB7E-421A-A2D2-1995CA6151C9}" name="2033" dataDxfId="642" dataCellStyle="Comma">
      <calculatedColumnFormula>Inputs!P77*Data!$F3</calculatedColumnFormula>
    </tableColumn>
    <tableColumn id="16" xr3:uid="{8348DB8C-F977-4066-BBE8-96EB33824EA4}" name="2034" dataDxfId="641" dataCellStyle="Comma">
      <calculatedColumnFormula>Inputs!Q77*Data!$F3</calculatedColumnFormula>
    </tableColumn>
    <tableColumn id="17" xr3:uid="{9687B70F-C161-44C9-8406-84402AF13616}" name="2035" dataDxfId="640" dataCellStyle="Comma">
      <calculatedColumnFormula>Inputs!R77*Data!$F3</calculatedColumnFormula>
    </tableColumn>
    <tableColumn id="18" xr3:uid="{B6199FE3-08A2-462B-95A7-F5D433A84406}" name="2036" dataDxfId="639" dataCellStyle="Comma">
      <calculatedColumnFormula>Inputs!S77*Data!$F3</calculatedColumnFormula>
    </tableColumn>
    <tableColumn id="19" xr3:uid="{A6C97FEE-792E-4A81-98D3-B3613464A1D9}" name="2037" dataDxfId="638" dataCellStyle="Comma">
      <calculatedColumnFormula>Inputs!T77*Data!$F3</calculatedColumnFormula>
    </tableColumn>
    <tableColumn id="20" xr3:uid="{DB5065FC-0307-4FD0-A75A-25FC97CD9CB6}" name="2038" dataDxfId="637" dataCellStyle="Comma">
      <calculatedColumnFormula>Inputs!U77*Data!$F3</calculatedColumnFormula>
    </tableColumn>
    <tableColumn id="21" xr3:uid="{60EA277B-1371-40F1-8056-4FCDE778D86E}" name="2039" dataDxfId="636" dataCellStyle="Comma">
      <calculatedColumnFormula>Inputs!V77*Data!$F3</calculatedColumnFormula>
    </tableColumn>
    <tableColumn id="22" xr3:uid="{A39F9039-E09E-4D83-BD87-445A72E3F5C7}" name="2040" dataDxfId="635" dataCellStyle="Comma">
      <calculatedColumnFormula>Inputs!W77*Data!$F3</calculatedColumnFormula>
    </tableColumn>
    <tableColumn id="23" xr3:uid="{F20BDC44-D989-4105-87AF-5DF955814428}" name="2041" dataDxfId="634" dataCellStyle="Comma">
      <calculatedColumnFormula>Inputs!X77*Data!$F3</calculatedColumnFormula>
    </tableColumn>
    <tableColumn id="24" xr3:uid="{1CE3E774-F220-4F55-AE00-8EBEA0CEC812}" name="2042" dataDxfId="633" dataCellStyle="Comma">
      <calculatedColumnFormula>Inputs!Y77*Data!$F3</calculatedColumnFormula>
    </tableColumn>
    <tableColumn id="25" xr3:uid="{252CD1AB-F307-44BF-968D-47978BAE6BA1}" name="2043" dataDxfId="632" dataCellStyle="Comma">
      <calculatedColumnFormula>Inputs!Z77*Data!$F3</calculatedColumnFormula>
    </tableColumn>
    <tableColumn id="26" xr3:uid="{6847E083-CC88-4F32-AB76-51DEAAFFA9C8}" name="2044" dataDxfId="631" dataCellStyle="Comma">
      <calculatedColumnFormula>Inputs!AA77*Data!$F3</calculatedColumnFormula>
    </tableColumn>
    <tableColumn id="27" xr3:uid="{0DA54A3A-FA73-4647-8819-CDF73299334E}" name="2045" dataDxfId="630" dataCellStyle="Comma">
      <calculatedColumnFormula>Inputs!AB77*Data!$F3</calculatedColumnFormula>
    </tableColumn>
    <tableColumn id="28" xr3:uid="{6573905F-C782-48E7-B089-E33A11EDB5EE}" name="2046" dataDxfId="629" dataCellStyle="Comma">
      <calculatedColumnFormula>Inputs!AC77*Data!$F3</calculatedColumnFormula>
    </tableColumn>
    <tableColumn id="29" xr3:uid="{964FC823-560F-427F-BCC6-ED41E45F9C1B}" name="2047" dataDxfId="628" dataCellStyle="Comma">
      <calculatedColumnFormula>Inputs!AD77*Data!$F3</calculatedColumnFormula>
    </tableColumn>
    <tableColumn id="30" xr3:uid="{24CB5B62-6A88-4DF1-A832-B01D6F1DA04D}" name="2048" dataDxfId="627" dataCellStyle="Comma">
      <calculatedColumnFormula>Inputs!AE77*Data!$F3</calculatedColumnFormula>
    </tableColumn>
    <tableColumn id="31" xr3:uid="{DF1EB146-1E24-46D1-A2A8-16E2BBF1DFE6}" name="2049" dataDxfId="626" dataCellStyle="Comma">
      <calculatedColumnFormula>Inputs!AF77*Data!$F3</calculatedColumnFormula>
    </tableColumn>
    <tableColumn id="32" xr3:uid="{7A452D9A-690E-44B0-AE5A-5B4A88738B32}" name="2050" dataDxfId="625" dataCellStyle="Comma">
      <calculatedColumnFormula>Inputs!AG77*Data!$F3</calculatedColumnFormula>
    </tableColumn>
    <tableColumn id="33" xr3:uid="{2D2417CD-8E08-49E4-AB9A-4083135E0E5D}" name="2051" dataDxfId="624" dataCellStyle="Comma">
      <calculatedColumnFormula>Inputs!AH77*Data!$F3</calculatedColumnFormula>
    </tableColumn>
    <tableColumn id="34" xr3:uid="{8363989F-4B69-4EA4-9260-B3F761F9F241}" name="2052" dataDxfId="623" dataCellStyle="Comma">
      <calculatedColumnFormula>Inputs!AI77*Data!$F3</calculatedColumnFormula>
    </tableColumn>
    <tableColumn id="35" xr3:uid="{215253F6-0B54-416F-9A5D-B963A93A1301}" name="2053" dataDxfId="622" dataCellStyle="Comma">
      <calculatedColumnFormula>Inputs!AJ77*Data!$F3</calculatedColumnFormula>
    </tableColumn>
    <tableColumn id="36" xr3:uid="{B57AC068-0256-4919-8404-AC595F5A7148}" name="2054" dataDxfId="621" dataCellStyle="Comma">
      <calculatedColumnFormula>Inputs!AK77*Data!$F3</calculatedColumnFormula>
    </tableColumn>
    <tableColumn id="37" xr3:uid="{7493C9F2-AA00-44B5-B58C-24CDA08B83BA}" name="2055" dataDxfId="620" dataCellStyle="Comma">
      <calculatedColumnFormula>Inputs!AL77*Data!$F3</calculatedColumnFormula>
    </tableColumn>
    <tableColumn id="38" xr3:uid="{DE92ADB8-46E2-4A51-B514-EC98B6C54B86}" name="2056" dataDxfId="619" dataCellStyle="Comma">
      <calculatedColumnFormula>Inputs!AM77*Data!$F3</calculatedColumnFormula>
    </tableColumn>
    <tableColumn id="39" xr3:uid="{E0312C24-141E-4289-992B-7EC8BC3E6087}" name="2057" dataDxfId="618" dataCellStyle="Comma">
      <calculatedColumnFormula>Inputs!AN77*Data!$F3</calculatedColumnFormula>
    </tableColumn>
    <tableColumn id="40" xr3:uid="{CD7A22D7-309B-483B-9763-1FF5CCB44321}" name="2058" dataDxfId="617" dataCellStyle="Comma">
      <calculatedColumnFormula>Inputs!AO77*Data!$F3</calculatedColumnFormula>
    </tableColumn>
    <tableColumn id="41" xr3:uid="{CF52D8AE-78C2-409E-86F1-DBFC3314916E}" name="2059" dataDxfId="616" dataCellStyle="Comma">
      <calculatedColumnFormula>Inputs!AP77*Data!$F3</calculatedColumnFormula>
    </tableColumn>
    <tableColumn id="42" xr3:uid="{A552AD65-681B-4942-887E-B28F092561B0}" name="2060" dataDxfId="615" dataCellStyle="Comma">
      <calculatedColumnFormula>Inputs!AQ77*Data!$F3</calculatedColumnFormula>
    </tableColumn>
    <tableColumn id="43" xr3:uid="{597CD800-0BC8-42FF-8A8C-35A3FECFAB9C}" name="2061" dataDxfId="614" dataCellStyle="Comma">
      <calculatedColumnFormula>Inputs!AR77*Data!$F3</calculatedColumnFormula>
    </tableColumn>
    <tableColumn id="44" xr3:uid="{EE28AD81-8977-4B10-BE61-78BF750460E1}" name="2062" dataDxfId="613" dataCellStyle="Comma">
      <calculatedColumnFormula>Inputs!AS77*Data!$F3</calculatedColumnFormula>
    </tableColumn>
    <tableColumn id="45" xr3:uid="{DCDC6B2A-91FB-4B6E-B40E-535D38F9CA75}" name="2063" dataDxfId="612" dataCellStyle="Comma">
      <calculatedColumnFormula>Inputs!AT77*Data!$F3</calculatedColumnFormula>
    </tableColumn>
    <tableColumn id="46" xr3:uid="{C8D50C32-1675-4214-905D-D0A3612EF003}" name="2064" dataDxfId="611" dataCellStyle="Comma">
      <calculatedColumnFormula>Inputs!AU77*Data!$F3</calculatedColumnFormula>
    </tableColumn>
    <tableColumn id="47" xr3:uid="{35D76619-84FF-4C1B-8AB3-33575D3596BA}" name="2065" dataDxfId="610" dataCellStyle="Comma">
      <calculatedColumnFormula>Inputs!AV77*Data!$F3</calculatedColumnFormula>
    </tableColumn>
    <tableColumn id="48" xr3:uid="{5A6BF109-AD2C-4B57-A72E-5570D5C1E300}" name="2066" dataDxfId="609" dataCellStyle="Comma">
      <calculatedColumnFormula>Inputs!AW77*Data!$F3</calculatedColumnFormula>
    </tableColumn>
    <tableColumn id="49" xr3:uid="{6EDDCC77-99A2-46A6-9161-9FFC2048DF99}" name="2067" dataDxfId="608" dataCellStyle="Comma">
      <calculatedColumnFormula>Inputs!AX77*Data!$F3</calculatedColumnFormula>
    </tableColumn>
    <tableColumn id="50" xr3:uid="{30705FCE-70C8-475C-BA39-1C44A413B1AA}" name="2068" dataDxfId="607" dataCellStyle="Comma">
      <calculatedColumnFormula>Inputs!AY77*Data!$F3</calculatedColumnFormula>
    </tableColumn>
    <tableColumn id="51" xr3:uid="{6A7B9B62-3610-46A4-8F7E-77823E3FEF9D}" name="2069" dataDxfId="606" dataCellStyle="Comma">
      <calculatedColumnFormula>Inputs!AZ77*Data!$F3</calculatedColumnFormula>
    </tableColumn>
    <tableColumn id="52" xr3:uid="{39A99FE1-F0B4-4D5E-9903-BA124C04058D}" name="2070" dataDxfId="605" dataCellStyle="Comma">
      <calculatedColumnFormula>Inputs!BA77*Data!$F3</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D7CF818-6CBB-4961-A25C-46A648B054B9}" name="FuelPrice_PP" displayName="FuelPrice_PP" ref="C77:BE88" totalsRowShown="0" headerRowDxfId="604" dataDxfId="603" tableBorderDxfId="602" dataCellStyle="Comma">
  <autoFilter ref="C77:BE88" xr:uid="{4D7CF818-6CBB-4961-A25C-46A648B054B9}"/>
  <tableColumns count="55">
    <tableColumn id="1" xr3:uid="{687B635A-AB20-4F69-867C-06D922570DE2}" name="ProjectId" dataDxfId="601" dataCellStyle="Comma">
      <calculatedColumnFormula>'Project description'!$B$5</calculatedColumnFormula>
    </tableColumn>
    <tableColumn id="2" xr3:uid="{052BFA38-7A6D-415C-B7E1-67CC25BAE0AF}" name="LifeCycleMonths" dataDxfId="600" dataCellStyle="Comma">
      <calculatedColumnFormula>Lists!$B$34</calculatedColumnFormula>
    </tableColumn>
    <tableColumn id="3" xr3:uid="{5B9D3784-A74B-4491-AD0C-D83D0DB512A3}" name="Scenario" dataDxfId="599" dataCellStyle="Comma"/>
    <tableColumn id="4" xr3:uid="{B1B446F8-D5A0-48F1-AE07-D449178E56AF}" name="Fuel type" dataDxfId="598" dataCellStyle="Comma">
      <calculatedColumnFormula>Inputs!B91</calculatedColumnFormula>
    </tableColumn>
    <tableColumn id="5" xr3:uid="{DCD66975-42A1-4CE4-A2E5-E67AF573F255}" name="Units" dataDxfId="597" dataCellStyle="Comma"/>
    <tableColumn id="6" xr3:uid="{C4EFA694-2283-43F6-8C04-486FB17158C2}" name="ETS cost included?" dataDxfId="596" dataCellStyle="Comma"/>
    <tableColumn id="7" xr3:uid="{52F43C56-0CE6-47C4-B5DB-2913ECD2DF0A}" name="Value basis" dataDxfId="595" dataCellStyle="Comma"/>
    <tableColumn id="8" xr3:uid="{60C8BF76-9686-44BC-A432-19241AA74573}" name="Base year" dataDxfId="594" dataCellStyle="Comma">
      <calculatedColumnFormula>Analysis_year</calculatedColumnFormula>
    </tableColumn>
    <tableColumn id="9" xr3:uid="{9D4D2CFB-8404-4C88-8546-487881A9F159}" name="Applicant comment" dataDxfId="593" dataCellStyle="Comma">
      <calculatedColumnFormula>IF(Inputs!G91="","",Inputs!G91)</calculatedColumnFormula>
    </tableColumn>
    <tableColumn id="10" xr3:uid="{30F70F2B-4624-4DDB-9FE0-B518DEE670D0}" name="2025" dataDxfId="592" dataCellStyle="Comma">
      <calculatedColumnFormula>Inputs!H91*IF(Inputs!$E91="Real",1,M$5)/Data!$F3</calculatedColumnFormula>
    </tableColumn>
    <tableColumn id="11" xr3:uid="{F1CBEEF4-D281-4D65-AA05-BB21F2898203}" name="2026" dataDxfId="591" dataCellStyle="Comma">
      <calculatedColumnFormula>Inputs!I91*IF(Inputs!$E91="Real",1,N$5)/Data!$F3</calculatedColumnFormula>
    </tableColumn>
    <tableColumn id="12" xr3:uid="{63D02D43-A090-4367-86DB-AE7A78B50714}" name="2027" dataDxfId="590" dataCellStyle="Comma">
      <calculatedColumnFormula>Inputs!J91*IF(Inputs!$E91="Real",1,O$5)/Data!$F3</calculatedColumnFormula>
    </tableColumn>
    <tableColumn id="13" xr3:uid="{BBEC5509-29F5-41BE-9C49-4DA4ABC439FF}" name="2028" dataDxfId="589" dataCellStyle="Comma">
      <calculatedColumnFormula>Inputs!K91*IF(Inputs!$E91="Real",1,P$5)/Data!$F3</calculatedColumnFormula>
    </tableColumn>
    <tableColumn id="14" xr3:uid="{8623D19B-4453-4CFF-A9A3-C34F4C03D415}" name="2029" dataDxfId="588" dataCellStyle="Comma">
      <calculatedColumnFormula>Inputs!L91*IF(Inputs!$E91="Real",1,Q$5)/Data!$F3</calculatedColumnFormula>
    </tableColumn>
    <tableColumn id="15" xr3:uid="{61EEF8EB-0326-47D3-A02F-0AF9A2E33AB0}" name="2030" dataDxfId="587" dataCellStyle="Comma">
      <calculatedColumnFormula>Inputs!M91*IF(Inputs!$E91="Real",1,R$5)/Data!$F3</calculatedColumnFormula>
    </tableColumn>
    <tableColumn id="16" xr3:uid="{EDA309F7-F8FA-4F8D-88E6-6C5B9761B98A}" name="2031" dataDxfId="586" dataCellStyle="Comma">
      <calculatedColumnFormula>Inputs!N91*IF(Inputs!$E91="Real",1,S$5)/Data!$F3</calculatedColumnFormula>
    </tableColumn>
    <tableColumn id="17" xr3:uid="{C6FBB238-427A-471E-A318-099424B5AB82}" name="2032" dataDxfId="585" dataCellStyle="Comma">
      <calculatedColumnFormula>Inputs!O91*IF(Inputs!$E91="Real",1,T$5)/Data!$F3</calculatedColumnFormula>
    </tableColumn>
    <tableColumn id="18" xr3:uid="{BB948757-F4E8-4610-9E69-8661A362824C}" name="2033" dataDxfId="584" dataCellStyle="Comma">
      <calculatedColumnFormula>Inputs!P91*IF(Inputs!$E91="Real",1,U$5)/Data!$F3</calculatedColumnFormula>
    </tableColumn>
    <tableColumn id="19" xr3:uid="{432F2E9A-5E75-42A1-9B71-B8648D89EB32}" name="2034" dataDxfId="583" dataCellStyle="Comma">
      <calculatedColumnFormula>Inputs!Q91*IF(Inputs!$E91="Real",1,V$5)/Data!$F3</calculatedColumnFormula>
    </tableColumn>
    <tableColumn id="20" xr3:uid="{13136297-73D9-478D-9312-614680FF3DD3}" name="2035" dataDxfId="582" dataCellStyle="Comma">
      <calculatedColumnFormula>Inputs!R91*IF(Inputs!$E91="Real",1,W$5)/Data!$F3</calculatedColumnFormula>
    </tableColumn>
    <tableColumn id="21" xr3:uid="{AA23C9F8-64A2-4396-870C-BD39DC37B832}" name="2036" dataDxfId="581" dataCellStyle="Comma">
      <calculatedColumnFormula>Inputs!S91*IF(Inputs!$E91="Real",1,X$5)/Data!$F3</calculatedColumnFormula>
    </tableColumn>
    <tableColumn id="22" xr3:uid="{CEBFE8D2-358A-477D-B085-22A4BC9C5983}" name="2037" dataDxfId="580" dataCellStyle="Comma">
      <calculatedColumnFormula>Inputs!T91*IF(Inputs!$E91="Real",1,Y$5)/Data!$F3</calculatedColumnFormula>
    </tableColumn>
    <tableColumn id="23" xr3:uid="{0F0FCD33-21F7-4F26-9862-270D161D72D6}" name="2038" dataDxfId="579" dataCellStyle="Comma">
      <calculatedColumnFormula>Inputs!U91*IF(Inputs!$E91="Real",1,Z$5)/Data!$F3</calculatedColumnFormula>
    </tableColumn>
    <tableColumn id="24" xr3:uid="{7A96D45A-177F-405D-867C-613E6AA7AE7C}" name="2039" dataDxfId="578" dataCellStyle="Comma">
      <calculatedColumnFormula>Inputs!V91*IF(Inputs!$E91="Real",1,AA$5)/Data!$F3</calculatedColumnFormula>
    </tableColumn>
    <tableColumn id="25" xr3:uid="{2F7EF45F-D9DA-4594-A3B8-1469BDD5702F}" name="2040" dataDxfId="577" dataCellStyle="Comma">
      <calculatedColumnFormula>Inputs!W91*IF(Inputs!$E91="Real",1,AB$5)/Data!$F3</calculatedColumnFormula>
    </tableColumn>
    <tableColumn id="26" xr3:uid="{A33CA442-C485-458D-B12C-61FE73A05EA5}" name="2041" dataDxfId="576" dataCellStyle="Comma">
      <calculatedColumnFormula>Inputs!X91*IF(Inputs!$E91="Real",1,AC$5)/Data!$F3</calculatedColumnFormula>
    </tableColumn>
    <tableColumn id="27" xr3:uid="{5B024A6F-3BE5-46AB-BBD3-8C72A43C9288}" name="2042" dataDxfId="575" dataCellStyle="Comma">
      <calculatedColumnFormula>Inputs!Y91*IF(Inputs!$E91="Real",1,AD$5)/Data!$F3</calculatedColumnFormula>
    </tableColumn>
    <tableColumn id="28" xr3:uid="{442177ED-99E3-40FE-A3BF-07C4E9BEB8EF}" name="2043" dataDxfId="574" dataCellStyle="Comma">
      <calculatedColumnFormula>Inputs!Z91*IF(Inputs!$E91="Real",1,AE$5)/Data!$F3</calculatedColumnFormula>
    </tableColumn>
    <tableColumn id="29" xr3:uid="{B08C1150-951F-4F68-99A6-9E75102CCE9C}" name="2044" dataDxfId="573" dataCellStyle="Comma">
      <calculatedColumnFormula>Inputs!AA91*IF(Inputs!$E91="Real",1,AF$5)/Data!$F3</calculatedColumnFormula>
    </tableColumn>
    <tableColumn id="30" xr3:uid="{F61CD028-4CA8-439D-9D25-2BE74BB85861}" name="2045" dataDxfId="572" dataCellStyle="Comma">
      <calculatedColumnFormula>Inputs!AB91*IF(Inputs!$E91="Real",1,AG$5)/Data!$F3</calculatedColumnFormula>
    </tableColumn>
    <tableColumn id="31" xr3:uid="{B52429D8-B9D1-4F60-BE2B-9AA8DCF6DA5B}" name="2046" dataDxfId="571" dataCellStyle="Comma">
      <calculatedColumnFormula>Inputs!AC91*IF(Inputs!$E91="Real",1,AH$5)/Data!$F3</calculatedColumnFormula>
    </tableColumn>
    <tableColumn id="32" xr3:uid="{44EFA2BD-6789-45D1-AE3E-545479FEDCB7}" name="2047" dataDxfId="570" dataCellStyle="Comma">
      <calculatedColumnFormula>Inputs!AD91*IF(Inputs!$E91="Real",1,AI$5)/Data!$F3</calculatedColumnFormula>
    </tableColumn>
    <tableColumn id="33" xr3:uid="{9B87949A-6961-4AD6-A9CB-D02AE7CD0F21}" name="2048" dataDxfId="569" dataCellStyle="Comma">
      <calculatedColumnFormula>Inputs!AE91*IF(Inputs!$E91="Real",1,AJ$5)/Data!$F3</calculatedColumnFormula>
    </tableColumn>
    <tableColumn id="34" xr3:uid="{0288D6E6-7EB9-4BF7-9B29-9D684FC5BEE7}" name="2049" dataDxfId="568" dataCellStyle="Comma">
      <calculatedColumnFormula>Inputs!AF91*IF(Inputs!$E91="Real",1,AK$5)/Data!$F3</calculatedColumnFormula>
    </tableColumn>
    <tableColumn id="35" xr3:uid="{3819A9BF-5C36-4E87-ABA9-2A3C9F859684}" name="2050" dataDxfId="567" dataCellStyle="Comma">
      <calculatedColumnFormula>Inputs!AG91*IF(Inputs!$E91="Real",1,AL$5)/Data!$F3</calculatedColumnFormula>
    </tableColumn>
    <tableColumn id="36" xr3:uid="{C378F9A9-C2A6-4AA3-B31F-0E42C444DC86}" name="2051" dataDxfId="566" dataCellStyle="Comma">
      <calculatedColumnFormula>Inputs!AH91*IF(Inputs!$E91="Real",1,AM$5)/Data!$F3</calculatedColumnFormula>
    </tableColumn>
    <tableColumn id="37" xr3:uid="{C473EF9E-85BE-4D48-9927-53903A9928E3}" name="2052" dataDxfId="565" dataCellStyle="Comma">
      <calculatedColumnFormula>Inputs!AI91*IF(Inputs!$E91="Real",1,AN$5)/Data!$F3</calculatedColumnFormula>
    </tableColumn>
    <tableColumn id="38" xr3:uid="{8C62E402-F138-4F65-9170-2569A042F860}" name="2053" dataDxfId="564" dataCellStyle="Comma">
      <calculatedColumnFormula>Inputs!AJ91*IF(Inputs!$E91="Real",1,AO$5)/Data!$F3</calculatedColumnFormula>
    </tableColumn>
    <tableColumn id="39" xr3:uid="{8F707C88-2387-45B9-814D-89C310869CF0}" name="2054" dataDxfId="563" dataCellStyle="Comma">
      <calculatedColumnFormula>Inputs!AK91*IF(Inputs!$E91="Real",1,AP$5)/Data!$F3</calculatedColumnFormula>
    </tableColumn>
    <tableColumn id="40" xr3:uid="{1A907E01-F45E-49B0-96A7-AAE04B79D088}" name="2055" dataDxfId="562" dataCellStyle="Comma">
      <calculatedColumnFormula>Inputs!AL91*IF(Inputs!$E91="Real",1,AQ$5)/Data!$F3</calculatedColumnFormula>
    </tableColumn>
    <tableColumn id="41" xr3:uid="{DC829021-BA78-4119-AD07-E40909036452}" name="2056" dataDxfId="561" dataCellStyle="Comma">
      <calculatedColumnFormula>Inputs!AM91*IF(Inputs!$E91="Real",1,AR$5)/Data!$F3</calculatedColumnFormula>
    </tableColumn>
    <tableColumn id="42" xr3:uid="{D11CD759-837D-4F01-91AB-8B14E2FFEDE9}" name="2057" dataDxfId="560" dataCellStyle="Comma">
      <calculatedColumnFormula>Inputs!AN91*IF(Inputs!$E91="Real",1,AS$5)/Data!$F3</calculatedColumnFormula>
    </tableColumn>
    <tableColumn id="43" xr3:uid="{1C747E74-EC54-4801-9A48-122C6BD017CC}" name="2058" dataDxfId="559" dataCellStyle="Comma">
      <calculatedColumnFormula>Inputs!AO91*IF(Inputs!$E91="Real",1,AT$5)/Data!$F3</calculatedColumnFormula>
    </tableColumn>
    <tableColumn id="44" xr3:uid="{F37E8D90-C880-498C-99FB-C4D52F9BCD20}" name="2059" dataDxfId="558" dataCellStyle="Comma">
      <calculatedColumnFormula>Inputs!AP91*IF(Inputs!$E91="Real",1,AU$5)/Data!$F3</calculatedColumnFormula>
    </tableColumn>
    <tableColumn id="45" xr3:uid="{745E7C91-D52F-4237-BC66-D378DA869D70}" name="2060" dataDxfId="557" dataCellStyle="Comma">
      <calculatedColumnFormula>Inputs!AQ91*IF(Inputs!$E91="Real",1,AV$5)/Data!$F3</calculatedColumnFormula>
    </tableColumn>
    <tableColumn id="46" xr3:uid="{E1C35DCA-2D4B-4C38-B050-DDA90344043F}" name="2061" dataDxfId="556" dataCellStyle="Comma">
      <calculatedColumnFormula>Inputs!AR91*IF(Inputs!$E91="Real",1,AW$5)/Data!$F3</calculatedColumnFormula>
    </tableColumn>
    <tableColumn id="47" xr3:uid="{C0ECAAC0-A62C-4A49-94DC-37FCC5443161}" name="2062" dataDxfId="555" dataCellStyle="Comma">
      <calculatedColumnFormula>Inputs!AS91*IF(Inputs!$E91="Real",1,AX$5)/Data!$F3</calculatedColumnFormula>
    </tableColumn>
    <tableColumn id="48" xr3:uid="{F0FD39DD-1D1A-4D8E-9521-58E17CB83374}" name="2063" dataDxfId="554" dataCellStyle="Comma">
      <calculatedColumnFormula>Inputs!AT91*IF(Inputs!$E91="Real",1,AY$5)/Data!$F3</calculatedColumnFormula>
    </tableColumn>
    <tableColumn id="49" xr3:uid="{129372E0-E162-4985-AA2D-A93F93C82FDB}" name="2064" dataDxfId="553" dataCellStyle="Comma">
      <calculatedColumnFormula>Inputs!AU91*IF(Inputs!$E91="Real",1,AZ$5)/Data!$F3</calculatedColumnFormula>
    </tableColumn>
    <tableColumn id="50" xr3:uid="{40C7D1FD-3A91-4CAA-A3DF-F562451A31F1}" name="2065" dataDxfId="552" dataCellStyle="Comma">
      <calculatedColumnFormula>Inputs!AV91*IF(Inputs!$E91="Real",1,BA$5)/Data!$F3</calculatedColumnFormula>
    </tableColumn>
    <tableColumn id="51" xr3:uid="{B30561BD-33A4-4E2D-ACF3-ABA08669198F}" name="2066" dataDxfId="551" dataCellStyle="Comma">
      <calculatedColumnFormula>Inputs!AW91*IF(Inputs!$E91="Real",1,BB$5)/Data!$F3</calculatedColumnFormula>
    </tableColumn>
    <tableColumn id="52" xr3:uid="{BA3EA3DE-5D56-40BB-94BB-430E17D6317B}" name="2067" dataDxfId="550" dataCellStyle="Comma">
      <calculatedColumnFormula>Inputs!AX91*IF(Inputs!$E91="Real",1,BC$5)/Data!$F3</calculatedColumnFormula>
    </tableColumn>
    <tableColumn id="53" xr3:uid="{E8BF79B6-1BEF-46CA-B502-0C28B8A18A64}" name="2068" dataDxfId="549" dataCellStyle="Comma">
      <calculatedColumnFormula>Inputs!AY91*IF(Inputs!$E91="Real",1,BD$5)/Data!$F3</calculatedColumnFormula>
    </tableColumn>
    <tableColumn id="54" xr3:uid="{AF59400D-3DEC-47B2-BD00-F170FFAB71B6}" name="2069" dataDxfId="548" dataCellStyle="Comma">
      <calculatedColumnFormula>Inputs!AZ91*IF(Inputs!$E91="Real",1,BE$5)/Data!$F3</calculatedColumnFormula>
    </tableColumn>
    <tableColumn id="55" xr3:uid="{AA603BD4-6349-4A0E-AA5F-C3AADE3292F4}" name="2070" dataDxfId="547" dataCellStyle="Comma">
      <calculatedColumnFormula>Inputs!BA91*IF(Inputs!$E91="Real",1,BF$5)/Data!$F3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A7F8FA-9402-4620-A70C-3E7A9CF4AF78}" name="FuelPrice_BC" displayName="FuelPrice_BC" ref="C90:BE101" totalsRowShown="0" headerRowDxfId="546" dataDxfId="545" tableBorderDxfId="544" dataCellStyle="Comma">
  <autoFilter ref="C90:BE101" xr:uid="{3AA7F8FA-9402-4620-A70C-3E7A9CF4AF78}"/>
  <tableColumns count="55">
    <tableColumn id="1" xr3:uid="{55D890FA-88C2-4052-AB3E-150A57658ED0}" name="ProjectId" dataDxfId="543" dataCellStyle="Comma">
      <calculatedColumnFormula>'Project description'!$B$5</calculatedColumnFormula>
    </tableColumn>
    <tableColumn id="2" xr3:uid="{66CC84A1-E2CA-4C7C-8F03-1528CF20DE1A}" name="LifeCycleMonths" dataDxfId="542" dataCellStyle="Comma">
      <calculatedColumnFormula>Lists!$B$34</calculatedColumnFormula>
    </tableColumn>
    <tableColumn id="3" xr3:uid="{A80304CA-F6F7-497E-8B4F-47F1BC491538}" name="Scenario" dataDxfId="541" dataCellStyle="Comma"/>
    <tableColumn id="4" xr3:uid="{30E0997C-464D-42DC-B603-E8B4A965EDF1}" name="Fuel type" dataDxfId="540" dataCellStyle="Comma">
      <calculatedColumnFormula>Inputs!B104</calculatedColumnFormula>
    </tableColumn>
    <tableColumn id="5" xr3:uid="{FC0C6527-6917-4D5B-BC61-C5E5808DAD61}" name="Units" dataDxfId="539" dataCellStyle="Comma"/>
    <tableColumn id="6" xr3:uid="{DC9117E0-123C-41B8-B23B-8800C270AA27}" name="ETS cost included?" dataDxfId="538" dataCellStyle="Comma"/>
    <tableColumn id="7" xr3:uid="{6822F5B9-B173-4D82-B808-F5345A4DDC62}" name="Value basis" dataDxfId="537" dataCellStyle="Comma"/>
    <tableColumn id="8" xr3:uid="{D48CCB02-1916-43D6-A536-FE13196FFA97}" name="Base year" dataDxfId="536" dataCellStyle="Comma">
      <calculatedColumnFormula>Analysis_year</calculatedColumnFormula>
    </tableColumn>
    <tableColumn id="9" xr3:uid="{9D2945B9-BB9E-4916-859D-70238E883AC5}" name="Applicant comment" dataDxfId="535" dataCellStyle="Comma">
      <calculatedColumnFormula>IF(Inputs!G104="","",Inputs!G104)</calculatedColumnFormula>
    </tableColumn>
    <tableColumn id="10" xr3:uid="{3F3839CE-B7C9-4A9D-B43F-9061C0903AA5}" name="2025" dataDxfId="534" dataCellStyle="Comma">
      <calculatedColumnFormula>Inputs!H104*IF(Inputs!$E104="Real",1,M$5)/Data!$F3</calculatedColumnFormula>
    </tableColumn>
    <tableColumn id="11" xr3:uid="{3FDC20A1-F007-4F71-AE50-EE75D3C6137A}" name="2026" dataDxfId="533" dataCellStyle="Comma">
      <calculatedColumnFormula>Inputs!I104*IF(Inputs!$E104="Real",1,N$5)/Data!$F3</calculatedColumnFormula>
    </tableColumn>
    <tableColumn id="12" xr3:uid="{C7EA7504-92B9-4A9C-8DBC-CE682FBC9614}" name="2027" dataDxfId="532" dataCellStyle="Comma">
      <calculatedColumnFormula>Inputs!J104*IF(Inputs!$E104="Real",1,O$5)/Data!$F3</calculatedColumnFormula>
    </tableColumn>
    <tableColumn id="13" xr3:uid="{9EE237FB-B709-4EA3-B598-F4745FD47230}" name="2028" dataDxfId="531" dataCellStyle="Comma">
      <calculatedColumnFormula>Inputs!K104*IF(Inputs!$E104="Real",1,P$5)/Data!$F3</calculatedColumnFormula>
    </tableColumn>
    <tableColumn id="14" xr3:uid="{9EF8624F-6D58-4B5B-AE6F-EB56D9A2CEF2}" name="2029" dataDxfId="530" dataCellStyle="Comma">
      <calculatedColumnFormula>Inputs!L104*IF(Inputs!$E104="Real",1,Q$5)/Data!$F3</calculatedColumnFormula>
    </tableColumn>
    <tableColumn id="15" xr3:uid="{9FB21B55-E0C8-4CB0-9CA6-8D8CD767EB26}" name="2030" dataDxfId="529" dataCellStyle="Comma">
      <calculatedColumnFormula>Inputs!M104*IF(Inputs!$E104="Real",1,R$5)/Data!$F3</calculatedColumnFormula>
    </tableColumn>
    <tableColumn id="16" xr3:uid="{1814578E-7738-4623-8C90-C172167A133A}" name="2031" dataDxfId="528" dataCellStyle="Comma">
      <calculatedColumnFormula>Inputs!N104*IF(Inputs!$E104="Real",1,S$5)/Data!$F3</calculatedColumnFormula>
    </tableColumn>
    <tableColumn id="17" xr3:uid="{EBCC9DE6-CE4A-4778-A4DD-CA16B03CAF26}" name="2032" dataDxfId="527" dataCellStyle="Comma">
      <calculatedColumnFormula>Inputs!O104*IF(Inputs!$E104="Real",1,T$5)/Data!$F3</calculatedColumnFormula>
    </tableColumn>
    <tableColumn id="18" xr3:uid="{BAB75840-8512-4482-86B7-110E99C750C8}" name="2033" dataDxfId="526" dataCellStyle="Comma">
      <calculatedColumnFormula>Inputs!P104*IF(Inputs!$E104="Real",1,U$5)/Data!$F3</calculatedColumnFormula>
    </tableColumn>
    <tableColumn id="19" xr3:uid="{617D0F23-938F-4004-9E82-9FF8FAC5C1A0}" name="2034" dataDxfId="525" dataCellStyle="Comma">
      <calculatedColumnFormula>Inputs!Q104*IF(Inputs!$E104="Real",1,V$5)/Data!$F3</calculatedColumnFormula>
    </tableColumn>
    <tableColumn id="20" xr3:uid="{5157DFEB-2E3A-41EA-8298-6F2332E1483B}" name="2035" dataDxfId="524" dataCellStyle="Comma">
      <calculatedColumnFormula>Inputs!R104*IF(Inputs!$E104="Real",1,W$5)/Data!$F3</calculatedColumnFormula>
    </tableColumn>
    <tableColumn id="21" xr3:uid="{EBE1DF9B-CF35-419F-8EE4-9FD605C1BAB5}" name="2036" dataDxfId="523" dataCellStyle="Comma">
      <calculatedColumnFormula>Inputs!S104*IF(Inputs!$E104="Real",1,X$5)/Data!$F3</calculatedColumnFormula>
    </tableColumn>
    <tableColumn id="22" xr3:uid="{8A6E8454-CCD2-4042-B1B4-5952B12CDA33}" name="2037" dataDxfId="522" dataCellStyle="Comma">
      <calculatedColumnFormula>Inputs!T104*IF(Inputs!$E104="Real",1,Y$5)/Data!$F3</calculatedColumnFormula>
    </tableColumn>
    <tableColumn id="23" xr3:uid="{A10F6017-7B37-4FF9-B0DB-DD9370993F2A}" name="2038" dataDxfId="521" dataCellStyle="Comma">
      <calculatedColumnFormula>Inputs!U104*IF(Inputs!$E104="Real",1,Z$5)/Data!$F3</calculatedColumnFormula>
    </tableColumn>
    <tableColumn id="24" xr3:uid="{5D344EF9-E0E3-4F09-B764-60B1A3835DBF}" name="2039" dataDxfId="520" dataCellStyle="Comma">
      <calculatedColumnFormula>Inputs!V104*IF(Inputs!$E104="Real",1,AA$5)/Data!$F3</calculatedColumnFormula>
    </tableColumn>
    <tableColumn id="25" xr3:uid="{3BAB8357-5AAE-4174-ADD3-F47C1DF87307}" name="2040" dataDxfId="519" dataCellStyle="Comma">
      <calculatedColumnFormula>Inputs!W104*IF(Inputs!$E104="Real",1,AB$5)/Data!$F3</calculatedColumnFormula>
    </tableColumn>
    <tableColumn id="26" xr3:uid="{2EC86A00-E861-4214-9DC5-DFE36DE67D10}" name="2041" dataDxfId="518" dataCellStyle="Comma">
      <calculatedColumnFormula>Inputs!X104*IF(Inputs!$E104="Real",1,AC$5)/Data!$F3</calculatedColumnFormula>
    </tableColumn>
    <tableColumn id="27" xr3:uid="{20DE5A54-D0FA-4B17-BEAA-2023AF3A388C}" name="2042" dataDxfId="517" dataCellStyle="Comma">
      <calculatedColumnFormula>Inputs!Y104*IF(Inputs!$E104="Real",1,AD$5)/Data!$F3</calculatedColumnFormula>
    </tableColumn>
    <tableColumn id="28" xr3:uid="{15AAD138-0857-4480-90D6-708BB9A5C2BE}" name="2043" dataDxfId="516" dataCellStyle="Comma">
      <calculatedColumnFormula>Inputs!Z104*IF(Inputs!$E104="Real",1,AE$5)/Data!$F3</calculatedColumnFormula>
    </tableColumn>
    <tableColumn id="29" xr3:uid="{8A832041-AF46-48BC-A4A4-44D8E2CE8315}" name="2044" dataDxfId="515" dataCellStyle="Comma">
      <calculatedColumnFormula>Inputs!AA104*IF(Inputs!$E104="Real",1,AF$5)/Data!$F3</calculatedColumnFormula>
    </tableColumn>
    <tableColumn id="30" xr3:uid="{ED416CF3-A2BD-482F-882B-281B9A262FD1}" name="2045" dataDxfId="514" dataCellStyle="Comma">
      <calculatedColumnFormula>Inputs!AB104*IF(Inputs!$E104="Real",1,AG$5)/Data!$F3</calculatedColumnFormula>
    </tableColumn>
    <tableColumn id="31" xr3:uid="{3C427EB5-5364-47E2-AF78-2FCDE4DEE3D5}" name="2046" dataDxfId="513" dataCellStyle="Comma">
      <calculatedColumnFormula>Inputs!AC104*IF(Inputs!$E104="Real",1,AH$5)/Data!$F3</calculatedColumnFormula>
    </tableColumn>
    <tableColumn id="32" xr3:uid="{ABDD958A-2334-4034-98F7-6A4E163790CC}" name="2047" dataDxfId="512" dataCellStyle="Comma">
      <calculatedColumnFormula>Inputs!AD104*IF(Inputs!$E104="Real",1,AI$5)/Data!$F3</calculatedColumnFormula>
    </tableColumn>
    <tableColumn id="33" xr3:uid="{4EA410B3-7437-4C21-BE51-5445957468D9}" name="2048" dataDxfId="511" dataCellStyle="Comma">
      <calculatedColumnFormula>Inputs!AE104*IF(Inputs!$E104="Real",1,AJ$5)/Data!$F3</calculatedColumnFormula>
    </tableColumn>
    <tableColumn id="34" xr3:uid="{38CA6744-A01B-4E4B-89DE-58C5B7819BDD}" name="2049" dataDxfId="510" dataCellStyle="Comma">
      <calculatedColumnFormula>Inputs!AF104*IF(Inputs!$E104="Real",1,AK$5)/Data!$F3</calculatedColumnFormula>
    </tableColumn>
    <tableColumn id="35" xr3:uid="{F6BED80D-FA12-4B74-8161-90CAA1EDAEF6}" name="2050" dataDxfId="509" dataCellStyle="Comma">
      <calculatedColumnFormula>Inputs!AG104*IF(Inputs!$E104="Real",1,AL$5)/Data!$F3</calculatedColumnFormula>
    </tableColumn>
    <tableColumn id="36" xr3:uid="{03EFA947-3DF6-458D-8C12-1B7DD5FA6A2A}" name="2051" dataDxfId="508" dataCellStyle="Comma">
      <calculatedColumnFormula>Inputs!AH104*IF(Inputs!$E104="Real",1,AM$5)/Data!$F3</calculatedColumnFormula>
    </tableColumn>
    <tableColumn id="37" xr3:uid="{B566847F-9483-4CE8-ACB4-48DCDCCDB5F1}" name="2052" dataDxfId="507" dataCellStyle="Comma">
      <calculatedColumnFormula>Inputs!AI104*IF(Inputs!$E104="Real",1,AN$5)/Data!$F3</calculatedColumnFormula>
    </tableColumn>
    <tableColumn id="38" xr3:uid="{6F133026-68A0-483E-9A55-CEDF62A42D87}" name="2053" dataDxfId="506" dataCellStyle="Comma">
      <calculatedColumnFormula>Inputs!AJ104*IF(Inputs!$E104="Real",1,AO$5)/Data!$F3</calculatedColumnFormula>
    </tableColumn>
    <tableColumn id="39" xr3:uid="{4CD85097-16A0-4B29-9E6C-0F38A673DFB0}" name="2054" dataDxfId="505" dataCellStyle="Comma">
      <calculatedColumnFormula>Inputs!AK104*IF(Inputs!$E104="Real",1,AP$5)/Data!$F3</calculatedColumnFormula>
    </tableColumn>
    <tableColumn id="40" xr3:uid="{2AB12965-0D60-412E-B254-78CA7263F6B5}" name="2055" dataDxfId="504" dataCellStyle="Comma">
      <calculatedColumnFormula>Inputs!AL104*IF(Inputs!$E104="Real",1,AQ$5)/Data!$F3</calculatedColumnFormula>
    </tableColumn>
    <tableColumn id="41" xr3:uid="{EC58EF9C-E0B7-47F4-942E-F308BCAE6041}" name="2056" dataDxfId="503" dataCellStyle="Comma">
      <calculatedColumnFormula>Inputs!AM104*IF(Inputs!$E104="Real",1,AR$5)/Data!$F3</calculatedColumnFormula>
    </tableColumn>
    <tableColumn id="42" xr3:uid="{68AB2AE2-3182-4DC6-A729-8E4EFAEB4067}" name="2057" dataDxfId="502" dataCellStyle="Comma">
      <calculatedColumnFormula>Inputs!AN104*IF(Inputs!$E104="Real",1,AS$5)/Data!$F3</calculatedColumnFormula>
    </tableColumn>
    <tableColumn id="43" xr3:uid="{15FB941C-93DA-4583-9659-17E5E08A31E7}" name="2058" dataDxfId="501" dataCellStyle="Comma">
      <calculatedColumnFormula>Inputs!AO104*IF(Inputs!$E104="Real",1,AT$5)/Data!$F3</calculatedColumnFormula>
    </tableColumn>
    <tableColumn id="44" xr3:uid="{1C78B8F2-6408-4FD4-91C0-FC3992AE4224}" name="2059" dataDxfId="500" dataCellStyle="Comma">
      <calculatedColumnFormula>Inputs!AP104*IF(Inputs!$E104="Real",1,AU$5)/Data!$F3</calculatedColumnFormula>
    </tableColumn>
    <tableColumn id="45" xr3:uid="{1822805F-2CCB-48A6-B3C5-2790D7661A6D}" name="2060" dataDxfId="499" dataCellStyle="Comma">
      <calculatedColumnFormula>Inputs!AQ104*IF(Inputs!$E104="Real",1,AV$5)/Data!$F3</calculatedColumnFormula>
    </tableColumn>
    <tableColumn id="46" xr3:uid="{D59714F7-0225-40A5-B8E6-0B4A10A04E58}" name="2061" dataDxfId="498" dataCellStyle="Comma">
      <calculatedColumnFormula>Inputs!AR104*IF(Inputs!$E104="Real",1,AW$5)/Data!$F3</calculatedColumnFormula>
    </tableColumn>
    <tableColumn id="47" xr3:uid="{D75C10D0-527A-4DE1-BF37-15986DC21F8C}" name="2062" dataDxfId="497" dataCellStyle="Comma">
      <calculatedColumnFormula>Inputs!AS104*IF(Inputs!$E104="Real",1,AX$5)/Data!$F3</calculatedColumnFormula>
    </tableColumn>
    <tableColumn id="48" xr3:uid="{6004A175-63DA-4A82-827C-6C18A7412707}" name="2063" dataDxfId="496" dataCellStyle="Comma">
      <calculatedColumnFormula>Inputs!AT104*IF(Inputs!$E104="Real",1,AY$5)/Data!$F3</calculatedColumnFormula>
    </tableColumn>
    <tableColumn id="49" xr3:uid="{42512038-BD09-412A-8EFA-AEACC7F50BF6}" name="2064" dataDxfId="495" dataCellStyle="Comma">
      <calculatedColumnFormula>Inputs!AU104*IF(Inputs!$E104="Real",1,AZ$5)/Data!$F3</calculatedColumnFormula>
    </tableColumn>
    <tableColumn id="50" xr3:uid="{0A2D5CC1-04C1-45F1-8632-447C29A3A1F0}" name="2065" dataDxfId="494" dataCellStyle="Comma">
      <calculatedColumnFormula>Inputs!AV104*IF(Inputs!$E104="Real",1,BA$5)/Data!$F3</calculatedColumnFormula>
    </tableColumn>
    <tableColumn id="51" xr3:uid="{0D267542-31F2-49F4-BD65-E03BD45895D9}" name="2066" dataDxfId="493" dataCellStyle="Comma">
      <calculatedColumnFormula>Inputs!AW104*IF(Inputs!$E104="Real",1,BB$5)/Data!$F3</calculatedColumnFormula>
    </tableColumn>
    <tableColumn id="52" xr3:uid="{41621257-5026-4FFA-8EF3-EFDC198585D0}" name="2067" dataDxfId="492" dataCellStyle="Comma">
      <calculatedColumnFormula>Inputs!AX104*IF(Inputs!$E104="Real",1,BC$5)/Data!$F3</calculatedColumnFormula>
    </tableColumn>
    <tableColumn id="53" xr3:uid="{9F77E4B3-D1B5-47F7-A9D6-764153944E45}" name="2068" dataDxfId="491" dataCellStyle="Comma">
      <calculatedColumnFormula>Inputs!AY104*IF(Inputs!$E104="Real",1,BD$5)/Data!$F3</calculatedColumnFormula>
    </tableColumn>
    <tableColumn id="54" xr3:uid="{CFFCC963-696A-43F2-8D46-F0A5E13FD70F}" name="2069" dataDxfId="490" dataCellStyle="Comma">
      <calculatedColumnFormula>Inputs!AZ104*IF(Inputs!$E104="Real",1,BE$5)/Data!$F3</calculatedColumnFormula>
    </tableColumn>
    <tableColumn id="55" xr3:uid="{1BC3BEE8-4EAE-4D55-8CD0-114BD9E8BF37}" name="2070" dataDxfId="489" dataCellStyle="Comma">
      <calculatedColumnFormula>Inputs!BA104*IF(Inputs!$E104="Real",1,BF$5)/Data!$F3</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C41A257-B5AF-478F-8BC0-3416786315A6}" name="Opex_Fuel_PP" displayName="Opex_Fuel_PP" ref="E104:BE115" totalsRowShown="0" headerRowDxfId="488" dataDxfId="487" tableBorderDxfId="486" dataCellStyle="Comma">
  <autoFilter ref="E104:BE115" xr:uid="{7C41A257-B5AF-478F-8BC0-3416786315A6}"/>
  <tableColumns count="53">
    <tableColumn id="1" xr3:uid="{ADC46016-F2F6-42DB-9F46-C7858C17CA95}" name="ProjectId" dataDxfId="485">
      <calculatedColumnFormula>'Project description'!$B$5</calculatedColumnFormula>
    </tableColumn>
    <tableColumn id="2" xr3:uid="{F5B745AB-ED34-4A84-A700-DE7B0B00FBBB}" name="LifeCycleMonths" dataDxfId="484">
      <calculatedColumnFormula>Lists!$B$34</calculatedColumnFormula>
    </tableColumn>
    <tableColumn id="3" xr3:uid="{E880CC02-CB9D-42FC-8507-52539467C2E9}" name="Scenario" dataDxfId="483" dataCellStyle="Comma"/>
    <tableColumn id="4" xr3:uid="{A3F1F396-75DA-4FE1-94D7-F35FA5F52A57}" name="Fuel type" dataDxfId="482">
      <calculatedColumnFormula>IF(I51="&lt;Select&gt;","",I51)</calculatedColumnFormula>
    </tableColumn>
    <tableColumn id="5" xr3:uid="{C7F7850D-90F1-4C2A-A971-BBCA3CB5CF71}" name="Value basis" dataDxfId="481">
      <calculatedColumnFormula>I78</calculatedColumnFormula>
    </tableColumn>
    <tableColumn id="6" xr3:uid="{A970F0D1-2C5E-4B94-89F1-24E23BBCC64A}" name="Base year" dataDxfId="480">
      <calculatedColumnFormula>Analysis_year</calculatedColumnFormula>
    </tableColumn>
    <tableColumn id="7" xr3:uid="{87177A0C-741F-402D-87FC-13BA1C40016E}" name="Applicant comment" dataDxfId="479">
      <calculatedColumnFormula>IF(Inputs!G118="","",Inputs!G118)</calculatedColumnFormula>
    </tableColumn>
    <tableColumn id="8" xr3:uid="{3FD9AAA0-0154-4F1C-8620-0285329147FE}" name="2025" dataDxfId="478" dataCellStyle="Comma">
      <calculatedColumnFormula>L51*L78</calculatedColumnFormula>
    </tableColumn>
    <tableColumn id="9" xr3:uid="{D6A65A53-19E0-4F5F-9C40-5B6D263B7C8B}" name="2026" dataDxfId="477" dataCellStyle="Comma">
      <calculatedColumnFormula>M51*M78</calculatedColumnFormula>
    </tableColumn>
    <tableColumn id="10" xr3:uid="{03DD2DF2-5C1D-4327-B6AF-443C349753A0}" name="2027" dataDxfId="476" dataCellStyle="Comma">
      <calculatedColumnFormula>N51*N78</calculatedColumnFormula>
    </tableColumn>
    <tableColumn id="11" xr3:uid="{05D583C9-6207-4AF1-8D9E-966E29B70A32}" name="2028" dataDxfId="475" dataCellStyle="Comma">
      <calculatedColumnFormula>O51*O78</calculatedColumnFormula>
    </tableColumn>
    <tableColumn id="12" xr3:uid="{D48F92D4-1589-425B-9051-E4A78BCB28F6}" name="2029" dataDxfId="474" dataCellStyle="Comma">
      <calculatedColumnFormula>P51*P78</calculatedColumnFormula>
    </tableColumn>
    <tableColumn id="13" xr3:uid="{3F3EBE87-815D-439C-98DE-E921DC494BF1}" name="2030" dataDxfId="473" dataCellStyle="Comma">
      <calculatedColumnFormula>Q51*Q78</calculatedColumnFormula>
    </tableColumn>
    <tableColumn id="14" xr3:uid="{62FADB96-C7B1-4C41-B40A-56388866C046}" name="2031" dataDxfId="472" dataCellStyle="Comma">
      <calculatedColumnFormula>R51*R78</calculatedColumnFormula>
    </tableColumn>
    <tableColumn id="15" xr3:uid="{F7425B1B-DD08-4240-8326-FFF0A85A5817}" name="2032" dataDxfId="471" dataCellStyle="Comma">
      <calculatedColumnFormula>S51*S78</calculatedColumnFormula>
    </tableColumn>
    <tableColumn id="16" xr3:uid="{73CA088C-5769-4A56-B75B-1F2B7A6795CB}" name="2033" dataDxfId="470" dataCellStyle="Comma">
      <calculatedColumnFormula>T51*T78</calculatedColumnFormula>
    </tableColumn>
    <tableColumn id="17" xr3:uid="{1DFE74B7-F787-450E-BA94-9C09B01C2686}" name="2034" dataDxfId="469" dataCellStyle="Comma">
      <calculatedColumnFormula>U51*U78</calculatedColumnFormula>
    </tableColumn>
    <tableColumn id="18" xr3:uid="{4B33CFE9-993D-492F-96B6-5C524D3EF584}" name="2035" dataDxfId="468" dataCellStyle="Comma">
      <calculatedColumnFormula>V51*V78</calculatedColumnFormula>
    </tableColumn>
    <tableColumn id="19" xr3:uid="{21B9E1D6-B74B-4675-B331-BB3C175FA57F}" name="2036" dataDxfId="467" dataCellStyle="Comma">
      <calculatedColumnFormula>W51*W78</calculatedColumnFormula>
    </tableColumn>
    <tableColumn id="20" xr3:uid="{28C54F59-5AA5-47EF-B0EB-EC37ECA32937}" name="2037" dataDxfId="466" dataCellStyle="Comma">
      <calculatedColumnFormula>X51*X78</calculatedColumnFormula>
    </tableColumn>
    <tableColumn id="21" xr3:uid="{089A453D-FADF-43A1-85D0-0EECAB5FE350}" name="2038" dataDxfId="465" dataCellStyle="Comma">
      <calculatedColumnFormula>Y51*Y78</calculatedColumnFormula>
    </tableColumn>
    <tableColumn id="22" xr3:uid="{174F97D6-B60C-4C80-A3F9-8BC324406524}" name="2039" dataDxfId="464" dataCellStyle="Comma">
      <calculatedColumnFormula>Z51*Z78</calculatedColumnFormula>
    </tableColumn>
    <tableColumn id="23" xr3:uid="{197D8C07-3D79-453E-94BC-9B4B527A3AFD}" name="2040" dataDxfId="463" dataCellStyle="Comma">
      <calculatedColumnFormula>AA51*AA78</calculatedColumnFormula>
    </tableColumn>
    <tableColumn id="24" xr3:uid="{074FB144-0829-49FE-A9E8-329B86FC3312}" name="2041" dataDxfId="462" dataCellStyle="Comma">
      <calculatedColumnFormula>AB51*AB78</calculatedColumnFormula>
    </tableColumn>
    <tableColumn id="25" xr3:uid="{4DA4B8FF-95A5-413D-A3C7-02347B8F43A2}" name="2042" dataDxfId="461" dataCellStyle="Comma">
      <calculatedColumnFormula>AC51*AC78</calculatedColumnFormula>
    </tableColumn>
    <tableColumn id="26" xr3:uid="{CBECB90D-1085-44BE-82BB-47161FA0B5F7}" name="2043" dataDxfId="460" dataCellStyle="Comma">
      <calculatedColumnFormula>AD51*AD78</calculatedColumnFormula>
    </tableColumn>
    <tableColumn id="27" xr3:uid="{28D9F058-B01A-4F86-B75E-A8AC5FBFE778}" name="2044" dataDxfId="459" dataCellStyle="Comma">
      <calculatedColumnFormula>AE51*AE78</calculatedColumnFormula>
    </tableColumn>
    <tableColumn id="28" xr3:uid="{5180C7BB-5CDC-476A-B9D4-8050B9472D41}" name="2045" dataDxfId="458" dataCellStyle="Comma">
      <calculatedColumnFormula>AF51*AF78</calculatedColumnFormula>
    </tableColumn>
    <tableColumn id="29" xr3:uid="{F22860F3-7D2F-4E44-8B2F-31E5FA11FF1D}" name="2046" dataDxfId="457" dataCellStyle="Comma">
      <calculatedColumnFormula>AG51*AG78</calculatedColumnFormula>
    </tableColumn>
    <tableColumn id="30" xr3:uid="{2A1B100D-AF04-4082-8175-D85445A08D9C}" name="2047" dataDxfId="456" dataCellStyle="Comma">
      <calculatedColumnFormula>AH51*AH78</calculatedColumnFormula>
    </tableColumn>
    <tableColumn id="31" xr3:uid="{F56215D2-0975-440D-BA2E-36A72F3425AB}" name="2048" dataDxfId="455" dataCellStyle="Comma">
      <calculatedColumnFormula>AI51*AI78</calculatedColumnFormula>
    </tableColumn>
    <tableColumn id="32" xr3:uid="{7AFE1A9E-63C1-4CE8-B610-29DE4C2B8A64}" name="2049" dataDxfId="454" dataCellStyle="Comma">
      <calculatedColumnFormula>AJ51*AJ78</calculatedColumnFormula>
    </tableColumn>
    <tableColumn id="33" xr3:uid="{095DFC6C-C16E-4974-AB1B-C1C5C534846C}" name="2050" dataDxfId="453" dataCellStyle="Comma">
      <calculatedColumnFormula>AK51*AK78</calculatedColumnFormula>
    </tableColumn>
    <tableColumn id="34" xr3:uid="{94943C60-8882-4F01-A889-15F603156964}" name="2051" dataDxfId="452" dataCellStyle="Comma">
      <calculatedColumnFormula>AL51*AL78</calculatedColumnFormula>
    </tableColumn>
    <tableColumn id="35" xr3:uid="{9E5A2D0F-2668-4229-B93A-CC00F6482BF4}" name="2052" dataDxfId="451" dataCellStyle="Comma">
      <calculatedColumnFormula>AM51*AM78</calculatedColumnFormula>
    </tableColumn>
    <tableColumn id="36" xr3:uid="{FFAFB6B9-5E79-4011-92F5-ADED70847AC4}" name="2053" dataDxfId="450" dataCellStyle="Comma">
      <calculatedColumnFormula>AN51*AN78</calculatedColumnFormula>
    </tableColumn>
    <tableColumn id="37" xr3:uid="{D1811C9C-5558-4E67-893F-B7AA0282F09C}" name="2054" dataDxfId="449" dataCellStyle="Comma">
      <calculatedColumnFormula>AO51*AO78</calculatedColumnFormula>
    </tableColumn>
    <tableColumn id="38" xr3:uid="{61F7E748-F900-4F86-A483-2EB6EBEF871C}" name="2055" dataDxfId="448" dataCellStyle="Comma">
      <calculatedColumnFormula>AP51*AP78</calculatedColumnFormula>
    </tableColumn>
    <tableColumn id="39" xr3:uid="{1E6B1BE2-31C4-4602-B7D5-3CDB73077C91}" name="2056" dataDxfId="447" dataCellStyle="Comma">
      <calculatedColumnFormula>AQ51*AQ78</calculatedColumnFormula>
    </tableColumn>
    <tableColumn id="40" xr3:uid="{B80F7A19-35A2-47E2-B073-E648FB857618}" name="2057" dataDxfId="446" dataCellStyle="Comma">
      <calculatedColumnFormula>AR51*AR78</calculatedColumnFormula>
    </tableColumn>
    <tableColumn id="41" xr3:uid="{87E69589-086F-416A-AFCD-DC712431B9EF}" name="2058" dataDxfId="445" dataCellStyle="Comma">
      <calculatedColumnFormula>AS51*AS78</calculatedColumnFormula>
    </tableColumn>
    <tableColumn id="42" xr3:uid="{17D6BF2C-99FF-4152-AC3B-FAAECDF89B5D}" name="2059" dataDxfId="444" dataCellStyle="Comma">
      <calculatedColumnFormula>AT51*AT78</calculatedColumnFormula>
    </tableColumn>
    <tableColumn id="43" xr3:uid="{ABD2C1AB-0BAD-405B-B20D-C69515929976}" name="2060" dataDxfId="443" dataCellStyle="Comma">
      <calculatedColumnFormula>AU51*AU78</calculatedColumnFormula>
    </tableColumn>
    <tableColumn id="44" xr3:uid="{0F7FD0AE-1978-4531-AEF9-DD6AE7518AB3}" name="2061" dataDxfId="442" dataCellStyle="Comma">
      <calculatedColumnFormula>AV51*AV78</calculatedColumnFormula>
    </tableColumn>
    <tableColumn id="45" xr3:uid="{57ABBBBE-9923-42F9-9670-8EC360A1ACFD}" name="2062" dataDxfId="441" dataCellStyle="Comma">
      <calculatedColumnFormula>AW51*AW78</calculatedColumnFormula>
    </tableColumn>
    <tableColumn id="46" xr3:uid="{0A6F6595-F008-43BE-A2F0-0773D782E3C2}" name="2063" dataDxfId="440" dataCellStyle="Comma">
      <calculatedColumnFormula>AX51*AX78</calculatedColumnFormula>
    </tableColumn>
    <tableColumn id="47" xr3:uid="{AD175DF4-08B2-4A95-BBC3-024E540C4389}" name="2064" dataDxfId="439" dataCellStyle="Comma">
      <calculatedColumnFormula>AY51*AY78</calculatedColumnFormula>
    </tableColumn>
    <tableColumn id="48" xr3:uid="{C00A1AE4-06FE-4346-8163-A54803CAC316}" name="2065" dataDxfId="438" dataCellStyle="Comma">
      <calculatedColumnFormula>AZ51*AZ78</calculatedColumnFormula>
    </tableColumn>
    <tableColumn id="49" xr3:uid="{6E440AF6-6D69-48BB-9FA2-8BC58B090368}" name="2066" dataDxfId="437" dataCellStyle="Comma">
      <calculatedColumnFormula>BA51*BA78</calculatedColumnFormula>
    </tableColumn>
    <tableColumn id="50" xr3:uid="{3B237CF5-A3EF-462B-950A-F9286B241302}" name="2067" dataDxfId="436" dataCellStyle="Comma">
      <calculatedColumnFormula>BB51*BB78</calculatedColumnFormula>
    </tableColumn>
    <tableColumn id="51" xr3:uid="{CE906570-0FD7-43D1-9D86-E3322031EC92}" name="2068" dataDxfId="435" dataCellStyle="Comma">
      <calculatedColumnFormula>BC51*BC78</calculatedColumnFormula>
    </tableColumn>
    <tableColumn id="52" xr3:uid="{6C5921BC-C9F4-4EEC-82D9-88FCBFBD7C93}" name="2069" dataDxfId="434" dataCellStyle="Comma">
      <calculatedColumnFormula>BD51*BD78</calculatedColumnFormula>
    </tableColumn>
    <tableColumn id="53" xr3:uid="{F730EBBE-C4AE-4FD9-AB2F-558FE8447103}" name="2070" dataDxfId="433" dataCellStyle="Comma">
      <calculatedColumnFormula>BE51*BE78</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1ED7930-A675-4500-8DDB-38498F865B89}" name="Opex_Fuel_BC" displayName="Opex_Fuel_BC" ref="E118:BE129" totalsRowShown="0" headerRowDxfId="432" dataDxfId="431" tableBorderDxfId="430" dataCellStyle="Comma">
  <autoFilter ref="E118:BE129" xr:uid="{51ED7930-A675-4500-8DDB-38498F865B89}"/>
  <tableColumns count="53">
    <tableColumn id="1" xr3:uid="{955A623D-2531-4287-AADA-0D893AD33042}" name="ProjectId" dataDxfId="429">
      <calculatedColumnFormula>'Project description'!$B$5</calculatedColumnFormula>
    </tableColumn>
    <tableColumn id="2" xr3:uid="{94DA3F58-D79B-4781-8353-8605168365A5}" name="LifeCycleMonths" dataDxfId="428">
      <calculatedColumnFormula>Lists!$B$34</calculatedColumnFormula>
    </tableColumn>
    <tableColumn id="3" xr3:uid="{249A281F-7DE1-40A0-92D7-ADC9F1011283}" name="Scenario" dataDxfId="427"/>
    <tableColumn id="4" xr3:uid="{2CEACBA2-2190-419A-86C5-CF46E066087D}" name="Fuel type" dataDxfId="426">
      <calculatedColumnFormula>IF(I64="&lt;Select&gt;","",I64)</calculatedColumnFormula>
    </tableColumn>
    <tableColumn id="5" xr3:uid="{41198264-5DDA-4183-A9B3-E01B3C939427}" name="Value basis" dataDxfId="425">
      <calculatedColumnFormula>I91</calculatedColumnFormula>
    </tableColumn>
    <tableColumn id="6" xr3:uid="{22E43808-10A3-4834-84EF-4EA226EAB963}" name="Base year" dataDxfId="424">
      <calculatedColumnFormula>Analysis_year</calculatedColumnFormula>
    </tableColumn>
    <tableColumn id="7" xr3:uid="{A4B3D98D-481E-45EA-B1D7-3D0F811AD00B}" name="Applicant comment" dataDxfId="423">
      <calculatedColumnFormula>IF(Inputs!G133="","",Inputs!G133)</calculatedColumnFormula>
    </tableColumn>
    <tableColumn id="8" xr3:uid="{4CC42B7E-F7C5-44FB-BA42-1022A11080EE}" name="2025" dataDxfId="422" dataCellStyle="Comma">
      <calculatedColumnFormula>L64*L91</calculatedColumnFormula>
    </tableColumn>
    <tableColumn id="9" xr3:uid="{C44960BE-B89C-4F11-9D8C-3F284D3C7270}" name="2026" dataDxfId="421" dataCellStyle="Comma">
      <calculatedColumnFormula>M64*M91</calculatedColumnFormula>
    </tableColumn>
    <tableColumn id="10" xr3:uid="{45E9CB1C-03CF-4F7D-9BE6-C7E3A0B6A50E}" name="2027" dataDxfId="420" dataCellStyle="Comma">
      <calculatedColumnFormula>N64*N91</calculatedColumnFormula>
    </tableColumn>
    <tableColumn id="11" xr3:uid="{337AB3FB-122E-4B94-8736-A431DC227115}" name="2028" dataDxfId="419" dataCellStyle="Comma">
      <calculatedColumnFormula>O64*O91</calculatedColumnFormula>
    </tableColumn>
    <tableColumn id="12" xr3:uid="{F9BA22D8-04B3-40BF-BC51-567E5B744A78}" name="2029" dataDxfId="418" dataCellStyle="Comma">
      <calculatedColumnFormula>P64*P91</calculatedColumnFormula>
    </tableColumn>
    <tableColumn id="13" xr3:uid="{186BC86E-1C79-4BB3-90B8-454D5CD951C8}" name="2030" dataDxfId="417" dataCellStyle="Comma">
      <calculatedColumnFormula>Q64*Q91</calculatedColumnFormula>
    </tableColumn>
    <tableColumn id="14" xr3:uid="{E24A33C8-D5CE-4893-B689-5D6083DA28A9}" name="2031" dataDxfId="416" dataCellStyle="Comma">
      <calculatedColumnFormula>R64*R91</calculatedColumnFormula>
    </tableColumn>
    <tableColumn id="15" xr3:uid="{60317C23-7DC5-4161-809E-4CFC9D24FDFA}" name="2032" dataDxfId="415" dataCellStyle="Comma">
      <calculatedColumnFormula>S64*S91</calculatedColumnFormula>
    </tableColumn>
    <tableColumn id="16" xr3:uid="{3376F635-C83C-49A9-9C7C-A8E777874F07}" name="2033" dataDxfId="414" dataCellStyle="Comma">
      <calculatedColumnFormula>T64*T91</calculatedColumnFormula>
    </tableColumn>
    <tableColumn id="17" xr3:uid="{26B78C45-60C3-43A5-9135-315017C3CECE}" name="2034" dataDxfId="413" dataCellStyle="Comma">
      <calculatedColumnFormula>U64*U91</calculatedColumnFormula>
    </tableColumn>
    <tableColumn id="18" xr3:uid="{993088E9-0242-4BE6-9910-98B95E58CF04}" name="2035" dataDxfId="412" dataCellStyle="Comma">
      <calculatedColumnFormula>V64*V91</calculatedColumnFormula>
    </tableColumn>
    <tableColumn id="19" xr3:uid="{76294539-F0AA-4B28-AA7C-1AEA933730AF}" name="2036" dataDxfId="411" dataCellStyle="Comma">
      <calculatedColumnFormula>W64*W91</calculatedColumnFormula>
    </tableColumn>
    <tableColumn id="20" xr3:uid="{9569AC94-BC5A-44B1-95C9-0E6127D6B3D2}" name="2037" dataDxfId="410" dataCellStyle="Comma">
      <calculatedColumnFormula>X64*X91</calculatedColumnFormula>
    </tableColumn>
    <tableColumn id="21" xr3:uid="{B91C1212-0387-463B-8AA0-493AC78833D2}" name="2038" dataDxfId="409" dataCellStyle="Comma">
      <calculatedColumnFormula>Y64*Y91</calculatedColumnFormula>
    </tableColumn>
    <tableColumn id="22" xr3:uid="{29D99911-9F8C-4FFC-BCAF-756BD9DC117C}" name="2039" dataDxfId="408" dataCellStyle="Comma">
      <calculatedColumnFormula>Z64*Z91</calculatedColumnFormula>
    </tableColumn>
    <tableColumn id="23" xr3:uid="{E02BFFAE-E71C-4509-8ABC-D800FC58D152}" name="2040" dataDxfId="407" dataCellStyle="Comma">
      <calculatedColumnFormula>AA64*AA91</calculatedColumnFormula>
    </tableColumn>
    <tableColumn id="24" xr3:uid="{25E52339-42D2-449C-A692-03E77A431BA0}" name="2041" dataDxfId="406" dataCellStyle="Comma">
      <calculatedColumnFormula>AB64*AB91</calculatedColumnFormula>
    </tableColumn>
    <tableColumn id="25" xr3:uid="{5B1B71A3-D1C6-476D-AD5D-70ACA415B0B8}" name="2042" dataDxfId="405" dataCellStyle="Comma">
      <calculatedColumnFormula>AC64*AC91</calculatedColumnFormula>
    </tableColumn>
    <tableColumn id="26" xr3:uid="{2F29E4FC-3515-4192-9E24-C59133DB12F1}" name="2043" dataDxfId="404" dataCellStyle="Comma">
      <calculatedColumnFormula>AD64*AD91</calculatedColumnFormula>
    </tableColumn>
    <tableColumn id="27" xr3:uid="{AED93C8B-3998-433C-8D00-7D769AE708DB}" name="2044" dataDxfId="403" dataCellStyle="Comma">
      <calculatedColumnFormula>AE64*AE91</calculatedColumnFormula>
    </tableColumn>
    <tableColumn id="28" xr3:uid="{10BB1D3D-7267-46DC-BDFA-25502020AE47}" name="2045" dataDxfId="402" dataCellStyle="Comma">
      <calculatedColumnFormula>AF64*AF91</calculatedColumnFormula>
    </tableColumn>
    <tableColumn id="29" xr3:uid="{034FC2C7-D5F2-4F4F-A60C-EBFCE794803E}" name="2046" dataDxfId="401" dataCellStyle="Comma">
      <calculatedColumnFormula>AG64*AG91</calculatedColumnFormula>
    </tableColumn>
    <tableColumn id="30" xr3:uid="{81B435F5-797F-4881-B892-A064B1AAA658}" name="2047" dataDxfId="400" dataCellStyle="Comma">
      <calculatedColumnFormula>AH64*AH91</calculatedColumnFormula>
    </tableColumn>
    <tableColumn id="31" xr3:uid="{A77879FF-6E09-413D-B389-26C1C9FB4A2E}" name="2048" dataDxfId="399" dataCellStyle="Comma">
      <calculatedColumnFormula>AI64*AI91</calculatedColumnFormula>
    </tableColumn>
    <tableColumn id="32" xr3:uid="{335A889E-3D31-422A-BD9A-C735DCDFF676}" name="2049" dataDxfId="398" dataCellStyle="Comma">
      <calculatedColumnFormula>AJ64*AJ91</calculatedColumnFormula>
    </tableColumn>
    <tableColumn id="33" xr3:uid="{10F6BC0E-BE53-4C4B-B481-6D0AA156ADFF}" name="2050" dataDxfId="397" dataCellStyle="Comma">
      <calculatedColumnFormula>AK64*AK91</calculatedColumnFormula>
    </tableColumn>
    <tableColumn id="34" xr3:uid="{D4805938-7FCA-41D5-8C77-F6A11F38A439}" name="2051" dataDxfId="396" dataCellStyle="Comma">
      <calculatedColumnFormula>AL64*AL91</calculatedColumnFormula>
    </tableColumn>
    <tableColumn id="35" xr3:uid="{7E6B6AB6-CD0C-467D-892C-E60055045346}" name="2052" dataDxfId="395" dataCellStyle="Comma">
      <calculatedColumnFormula>AM64*AM91</calculatedColumnFormula>
    </tableColumn>
    <tableColumn id="36" xr3:uid="{C7AB840B-5758-472D-A552-F7235941CB03}" name="2053" dataDxfId="394" dataCellStyle="Comma">
      <calculatedColumnFormula>AN64*AN91</calculatedColumnFormula>
    </tableColumn>
    <tableColumn id="37" xr3:uid="{EABCEE9C-671E-47AD-97EB-20FABCBF272E}" name="2054" dataDxfId="393" dataCellStyle="Comma">
      <calculatedColumnFormula>AO64*AO91</calculatedColumnFormula>
    </tableColumn>
    <tableColumn id="38" xr3:uid="{ACC9EC96-F44F-4C8C-9D07-3EC271E3DAE0}" name="2055" dataDxfId="392" dataCellStyle="Comma">
      <calculatedColumnFormula>AP64*AP91</calculatedColumnFormula>
    </tableColumn>
    <tableColumn id="39" xr3:uid="{81DABA77-0D5D-471A-A5A9-3AF8734459FD}" name="2056" dataDxfId="391" dataCellStyle="Comma">
      <calculatedColumnFormula>AQ64*AQ91</calculatedColumnFormula>
    </tableColumn>
    <tableColumn id="40" xr3:uid="{EF4BADFC-2191-47A4-91C9-E576CCE8065A}" name="2057" dataDxfId="390" dataCellStyle="Comma">
      <calculatedColumnFormula>AR64*AR91</calculatedColumnFormula>
    </tableColumn>
    <tableColumn id="41" xr3:uid="{393681FD-1204-43A4-A6E3-A00C158A05F1}" name="2058" dataDxfId="389" dataCellStyle="Comma">
      <calculatedColumnFormula>AS64*AS91</calculatedColumnFormula>
    </tableColumn>
    <tableColumn id="42" xr3:uid="{8893CD5B-3FAC-42DD-B6AF-44EE3ABF4B7E}" name="2059" dataDxfId="388" dataCellStyle="Comma">
      <calculatedColumnFormula>AT64*AT91</calculatedColumnFormula>
    </tableColumn>
    <tableColumn id="43" xr3:uid="{710ABE6B-FB33-436D-82AC-94C4A9E86F94}" name="2060" dataDxfId="387" dataCellStyle="Comma">
      <calculatedColumnFormula>AU64*AU91</calculatedColumnFormula>
    </tableColumn>
    <tableColumn id="44" xr3:uid="{BFB57DD7-3EEE-47A4-B207-A6B946422B9E}" name="2061" dataDxfId="386" dataCellStyle="Comma">
      <calculatedColumnFormula>AV64*AV91</calculatedColumnFormula>
    </tableColumn>
    <tableColumn id="45" xr3:uid="{956AC2A2-98D7-4713-9B84-F81848590A5A}" name="2062" dataDxfId="385" dataCellStyle="Comma">
      <calculatedColumnFormula>AW64*AW91</calculatedColumnFormula>
    </tableColumn>
    <tableColumn id="46" xr3:uid="{8864EE07-DA53-45B8-8176-E14EDB055270}" name="2063" dataDxfId="384" dataCellStyle="Comma">
      <calculatedColumnFormula>AX64*AX91</calculatedColumnFormula>
    </tableColumn>
    <tableColumn id="47" xr3:uid="{5179D8E9-88BB-4944-ACE0-6EE6CDC3C6BE}" name="2064" dataDxfId="383" dataCellStyle="Comma">
      <calculatedColumnFormula>AY64*AY91</calculatedColumnFormula>
    </tableColumn>
    <tableColumn id="48" xr3:uid="{3040BE68-C75F-4625-963E-020269820B14}" name="2065" dataDxfId="382" dataCellStyle="Comma">
      <calculatedColumnFormula>AZ64*AZ91</calculatedColumnFormula>
    </tableColumn>
    <tableColumn id="49" xr3:uid="{5D9A4651-302C-461C-A6CE-B427642F86A1}" name="2066" dataDxfId="381" dataCellStyle="Comma">
      <calculatedColumnFormula>BA64*BA91</calculatedColumnFormula>
    </tableColumn>
    <tableColumn id="50" xr3:uid="{FDAD75F2-15C6-42C9-83A6-6F2997D71C18}" name="2067" dataDxfId="380" dataCellStyle="Comma">
      <calculatedColumnFormula>BB64*BB91</calculatedColumnFormula>
    </tableColumn>
    <tableColumn id="51" xr3:uid="{2DB651B8-A961-4B6B-AE29-0AD77CFEDE3B}" name="2068" dataDxfId="379" dataCellStyle="Comma">
      <calculatedColumnFormula>BC64*BC91</calculatedColumnFormula>
    </tableColumn>
    <tableColumn id="52" xr3:uid="{3EE9235C-314D-41F3-9A2A-28CC37250515}" name="2069" dataDxfId="378" dataCellStyle="Comma">
      <calculatedColumnFormula>BD64*BD91</calculatedColumnFormula>
    </tableColumn>
    <tableColumn id="53" xr3:uid="{F333EA45-97B2-4BFE-9E5A-0213CFBFDA8C}" name="2070" dataDxfId="377" dataCellStyle="Comma">
      <calculatedColumnFormula>BE64*BE91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A1B7D3-B31A-420E-BE8A-DDE54AC8CB02}" name="FinanCosts_PP" displayName="FinanCosts_PP" ref="E133:BE141" totalsRowShown="0" headerRowDxfId="376" tableBorderDxfId="375">
  <autoFilter ref="E133:BE141" xr:uid="{90A1B7D3-B31A-420E-BE8A-DDE54AC8CB02}"/>
  <tableColumns count="53">
    <tableColumn id="1" xr3:uid="{5DCB900E-A81C-45A4-8CEE-8AB1B8C3CE64}" name="ProjectId" dataDxfId="374">
      <calculatedColumnFormula>'Project description'!$B$5</calculatedColumnFormula>
    </tableColumn>
    <tableColumn id="2" xr3:uid="{BE903960-F026-4A47-9BC8-9062D6762A47}" name="LifeCycleMonths" dataDxfId="373">
      <calculatedColumnFormula>Lists!$B$34</calculatedColumnFormula>
    </tableColumn>
    <tableColumn id="3" xr3:uid="{5D5224B6-3254-4E30-B527-8CBE3E7182F6}" name="Scenario" dataDxfId="372"/>
    <tableColumn id="4" xr3:uid="{B003CF98-DB85-4436-8E80-6E66F489B298}" name="Category" dataDxfId="371"/>
    <tableColumn id="5" xr3:uid="{6C8E8752-E04D-4F67-853B-780BB8D40D65}" name="Value basis" dataDxfId="370"/>
    <tableColumn id="6" xr3:uid="{387B3E11-F1D7-4685-AE1F-63CFDEAC3111}" name="Base year" dataDxfId="369">
      <calculatedColumnFormula>Analysis_year</calculatedColumnFormula>
    </tableColumn>
    <tableColumn id="7" xr3:uid="{258A62D4-785D-43E4-9947-4317C4EB0ED2}" name="Applicant comment"/>
    <tableColumn id="8" xr3:uid="{986B8EE7-71FB-45BF-8F70-627BB9D14922}" name="2025"/>
    <tableColumn id="9" xr3:uid="{0385008C-501F-49FA-ABC4-54976009BF81}" name="2026"/>
    <tableColumn id="10" xr3:uid="{D82098C1-7FBF-4280-ADCF-4782BD6D96E9}" name="2027"/>
    <tableColumn id="11" xr3:uid="{69E67C4B-D316-4DE5-B992-AB9005B73801}" name="2028"/>
    <tableColumn id="12" xr3:uid="{DC53A051-9435-4FFC-B4C9-265158E4BFEF}" name="2029"/>
    <tableColumn id="13" xr3:uid="{BED4B028-7720-46E9-99D4-58B85E357A87}" name="2030"/>
    <tableColumn id="14" xr3:uid="{13B6C2CC-684E-4CF0-8323-7CEE01088012}" name="2031"/>
    <tableColumn id="15" xr3:uid="{954AC5EE-4C8B-4760-8F78-50774AB76EF0}" name="2032"/>
    <tableColumn id="16" xr3:uid="{82438881-F691-41DC-846C-2A70ECD8EC59}" name="2033"/>
    <tableColumn id="17" xr3:uid="{770C6E3F-B9D8-4EE0-9513-51353A47050A}" name="2034"/>
    <tableColumn id="18" xr3:uid="{29A4B808-2232-4422-B7C4-71540B17106C}" name="2035"/>
    <tableColumn id="19" xr3:uid="{B5F7C274-E6D1-4A13-BF8C-C25BFA8340F2}" name="2036"/>
    <tableColumn id="20" xr3:uid="{86FEB03D-CD32-4BCE-AF59-6135624E5FB9}" name="2037"/>
    <tableColumn id="21" xr3:uid="{E246F81B-5EDA-4771-8C1F-3ABADD54EED8}" name="2038"/>
    <tableColumn id="22" xr3:uid="{B8B7F83A-89AC-4922-882E-3C859BA53187}" name="2039"/>
    <tableColumn id="23" xr3:uid="{5850FEDF-159C-4465-83A5-316714A5D2AA}" name="2040"/>
    <tableColumn id="24" xr3:uid="{5D04EF27-ED23-48C6-8D85-8FFAF06A2EBB}" name="2041"/>
    <tableColumn id="25" xr3:uid="{D6196163-77D5-46E9-9047-9DB31B1C7B1A}" name="2042"/>
    <tableColumn id="26" xr3:uid="{CDC8A888-61E3-4ADF-8D65-AA2A332EFB65}" name="2043"/>
    <tableColumn id="27" xr3:uid="{1A2AF0EC-2B39-44FE-B553-5D34B4F943F6}" name="2044"/>
    <tableColumn id="28" xr3:uid="{1E54E922-7A3B-42BE-A4FF-9C114D247B5A}" name="2045"/>
    <tableColumn id="29" xr3:uid="{90F346C7-8D86-4145-B701-72B59725D5DA}" name="2046"/>
    <tableColumn id="30" xr3:uid="{4C693743-D46D-4164-89C9-46A2962DFB9B}" name="2047"/>
    <tableColumn id="31" xr3:uid="{855CD051-07AB-49C7-BBA9-A84292BB52C7}" name="2048"/>
    <tableColumn id="32" xr3:uid="{42753E01-2CF8-4EE9-ABC2-1965EDD0736B}" name="2049"/>
    <tableColumn id="33" xr3:uid="{A8830F45-8B6C-4237-B3CD-5BEB729D2BAF}" name="2050"/>
    <tableColumn id="34" xr3:uid="{E7C59086-B61C-4A1F-A259-1513323A3613}" name="2051"/>
    <tableColumn id="35" xr3:uid="{03FF0841-2F3B-4F0F-B7E6-FD09F9AF2061}" name="2052"/>
    <tableColumn id="36" xr3:uid="{2A36DBAD-A8AD-49D8-86A8-683D0E6593C0}" name="2053"/>
    <tableColumn id="37" xr3:uid="{AC0345F9-D53A-41E3-B67D-440C8AFEC4A8}" name="2054"/>
    <tableColumn id="38" xr3:uid="{0CE95E88-F0E7-4B4F-849C-44474E3660C9}" name="2055"/>
    <tableColumn id="39" xr3:uid="{34B328D5-2262-40A1-B802-B213435D2FCA}" name="2056"/>
    <tableColumn id="40" xr3:uid="{7683A044-1A75-4F75-AA4C-4A55E5FF5D80}" name="2057"/>
    <tableColumn id="41" xr3:uid="{917DF432-F354-42FB-B406-2082050EECD5}" name="2058"/>
    <tableColumn id="42" xr3:uid="{0AAF4AB5-53E0-47FA-8933-0B9DB6013054}" name="2059"/>
    <tableColumn id="43" xr3:uid="{C4DC8B21-16E2-4374-9BCC-B043FE610B01}" name="2060"/>
    <tableColumn id="44" xr3:uid="{CAE1E8C4-4336-49EB-A15F-4F770964E41D}" name="2061"/>
    <tableColumn id="45" xr3:uid="{C6B09A0B-1B72-42B9-83DB-C06699295403}" name="2062"/>
    <tableColumn id="46" xr3:uid="{0FA5956E-DBA8-4709-BB34-E334616FC65D}" name="2063"/>
    <tableColumn id="47" xr3:uid="{483E8D5A-7377-4BF0-B35A-089F355C8431}" name="2064"/>
    <tableColumn id="48" xr3:uid="{82D81A85-11C1-4648-91DA-6D4E62AA6EEC}" name="2065"/>
    <tableColumn id="49" xr3:uid="{4315EA51-D349-4E56-8B30-D9B7E11505E3}" name="2066"/>
    <tableColumn id="50" xr3:uid="{99E6D65E-12B0-46E4-AB33-D11256BF322E}" name="2067"/>
    <tableColumn id="51" xr3:uid="{CB4EE2D5-3561-4C99-A14D-D309888DB8EA}" name="2068"/>
    <tableColumn id="52" xr3:uid="{A5990F66-A059-4CEF-8381-3BE9A41A9F57}" name="2069"/>
    <tableColumn id="53" xr3:uid="{DADD8325-E1BA-440E-BFB9-2B32FB062A0F}" name="207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21F195-8260-49C3-A29C-323F0F8921D8}" name="FinanCosts_BC" displayName="FinanCosts_BC" ref="E143:BE149" totalsRowShown="0" headerRowDxfId="368" tableBorderDxfId="367">
  <autoFilter ref="E143:BE149" xr:uid="{F021F195-8260-49C3-A29C-323F0F8921D8}"/>
  <tableColumns count="53">
    <tableColumn id="1" xr3:uid="{14801C17-955C-41C0-9105-07744C0C1FC8}" name="ProjectId" dataDxfId="366">
      <calculatedColumnFormula>'Project description'!$B$5</calculatedColumnFormula>
    </tableColumn>
    <tableColumn id="2" xr3:uid="{5B33BECF-8DE9-452B-90B6-9FD379E3BB8B}" name="LifeCycleMonths" dataDxfId="365">
      <calculatedColumnFormula>Lists!$B$34</calculatedColumnFormula>
    </tableColumn>
    <tableColumn id="3" xr3:uid="{C6D2014F-CD5E-4F5B-9A11-1C602C3A417A}" name="Scenario" dataDxfId="364"/>
    <tableColumn id="4" xr3:uid="{1D17A452-CBC6-47BF-A111-D664260D3BED}" name="Category" dataDxfId="363"/>
    <tableColumn id="5" xr3:uid="{F7EE58D5-DD4F-4243-8938-7DC6FDB4EA5F}" name="Value basis" dataDxfId="362"/>
    <tableColumn id="6" xr3:uid="{CD2D0B6C-676B-4DA5-9A3C-8A04313C75A2}" name="Base year" dataDxfId="361">
      <calculatedColumnFormula>Analysis_year</calculatedColumnFormula>
    </tableColumn>
    <tableColumn id="7" xr3:uid="{21AB00F0-A851-450A-8A22-42A844182400}" name="Applicant comment"/>
    <tableColumn id="8" xr3:uid="{B81C2480-A31C-4147-B2BC-CAFB632DD155}" name="2025"/>
    <tableColumn id="9" xr3:uid="{8E290295-1A56-48C0-BF82-820821A0C3DD}" name="2026"/>
    <tableColumn id="10" xr3:uid="{8B98546D-AC4C-453A-AE86-49BEE1A8D9BC}" name="2027"/>
    <tableColumn id="11" xr3:uid="{43BFC18E-63F5-4265-BFC7-F04AF386712C}" name="2028"/>
    <tableColumn id="12" xr3:uid="{EB0140E3-814A-4181-B393-CF102A666946}" name="2029"/>
    <tableColumn id="13" xr3:uid="{68E38B84-11D7-45D1-8F7F-C7E97185F24C}" name="2030"/>
    <tableColumn id="14" xr3:uid="{BA2584E0-1C44-437F-96DB-75824B9BB15F}" name="2031"/>
    <tableColumn id="15" xr3:uid="{72740440-1E67-4902-9F2C-DB721D27358D}" name="2032"/>
    <tableColumn id="16" xr3:uid="{38EB760C-7761-4856-AECD-194E0C7D29D1}" name="2033"/>
    <tableColumn id="17" xr3:uid="{6944CEDB-F265-4C2A-9E13-90628A103044}" name="2034"/>
    <tableColumn id="18" xr3:uid="{D5B9C018-7A47-400E-9D56-10B94F6D1C86}" name="2035"/>
    <tableColumn id="19" xr3:uid="{36D260D4-A52E-463E-A3D5-3DB2067ACC44}" name="2036"/>
    <tableColumn id="20" xr3:uid="{97291E1F-328D-410C-9978-602D07CED5A3}" name="2037"/>
    <tableColumn id="21" xr3:uid="{D0ADD231-F474-4D23-82A0-FD11F3AC3210}" name="2038"/>
    <tableColumn id="22" xr3:uid="{4D425C23-B4EC-4854-B974-50F189F624DA}" name="2039"/>
    <tableColumn id="23" xr3:uid="{CE889E66-4AF1-41C9-8EEC-323DCA1F7E73}" name="2040"/>
    <tableColumn id="24" xr3:uid="{A35371AF-0A76-4E9A-AD54-9CF96D7322B2}" name="2041"/>
    <tableColumn id="25" xr3:uid="{CD007ED7-4174-4A08-9B38-E70EE63919CC}" name="2042"/>
    <tableColumn id="26" xr3:uid="{0AE00502-CA62-4457-BCC7-97745600388D}" name="2043"/>
    <tableColumn id="27" xr3:uid="{4C223931-2D19-468A-BD1F-414544FB4770}" name="2044"/>
    <tableColumn id="28" xr3:uid="{C790CC8C-A211-4FFD-940E-8822476F83C3}" name="2045"/>
    <tableColumn id="29" xr3:uid="{7D283B74-247A-4B55-8ED0-D01C60B6F58B}" name="2046"/>
    <tableColumn id="30" xr3:uid="{24EF607F-8275-422E-9515-41870F0A7A83}" name="2047"/>
    <tableColumn id="31" xr3:uid="{5F48886E-C0D8-4116-9166-2898A1D375DD}" name="2048"/>
    <tableColumn id="32" xr3:uid="{9CD3B56B-B0D8-4C90-9FCD-451480F2706D}" name="2049"/>
    <tableColumn id="33" xr3:uid="{20EFD13A-BD78-42D9-B4EB-14D5351A8021}" name="2050"/>
    <tableColumn id="34" xr3:uid="{37BC3D5B-031C-4BEF-B862-A30D88F6C45B}" name="2051"/>
    <tableColumn id="35" xr3:uid="{E5502F24-98ED-4907-80E9-C7BA287DED92}" name="2052"/>
    <tableColumn id="36" xr3:uid="{8ABE6851-D4B7-44C0-BB81-352AF6F6B249}" name="2053"/>
    <tableColumn id="37" xr3:uid="{E263E938-4492-42FD-846D-DBBC58B6633F}" name="2054"/>
    <tableColumn id="38" xr3:uid="{62738EB2-A9D3-4D8C-8CF2-4374AE2350D0}" name="2055"/>
    <tableColumn id="39" xr3:uid="{BDEB49EB-EF3A-4D83-BA3F-BAC98E00B8F7}" name="2056"/>
    <tableColumn id="40" xr3:uid="{7E0D6032-5CD4-47C3-897B-29E602A4AB2F}" name="2057"/>
    <tableColumn id="41" xr3:uid="{D0374C54-A6C7-4053-9CCD-D284FB8D37F4}" name="2058"/>
    <tableColumn id="42" xr3:uid="{7DD3A1D8-1997-4BDD-8200-B8EED23D9408}" name="2059"/>
    <tableColumn id="43" xr3:uid="{659233BA-C11A-47C8-BC44-C80DEA49C3C9}" name="2060"/>
    <tableColumn id="44" xr3:uid="{8FDBB5C2-9EC5-439A-BF3F-9D8A752969F0}" name="2061"/>
    <tableColumn id="45" xr3:uid="{44AEA012-E6B4-434E-BD15-792F79462956}" name="2062"/>
    <tableColumn id="46" xr3:uid="{6BE88348-1947-4B4D-82E4-EA09A31D1C09}" name="2063"/>
    <tableColumn id="47" xr3:uid="{504ACFC2-C089-4991-B994-D48042BB731D}" name="2064"/>
    <tableColumn id="48" xr3:uid="{46EEE5BE-7DBF-4235-B285-CC8369BD7803}" name="2065"/>
    <tableColumn id="49" xr3:uid="{F42FCEDF-56BF-4A12-9F1B-27723F5295B7}" name="2066"/>
    <tableColumn id="50" xr3:uid="{C2ECE034-4BCF-4E34-9466-5FBAA447D028}" name="2067"/>
    <tableColumn id="51" xr3:uid="{70CAA7A1-B963-42F7-A639-0A5039C4DD9D}" name="2068"/>
    <tableColumn id="52" xr3:uid="{4DD3CBD6-DBC6-413D-B03E-E476405E9520}" name="2069"/>
    <tableColumn id="53" xr3:uid="{FAB32B73-FE93-46A1-9C46-2AE7074A6DDD}" name="207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9D54631-E9D0-49D9-9C8A-493CB03DDAD2}" name="Revenue_PP" displayName="Revenue_PP" ref="E156:BE157" totalsRowShown="0" headerRowDxfId="360" dataDxfId="359" tableBorderDxfId="358">
  <autoFilter ref="E156:BE157" xr:uid="{E9D54631-E9D0-49D9-9C8A-493CB03DDAD2}"/>
  <tableColumns count="53">
    <tableColumn id="1" xr3:uid="{91A1FAD7-5B2E-491D-A1E4-4A5B74BAA0B7}" name="ProjectId" dataDxfId="357">
      <calculatedColumnFormula>'Project description'!$B$5</calculatedColumnFormula>
    </tableColumn>
    <tableColumn id="2" xr3:uid="{BC2A7F92-1678-4D14-A3C2-D4419127785B}" name="LifeCycleMonths" dataDxfId="356">
      <calculatedColumnFormula>Lists!$B$34</calculatedColumnFormula>
    </tableColumn>
    <tableColumn id="3" xr3:uid="{2B04EAE0-0401-4363-9C83-1A6BA3AD9BE6}" name="Scenario" dataDxfId="355"/>
    <tableColumn id="4" xr3:uid="{E6541AAE-A1F5-4460-B228-1BCDDC5ED5D9}" name="Revenue" dataDxfId="354"/>
    <tableColumn id="5" xr3:uid="{A84CBBE8-0575-4871-918C-36351850CD91}" name="Value basis" dataDxfId="353"/>
    <tableColumn id="6" xr3:uid="{EFE0F3B9-F861-4C6C-B498-E5FC3C75E594}" name="Base year" dataDxfId="352">
      <calculatedColumnFormula>Analysis_year</calculatedColumnFormula>
    </tableColumn>
    <tableColumn id="7" xr3:uid="{27D14287-B8A0-40E5-B700-44204CF1872A}" name="Applicant comment" dataDxfId="351" dataCellStyle="Comma">
      <calculatedColumnFormula>IF(Inputs!G174="","",Inputs!G174)</calculatedColumnFormula>
    </tableColumn>
    <tableColumn id="8" xr3:uid="{2CA7555D-C137-40AE-8701-B430E35FF4A1}" name="2025" dataDxfId="350">
      <calculatedColumnFormula>Inputs!H174*IF(Inputs!$E174="Real",1,L$5)</calculatedColumnFormula>
    </tableColumn>
    <tableColumn id="9" xr3:uid="{4CA8E999-F907-41B6-A268-073F6FD4EFE1}" name="2026" dataDxfId="349">
      <calculatedColumnFormula>Inputs!I174*IF(Inputs!$E174="Real",1,M$5)</calculatedColumnFormula>
    </tableColumn>
    <tableColumn id="10" xr3:uid="{517E243F-0325-42C1-AD72-4FD74A8B2C2E}" name="2027" dataDxfId="348">
      <calculatedColumnFormula>Inputs!J174*IF(Inputs!$E174="Real",1,N$5)</calculatedColumnFormula>
    </tableColumn>
    <tableColumn id="11" xr3:uid="{888F5817-CE3F-48BB-B2BD-FA743104F950}" name="2028" dataDxfId="347">
      <calculatedColumnFormula>Inputs!K174*IF(Inputs!$E174="Real",1,O$5)</calculatedColumnFormula>
    </tableColumn>
    <tableColumn id="12" xr3:uid="{89C6085C-58F3-48D6-BF17-3D413DC69ED5}" name="2029" dataDxfId="346">
      <calculatedColumnFormula>Inputs!L174*IF(Inputs!$E174="Real",1,P$5)</calculatedColumnFormula>
    </tableColumn>
    <tableColumn id="13" xr3:uid="{38128F26-1330-49F3-9E5D-CD8FA36A363F}" name="2030" dataDxfId="345">
      <calculatedColumnFormula>Inputs!M174*IF(Inputs!$E174="Real",1,Q$5)</calculatedColumnFormula>
    </tableColumn>
    <tableColumn id="14" xr3:uid="{E08C1866-A7A7-4468-AB05-64FA7038B2B3}" name="2031" dataDxfId="344">
      <calculatedColumnFormula>Inputs!N174*IF(Inputs!$E174="Real",1,R$5)</calculatedColumnFormula>
    </tableColumn>
    <tableColumn id="15" xr3:uid="{FF6D8596-72B5-40FC-8C47-2755885CCD24}" name="2032" dataDxfId="343">
      <calculatedColumnFormula>Inputs!O174*IF(Inputs!$E174="Real",1,S$5)</calculatedColumnFormula>
    </tableColumn>
    <tableColumn id="16" xr3:uid="{C1AA3029-DD36-49C0-A8C1-CBB998A3AA33}" name="2033" dataDxfId="342">
      <calculatedColumnFormula>Inputs!P174*IF(Inputs!$E174="Real",1,T$5)</calculatedColumnFormula>
    </tableColumn>
    <tableColumn id="17" xr3:uid="{19184CE8-3A85-4A2E-962D-CAF0691C4D17}" name="2034" dataDxfId="341">
      <calculatedColumnFormula>Inputs!Q174*IF(Inputs!$E174="Real",1,U$5)</calculatedColumnFormula>
    </tableColumn>
    <tableColumn id="18" xr3:uid="{F50072DD-6C40-4481-A78B-8CC70D802B82}" name="2035" dataDxfId="340">
      <calculatedColumnFormula>Inputs!R174*IF(Inputs!$E174="Real",1,V$5)</calculatedColumnFormula>
    </tableColumn>
    <tableColumn id="19" xr3:uid="{3E3A06C3-DF7B-48F0-BFE9-67F5B39CD690}" name="2036" dataDxfId="339">
      <calculatedColumnFormula>Inputs!S174*IF(Inputs!$E174="Real",1,W$5)</calculatedColumnFormula>
    </tableColumn>
    <tableColumn id="20" xr3:uid="{4095B725-E2FB-4E21-8678-1D8151E64F04}" name="2037" dataDxfId="338">
      <calculatedColumnFormula>Inputs!T174*IF(Inputs!$E174="Real",1,X$5)</calculatedColumnFormula>
    </tableColumn>
    <tableColumn id="21" xr3:uid="{727408AA-D151-42BC-9620-FC55B219878F}" name="2038" dataDxfId="337">
      <calculatedColumnFormula>Inputs!U174*IF(Inputs!$E174="Real",1,Y$5)</calculatedColumnFormula>
    </tableColumn>
    <tableColumn id="22" xr3:uid="{1B7C283C-DF22-4C32-90D2-14F47CF76782}" name="2039" dataDxfId="336">
      <calculatedColumnFormula>Inputs!V174*IF(Inputs!$E174="Real",1,Z$5)</calculatedColumnFormula>
    </tableColumn>
    <tableColumn id="23" xr3:uid="{967A0350-A79D-4F6F-B08B-5926BCC8B93B}" name="2040" dataDxfId="335">
      <calculatedColumnFormula>Inputs!W174*IF(Inputs!$E174="Real",1,AA$5)</calculatedColumnFormula>
    </tableColumn>
    <tableColumn id="24" xr3:uid="{25C27C96-9CA2-44E1-9BF9-80445147563A}" name="2041" dataDxfId="334">
      <calculatedColumnFormula>Inputs!X174*IF(Inputs!$E174="Real",1,AB$5)</calculatedColumnFormula>
    </tableColumn>
    <tableColumn id="25" xr3:uid="{7CA84C28-DE53-46E8-9E19-6FF711B63335}" name="2042" dataDxfId="333">
      <calculatedColumnFormula>Inputs!Y174*IF(Inputs!$E174="Real",1,AC$5)</calculatedColumnFormula>
    </tableColumn>
    <tableColumn id="26" xr3:uid="{35B4A2A2-5146-41A2-A2B6-018C2BCDB8C1}" name="2043" dataDxfId="332">
      <calculatedColumnFormula>Inputs!Z174*IF(Inputs!$E174="Real",1,AD$5)</calculatedColumnFormula>
    </tableColumn>
    <tableColumn id="27" xr3:uid="{16E1A864-D57D-4B08-A81C-E5E0ABB6DFA2}" name="2044" dataDxfId="331">
      <calculatedColumnFormula>Inputs!AA174*IF(Inputs!$E174="Real",1,AE$5)</calculatedColumnFormula>
    </tableColumn>
    <tableColumn id="28" xr3:uid="{811378F8-2B9A-4592-B558-F307B44DA94A}" name="2045" dataDxfId="330">
      <calculatedColumnFormula>Inputs!AB174*IF(Inputs!$E174="Real",1,AF$5)</calculatedColumnFormula>
    </tableColumn>
    <tableColumn id="29" xr3:uid="{637BD273-4A72-47DE-8170-8507709C38F3}" name="2046" dataDxfId="329">
      <calculatedColumnFormula>Inputs!AC174*IF(Inputs!$E174="Real",1,AG$5)</calculatedColumnFormula>
    </tableColumn>
    <tableColumn id="30" xr3:uid="{E532CC5E-34BE-4C23-B080-A3ADBF847D67}" name="2047" dataDxfId="328">
      <calculatedColumnFormula>Inputs!AD174*IF(Inputs!$E174="Real",1,AH$5)</calculatedColumnFormula>
    </tableColumn>
    <tableColumn id="31" xr3:uid="{A6F9874F-4626-4053-897F-552867B4DE19}" name="2048" dataDxfId="327">
      <calculatedColumnFormula>Inputs!AE174*IF(Inputs!$E174="Real",1,AI$5)</calculatedColumnFormula>
    </tableColumn>
    <tableColumn id="32" xr3:uid="{4DAA01F2-C0E7-4A49-BBA8-57BD15AC64D1}" name="2049" dataDxfId="326">
      <calculatedColumnFormula>Inputs!AF174*IF(Inputs!$E174="Real",1,AJ$5)</calculatedColumnFormula>
    </tableColumn>
    <tableColumn id="33" xr3:uid="{DC8CAD69-8556-4E08-AB1E-7050CD8DA704}" name="2050" dataDxfId="325">
      <calculatedColumnFormula>Inputs!AG174*IF(Inputs!$E174="Real",1,AK$5)</calculatedColumnFormula>
    </tableColumn>
    <tableColumn id="34" xr3:uid="{AFC44C24-9A1A-4A97-BF2C-AAF48680867B}" name="2051" dataDxfId="324">
      <calculatedColumnFormula>Inputs!AH174*IF(Inputs!$E174="Real",1,AL$5)</calculatedColumnFormula>
    </tableColumn>
    <tableColumn id="35" xr3:uid="{B0DF9BD1-D200-4724-9E99-ED5413E56575}" name="2052" dataDxfId="323">
      <calculatedColumnFormula>Inputs!AI174*IF(Inputs!$E174="Real",1,AM$5)</calculatedColumnFormula>
    </tableColumn>
    <tableColumn id="36" xr3:uid="{4AE16700-059F-4CB6-B790-7D4F9BA6CF64}" name="2053" dataDxfId="322">
      <calculatedColumnFormula>Inputs!AJ174*IF(Inputs!$E174="Real",1,AN$5)</calculatedColumnFormula>
    </tableColumn>
    <tableColumn id="37" xr3:uid="{FB46D172-8088-4875-8D00-D2A0C28D1DBE}" name="2054" dataDxfId="321">
      <calculatedColumnFormula>Inputs!AK174*IF(Inputs!$E174="Real",1,AO$5)</calculatedColumnFormula>
    </tableColumn>
    <tableColumn id="38" xr3:uid="{AEA16452-B3D8-4ED8-B8EC-92B82BC18BAF}" name="2055" dataDxfId="320">
      <calculatedColumnFormula>Inputs!AL174*IF(Inputs!$E174="Real",1,AP$5)</calculatedColumnFormula>
    </tableColumn>
    <tableColumn id="39" xr3:uid="{EA831677-9E83-4B62-B514-06F4E8E72A34}" name="2056" dataDxfId="319">
      <calculatedColumnFormula>Inputs!AM174*IF(Inputs!$E174="Real",1,AQ$5)</calculatedColumnFormula>
    </tableColumn>
    <tableColumn id="40" xr3:uid="{DFC4866C-5602-4A48-9C40-0984AF71A072}" name="2057" dataDxfId="318">
      <calculatedColumnFormula>Inputs!AN174*IF(Inputs!$E174="Real",1,AR$5)</calculatedColumnFormula>
    </tableColumn>
    <tableColumn id="41" xr3:uid="{A40B46E9-581B-49BD-B516-EA3A51ECFCC6}" name="2058" dataDxfId="317">
      <calculatedColumnFormula>Inputs!AO174*IF(Inputs!$E174="Real",1,AS$5)</calculatedColumnFormula>
    </tableColumn>
    <tableColumn id="42" xr3:uid="{438BFAA8-4C9D-4A54-B6EB-597983391437}" name="2059" dataDxfId="316">
      <calculatedColumnFormula>Inputs!AP174*IF(Inputs!$E174="Real",1,AT$5)</calculatedColumnFormula>
    </tableColumn>
    <tableColumn id="43" xr3:uid="{8CB941E4-2EE8-4A51-8B00-478118359F80}" name="2060" dataDxfId="315">
      <calculatedColumnFormula>Inputs!AQ174*IF(Inputs!$E174="Real",1,AU$5)</calculatedColumnFormula>
    </tableColumn>
    <tableColumn id="44" xr3:uid="{4D0EB135-9D3B-4928-A85B-6E088C34C2CD}" name="2061" dataDxfId="314">
      <calculatedColumnFormula>Inputs!AR174*IF(Inputs!$E174="Real",1,AV$5)</calculatedColumnFormula>
    </tableColumn>
    <tableColumn id="45" xr3:uid="{632E0EA2-2BE6-4CE5-9563-EFE52FDE3B22}" name="2062" dataDxfId="313">
      <calculatedColumnFormula>Inputs!AS174*IF(Inputs!$E174="Real",1,AW$5)</calculatedColumnFormula>
    </tableColumn>
    <tableColumn id="46" xr3:uid="{107F3714-39E1-404D-92ED-07A5EA5B6962}" name="2063" dataDxfId="312">
      <calculatedColumnFormula>Inputs!AT174*IF(Inputs!$E174="Real",1,AX$5)</calculatedColumnFormula>
    </tableColumn>
    <tableColumn id="47" xr3:uid="{ED32F55B-F895-4FF7-8992-F762BC3D3F04}" name="2064" dataDxfId="311">
      <calculatedColumnFormula>Inputs!AU174*IF(Inputs!$E174="Real",1,AY$5)</calculatedColumnFormula>
    </tableColumn>
    <tableColumn id="48" xr3:uid="{948AB4C8-63D5-415E-BF3C-F011F6E0B5CA}" name="2065" dataDxfId="310">
      <calculatedColumnFormula>Inputs!AV174*IF(Inputs!$E174="Real",1,AZ$5)</calculatedColumnFormula>
    </tableColumn>
    <tableColumn id="49" xr3:uid="{69C35F36-5EAC-4271-885E-425D5976DF7F}" name="2066" dataDxfId="309">
      <calculatedColumnFormula>Inputs!AW174*IF(Inputs!$E174="Real",1,BA$5)</calculatedColumnFormula>
    </tableColumn>
    <tableColumn id="50" xr3:uid="{AACDAE40-C867-4B54-B278-BCA2431FE8C5}" name="2067" dataDxfId="308">
      <calculatedColumnFormula>Inputs!AX174*IF(Inputs!$E174="Real",1,BB$5)</calculatedColumnFormula>
    </tableColumn>
    <tableColumn id="51" xr3:uid="{303CA72D-89F0-4515-9F90-35F724A73F7D}" name="2068" dataDxfId="307">
      <calculatedColumnFormula>Inputs!AY174*IF(Inputs!$E174="Real",1,BC$5)</calculatedColumnFormula>
    </tableColumn>
    <tableColumn id="52" xr3:uid="{7488211B-6079-4FC2-B855-3E32E6AE6F61}" name="2069" dataDxfId="306">
      <calculatedColumnFormula>Inputs!AZ174*IF(Inputs!$E174="Real",1,BD$5)</calculatedColumnFormula>
    </tableColumn>
    <tableColumn id="53" xr3:uid="{D25A5EE4-0BD2-49BF-8E45-749D8B200244}" name="2070" dataDxfId="305">
      <calculatedColumnFormula>Inputs!BA174*IF(Inputs!$E174="Real",1,BE$5)</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FFDB268-2E08-4417-8BA1-B616BAE06365}" name="Revenue_BC" displayName="Revenue_BC" ref="E159:BE160" totalsRowShown="0" headerRowDxfId="304" dataDxfId="303" tableBorderDxfId="302">
  <autoFilter ref="E159:BE160" xr:uid="{6FFDB268-2E08-4417-8BA1-B616BAE06365}"/>
  <tableColumns count="53">
    <tableColumn id="1" xr3:uid="{727A5FC3-0769-4155-80AD-97EBBDE48549}" name="ProjectId" dataDxfId="301">
      <calculatedColumnFormula>'Project description'!$B$5</calculatedColumnFormula>
    </tableColumn>
    <tableColumn id="2" xr3:uid="{9D92CA3C-C3D8-4C6B-909D-5FAE5BEA59D8}" name="LifeCycleMonths" dataDxfId="300">
      <calculatedColumnFormula>Lists!$B$34</calculatedColumnFormula>
    </tableColumn>
    <tableColumn id="3" xr3:uid="{93ACEECF-DB74-4F84-9FBE-58200000E463}" name="Scenario" dataDxfId="299"/>
    <tableColumn id="4" xr3:uid="{0FF99B48-001F-4C00-A4A0-DDAC26FFA8EE}" name="Revenue" dataDxfId="298"/>
    <tableColumn id="5" xr3:uid="{C76FAD12-161B-47CB-AF99-655B58DB7285}" name="Value basis" dataDxfId="297"/>
    <tableColumn id="6" xr3:uid="{8D655CA4-81AB-4249-A64D-D5E3B0CC7B29}" name="Base year" dataDxfId="296">
      <calculatedColumnFormula>Analysis_year</calculatedColumnFormula>
    </tableColumn>
    <tableColumn id="7" xr3:uid="{D763A57F-5857-4B6A-9432-40CF1C8A7557}" name="Applicant comment" dataDxfId="295" dataCellStyle="Comma">
      <calculatedColumnFormula>IF(Inputs!G177="","",Inputs!G177)</calculatedColumnFormula>
    </tableColumn>
    <tableColumn id="8" xr3:uid="{F3A6EAE9-8A51-4361-BD23-692509E1F46B}" name="2025" dataDxfId="294">
      <calculatedColumnFormula>Inputs!H177*IF(Inputs!$E177="Real",1,L$5)</calculatedColumnFormula>
    </tableColumn>
    <tableColumn id="9" xr3:uid="{DE5A93A8-170A-45AC-B415-875163E60F75}" name="2026" dataDxfId="293">
      <calculatedColumnFormula>Inputs!I177*IF(Inputs!$E177="Real",1,M$5)</calculatedColumnFormula>
    </tableColumn>
    <tableColumn id="10" xr3:uid="{EA797702-5149-4467-940E-8001B751FB0F}" name="2027" dataDxfId="292">
      <calculatedColumnFormula>Inputs!J177*IF(Inputs!$E177="Real",1,N$5)</calculatedColumnFormula>
    </tableColumn>
    <tableColumn id="11" xr3:uid="{83E5DFFC-7A5B-47A9-B20E-D2AB8D6A70A2}" name="2028" dataDxfId="291">
      <calculatedColumnFormula>Inputs!K177*IF(Inputs!$E177="Real",1,O$5)</calculatedColumnFormula>
    </tableColumn>
    <tableColumn id="12" xr3:uid="{7B0302D9-6C86-47BC-869B-60BBB51D93A4}" name="2029" dataDxfId="290">
      <calculatedColumnFormula>Inputs!L177*IF(Inputs!$E177="Real",1,P$5)</calculatedColumnFormula>
    </tableColumn>
    <tableColumn id="13" xr3:uid="{BB1B297D-6BBE-4128-9057-D7980C9BE49A}" name="2030" dataDxfId="289">
      <calculatedColumnFormula>Inputs!M177*IF(Inputs!$E177="Real",1,Q$5)</calculatedColumnFormula>
    </tableColumn>
    <tableColumn id="14" xr3:uid="{9283AE77-DC6B-4538-BD5F-EE275DB2E204}" name="2031" dataDxfId="288">
      <calculatedColumnFormula>Inputs!N177*IF(Inputs!$E177="Real",1,R$5)</calculatedColumnFormula>
    </tableColumn>
    <tableColumn id="15" xr3:uid="{43311E7C-A01C-4FC9-8BE7-A146C6515DB6}" name="2032" dataDxfId="287">
      <calculatedColumnFormula>Inputs!O177*IF(Inputs!$E177="Real",1,S$5)</calculatedColumnFormula>
    </tableColumn>
    <tableColumn id="16" xr3:uid="{5A59232F-C920-489F-A1A1-FF404E97A56E}" name="2033" dataDxfId="286">
      <calculatedColumnFormula>Inputs!P177*IF(Inputs!$E177="Real",1,T$5)</calculatedColumnFormula>
    </tableColumn>
    <tableColumn id="17" xr3:uid="{ED2D4FAD-DAC1-4C80-88FE-10A309A13C33}" name="2034" dataDxfId="285">
      <calculatedColumnFormula>Inputs!Q177*IF(Inputs!$E177="Real",1,U$5)</calculatedColumnFormula>
    </tableColumn>
    <tableColumn id="18" xr3:uid="{FE19F37E-0F96-4931-8B95-951AF02BD55C}" name="2035" dataDxfId="284">
      <calculatedColumnFormula>Inputs!R177*IF(Inputs!$E177="Real",1,V$5)</calculatedColumnFormula>
    </tableColumn>
    <tableColumn id="19" xr3:uid="{799B8581-1293-4560-8C73-19E2F6DAB804}" name="2036" dataDxfId="283">
      <calculatedColumnFormula>Inputs!S177*IF(Inputs!$E177="Real",1,W$5)</calculatedColumnFormula>
    </tableColumn>
    <tableColumn id="20" xr3:uid="{0B14AB76-65A5-49E2-9854-8B3C5808F1B0}" name="2037" dataDxfId="282">
      <calculatedColumnFormula>Inputs!T177*IF(Inputs!$E177="Real",1,X$5)</calculatedColumnFormula>
    </tableColumn>
    <tableColumn id="21" xr3:uid="{CEE0BC48-193A-4800-B50A-FACB5AA359D7}" name="2038" dataDxfId="281">
      <calculatedColumnFormula>Inputs!U177*IF(Inputs!$E177="Real",1,Y$5)</calculatedColumnFormula>
    </tableColumn>
    <tableColumn id="22" xr3:uid="{88F966C7-1290-4927-849F-C7B87F97A39A}" name="2039" dataDxfId="280">
      <calculatedColumnFormula>Inputs!V177*IF(Inputs!$E177="Real",1,Z$5)</calculatedColumnFormula>
    </tableColumn>
    <tableColumn id="23" xr3:uid="{1BF4C205-1C56-4772-989B-6AAB7A635D5B}" name="2040" dataDxfId="279">
      <calculatedColumnFormula>Inputs!W177*IF(Inputs!$E177="Real",1,AA$5)</calculatedColumnFormula>
    </tableColumn>
    <tableColumn id="24" xr3:uid="{427036CD-ABA4-4F3E-8505-772FB0820B28}" name="2041" dataDxfId="278">
      <calculatedColumnFormula>Inputs!X177*IF(Inputs!$E177="Real",1,AB$5)</calculatedColumnFormula>
    </tableColumn>
    <tableColumn id="25" xr3:uid="{C8EBB867-8212-4274-A36E-7AC383AA3B20}" name="2042" dataDxfId="277">
      <calculatedColumnFormula>Inputs!Y177*IF(Inputs!$E177="Real",1,AC$5)</calculatedColumnFormula>
    </tableColumn>
    <tableColumn id="26" xr3:uid="{CC6876C3-9E58-47FC-9930-CB0861AA6C6D}" name="2043" dataDxfId="276">
      <calculatedColumnFormula>Inputs!Z177*IF(Inputs!$E177="Real",1,AD$5)</calculatedColumnFormula>
    </tableColumn>
    <tableColumn id="27" xr3:uid="{074EF234-1AC5-4E4F-9A9D-A6FD7077F2D1}" name="2044" dataDxfId="275">
      <calculatedColumnFormula>Inputs!AA177*IF(Inputs!$E177="Real",1,AE$5)</calculatedColumnFormula>
    </tableColumn>
    <tableColumn id="28" xr3:uid="{9892F7A6-47AB-47DC-BDDB-2C398D0A8F4F}" name="2045" dataDxfId="274">
      <calculatedColumnFormula>Inputs!AB177*IF(Inputs!$E177="Real",1,AF$5)</calculatedColumnFormula>
    </tableColumn>
    <tableColumn id="29" xr3:uid="{DF2F21E9-608A-407C-8801-E91AD1945CB1}" name="2046" dataDxfId="273">
      <calculatedColumnFormula>Inputs!AC177*IF(Inputs!$E177="Real",1,AG$5)</calculatedColumnFormula>
    </tableColumn>
    <tableColumn id="30" xr3:uid="{25283E66-A120-46DB-9146-1A197BF4BE1F}" name="2047" dataDxfId="272">
      <calculatedColumnFormula>Inputs!AD177*IF(Inputs!$E177="Real",1,AH$5)</calculatedColumnFormula>
    </tableColumn>
    <tableColumn id="31" xr3:uid="{9AD9502B-83E0-40E9-AE8F-6F53D9159325}" name="2048" dataDxfId="271">
      <calculatedColumnFormula>Inputs!AE177*IF(Inputs!$E177="Real",1,AI$5)</calculatedColumnFormula>
    </tableColumn>
    <tableColumn id="32" xr3:uid="{D0E27EE5-4AFA-4F60-8C10-701476502E65}" name="2049" dataDxfId="270">
      <calculatedColumnFormula>Inputs!AF177*IF(Inputs!$E177="Real",1,AJ$5)</calculatedColumnFormula>
    </tableColumn>
    <tableColumn id="33" xr3:uid="{B9BAD1F3-44DD-4F07-9D48-9C1E735A0927}" name="2050" dataDxfId="269">
      <calculatedColumnFormula>Inputs!AG177*IF(Inputs!$E177="Real",1,AK$5)</calculatedColumnFormula>
    </tableColumn>
    <tableColumn id="34" xr3:uid="{946E6F01-6888-4C1B-A143-EBE93772F760}" name="2051" dataDxfId="268">
      <calculatedColumnFormula>Inputs!AH177*IF(Inputs!$E177="Real",1,AL$5)</calculatedColumnFormula>
    </tableColumn>
    <tableColumn id="35" xr3:uid="{FE694549-AC6D-45A0-9E68-D3859D3A6470}" name="2052" dataDxfId="267">
      <calculatedColumnFormula>Inputs!AI177*IF(Inputs!$E177="Real",1,AM$5)</calculatedColumnFormula>
    </tableColumn>
    <tableColumn id="36" xr3:uid="{EAC9954F-A8F0-411F-8ED8-34DA9EFE1F7E}" name="2053" dataDxfId="266">
      <calculatedColumnFormula>Inputs!AJ177*IF(Inputs!$E177="Real",1,AN$5)</calculatedColumnFormula>
    </tableColumn>
    <tableColumn id="37" xr3:uid="{D12BB415-CEFF-4778-8F09-085247619CDD}" name="2054" dataDxfId="265">
      <calculatedColumnFormula>Inputs!AK177*IF(Inputs!$E177="Real",1,AO$5)</calculatedColumnFormula>
    </tableColumn>
    <tableColumn id="38" xr3:uid="{FA1DDAEC-CC7A-4522-8D7C-657C1E009941}" name="2055" dataDxfId="264">
      <calculatedColumnFormula>Inputs!AL177*IF(Inputs!$E177="Real",1,AP$5)</calculatedColumnFormula>
    </tableColumn>
    <tableColumn id="39" xr3:uid="{9E082729-AA76-468C-B6AB-E97D7F1F8B58}" name="2056" dataDxfId="263">
      <calculatedColumnFormula>Inputs!AM177*IF(Inputs!$E177="Real",1,AQ$5)</calculatedColumnFormula>
    </tableColumn>
    <tableColumn id="40" xr3:uid="{5D997216-0294-4814-873C-37E1D20746FC}" name="2057" dataDxfId="262">
      <calculatedColumnFormula>Inputs!AN177*IF(Inputs!$E177="Real",1,AR$5)</calculatedColumnFormula>
    </tableColumn>
    <tableColumn id="41" xr3:uid="{E43100BE-1EE2-4630-95AF-3A2A7265155F}" name="2058" dataDxfId="261">
      <calculatedColumnFormula>Inputs!AO177*IF(Inputs!$E177="Real",1,AS$5)</calculatedColumnFormula>
    </tableColumn>
    <tableColumn id="42" xr3:uid="{0DFCD776-A11B-4EBE-9586-066D3B336250}" name="2059" dataDxfId="260">
      <calculatedColumnFormula>Inputs!AP177*IF(Inputs!$E177="Real",1,AT$5)</calculatedColumnFormula>
    </tableColumn>
    <tableColumn id="43" xr3:uid="{4E19EAD8-C3D5-42F5-9387-8840691A69A2}" name="2060" dataDxfId="259">
      <calculatedColumnFormula>Inputs!AQ177*IF(Inputs!$E177="Real",1,AU$5)</calculatedColumnFormula>
    </tableColumn>
    <tableColumn id="44" xr3:uid="{7B6EF146-BBAA-443F-89E7-F2973F419D39}" name="2061" dataDxfId="258">
      <calculatedColumnFormula>Inputs!AR177*IF(Inputs!$E177="Real",1,AV$5)</calculatedColumnFormula>
    </tableColumn>
    <tableColumn id="45" xr3:uid="{8DD439D1-02CC-404C-9B0F-797828178262}" name="2062" dataDxfId="257">
      <calculatedColumnFormula>Inputs!AS177*IF(Inputs!$E177="Real",1,AW$5)</calculatedColumnFormula>
    </tableColumn>
    <tableColumn id="46" xr3:uid="{D93B344B-BFB2-4B91-923F-7DD8D1B561EC}" name="2063" dataDxfId="256">
      <calculatedColumnFormula>Inputs!AT177*IF(Inputs!$E177="Real",1,AX$5)</calculatedColumnFormula>
    </tableColumn>
    <tableColumn id="47" xr3:uid="{A36CECA0-5287-4583-AA0D-61784770A62D}" name="2064" dataDxfId="255">
      <calculatedColumnFormula>Inputs!AU177*IF(Inputs!$E177="Real",1,AY$5)</calculatedColumnFormula>
    </tableColumn>
    <tableColumn id="48" xr3:uid="{5EE4A770-B360-40E7-B8E2-F8A2D5B31F62}" name="2065" dataDxfId="254">
      <calculatedColumnFormula>Inputs!AV177*IF(Inputs!$E177="Real",1,AZ$5)</calculatedColumnFormula>
    </tableColumn>
    <tableColumn id="49" xr3:uid="{8EED656E-0E78-4DE8-871B-02E05F92F2A1}" name="2066" dataDxfId="253">
      <calculatedColumnFormula>Inputs!AW177*IF(Inputs!$E177="Real",1,BA$5)</calculatedColumnFormula>
    </tableColumn>
    <tableColumn id="50" xr3:uid="{4C8559CA-D5B2-43D5-9A93-8E82916E5EAC}" name="2067" dataDxfId="252">
      <calculatedColumnFormula>Inputs!AX177*IF(Inputs!$E177="Real",1,BB$5)</calculatedColumnFormula>
    </tableColumn>
    <tableColumn id="51" xr3:uid="{3D246111-ED34-400D-974A-3E396A56DCBA}" name="2068" dataDxfId="251">
      <calculatedColumnFormula>Inputs!AY177*IF(Inputs!$E177="Real",1,BC$5)</calculatedColumnFormula>
    </tableColumn>
    <tableColumn id="52" xr3:uid="{EA1D6146-5F9E-44C6-A152-3B5DD07ABC4A}" name="2069" dataDxfId="250">
      <calculatedColumnFormula>Inputs!AZ177*IF(Inputs!$E177="Real",1,BD$5)</calculatedColumnFormula>
    </tableColumn>
    <tableColumn id="53" xr3:uid="{D2CCF7E2-29BC-4C64-AF3E-BE626AA11676}" name="2070" dataDxfId="249">
      <calculatedColumnFormula>Inputs!BA177*IF(Inputs!$E177="Real",1,BE$5)</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36A040-CA8F-4BC8-BB75-CB1F2BC421BD}" name="Tax_PP" displayName="Tax_PP" ref="E163:BE164" totalsRowShown="0" headerRowDxfId="248" dataDxfId="247" tableBorderDxfId="246">
  <autoFilter ref="E163:BE164" xr:uid="{9C36A040-CA8F-4BC8-BB75-CB1F2BC421BD}"/>
  <tableColumns count="53">
    <tableColumn id="1" xr3:uid="{3E8802A3-559F-467B-9694-FCF3A78D7657}" name="ProjectId" dataDxfId="245">
      <calculatedColumnFormula>'Project description'!$B$5</calculatedColumnFormula>
    </tableColumn>
    <tableColumn id="2" xr3:uid="{55F35FFC-CF3A-4A29-97BD-F6571F2368B9}" name="LifeCycleMonths" dataDxfId="244">
      <calculatedColumnFormula>Lists!$B$34</calculatedColumnFormula>
    </tableColumn>
    <tableColumn id="3" xr3:uid="{6206FF71-1F9B-4F47-992D-AB10920B4C0C}" name="Scenario" dataDxfId="243"/>
    <tableColumn id="4" xr3:uid="{793894B4-5C2C-430B-98D7-5D615143570F}" name="Tax" dataDxfId="242"/>
    <tableColumn id="5" xr3:uid="{047ADC11-1B49-4D44-B52C-C0B2F82DE8E9}" name="Value basis" dataDxfId="241"/>
    <tableColumn id="6" xr3:uid="{860CA898-C08F-4BEA-B580-D99B08D978C9}" name="Base year" dataDxfId="240">
      <calculatedColumnFormula>Analysis_year</calculatedColumnFormula>
    </tableColumn>
    <tableColumn id="7" xr3:uid="{AAD25824-EA19-46D6-B242-06290A367B91}" name="Applicant comment" dataDxfId="239" dataCellStyle="Comma">
      <calculatedColumnFormula>IF(Inputs!G181="","",Inputs!G181)</calculatedColumnFormula>
    </tableColumn>
    <tableColumn id="8" xr3:uid="{32AD7B4E-FFCA-433C-B16E-EE9C0DA0EF7B}" name="2025" dataDxfId="238">
      <calculatedColumnFormula>Inputs!H181*L$5</calculatedColumnFormula>
    </tableColumn>
    <tableColumn id="9" xr3:uid="{A4BDD07F-84F1-437A-BE3F-F7FA120D2D9D}" name="2026" dataDxfId="237">
      <calculatedColumnFormula>Inputs!I181*M$5</calculatedColumnFormula>
    </tableColumn>
    <tableColumn id="10" xr3:uid="{9DAEB7F3-8C9B-4BDA-8500-91844C4E4884}" name="2027" dataDxfId="236">
      <calculatedColumnFormula>Inputs!J181*N$5</calculatedColumnFormula>
    </tableColumn>
    <tableColumn id="11" xr3:uid="{13A2B905-01D2-4F8D-9E8E-9E7F57376896}" name="2028" dataDxfId="235">
      <calculatedColumnFormula>Inputs!K181*O$5</calculatedColumnFormula>
    </tableColumn>
    <tableColumn id="12" xr3:uid="{054EF062-2ADF-42E1-9AD0-D728D493397D}" name="2029" dataDxfId="234">
      <calculatedColumnFormula>Inputs!L181*P$5</calculatedColumnFormula>
    </tableColumn>
    <tableColumn id="13" xr3:uid="{92078292-5A0A-425D-A3DD-E9AB22D6C672}" name="2030" dataDxfId="233">
      <calculatedColumnFormula>Inputs!M181*Q$5</calculatedColumnFormula>
    </tableColumn>
    <tableColumn id="14" xr3:uid="{34AA86A7-B378-4029-B1A0-009739F0842F}" name="2031" dataDxfId="232">
      <calculatedColumnFormula>Inputs!N181*R$5</calculatedColumnFormula>
    </tableColumn>
    <tableColumn id="15" xr3:uid="{8E7EE7E2-0476-40FD-B0BE-326FA6AB0013}" name="2032" dataDxfId="231">
      <calculatedColumnFormula>Inputs!O181*S$5</calculatedColumnFormula>
    </tableColumn>
    <tableColumn id="16" xr3:uid="{3DD8EB44-AFB9-4D07-847C-16A068348E93}" name="2033" dataDxfId="230">
      <calculatedColumnFormula>Inputs!P181*T$5</calculatedColumnFormula>
    </tableColumn>
    <tableColumn id="17" xr3:uid="{B21039E9-96CC-4434-8BA5-96580E477C2A}" name="2034" dataDxfId="229">
      <calculatedColumnFormula>Inputs!Q181*U$5</calculatedColumnFormula>
    </tableColumn>
    <tableColumn id="18" xr3:uid="{6624B78E-4387-4B4C-AB21-8F36AC54BA62}" name="2035" dataDxfId="228">
      <calculatedColumnFormula>Inputs!R181*V$5</calculatedColumnFormula>
    </tableColumn>
    <tableColumn id="19" xr3:uid="{C7F7C0FE-06C7-4A1D-8DEA-8C39744A24C8}" name="2036" dataDxfId="227">
      <calculatedColumnFormula>Inputs!S181*W$5</calculatedColumnFormula>
    </tableColumn>
    <tableColumn id="20" xr3:uid="{A9C60F77-C8B1-4241-909C-F252225968B4}" name="2037" dataDxfId="226">
      <calculatedColumnFormula>Inputs!T181*X$5</calculatedColumnFormula>
    </tableColumn>
    <tableColumn id="21" xr3:uid="{855E6E66-6827-4878-8CF0-AE9DBA65CD4A}" name="2038" dataDxfId="225">
      <calculatedColumnFormula>Inputs!U181*Y$5</calculatedColumnFormula>
    </tableColumn>
    <tableColumn id="22" xr3:uid="{56D51882-8DBB-482B-86B7-F5D1F31C010C}" name="2039" dataDxfId="224">
      <calculatedColumnFormula>Inputs!V181*Z$5</calculatedColumnFormula>
    </tableColumn>
    <tableColumn id="23" xr3:uid="{389D7EA4-4C8C-48E7-B721-14335D36FFCE}" name="2040" dataDxfId="223">
      <calculatedColumnFormula>Inputs!W181*AA$5</calculatedColumnFormula>
    </tableColumn>
    <tableColumn id="24" xr3:uid="{9EC2A68F-C20C-40E1-9DE2-803EBAF380D3}" name="2041" dataDxfId="222">
      <calculatedColumnFormula>Inputs!X181*AB$5</calculatedColumnFormula>
    </tableColumn>
    <tableColumn id="25" xr3:uid="{784B70FA-536B-4ABD-974C-3D97137BAC1B}" name="2042" dataDxfId="221">
      <calculatedColumnFormula>Inputs!Y181*AC$5</calculatedColumnFormula>
    </tableColumn>
    <tableColumn id="26" xr3:uid="{CE837274-DEB6-465C-B491-A3EDA28D1F3F}" name="2043" dataDxfId="220">
      <calculatedColumnFormula>Inputs!Z181*AD$5</calculatedColumnFormula>
    </tableColumn>
    <tableColumn id="27" xr3:uid="{F5FA5909-ADDD-4C1A-A11B-4BC7C53A532D}" name="2044" dataDxfId="219">
      <calculatedColumnFormula>Inputs!AA181*AE$5</calculatedColumnFormula>
    </tableColumn>
    <tableColumn id="28" xr3:uid="{5C512CC0-7203-406C-B136-68C350318FF7}" name="2045" dataDxfId="218">
      <calculatedColumnFormula>Inputs!AB181*AF$5</calculatedColumnFormula>
    </tableColumn>
    <tableColumn id="29" xr3:uid="{84725FFA-9E26-4A76-B4C0-964681D73E05}" name="2046" dataDxfId="217">
      <calculatedColumnFormula>Inputs!AC181*AG$5</calculatedColumnFormula>
    </tableColumn>
    <tableColumn id="30" xr3:uid="{BEB89C8C-07AF-4643-A1EA-DD5D0331A776}" name="2047" dataDxfId="216">
      <calculatedColumnFormula>Inputs!AD181*AH$5</calculatedColumnFormula>
    </tableColumn>
    <tableColumn id="31" xr3:uid="{B68F2D90-7E2B-407E-AC3C-395A8DA998A6}" name="2048" dataDxfId="215">
      <calculatedColumnFormula>Inputs!AE181*AI$5</calculatedColumnFormula>
    </tableColumn>
    <tableColumn id="32" xr3:uid="{03B5B93B-C907-4056-920F-8EF6616E1894}" name="2049" dataDxfId="214">
      <calculatedColumnFormula>Inputs!AF181*AJ$5</calculatedColumnFormula>
    </tableColumn>
    <tableColumn id="33" xr3:uid="{6EEA1BA9-3C0D-4D3D-AED8-CA85D2330DB2}" name="2050" dataDxfId="213">
      <calculatedColumnFormula>Inputs!AG181*AK$5</calculatedColumnFormula>
    </tableColumn>
    <tableColumn id="34" xr3:uid="{95853AAA-F68A-4BC7-A68C-1C36793B2838}" name="2051" dataDxfId="212">
      <calculatedColumnFormula>Inputs!AH181*AL$5</calculatedColumnFormula>
    </tableColumn>
    <tableColumn id="35" xr3:uid="{28775047-111D-4235-844B-AB3F34C8746D}" name="2052" dataDxfId="211">
      <calculatedColumnFormula>Inputs!AI181*AM$5</calculatedColumnFormula>
    </tableColumn>
    <tableColumn id="36" xr3:uid="{934418C4-FB71-463E-91D4-64D2CA16AC8A}" name="2053" dataDxfId="210">
      <calculatedColumnFormula>Inputs!AJ181*AN$5</calculatedColumnFormula>
    </tableColumn>
    <tableColumn id="37" xr3:uid="{7A5CE4EB-F7DA-4699-A25D-CF102DDB8618}" name="2054" dataDxfId="209">
      <calculatedColumnFormula>Inputs!AK181*AO$5</calculatedColumnFormula>
    </tableColumn>
    <tableColumn id="38" xr3:uid="{81860C06-8645-4CB6-8672-78FECC9CD502}" name="2055" dataDxfId="208">
      <calculatedColumnFormula>Inputs!AL181*AP$5</calculatedColumnFormula>
    </tableColumn>
    <tableColumn id="39" xr3:uid="{5A61D5FF-EBC6-45C8-A0BD-CA7AFC2C76E3}" name="2056" dataDxfId="207">
      <calculatedColumnFormula>Inputs!AM181*AQ$5</calculatedColumnFormula>
    </tableColumn>
    <tableColumn id="40" xr3:uid="{D7E659D9-8FC0-4CB3-B6CB-180F87E35BE1}" name="2057" dataDxfId="206">
      <calculatedColumnFormula>Inputs!AN181*AR$5</calculatedColumnFormula>
    </tableColumn>
    <tableColumn id="41" xr3:uid="{5B3B4B75-CBE0-4D74-886C-3916A09AB040}" name="2058" dataDxfId="205">
      <calculatedColumnFormula>Inputs!AO181*AS$5</calculatedColumnFormula>
    </tableColumn>
    <tableColumn id="42" xr3:uid="{E3D0E5C4-D45E-4A6E-BCDF-05D8A16A14AD}" name="2059" dataDxfId="204">
      <calculatedColumnFormula>Inputs!AP181*AT$5</calculatedColumnFormula>
    </tableColumn>
    <tableColumn id="43" xr3:uid="{D0C28222-AB16-4FAD-8182-E822B1244BB6}" name="2060" dataDxfId="203">
      <calculatedColumnFormula>Inputs!AQ181*AU$5</calculatedColumnFormula>
    </tableColumn>
    <tableColumn id="44" xr3:uid="{513DB51C-176C-40CB-BE9D-55AFF85C8B06}" name="2061" dataDxfId="202">
      <calculatedColumnFormula>Inputs!AR181*AV$5</calculatedColumnFormula>
    </tableColumn>
    <tableColumn id="45" xr3:uid="{31859B0E-361F-467F-BC73-EAF948993B5D}" name="2062" dataDxfId="201">
      <calculatedColumnFormula>Inputs!AS181*AW$5</calculatedColumnFormula>
    </tableColumn>
    <tableColumn id="46" xr3:uid="{AA185E38-5780-4180-B755-F3813833AD55}" name="2063" dataDxfId="200">
      <calculatedColumnFormula>Inputs!AT181*AX$5</calculatedColumnFormula>
    </tableColumn>
    <tableColumn id="47" xr3:uid="{8F08D042-DBEA-4E66-A1B0-5E1ADCA43014}" name="2064" dataDxfId="199">
      <calculatedColumnFormula>Inputs!AU181*AY$5</calculatedColumnFormula>
    </tableColumn>
    <tableColumn id="48" xr3:uid="{2D9A56F5-EB1D-4F3F-A030-AC15BCA84BFE}" name="2065" dataDxfId="198">
      <calculatedColumnFormula>Inputs!AV181*AZ$5</calculatedColumnFormula>
    </tableColumn>
    <tableColumn id="49" xr3:uid="{94DBBAF6-D6DD-433E-B1EC-2F2322C0222F}" name="2066" dataDxfId="197">
      <calculatedColumnFormula>Inputs!AW181*BA$5</calculatedColumnFormula>
    </tableColumn>
    <tableColumn id="50" xr3:uid="{B5F3E34D-B3D0-499C-8280-8C12C95913D4}" name="2067" dataDxfId="196">
      <calculatedColumnFormula>Inputs!AX181*BB$5</calculatedColumnFormula>
    </tableColumn>
    <tableColumn id="51" xr3:uid="{BBC2A8D2-4E68-4A62-A792-A456577369C7}" name="2068" dataDxfId="195">
      <calculatedColumnFormula>Inputs!AY181*BC$5</calculatedColumnFormula>
    </tableColumn>
    <tableColumn id="52" xr3:uid="{929D4E83-7350-41B7-AFE2-136585FDB87E}" name="2069" dataDxfId="194">
      <calculatedColumnFormula>Inputs!AZ181*BD$5</calculatedColumnFormula>
    </tableColumn>
    <tableColumn id="53" xr3:uid="{45AD4762-492D-4D9C-8061-0A48C8567A1A}" name="2070" dataDxfId="193">
      <calculatedColumnFormula>Inputs!BA181*BE$5</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508DCD0-A94A-4C46-A960-63553FFFCB1F}" name="Tax_BC" displayName="Tax_BC" ref="E166:BE167" totalsRowShown="0" headerRowDxfId="192" dataDxfId="191" tableBorderDxfId="190">
  <autoFilter ref="E166:BE167" xr:uid="{1508DCD0-A94A-4C46-A960-63553FFFCB1F}"/>
  <tableColumns count="53">
    <tableColumn id="1" xr3:uid="{C4F78F31-257F-4C4D-A483-49258551C522}" name="ProjectId" dataDxfId="189">
      <calculatedColumnFormula>'Project description'!$B$5</calculatedColumnFormula>
    </tableColumn>
    <tableColumn id="2" xr3:uid="{47C1CD8F-4D64-458F-B685-6310C310CC24}" name="LifeCycleMonths" dataDxfId="188">
      <calculatedColumnFormula>Lists!$B$34</calculatedColumnFormula>
    </tableColumn>
    <tableColumn id="3" xr3:uid="{5C9094AC-5B61-4886-B34C-CC987CC934B9}" name="Scenario" dataDxfId="187"/>
    <tableColumn id="4" xr3:uid="{CDA85E56-09F1-4227-91E4-56EFDDC53372}" name="Tax" dataDxfId="186"/>
    <tableColumn id="5" xr3:uid="{DDBE6049-0CDA-4C61-887B-739EA9E35553}" name="Value basis" dataDxfId="185"/>
    <tableColumn id="6" xr3:uid="{525A7594-BA7E-4812-AD08-9B225996C93E}" name="Base year" dataDxfId="184">
      <calculatedColumnFormula>Analysis_year</calculatedColumnFormula>
    </tableColumn>
    <tableColumn id="7" xr3:uid="{EF18CA81-66C3-4367-A456-EA705CFAC36D}" name="Applicant comment" dataDxfId="183" dataCellStyle="Comma">
      <calculatedColumnFormula>IF(Inputs!G184="","",Inputs!G184)</calculatedColumnFormula>
    </tableColumn>
    <tableColumn id="8" xr3:uid="{CF968DD1-B463-4EEE-8E8C-C8393CBA1160}" name="2025" dataDxfId="182">
      <calculatedColumnFormula>Inputs!H184*L$5</calculatedColumnFormula>
    </tableColumn>
    <tableColumn id="9" xr3:uid="{CF67D867-A244-41D1-A452-47AD02DD9DF1}" name="2026" dataDxfId="181">
      <calculatedColumnFormula>Inputs!I184*M$5</calculatedColumnFormula>
    </tableColumn>
    <tableColumn id="10" xr3:uid="{2D03996E-11A0-4949-9788-9675734DADB6}" name="2027" dataDxfId="180">
      <calculatedColumnFormula>Inputs!J184*N$5</calculatedColumnFormula>
    </tableColumn>
    <tableColumn id="11" xr3:uid="{466909BC-1B0E-47B2-8B35-63BE6D3AFB14}" name="2028" dataDxfId="179">
      <calculatedColumnFormula>Inputs!K184*O$5</calculatedColumnFormula>
    </tableColumn>
    <tableColumn id="12" xr3:uid="{32DCAB4C-943A-4567-87DD-3CDA56084584}" name="2029" dataDxfId="178">
      <calculatedColumnFormula>Inputs!L184*P$5</calculatedColumnFormula>
    </tableColumn>
    <tableColumn id="13" xr3:uid="{C3D541E5-0D8D-4DD6-9FE5-DF296B5ED1A6}" name="2030" dataDxfId="177">
      <calculatedColumnFormula>Inputs!M184*Q$5</calculatedColumnFormula>
    </tableColumn>
    <tableColumn id="14" xr3:uid="{E416AE23-1AFE-4D84-98BC-A0BF36C2BD57}" name="2031" dataDxfId="176">
      <calculatedColumnFormula>Inputs!N184*R$5</calculatedColumnFormula>
    </tableColumn>
    <tableColumn id="15" xr3:uid="{70DD5FA2-8BC3-4305-9FD5-C18DC4FAFB47}" name="2032" dataDxfId="175">
      <calculatedColumnFormula>Inputs!O184*S$5</calculatedColumnFormula>
    </tableColumn>
    <tableColumn id="16" xr3:uid="{8E37156A-7C42-47D9-8680-EFB7E5C5E70C}" name="2033" dataDxfId="174">
      <calculatedColumnFormula>Inputs!P184*T$5</calculatedColumnFormula>
    </tableColumn>
    <tableColumn id="17" xr3:uid="{FA74A593-C536-487A-841B-74B59DB278F7}" name="2034" dataDxfId="173">
      <calculatedColumnFormula>Inputs!Q184*U$5</calculatedColumnFormula>
    </tableColumn>
    <tableColumn id="18" xr3:uid="{E8A2AEA3-A390-4747-88EE-A65896BB3825}" name="2035" dataDxfId="172">
      <calculatedColumnFormula>Inputs!R184*V$5</calculatedColumnFormula>
    </tableColumn>
    <tableColumn id="19" xr3:uid="{AC3DF211-E573-44DD-96EB-0927CE5356F5}" name="2036" dataDxfId="171">
      <calculatedColumnFormula>Inputs!S184*W$5</calculatedColumnFormula>
    </tableColumn>
    <tableColumn id="20" xr3:uid="{0116F32F-8281-4120-A360-D0B4EEE5735B}" name="2037" dataDxfId="170">
      <calculatedColumnFormula>Inputs!T184*X$5</calculatedColumnFormula>
    </tableColumn>
    <tableColumn id="21" xr3:uid="{E77D59DF-F8F1-4257-A605-E64CD8A09D50}" name="2038" dataDxfId="169">
      <calculatedColumnFormula>Inputs!U184*Y$5</calculatedColumnFormula>
    </tableColumn>
    <tableColumn id="22" xr3:uid="{EB37F506-AAAF-489D-A496-9072B290FC45}" name="2039" dataDxfId="168">
      <calculatedColumnFormula>Inputs!V184*Z$5</calculatedColumnFormula>
    </tableColumn>
    <tableColumn id="23" xr3:uid="{63BDCD49-47C5-4C44-8881-ABFDD2A3AEAF}" name="2040" dataDxfId="167">
      <calculatedColumnFormula>Inputs!W184*AA$5</calculatedColumnFormula>
    </tableColumn>
    <tableColumn id="24" xr3:uid="{F30B4F8C-F95A-47B3-B967-018B859A29E4}" name="2041" dataDxfId="166">
      <calculatedColumnFormula>Inputs!X184*AB$5</calculatedColumnFormula>
    </tableColumn>
    <tableColumn id="25" xr3:uid="{73AECAF2-D76F-4BC5-8852-85DFD4A12DB4}" name="2042" dataDxfId="165">
      <calculatedColumnFormula>Inputs!Y184*AC$5</calculatedColumnFormula>
    </tableColumn>
    <tableColumn id="26" xr3:uid="{8CC18A69-9ECC-4EB5-BCD6-3F4A997D56F0}" name="2043" dataDxfId="164">
      <calculatedColumnFormula>Inputs!Z184*AD$5</calculatedColumnFormula>
    </tableColumn>
    <tableColumn id="27" xr3:uid="{8D638679-A223-49E1-9B4B-F21AC3BAAC48}" name="2044" dataDxfId="163">
      <calculatedColumnFormula>Inputs!AA184*AE$5</calculatedColumnFormula>
    </tableColumn>
    <tableColumn id="28" xr3:uid="{7B66DCAC-DFF3-4BAD-9033-13655F87C17E}" name="2045" dataDxfId="162">
      <calculatedColumnFormula>Inputs!AB184*AF$5</calculatedColumnFormula>
    </tableColumn>
    <tableColumn id="29" xr3:uid="{8C222B41-DC2F-4766-82B7-45883E5DF2E8}" name="2046" dataDxfId="161">
      <calculatedColumnFormula>Inputs!AC184*AG$5</calculatedColumnFormula>
    </tableColumn>
    <tableColumn id="30" xr3:uid="{019D1F22-2EF1-42D1-B1BC-6E792D70BE54}" name="2047" dataDxfId="160">
      <calculatedColumnFormula>Inputs!AD184*AH$5</calculatedColumnFormula>
    </tableColumn>
    <tableColumn id="31" xr3:uid="{7BD10A7A-C0D4-4300-B9E3-AE955B087A3A}" name="2048" dataDxfId="159">
      <calculatedColumnFormula>Inputs!AE184*AI$5</calculatedColumnFormula>
    </tableColumn>
    <tableColumn id="32" xr3:uid="{7FC6899C-5E74-4151-A7FB-269018CC0D6A}" name="2049" dataDxfId="158">
      <calculatedColumnFormula>Inputs!AF184*AJ$5</calculatedColumnFormula>
    </tableColumn>
    <tableColumn id="33" xr3:uid="{1F2C846F-3DCA-46C9-8959-CB3A0397B0FF}" name="2050" dataDxfId="157">
      <calculatedColumnFormula>Inputs!AG184*AK$5</calculatedColumnFormula>
    </tableColumn>
    <tableColumn id="34" xr3:uid="{A46AE6FA-56F5-4D47-9315-5AB5B0E9F63E}" name="2051" dataDxfId="156">
      <calculatedColumnFormula>Inputs!AH184*AL$5</calculatedColumnFormula>
    </tableColumn>
    <tableColumn id="35" xr3:uid="{875141F0-EA89-4308-AE33-0ABFBC7661D9}" name="2052" dataDxfId="155">
      <calculatedColumnFormula>Inputs!AI184*AM$5</calculatedColumnFormula>
    </tableColumn>
    <tableColumn id="36" xr3:uid="{5D02FD1F-9936-47D8-983E-192E8F91168B}" name="2053" dataDxfId="154">
      <calculatedColumnFormula>Inputs!AJ184*AN$5</calculatedColumnFormula>
    </tableColumn>
    <tableColumn id="37" xr3:uid="{EB982819-31B6-4C4F-B00A-BD3867A0E888}" name="2054" dataDxfId="153">
      <calculatedColumnFormula>Inputs!AK184*AO$5</calculatedColumnFormula>
    </tableColumn>
    <tableColumn id="38" xr3:uid="{4D2E6658-CEB2-45CE-98BC-CD743E1F986E}" name="2055" dataDxfId="152">
      <calculatedColumnFormula>Inputs!AL184*AP$5</calculatedColumnFormula>
    </tableColumn>
    <tableColumn id="39" xr3:uid="{AA553990-6A7E-47E7-B4CE-54E8BB57C748}" name="2056" dataDxfId="151">
      <calculatedColumnFormula>Inputs!AM184*AQ$5</calculatedColumnFormula>
    </tableColumn>
    <tableColumn id="40" xr3:uid="{846451D2-C43E-4176-9ADE-CD93EEB6BF31}" name="2057" dataDxfId="150">
      <calculatedColumnFormula>Inputs!AN184*AR$5</calculatedColumnFormula>
    </tableColumn>
    <tableColumn id="41" xr3:uid="{C6421EA6-BBF3-42DC-9E50-E47D5117FC2F}" name="2058" dataDxfId="149">
      <calculatedColumnFormula>Inputs!AO184*AS$5</calculatedColumnFormula>
    </tableColumn>
    <tableColumn id="42" xr3:uid="{4EDA3353-ADCE-4A1C-9EA0-DC017A5F3EA3}" name="2059" dataDxfId="148">
      <calculatedColumnFormula>Inputs!AP184*AT$5</calculatedColumnFormula>
    </tableColumn>
    <tableColumn id="43" xr3:uid="{92DA8FF1-EAAB-4560-ABCF-8151F2AFF2E6}" name="2060" dataDxfId="147">
      <calculatedColumnFormula>Inputs!AQ184*AU$5</calculatedColumnFormula>
    </tableColumn>
    <tableColumn id="44" xr3:uid="{D1B2C138-EEFB-4008-A0C8-71F21B78D685}" name="2061" dataDxfId="146">
      <calculatedColumnFormula>Inputs!AR184*AV$5</calculatedColumnFormula>
    </tableColumn>
    <tableColumn id="45" xr3:uid="{9E691BFA-47D5-4656-8A0C-0D4CA100DD4F}" name="2062" dataDxfId="145">
      <calculatedColumnFormula>Inputs!AS184*AW$5</calculatedColumnFormula>
    </tableColumn>
    <tableColumn id="46" xr3:uid="{96241CB4-9F5A-427C-A8C9-0E17129788C0}" name="2063" dataDxfId="144">
      <calculatedColumnFormula>Inputs!AT184*AX$5</calculatedColumnFormula>
    </tableColumn>
    <tableColumn id="47" xr3:uid="{D399BE48-F461-4728-9EF7-EF6D0C8EEB80}" name="2064" dataDxfId="143">
      <calculatedColumnFormula>Inputs!AU184*AY$5</calculatedColumnFormula>
    </tableColumn>
    <tableColumn id="48" xr3:uid="{8A72DD62-A4C4-44F2-A4FB-97C03FB6CB6E}" name="2065" dataDxfId="142">
      <calculatedColumnFormula>Inputs!AV184*AZ$5</calculatedColumnFormula>
    </tableColumn>
    <tableColumn id="49" xr3:uid="{1A2DDC48-0F22-4157-BE4C-446AE1189E5D}" name="2066" dataDxfId="141">
      <calculatedColumnFormula>Inputs!AW184*BA$5</calculatedColumnFormula>
    </tableColumn>
    <tableColumn id="50" xr3:uid="{B95015E3-7D1C-4C0F-9726-58423589BF61}" name="2067" dataDxfId="140">
      <calculatedColumnFormula>Inputs!AX184*BB$5</calculatedColumnFormula>
    </tableColumn>
    <tableColumn id="51" xr3:uid="{D81C6113-E8CB-4137-9EA2-E4BA96ADD8D2}" name="2068" dataDxfId="139">
      <calculatedColumnFormula>Inputs!AY184*BC$5</calculatedColumnFormula>
    </tableColumn>
    <tableColumn id="52" xr3:uid="{7D25A27E-60B3-4078-8160-6EC2EE6AEC98}" name="2069" dataDxfId="138">
      <calculatedColumnFormula>Inputs!AZ184*BD$5</calculatedColumnFormula>
    </tableColumn>
    <tableColumn id="53" xr3:uid="{5016869D-5237-45B3-A5EB-0D54C8333553}" name="2070" dataDxfId="137">
      <calculatedColumnFormula>Inputs!BA184*BE$5</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D9D739-C4F6-4AD9-9E43-818728E22458}" name="NationalPerspective" displayName="NationalPerspective" ref="A4:C7" totalsRowShown="0" headerRowDxfId="136" headerRowBorderDxfId="135" tableBorderDxfId="134" totalsRowBorderDxfId="133">
  <autoFilter ref="A4:C7" xr:uid="{EAD9D739-C4F6-4AD9-9E43-818728E22458}"/>
  <tableColumns count="3">
    <tableColumn id="1" xr3:uid="{537402C4-30EB-41A1-9935-F282C16AF915}" name="NPV" dataDxfId="132"/>
    <tableColumn id="2" xr3:uid="{1A8BAC23-213B-4CE1-92BA-81471C04B606}" name="2%"/>
    <tableColumn id="3" xr3:uid="{C969BAED-364B-494D-891C-C7B1E93F6DE6}" name="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AB4C6F-8544-4BC7-B268-C96A5C6EC5C3}" name="PrivatePerspective" displayName="PrivatePerspective" ref="A11:C15" totalsRowShown="0" headerRowDxfId="131" tableBorderDxfId="130">
  <autoFilter ref="A11:C15" xr:uid="{F8AB4C6F-8544-4BC7-B268-C96A5C6EC5C3}"/>
  <tableColumns count="3">
    <tableColumn id="1" xr3:uid="{E476D2F3-EAFA-4AD5-B869-5A1948589649}" name="Private Returns"/>
    <tableColumn id="2" xr3:uid="{E1E799D6-B317-401E-AD86-DDB008AE0B1C}" name="Pre-tax Nominal"/>
    <tableColumn id="3" xr3:uid="{6164B5CF-A6B8-4565-BAD3-018C28507308}" name="IRR"/>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2C439E-A8C8-47F1-9358-DC2340C11B20}" name="EnergySavingsGJ" displayName="EnergySavingsGJ" ref="A18:AV30" totalsRowShown="0" headerRowDxfId="129" dataDxfId="127" headerRowBorderDxfId="128" tableBorderDxfId="126">
  <autoFilter ref="A18:AV30" xr:uid="{202C439E-A8C8-47F1-9358-DC2340C11B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1" xr3:uid="{E81E28C5-300D-4BD6-88DF-B06178DEE368}" name="Energy savings (GJ)"/>
    <tableColumn id="2" xr3:uid="{AB7EB2C2-2BE1-476F-95C8-71DA27D80884}" name="Total" dataDxfId="125"/>
    <tableColumn id="3" xr3:uid="{D0863768-C358-46D4-822D-EB997F1F1AD4}" name="2025" dataDxfId="124"/>
    <tableColumn id="4" xr3:uid="{FED2C7EB-4E16-44DF-A5A8-FA62D6BDC422}" name="2026" dataDxfId="123"/>
    <tableColumn id="5" xr3:uid="{E8EFDF40-BF58-49F0-B43A-78599ED9BB70}" name="2027" dataDxfId="122"/>
    <tableColumn id="6" xr3:uid="{905EC315-E6D0-4FA0-8292-FDAD1707E8D4}" name="2028" dataDxfId="121"/>
    <tableColumn id="7" xr3:uid="{DB2EC09D-3C56-4467-8C15-A2ED2FB6127A}" name="2029" dataDxfId="120"/>
    <tableColumn id="8" xr3:uid="{00E48007-FAA2-4DB9-B696-09EC8C7E4E9F}" name="2030" dataDxfId="119"/>
    <tableColumn id="9" xr3:uid="{9518C58F-6F16-4005-914A-07AD93391AD1}" name="2031" dataDxfId="118"/>
    <tableColumn id="10" xr3:uid="{EEF57777-01F1-41C8-81D7-2712C670A212}" name="2032" dataDxfId="117"/>
    <tableColumn id="11" xr3:uid="{90557055-51C2-432D-AA16-32CEA33D06EB}" name="2033" dataDxfId="116"/>
    <tableColumn id="12" xr3:uid="{F29564AB-5294-4125-84AF-9F3CAF4F98AB}" name="2034" dataDxfId="115"/>
    <tableColumn id="13" xr3:uid="{A793C600-8E4D-4EF5-858D-B1A3F8061491}" name="2035" dataDxfId="114"/>
    <tableColumn id="14" xr3:uid="{02AF88D6-4D50-4763-B175-E6D790C18D54}" name="2036" dataDxfId="113"/>
    <tableColumn id="15" xr3:uid="{9A004E5E-E4C1-46BF-A961-FC19F3FAC47F}" name="2037" dataDxfId="112"/>
    <tableColumn id="16" xr3:uid="{616180D7-1919-4AE1-B159-1A8545F3B779}" name="2038" dataDxfId="111"/>
    <tableColumn id="17" xr3:uid="{93E08BC3-F827-4D8B-B198-86D842DF78D3}" name="2039" dataDxfId="110"/>
    <tableColumn id="18" xr3:uid="{1C749073-7658-4C38-836E-6397CA3CE428}" name="2040" dataDxfId="109"/>
    <tableColumn id="19" xr3:uid="{ED054982-FD64-4730-9539-CB62BCC74474}" name="2041" dataDxfId="108"/>
    <tableColumn id="20" xr3:uid="{3BD92319-A836-41A9-8711-152925EFF73E}" name="2042" dataDxfId="107"/>
    <tableColumn id="21" xr3:uid="{E4987B74-6FD6-4E29-A74D-1159BB5EF77F}" name="2043" dataDxfId="106"/>
    <tableColumn id="22" xr3:uid="{3EF99888-1634-4399-8563-CCB461D5E1D6}" name="2044" dataDxfId="105"/>
    <tableColumn id="23" xr3:uid="{292E3B5F-DDB5-4BC6-A633-744399778511}" name="2045" dataDxfId="104"/>
    <tableColumn id="24" xr3:uid="{BF3B79E2-6320-4781-A310-9B6772489DC4}" name="2046" dataDxfId="103"/>
    <tableColumn id="25" xr3:uid="{F6FF5820-BBA5-49E6-B2FD-39EEF86E2C76}" name="2047" dataDxfId="102"/>
    <tableColumn id="26" xr3:uid="{AA324F1E-E938-49B0-A7DB-79273F13F751}" name="2048" dataDxfId="101"/>
    <tableColumn id="27" xr3:uid="{0517F0D4-5A6E-4B9A-A205-A2A27ED79FAD}" name="2049" dataDxfId="100"/>
    <tableColumn id="28" xr3:uid="{493B03E8-7DE8-49B0-B2FF-A1F5D92C9C4D}" name="2050" dataDxfId="99"/>
    <tableColumn id="29" xr3:uid="{5F104C59-3D15-437C-84A1-552820435757}" name="2051" dataDxfId="98"/>
    <tableColumn id="30" xr3:uid="{57E51910-F250-4082-8873-A7AF7786AEE7}" name="2052" dataDxfId="97"/>
    <tableColumn id="31" xr3:uid="{2E28DBAF-66FF-46DE-9EDE-B2522BB5964D}" name="2053" dataDxfId="96"/>
    <tableColumn id="32" xr3:uid="{9BFA0EFF-9AC8-4C96-885E-23FEC5BAF9B9}" name="2054" dataDxfId="95"/>
    <tableColumn id="33" xr3:uid="{B36E7947-2617-465C-9FB1-BA77A458EF38}" name="2055" dataDxfId="94"/>
    <tableColumn id="34" xr3:uid="{F08EF3F0-84A6-4F31-8622-6072A6B3A970}" name="2056" dataDxfId="93"/>
    <tableColumn id="35" xr3:uid="{C8C4E252-A932-4E8C-BE28-DD52B2DC54B2}" name="2057" dataDxfId="92"/>
    <tableColumn id="36" xr3:uid="{13C9C906-312B-45DF-81CA-F2E1D422374E}" name="2058" dataDxfId="91"/>
    <tableColumn id="37" xr3:uid="{66CBDFBE-03B9-4BB4-B8CA-F601E295EF20}" name="2059" dataDxfId="90"/>
    <tableColumn id="38" xr3:uid="{7A14AC40-11C8-4C25-8BD0-3EE95A6BE8D0}" name="2060" dataDxfId="89"/>
    <tableColumn id="39" xr3:uid="{444B1576-62F6-4319-8042-516571F55164}" name="2061" dataDxfId="88"/>
    <tableColumn id="40" xr3:uid="{58B6EAB7-A989-441F-AFD2-801C2752F42C}" name="2062" dataDxfId="87"/>
    <tableColumn id="41" xr3:uid="{495838E5-BD30-4EF6-A843-0492D65EDA00}" name="2063" dataDxfId="86"/>
    <tableColumn id="42" xr3:uid="{9A6FE9FE-F70E-49CE-B319-6AE4FA8F016D}" name="2064" dataDxfId="85"/>
    <tableColumn id="43" xr3:uid="{035679AF-E90C-46F6-997B-5BE940E01E4A}" name="2065" dataDxfId="84"/>
    <tableColumn id="44" xr3:uid="{2B21C3FE-9808-4901-9541-F639270A8AF3}" name="2066" dataDxfId="83"/>
    <tableColumn id="45" xr3:uid="{E3D863A6-FDC9-4F94-9BEE-DAD154816A33}" name="2067" dataDxfId="82"/>
    <tableColumn id="46" xr3:uid="{B66C1A76-A924-4358-9578-98AE78B87BCF}" name="2068" dataDxfId="81"/>
    <tableColumn id="47" xr3:uid="{30C77C91-C16D-415D-AE88-E224D6D6FDDF}" name="2069" dataDxfId="80"/>
    <tableColumn id="48" xr3:uid="{28FF8FAA-1A42-4F00-AD38-09F7960F6E33}" name="2070" dataDxfId="79"/>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5C2A02-63D7-4542-9829-CD746618E07A}" name="EnergySavingsDollars" displayName="EnergySavingsDollars" ref="A32:AV44" totalsRowShown="0" headerRowDxfId="78" dataDxfId="76" headerRowBorderDxfId="77" tableBorderDxfId="75">
  <autoFilter ref="A32:AV44" xr:uid="{305C2A02-63D7-4542-9829-CD746618E0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1" xr3:uid="{C04D3FF5-1D98-4E2B-919D-C27C2D441DBF}" name="Energy savings ($)"/>
    <tableColumn id="2" xr3:uid="{DD510766-1A2C-4423-8572-F8080CE8FB3B}" name="Total" dataDxfId="74"/>
    <tableColumn id="3" xr3:uid="{C96C2143-F0E8-45F1-8862-FCF89C1C9DC6}" name="2025" dataDxfId="73"/>
    <tableColumn id="4" xr3:uid="{DF59BEBA-B7CF-49A0-BA29-3C4FF3EBE3D3}" name="2026" dataDxfId="72"/>
    <tableColumn id="5" xr3:uid="{24380B26-7558-49B6-8E68-B475CB906BED}" name="2027" dataDxfId="71"/>
    <tableColumn id="6" xr3:uid="{77E955CB-40E7-4CCD-ADFE-017503B8FB3B}" name="2028" dataDxfId="70"/>
    <tableColumn id="7" xr3:uid="{FAF48983-43EC-46D4-A7FE-560775011C68}" name="2029" dataDxfId="69"/>
    <tableColumn id="8" xr3:uid="{2DE4B0E5-20C1-46CB-A219-55F587015704}" name="2030" dataDxfId="68"/>
    <tableColumn id="9" xr3:uid="{0704E33E-A958-400E-9B83-700E293664B3}" name="2031" dataDxfId="67"/>
    <tableColumn id="10" xr3:uid="{3CD34DC5-3067-47E3-BD4A-15698480351D}" name="2032" dataDxfId="66"/>
    <tableColumn id="11" xr3:uid="{EC240343-2CA3-4B89-8B8A-2B572CE67174}" name="2033" dataDxfId="65"/>
    <tableColumn id="12" xr3:uid="{145EA6FB-E6C6-46D7-88DD-8B6BCB1EE7CD}" name="2034" dataDxfId="64"/>
    <tableColumn id="13" xr3:uid="{6ECC0E07-9047-4C8A-B6DC-893E6E75CBC4}" name="2035" dataDxfId="63"/>
    <tableColumn id="14" xr3:uid="{F028DE00-4088-42A9-A29F-606A4CC6061F}" name="2036" dataDxfId="62"/>
    <tableColumn id="15" xr3:uid="{B2FA9FA0-5798-42AE-B5DF-F3F88F222372}" name="2037" dataDxfId="61"/>
    <tableColumn id="16" xr3:uid="{EFB2F4CF-AD9F-427C-87DD-FFBEA632A44E}" name="2038" dataDxfId="60"/>
    <tableColumn id="17" xr3:uid="{66D9B940-D8AC-473A-9EA3-CB7700A95F79}" name="2039" dataDxfId="59"/>
    <tableColumn id="18" xr3:uid="{CBBBA003-B909-41BC-9535-E0EDBD918A48}" name="2040" dataDxfId="58"/>
    <tableColumn id="19" xr3:uid="{F18D5664-BC3F-49A5-86AF-742D8D090F2F}" name="2041" dataDxfId="57"/>
    <tableColumn id="20" xr3:uid="{10D46771-7FA1-42F9-B166-35D7BE28D30F}" name="2042" dataDxfId="56"/>
    <tableColumn id="21" xr3:uid="{51DE042A-4DC7-4DC0-8D24-958675F64145}" name="2043" dataDxfId="55"/>
    <tableColumn id="22" xr3:uid="{BC4F0485-7639-4575-AB71-2325D9F79869}" name="2044" dataDxfId="54"/>
    <tableColumn id="23" xr3:uid="{BCD45FD8-4B98-4C2B-A3F7-29645338F515}" name="2045" dataDxfId="53"/>
    <tableColumn id="24" xr3:uid="{690A29C3-00A9-459F-BD54-26424590DD6A}" name="2046" dataDxfId="52"/>
    <tableColumn id="25" xr3:uid="{B2CD634B-87C4-40DF-B2FE-5779260147E0}" name="2047" dataDxfId="51"/>
    <tableColumn id="26" xr3:uid="{AC86185E-CF66-48D6-924E-F22D8F158154}" name="2048" dataDxfId="50"/>
    <tableColumn id="27" xr3:uid="{95F77234-0B8C-4465-8F9A-35F18AAC2ED2}" name="2049" dataDxfId="49"/>
    <tableColumn id="28" xr3:uid="{40453074-1673-49FD-82F0-943C5A19A90F}" name="2050" dataDxfId="48"/>
    <tableColumn id="29" xr3:uid="{9BE12E32-C75F-45F9-A5B7-20327F58BABA}" name="2051" dataDxfId="47"/>
    <tableColumn id="30" xr3:uid="{12F9F2C8-81E6-4C39-BBA6-CD53DE4851A6}" name="2052" dataDxfId="46"/>
    <tableColumn id="31" xr3:uid="{938EF030-E94B-48E1-8652-842B00744E0B}" name="2053" dataDxfId="45"/>
    <tableColumn id="32" xr3:uid="{8F5ABE0C-C44D-4FEE-8D84-29A4E1BD17D2}" name="2054" dataDxfId="44"/>
    <tableColumn id="33" xr3:uid="{4CB54700-8421-4275-8915-4921FB65693E}" name="2055" dataDxfId="43"/>
    <tableColumn id="34" xr3:uid="{677EEED1-4B10-4D8B-8AC9-800D422B8893}" name="2056" dataDxfId="42"/>
    <tableColumn id="35" xr3:uid="{ABF6EC29-814F-4499-B6B3-A0D4A9F97F35}" name="2057" dataDxfId="41"/>
    <tableColumn id="36" xr3:uid="{8045FB91-DCAE-4508-B4C4-E3F93FA32ACB}" name="2058" dataDxfId="40"/>
    <tableColumn id="37" xr3:uid="{8243BDEB-8917-4087-8905-A5671761BB51}" name="2059" dataDxfId="39"/>
    <tableColumn id="38" xr3:uid="{43FC86CB-1E03-4F5A-9061-FBBC1DEA7C75}" name="2060" dataDxfId="38"/>
    <tableColumn id="39" xr3:uid="{BF07FD11-35A8-4581-8B62-6314B0A32DA4}" name="2061" dataDxfId="37"/>
    <tableColumn id="40" xr3:uid="{E6DC09B2-6F4D-4AED-B037-8EE334B08DE1}" name="2062" dataDxfId="36"/>
    <tableColumn id="41" xr3:uid="{84738485-A7F3-433C-865B-E97DFF295E74}" name="2063" dataDxfId="35"/>
    <tableColumn id="42" xr3:uid="{AE879F10-F2A1-4098-BF39-577D65063123}" name="2064" dataDxfId="34"/>
    <tableColumn id="43" xr3:uid="{32425CFE-99DC-4763-8618-094FEFF5B631}" name="2065" dataDxfId="33"/>
    <tableColumn id="44" xr3:uid="{6452871B-3557-4C07-8760-1805280255EF}" name="2066" dataDxfId="32"/>
    <tableColumn id="45" xr3:uid="{4631F3B2-DB9D-4E74-8700-F6306E4DADDC}" name="2067" dataDxfId="31"/>
    <tableColumn id="46" xr3:uid="{63E01735-C7F9-4CEC-BA86-589D26EA3DDA}" name="2068" dataDxfId="30"/>
    <tableColumn id="47" xr3:uid="{913D0F3B-4C07-4062-864B-77F8901D101B}" name="2069" dataDxfId="29"/>
    <tableColumn id="48" xr3:uid="{83F2B0FD-A798-432F-A2EC-8C97A2E52312}" name="2070" dataDxfId="2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071523C-D373-4252-A4A3-356914FC18CD}" name="Repayment" displayName="Repayment" ref="A46:AV49" totalsRowShown="0" headerRowDxfId="27" headerRowBorderDxfId="26">
  <autoFilter ref="A46:AV49" xr:uid="{E071523C-D373-4252-A4A3-356914FC18C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1" xr3:uid="{021474D2-F7C2-441F-9D86-A71500205F90}" name="Repayment"/>
    <tableColumn id="2" xr3:uid="{9FBC02F1-C176-45C1-AF8E-3C2F85916B6A}" name="Total" dataDxfId="25"/>
    <tableColumn id="3" xr3:uid="{CF7DDA69-B742-422C-AEAA-00567D41BCE9}" name="2025"/>
    <tableColumn id="4" xr3:uid="{7F8514B8-3257-4DBE-9F03-FC3DADD75E4D}" name="2026"/>
    <tableColumn id="5" xr3:uid="{50A304D4-A88B-4556-AB8B-8800E0B38896}" name="2027"/>
    <tableColumn id="6" xr3:uid="{B38942FC-466A-4578-B6BC-F03DE0019BB8}" name="2028"/>
    <tableColumn id="7" xr3:uid="{805F80D9-6B0A-4C1E-B551-6255C9005F03}" name="2029"/>
    <tableColumn id="8" xr3:uid="{95079177-9F26-4539-B207-EE91FFCC940E}" name="2030"/>
    <tableColumn id="9" xr3:uid="{FFC293E3-08AB-45EB-98E3-77F436E65BA2}" name="2031"/>
    <tableColumn id="10" xr3:uid="{AFA9C497-FFD2-4405-92A4-73E6AFE7C838}" name="2032"/>
    <tableColumn id="11" xr3:uid="{A1D3EB39-EC4E-4B0F-B5E8-D47C4D544B41}" name="2033"/>
    <tableColumn id="12" xr3:uid="{D2638E44-ACFB-4105-8FD4-D58F61251962}" name="2034"/>
    <tableColumn id="13" xr3:uid="{4DB883C1-EC90-4147-9500-DA34ECE0AF74}" name="2035"/>
    <tableColumn id="14" xr3:uid="{B4E0C532-4A1B-43A8-A77B-470E23DA3940}" name="2036"/>
    <tableColumn id="15" xr3:uid="{1C4FB728-C1B3-4E79-8204-3E942EF0A3B0}" name="2037"/>
    <tableColumn id="16" xr3:uid="{DF72E53E-976F-4EDF-8358-E55BFA3386ED}" name="2038"/>
    <tableColumn id="17" xr3:uid="{3E13C31E-C8EB-4869-BBA5-D738890F7BF7}" name="2039"/>
    <tableColumn id="18" xr3:uid="{9B22925F-71D3-4A1A-9F53-43EE8E42A6FA}" name="2040"/>
    <tableColumn id="19" xr3:uid="{DDE1762B-6F4E-4601-9DA8-023A3674DF59}" name="2041"/>
    <tableColumn id="20" xr3:uid="{3D9B2FEE-7E56-4A01-87EC-78E6A8925A13}" name="2042"/>
    <tableColumn id="21" xr3:uid="{935B63EF-578F-40F4-8AE0-73790E76F9ED}" name="2043"/>
    <tableColumn id="22" xr3:uid="{163C649A-C676-4334-8130-30F40195695F}" name="2044"/>
    <tableColumn id="23" xr3:uid="{9469C7BC-C84D-47EC-A58D-1299B00C6D3B}" name="2045"/>
    <tableColumn id="24" xr3:uid="{127CD3F7-90B4-4145-BF2C-DDB1EAB81E49}" name="2046"/>
    <tableColumn id="25" xr3:uid="{D5E34E47-7C89-4AEB-B1C3-34D13C66D508}" name="2047"/>
    <tableColumn id="26" xr3:uid="{AD04EF5A-7D24-4CF4-9DE5-59F833C21B87}" name="2048"/>
    <tableColumn id="27" xr3:uid="{670F2D47-D5FF-4B3E-8664-DBA91FB495BE}" name="2049"/>
    <tableColumn id="28" xr3:uid="{0ADC6700-30C7-4B67-BB2A-723C1A6E1625}" name="2050"/>
    <tableColumn id="29" xr3:uid="{12E7EF66-D8E4-4909-B17F-D249B2A5B204}" name="2051"/>
    <tableColumn id="30" xr3:uid="{9B4C34C6-60AF-4DD3-A1A2-66B6AE44FD36}" name="2052"/>
    <tableColumn id="31" xr3:uid="{F736DBF4-2DBC-4494-AE0B-F2E54956DF5F}" name="2053"/>
    <tableColumn id="32" xr3:uid="{31FC4294-972A-4A38-9CBF-BE3B73D2EA5E}" name="2054"/>
    <tableColumn id="33" xr3:uid="{19EA4025-D9E9-4D7A-81C8-D3E93ED22563}" name="2055"/>
    <tableColumn id="34" xr3:uid="{9E49A40D-F116-467D-9A4F-AF35F84029D4}" name="2056"/>
    <tableColumn id="35" xr3:uid="{F327FC5E-2438-44B3-BCC4-9490773EAB8C}" name="2057"/>
    <tableColumn id="36" xr3:uid="{DD7B3E4C-E4F8-44CC-B6A9-A1CAAB5BB536}" name="2058"/>
    <tableColumn id="37" xr3:uid="{080B1E7B-5DE9-453C-B230-E533FEB7A565}" name="2059"/>
    <tableColumn id="38" xr3:uid="{5534FCD9-0456-4F40-93AD-090BD5D07399}" name="2060"/>
    <tableColumn id="39" xr3:uid="{0D28084E-80DF-4CE0-A086-8102C9BD6DAD}" name="2061"/>
    <tableColumn id="40" xr3:uid="{60147C3E-F5FC-4D20-9F35-29293396CAA8}" name="2062"/>
    <tableColumn id="41" xr3:uid="{D2B58C5D-0028-4AA2-A6D0-6157835DD63E}" name="2063"/>
    <tableColumn id="42" xr3:uid="{69016F55-3BC2-4C0F-9615-4194E28A0965}" name="2064"/>
    <tableColumn id="43" xr3:uid="{09CBE240-FE39-4305-AEE0-A690196867BA}" name="2065"/>
    <tableColumn id="44" xr3:uid="{F17EE2F0-C1F0-41D7-A81A-08B6ADADFE29}" name="2066"/>
    <tableColumn id="45" xr3:uid="{865C2324-70B8-4E9D-9F4B-0C2BBD764541}" name="2067"/>
    <tableColumn id="46" xr3:uid="{D9531AC0-194A-4730-B1EF-8922A8B414AE}" name="2068"/>
    <tableColumn id="47" xr3:uid="{C3488A01-7C4D-47C3-A22A-7A0E62FCE257}" name="2069"/>
    <tableColumn id="48" xr3:uid="{CDFF7300-94E8-4F02-9E55-4F5C09F20424}" name="207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859F35-E2CC-42C7-BA82-AFD96BC5BAF3}" name="Emissions" displayName="Emissions" ref="B6:AY30" totalsRowShown="0" headerRowDxfId="24" dataDxfId="22" headerRowBorderDxfId="23" tableBorderDxfId="21">
  <autoFilter ref="B6:AY30" xr:uid="{E4859F35-E2CC-42C7-BA82-AFD96BC5BA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autoFilter>
  <tableColumns count="50">
    <tableColumn id="1" xr3:uid="{42AC9C2C-60DA-453E-936C-072DAD4004C9}" name="ProjectId" dataDxfId="20">
      <calculatedColumnFormula>'Project description'!$B$5</calculatedColumnFormula>
    </tableColumn>
    <tableColumn id="2" xr3:uid="{97849204-20E2-4B56-BE90-E42BABCAA5D1}" name="LifeCycleMonths" dataDxfId="19">
      <calculatedColumnFormula>Lists!$B$34</calculatedColumnFormula>
    </tableColumn>
    <tableColumn id="3" xr3:uid="{D8C09B27-6377-4EED-93D6-7A120050CFC1}" name="Scenario"/>
    <tableColumn id="4" xr3:uid="{F952060B-7007-43D4-9B05-EFC755C41D86}" name="Fuel type"/>
    <tableColumn id="5" xr3:uid="{CCB7BDBE-FB87-4AA8-B544-E6304E2790DC}" name="2025"/>
    <tableColumn id="6" xr3:uid="{82FE3119-5227-498F-81AE-05745DF9C6BB}" name="2026"/>
    <tableColumn id="7" xr3:uid="{2D976B1A-F11C-40BB-9F8E-89D2EE4A2248}" name="2027"/>
    <tableColumn id="8" xr3:uid="{BA21B90E-E154-47FE-9A7A-FA41A73B18E1}" name="2028"/>
    <tableColumn id="9" xr3:uid="{206C2FA8-279D-4964-B600-E3850B5FDA43}" name="2029"/>
    <tableColumn id="10" xr3:uid="{4E6E5887-D8A9-401C-B062-46CD7B75755A}" name="2030"/>
    <tableColumn id="11" xr3:uid="{865B14D0-C2DE-4AD5-82C2-6B657F5D383C}" name="2031"/>
    <tableColumn id="12" xr3:uid="{55A833DE-CB25-4549-AF0D-6DC0187E8A09}" name="2032"/>
    <tableColumn id="13" xr3:uid="{16F0DA89-045F-4A1D-9D5F-F050DF952B38}" name="2033"/>
    <tableColumn id="14" xr3:uid="{1E79F78B-AB19-46A6-935E-804553891972}" name="2034"/>
    <tableColumn id="15" xr3:uid="{76060C22-92C4-4007-A5FD-5869252A2953}" name="2035"/>
    <tableColumn id="16" xr3:uid="{69A2A561-5FE5-4BB6-90B9-83B9107F1705}" name="2036"/>
    <tableColumn id="17" xr3:uid="{DC4C5DF5-E88A-41B1-82F1-837C36D3700F}" name="2037"/>
    <tableColumn id="18" xr3:uid="{4563FD4C-BEFB-4DCA-801F-166D664CA651}" name="2038"/>
    <tableColumn id="19" xr3:uid="{52EAD205-128F-48A0-BA1C-6D487E5BFBE3}" name="2039"/>
    <tableColumn id="20" xr3:uid="{CC427113-B19A-4BED-87A7-730387DCE563}" name="2040"/>
    <tableColumn id="21" xr3:uid="{A18BF18B-B9C9-4A90-BE96-7701204FF367}" name="2041"/>
    <tableColumn id="22" xr3:uid="{9E7C5BF1-EB40-484C-9A80-0D9FACFFF208}" name="2042"/>
    <tableColumn id="23" xr3:uid="{464C2A08-1F44-4432-B9DE-A2A03CFD4396}" name="2043"/>
    <tableColumn id="24" xr3:uid="{61A7BDA9-C800-42CA-89F8-1A70F234460A}" name="2044"/>
    <tableColumn id="25" xr3:uid="{C7F6A1EF-1CA5-4CA8-BC21-620A0487B208}" name="2045"/>
    <tableColumn id="26" xr3:uid="{EA0B54E7-E2A8-411E-82E2-6F836B49E1C2}" name="2046"/>
    <tableColumn id="27" xr3:uid="{D0EB40F1-57B0-45DB-B070-FCA70C41DF54}" name="2047"/>
    <tableColumn id="28" xr3:uid="{02140DA9-C53D-43DE-8FDA-E7F86964808D}" name="2048"/>
    <tableColumn id="29" xr3:uid="{33914190-EE61-4939-AA15-FBA6512B0A71}" name="2049"/>
    <tableColumn id="30" xr3:uid="{D6B1C6C1-D6A2-4E79-A74E-AEF51D26565A}" name="2050"/>
    <tableColumn id="31" xr3:uid="{89FE2183-19CE-4EBB-B6C3-5E1798D99867}" name="2051"/>
    <tableColumn id="32" xr3:uid="{428AA3F5-B9F9-49EE-B1DB-B9987107FF1C}" name="2052"/>
    <tableColumn id="33" xr3:uid="{C9607E61-34A3-4A3F-B5BB-58A9DFB0ECCD}" name="2053"/>
    <tableColumn id="34" xr3:uid="{229C4593-00F2-4C14-87A4-42B319F7A912}" name="2054"/>
    <tableColumn id="35" xr3:uid="{9BC123B2-0E17-4C4D-B4C4-3090260BCA6A}" name="2055"/>
    <tableColumn id="36" xr3:uid="{BEA0C172-163E-4990-953F-EABC90E24E8D}" name="2056"/>
    <tableColumn id="37" xr3:uid="{FB60C706-04D4-4014-B9FE-E75627C616A6}" name="2057"/>
    <tableColumn id="38" xr3:uid="{591B40BC-CF2C-4A31-B6B5-0E16259FDD44}" name="2058"/>
    <tableColumn id="39" xr3:uid="{21BFB9A8-1E3F-42A4-B9FA-1FDC1B077F83}" name="2059"/>
    <tableColumn id="40" xr3:uid="{FC3548F4-6913-4CA1-83F5-34FF81A26DCC}" name="2060"/>
    <tableColumn id="41" xr3:uid="{EE60BE94-8F0E-4221-9A8D-F44DC30C074B}" name="2061"/>
    <tableColumn id="42" xr3:uid="{002E99D3-A6E4-46B2-A4E1-A8337A09E4E9}" name="2062"/>
    <tableColumn id="43" xr3:uid="{CF3D32D6-E4B7-4238-A110-E9F3227A8535}" name="2063"/>
    <tableColumn id="44" xr3:uid="{992BC027-497F-484E-859D-16233910B65E}" name="2064"/>
    <tableColumn id="45" xr3:uid="{7426E2E8-907D-472B-B174-166CD1C5D404}" name="2065"/>
    <tableColumn id="46" xr3:uid="{73DDB762-76E5-49A1-8EB0-FB20596B2156}" name="2066"/>
    <tableColumn id="47" xr3:uid="{DF06FCAE-FE43-443A-AF70-0E034B2901DA}" name="2067"/>
    <tableColumn id="48" xr3:uid="{5981B378-72E1-4662-87A4-2E96916E6739}" name="2068"/>
    <tableColumn id="49" xr3:uid="{84CC0D34-0C9F-40C5-AD6D-CBEECB60FA7F}" name="2069"/>
    <tableColumn id="50" xr3:uid="{65BBA01B-E4A3-40DB-886A-974DD6702092}" name="207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8" dT="2022-06-05T20:05:43.99" personId="{8F510751-4C33-41B4-AFD4-28C15096B2E7}" id="{A7D28B31-006B-4DD7-B3B8-D6DEE14F717E}">
    <text>Which regional council or unitary authority, using definitions as per https://www.lgnz.co.nz/regionals/</text>
  </threadedComment>
  <threadedComment ref="A10" dT="2022-06-05T20:05:43.99" personId="{8F510751-4C33-41B4-AFD4-28C15096B2E7}" id="{00785D79-8C39-4750-B93A-43689D21D5E2}">
    <text>The date of submission of the application - together with the expected commissioning date, this is used to calculate the speed of implementation score.</text>
  </threadedComment>
  <threadedComment ref="A11" dT="2022-05-26T20:56:08.98" personId="{8F510751-4C33-41B4-AFD4-28C15096B2E7}" id="{BC8A5110-8E44-4051-B634-1E6F001E07AF}">
    <text>This is the calendar year during which the first expenditure on the Preferred Project occurs.</text>
  </threadedComment>
  <threadedComment ref="A12" dT="2022-05-26T20:56:49.22" personId="{8F510751-4C33-41B4-AFD4-28C15096B2E7}" id="{975BF996-6160-458C-9D3E-874E9928F5F2}">
    <text>This is the date when the project will become operational.</text>
  </threadedComment>
  <threadedComment ref="A21" dT="2022-05-12T22:52:11.20" personId="{8F510751-4C33-41B4-AFD4-28C15096B2E7}" id="{47576FD6-7A28-4D90-B987-2CC838C583DF}">
    <text>Commercial Buildings: please respond with “No”. Commercial space heating is not governed by the RMA rules for industrial process heat.
Industrial: if your project reduces coal consumption, please note that the use of coal to provide industrial process heat is subject to the Resource Management (National Environmental Standards for Greenhouse Gas Emissions from Industrial Process Heat) Regulations 2023 (SL 2023/165) – New Zealand Legislation.</text>
    <extLst>
      <x:ext xmlns:xltc2="http://schemas.microsoft.com/office/spreadsheetml/2020/threadedcomments2" uri="{F7C98A9C-CBB3-438F-8F68-D28B6AF4A901}">
        <xltc2:checksum>3314694119</xltc2:checksum>
        <xltc2:hyperlink startIndex="276" length="169" url="https://www.legislation.govt.nz/regulation/public/2023/0165/latest/whole.html#LMS607159"/>
      </x:ext>
    </extLst>
  </threadedComment>
  <threadedComment ref="A22" dT="2022-05-12T22:52:11.20" personId="{8F510751-4C33-41B4-AFD4-28C15096B2E7}" id="{3FD8E67A-959B-46C4-8DCC-4440936DFF75}">
    <text>With reference to Resource Management (National Environmental Standards for Greenhouse Gas Emissions from Industrial Process Heat) Regulations 2023 (SL 2023/165) – New Zealand Legislation, the only valid project would be one that brought forward the timing of the requirement to phase-out the use of coal for industrial process heat from the start of 2037.</text>
    <extLst>
      <x:ext xmlns:xltc2="http://schemas.microsoft.com/office/spreadsheetml/2020/threadedcomments2" uri="{F7C98A9C-CBB3-438F-8F68-D28B6AF4A901}">
        <xltc2:checksum>2298268634</xltc2:checksum>
        <xltc2:hyperlink startIndex="18" length="169" url="https://www.legislation.govt.nz/regulation/public/2023/0165/latest/whole.html#LMS607159"/>
      </x:ext>
    </extLst>
  </threadedComment>
  <threadedComment ref="A23" dT="2022-05-12T22:52:11.20" personId="{8F510751-4C33-41B4-AFD4-28C15096B2E7}" id="{6D05732E-8BB9-4A0B-A27E-553E3E378C3F}">
    <text>Note that high temperature heat pump projects will be evaluated over a maximum lifetime of 20 years. Other projects will be evaluated over a maximum lifetime of up to 25 years.</text>
  </threadedComment>
</ThreadedComments>
</file>

<file path=xl/threadedComments/threadedComment2.xml><?xml version="1.0" encoding="utf-8"?>
<ThreadedComments xmlns="http://schemas.microsoft.com/office/spreadsheetml/2018/threadedcomments" xmlns:x="http://schemas.openxmlformats.org/spreadsheetml/2006/main">
  <threadedComment ref="G15" dT="2022-05-12T23:12:13.77" personId="{8F510751-4C33-41B4-AFD4-28C15096B2E7}" id="{9801518E-64FF-4CBE-A1DC-F0245DB133AB}">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27" dT="2022-05-12T23:12:13.77" personId="{8F510751-4C33-41B4-AFD4-28C15096B2E7}" id="{D68D2717-F572-44A4-807D-0C2863A29A3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40" dT="2022-05-11T21:34:41.57" personId="{8F510751-4C33-41B4-AFD4-28C15096B2E7}" id="{B9AE5672-E3D0-4E52-A06F-CBEAA5CB69E0}">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G41" dT="2022-05-12T23:12:13.77" personId="{8F510751-4C33-41B4-AFD4-28C15096B2E7}" id="{B187C689-E4F0-478E-AA93-20DBE15D78D4}">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52" dT="2022-05-12T23:12:13.77" personId="{8F510751-4C33-41B4-AFD4-28C15096B2E7}" id="{7B034D84-D197-4CCD-BC48-C2660418A64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63" dT="2022-05-12T23:12:13.77" personId="{8F510751-4C33-41B4-AFD4-28C15096B2E7}" id="{29CA0E7A-113A-49AC-A5B9-2A7C94F1B96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76" dT="2022-05-12T23:12:13.77" personId="{8F510751-4C33-41B4-AFD4-28C15096B2E7}" id="{4B95563D-A0EB-4FD6-B7FA-A0073CE9EAE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90" dT="2022-05-12T23:12:13.77" personId="{8F510751-4C33-41B4-AFD4-28C15096B2E7}" id="{6B3DF73A-A7E2-437D-BBF5-EFD2E905AA1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03" dT="2022-05-12T23:12:13.77" personId="{8F510751-4C33-41B4-AFD4-28C15096B2E7}" id="{134AB500-7A13-40D1-AE9F-230168DCBB1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116" dT="2022-05-11T21:33:56.57" personId="{8F510751-4C33-41B4-AFD4-28C15096B2E7}" id="{08B30D32-1AC9-4474-B627-2EB6E21F3DEB}">
    <text>'Fuel'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ext>
  </threadedComment>
  <threadedComment ref="G117" dT="2022-05-12T23:12:13.77" personId="{8F510751-4C33-41B4-AFD4-28C15096B2E7}" id="{B15D0C86-357E-43F5-AAE5-92B41466818E}">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32" dT="2022-05-12T23:12:13.77" personId="{8F510751-4C33-41B4-AFD4-28C15096B2E7}" id="{4715A132-1AAA-4372-9223-24B49E0D5CC8}">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49" dT="2022-05-12T23:12:13.77" personId="{8F510751-4C33-41B4-AFD4-28C15096B2E7}" id="{C625AEBE-BE42-4779-BD2B-F047E6F0DB1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60" dT="2022-05-12T23:12:13.77" personId="{8F510751-4C33-41B4-AFD4-28C15096B2E7}" id="{C4B8366A-7E67-4793-BBDC-7885AFBB0637}">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3" dT="2022-05-12T23:12:13.77" personId="{8F510751-4C33-41B4-AFD4-28C15096B2E7}" id="{39CF5F88-0E0B-4F53-9D76-70B56744FEA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6" dT="2022-05-12T23:12:13.77" personId="{8F510751-4C33-41B4-AFD4-28C15096B2E7}" id="{702DB999-FAF0-48F0-BAE3-0CF46FC0427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80" dT="2022-05-12T23:12:13.77" personId="{8F510751-4C33-41B4-AFD4-28C15096B2E7}" id="{2DF3B7A8-F7FE-42E2-B8EC-E0673788F5D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83" dT="2022-05-12T23:12:13.77" personId="{8F510751-4C33-41B4-AFD4-28C15096B2E7}" id="{AEBE9C18-2C3A-4F51-BA5E-E72A1E8953D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threadedComments/threadedComment3.xml><?xml version="1.0" encoding="utf-8"?>
<ThreadedComments xmlns="http://schemas.microsoft.com/office/spreadsheetml/2018/threadedcomments" xmlns:x="http://schemas.openxmlformats.org/spreadsheetml/2006/main">
  <threadedComment ref="K9" dT="2022-05-12T23:12:13.77" personId="{8F510751-4C33-41B4-AFD4-28C15096B2E7}" id="{EF2D52A9-30B0-43CF-B6B3-6646816A32A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9" dT="2022-05-12T23:12:13.77" personId="{8F510751-4C33-41B4-AFD4-28C15096B2E7}" id="{6A5321F3-4999-464F-899E-ACF57A8D7CA3}">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30" dT="2022-05-11T21:34:41.57" personId="{8F510751-4C33-41B4-AFD4-28C15096B2E7}" id="{FA4950CF-66C2-4222-B0A5-08C273CBBD28}">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K31" dT="2022-05-12T23:12:13.77" personId="{8F510751-4C33-41B4-AFD4-28C15096B2E7}" id="{5C5E1B04-8194-4DAF-B213-3E2C5C26BFC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40" dT="2022-05-12T23:12:13.77" personId="{8F510751-4C33-41B4-AFD4-28C15096B2E7}" id="{AF63B22B-EF48-4D4C-81E6-7E5BF669E035}">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I50" dT="2022-06-08T01:53:01.17" personId="{8F510751-4C33-41B4-AFD4-28C15096B2E7}" id="{03546D28-FB51-4264-9912-D4CB2EEDB03C}">
    <text>Use the drop-down menu to specify the type of fuel. Eg, Natural gas, LPG, etc.
Do not type different values, and do not leave a cell blank - i.e. leave as '&lt;Select&gt;' if there is no entry to make</text>
  </threadedComment>
  <threadedComment ref="J50" dT="2022-05-12T00:05:12.84" personId="{8F510751-4C33-41B4-AFD4-28C15096B2E7}" id="{550820E7-1CAA-4EED-AD07-350B2BE7F63C}">
    <text>Use the drop-down menu to specify the units of the fuel projection. Eg, GJ, kg, kWh, litre.
Do not type different values, and do not leave a cell blank - i.e. leave as '&lt;Select&gt;' if there is no entry to make</text>
  </threadedComment>
  <threadedComment ref="K50" dT="2022-05-12T23:12:13.77" personId="{8F510751-4C33-41B4-AFD4-28C15096B2E7}" id="{7C9CACC5-489A-45B8-A1A0-4D5A4A45008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63" dT="2022-05-12T23:12:13.77" personId="{8F510751-4C33-41B4-AFD4-28C15096B2E7}" id="{14FCC550-1EC7-4EBC-B59C-8CFA9BBFAD2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77" dT="2022-05-12T23:12:13.77" personId="{8F510751-4C33-41B4-AFD4-28C15096B2E7}" id="{9003105A-0263-4C11-902C-580A729D970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90" dT="2022-05-12T23:12:13.77" personId="{8F510751-4C33-41B4-AFD4-28C15096B2E7}" id="{56DFB85B-75CB-4DAC-AD91-7161B6BD1C88}">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103" dT="2022-05-11T21:33:56.57" personId="{8F510751-4C33-41B4-AFD4-28C15096B2E7}" id="{6A92E070-CA19-4ED2-B31F-0165B5D508F6}">
    <text>'Fuel'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ext>
  </threadedComment>
  <threadedComment ref="K104" dT="2022-05-12T23:12:13.77" personId="{8F510751-4C33-41B4-AFD4-28C15096B2E7}" id="{A8D9480C-8D67-459B-9031-3518A56FBF5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18" dT="2022-05-12T23:12:13.77" personId="{8F510751-4C33-41B4-AFD4-28C15096B2E7}" id="{5BF1CD45-FA60-47B3-AB3D-6DE4909A103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33" dT="2022-05-12T23:12:13.77" personId="{8F510751-4C33-41B4-AFD4-28C15096B2E7}" id="{CC565FF2-799D-4A86-A78E-71BD9C4F0009}">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43" dT="2022-05-12T23:12:13.77" personId="{8F510751-4C33-41B4-AFD4-28C15096B2E7}" id="{F6EB6B97-1FB0-4248-90E6-486303D69EC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56" dT="2022-05-12T23:12:13.77" personId="{8F510751-4C33-41B4-AFD4-28C15096B2E7}" id="{DDA9CE3A-F1B6-4335-9655-5EB84717868E}">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59" dT="2022-05-12T23:12:13.77" personId="{8F510751-4C33-41B4-AFD4-28C15096B2E7}" id="{5E130C58-3E68-4EFA-A534-4713BD9DBD8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63" dT="2022-05-12T23:12:13.77" personId="{8F510751-4C33-41B4-AFD4-28C15096B2E7}" id="{CECF92D3-3F1C-479D-851D-4C58C04F442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K166" dT="2022-05-12T23:12:13.77" personId="{8F510751-4C33-41B4-AFD4-28C15096B2E7}" id="{45475DB8-697E-4417-8771-0D409F7F79D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comments" Target="../comments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vmlDrawing" Target="../drawings/vmlDrawing3.v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microsoft.com/office/2017/10/relationships/threadedComment" Target="../threadedComments/threadedComment3.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3.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7B42-159F-4E48-A092-7BB3F687B955}">
  <dimension ref="B1:V12"/>
  <sheetViews>
    <sheetView showGridLines="0" zoomScaleNormal="100" workbookViewId="0">
      <selection activeCell="N18" sqref="N18"/>
    </sheetView>
  </sheetViews>
  <sheetFormatPr defaultRowHeight="14.5" x14ac:dyDescent="0.35"/>
  <cols>
    <col min="1" max="1" width="0.7265625" customWidth="1"/>
    <col min="22" max="22" width="17.90625" customWidth="1"/>
  </cols>
  <sheetData>
    <row r="1" spans="2:22" ht="14.5" customHeight="1" x14ac:dyDescent="0.35">
      <c r="B1" s="399" t="s">
        <v>326</v>
      </c>
      <c r="C1" s="399"/>
      <c r="D1" s="399"/>
      <c r="E1" s="399"/>
      <c r="F1" s="399"/>
      <c r="G1" s="399"/>
      <c r="H1" s="399"/>
      <c r="I1" s="399"/>
      <c r="J1" s="201"/>
      <c r="K1" s="201"/>
      <c r="L1" s="201"/>
      <c r="M1" s="201"/>
      <c r="N1" s="201"/>
      <c r="O1" s="201"/>
      <c r="P1" s="201"/>
      <c r="Q1" s="201"/>
    </row>
    <row r="2" spans="2:22" ht="20" customHeight="1" x14ac:dyDescent="0.35">
      <c r="B2" s="399"/>
      <c r="C2" s="399"/>
      <c r="D2" s="399"/>
      <c r="E2" s="399"/>
      <c r="F2" s="399"/>
      <c r="G2" s="399"/>
      <c r="H2" s="399"/>
      <c r="I2" s="399"/>
      <c r="J2" s="201"/>
      <c r="K2" s="201"/>
      <c r="L2" s="201"/>
      <c r="M2" s="201"/>
      <c r="N2" s="201"/>
      <c r="O2" s="201"/>
      <c r="P2" s="201"/>
      <c r="Q2" s="201"/>
    </row>
    <row r="3" spans="2:22" x14ac:dyDescent="0.35">
      <c r="B3" s="400" t="s">
        <v>327</v>
      </c>
      <c r="C3" s="400"/>
      <c r="D3" s="400"/>
      <c r="E3" s="400"/>
      <c r="F3" s="400"/>
      <c r="G3" s="400"/>
      <c r="H3" s="400"/>
      <c r="I3" s="400"/>
      <c r="J3" s="400"/>
      <c r="K3" s="400"/>
      <c r="L3" s="400"/>
      <c r="M3" s="400"/>
      <c r="N3" s="400"/>
      <c r="O3" s="400"/>
      <c r="P3" s="400"/>
      <c r="Q3" s="400"/>
      <c r="R3" s="400"/>
      <c r="S3" s="400"/>
    </row>
    <row r="4" spans="2:22" ht="32" customHeight="1" x14ac:dyDescent="0.35">
      <c r="B4" s="400"/>
      <c r="C4" s="400"/>
      <c r="D4" s="400"/>
      <c r="E4" s="400"/>
      <c r="F4" s="400"/>
      <c r="G4" s="400"/>
      <c r="H4" s="400"/>
      <c r="I4" s="400"/>
      <c r="J4" s="400"/>
      <c r="K4" s="400"/>
      <c r="L4" s="400"/>
      <c r="M4" s="400"/>
      <c r="N4" s="400"/>
      <c r="O4" s="400"/>
      <c r="P4" s="400"/>
      <c r="Q4" s="400"/>
      <c r="R4" s="400"/>
      <c r="S4" s="400"/>
    </row>
    <row r="5" spans="2:22" ht="8" customHeight="1" x14ac:dyDescent="0.35">
      <c r="B5" s="132"/>
    </row>
    <row r="6" spans="2:22" x14ac:dyDescent="0.35">
      <c r="B6" s="5" t="s">
        <v>325</v>
      </c>
    </row>
    <row r="7" spans="2:22" x14ac:dyDescent="0.35">
      <c r="B7" s="394" t="s">
        <v>339</v>
      </c>
      <c r="C7" s="394"/>
      <c r="D7" s="394"/>
      <c r="E7" s="395" t="s">
        <v>340</v>
      </c>
      <c r="F7" s="395"/>
      <c r="G7" s="395"/>
      <c r="H7" s="395"/>
      <c r="I7" s="395"/>
      <c r="J7" s="395"/>
      <c r="K7" s="395"/>
      <c r="L7" s="395"/>
      <c r="M7" s="395"/>
      <c r="N7" s="395"/>
      <c r="O7" s="395"/>
      <c r="P7" s="395"/>
      <c r="Q7" s="395"/>
      <c r="R7" s="395"/>
      <c r="S7" s="395"/>
      <c r="T7" s="395"/>
      <c r="U7" s="395"/>
      <c r="V7" s="395"/>
    </row>
    <row r="8" spans="2:22" x14ac:dyDescent="0.35">
      <c r="B8" s="394" t="s">
        <v>341</v>
      </c>
      <c r="C8" s="394"/>
      <c r="D8" s="394"/>
      <c r="E8" s="395" t="s">
        <v>342</v>
      </c>
      <c r="F8" s="395"/>
      <c r="G8" s="395"/>
      <c r="H8" s="395"/>
      <c r="I8" s="395"/>
      <c r="J8" s="395"/>
      <c r="K8" s="395"/>
      <c r="L8" s="395"/>
      <c r="M8" s="395"/>
      <c r="N8" s="395"/>
      <c r="O8" s="395"/>
      <c r="P8" s="395"/>
      <c r="Q8" s="395"/>
      <c r="R8" s="395"/>
      <c r="S8" s="395"/>
      <c r="T8" s="395"/>
      <c r="U8" s="395"/>
      <c r="V8" s="395"/>
    </row>
    <row r="9" spans="2:22" ht="14.5" customHeight="1" x14ac:dyDescent="0.35">
      <c r="B9" s="396" t="s">
        <v>343</v>
      </c>
      <c r="C9" s="396"/>
      <c r="D9" s="396"/>
      <c r="E9" s="397" t="s">
        <v>344</v>
      </c>
      <c r="F9" s="397"/>
      <c r="G9" s="397"/>
      <c r="H9" s="397"/>
      <c r="I9" s="397"/>
      <c r="J9" s="397"/>
      <c r="K9" s="397"/>
      <c r="L9" s="397"/>
      <c r="M9" s="397"/>
      <c r="N9" s="397"/>
      <c r="O9" s="397"/>
      <c r="P9" s="397"/>
      <c r="Q9" s="397"/>
      <c r="R9" s="397"/>
      <c r="S9" s="397"/>
      <c r="T9" s="397"/>
      <c r="U9" s="397"/>
      <c r="V9" s="397"/>
    </row>
    <row r="10" spans="2:22" x14ac:dyDescent="0.35">
      <c r="E10" s="397"/>
      <c r="F10" s="397"/>
      <c r="G10" s="397"/>
      <c r="H10" s="397"/>
      <c r="I10" s="397"/>
      <c r="J10" s="397"/>
      <c r="K10" s="397"/>
      <c r="L10" s="397"/>
      <c r="M10" s="397"/>
      <c r="N10" s="397"/>
      <c r="O10" s="397"/>
      <c r="P10" s="397"/>
      <c r="Q10" s="397"/>
      <c r="R10" s="397"/>
      <c r="S10" s="397"/>
      <c r="T10" s="397"/>
      <c r="U10" s="397"/>
      <c r="V10" s="397"/>
    </row>
    <row r="11" spans="2:22" ht="14.5" customHeight="1" x14ac:dyDescent="0.35">
      <c r="B11" s="396" t="s">
        <v>345</v>
      </c>
      <c r="C11" s="396"/>
      <c r="D11" s="396"/>
      <c r="E11" s="397" t="s">
        <v>347</v>
      </c>
      <c r="F11" s="397"/>
      <c r="G11" s="397"/>
      <c r="H11" s="397"/>
      <c r="I11" s="397"/>
      <c r="J11" s="397"/>
      <c r="K11" s="397"/>
      <c r="L11" s="397"/>
      <c r="M11" s="397"/>
      <c r="N11" s="397"/>
      <c r="O11" s="397"/>
      <c r="P11" s="397"/>
      <c r="Q11" s="397"/>
      <c r="R11" s="397"/>
      <c r="S11" s="397"/>
      <c r="T11" s="397"/>
      <c r="U11" s="397"/>
      <c r="V11" s="397"/>
    </row>
    <row r="12" spans="2:22" ht="14.5" customHeight="1" x14ac:dyDescent="0.35">
      <c r="B12" s="398" t="s">
        <v>346</v>
      </c>
      <c r="C12" s="398"/>
      <c r="D12" s="398"/>
      <c r="E12" s="397" t="s">
        <v>348</v>
      </c>
      <c r="F12" s="397"/>
      <c r="G12" s="397"/>
      <c r="H12" s="397"/>
      <c r="I12" s="397"/>
      <c r="J12" s="397"/>
      <c r="K12" s="397"/>
      <c r="L12" s="397"/>
      <c r="M12" s="397"/>
      <c r="N12" s="397"/>
      <c r="O12" s="397"/>
      <c r="P12" s="397"/>
      <c r="Q12" s="397"/>
      <c r="R12" s="397"/>
      <c r="S12" s="397"/>
      <c r="T12" s="397"/>
      <c r="U12" s="397"/>
      <c r="V12" s="397"/>
    </row>
  </sheetData>
  <sheetProtection algorithmName="SHA-512" hashValue="pMJ48hcH1NYgxBYhAVR7xvzRk0WSUuPRkG/Ft8M88JYOkVgUdaEyn6rLODtny/2iwfFYJgMbwsOHEAlHJtrTWg==" saltValue="Vz1FsYeemCt3BwQ2SDpTUg==" spinCount="100000" sheet="1" objects="1" scenarios="1"/>
  <mergeCells count="12">
    <mergeCell ref="B12:D12"/>
    <mergeCell ref="E12:V12"/>
    <mergeCell ref="B7:D7"/>
    <mergeCell ref="E7:V7"/>
    <mergeCell ref="B1:I2"/>
    <mergeCell ref="B3:S4"/>
    <mergeCell ref="B8:D8"/>
    <mergeCell ref="E8:V8"/>
    <mergeCell ref="B9:D9"/>
    <mergeCell ref="E9:V10"/>
    <mergeCell ref="B11:D11"/>
    <mergeCell ref="E11:V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E49D-9CDE-4115-A66C-0112CA6723FB}">
  <sheetPr codeName="Sheet1">
    <tabColor theme="4"/>
  </sheetPr>
  <dimension ref="A1:F32"/>
  <sheetViews>
    <sheetView showGridLines="0" tabSelected="1" zoomScaleNormal="100" workbookViewId="0">
      <selection activeCell="E11" sqref="E11"/>
    </sheetView>
  </sheetViews>
  <sheetFormatPr defaultRowHeight="14.5" x14ac:dyDescent="0.35"/>
  <cols>
    <col min="1" max="1" width="74.1796875" customWidth="1"/>
    <col min="2" max="2" width="36.08984375" customWidth="1"/>
    <col min="3" max="3" width="57.90625" bestFit="1" customWidth="1"/>
    <col min="4" max="4" width="28.81640625" style="41" bestFit="1" customWidth="1"/>
    <col min="5" max="5" width="55.453125" bestFit="1" customWidth="1"/>
    <col min="6" max="6" width="28.54296875" bestFit="1" customWidth="1"/>
  </cols>
  <sheetData>
    <row r="1" spans="1:6" ht="18.5" x14ac:dyDescent="0.45">
      <c r="A1" s="165" t="s">
        <v>0</v>
      </c>
      <c r="B1" s="166"/>
      <c r="C1" s="167"/>
    </row>
    <row r="2" spans="1:6" ht="38" customHeight="1" x14ac:dyDescent="0.35">
      <c r="A2" s="168" t="s">
        <v>1</v>
      </c>
      <c r="B2" s="401" t="s">
        <v>295</v>
      </c>
      <c r="C2" s="402"/>
    </row>
    <row r="3" spans="1:6" ht="16" customHeight="1" x14ac:dyDescent="0.35">
      <c r="A3" s="153" t="s">
        <v>280</v>
      </c>
      <c r="B3" s="153" t="s">
        <v>281</v>
      </c>
      <c r="C3" s="169" t="s">
        <v>282</v>
      </c>
    </row>
    <row r="4" spans="1:6" ht="16" customHeight="1" x14ac:dyDescent="0.35">
      <c r="A4" s="202" t="s">
        <v>308</v>
      </c>
      <c r="B4" s="155" t="s">
        <v>205</v>
      </c>
      <c r="C4" s="170"/>
    </row>
    <row r="5" spans="1:6" ht="16" customHeight="1" x14ac:dyDescent="0.35">
      <c r="A5" s="202" t="s">
        <v>284</v>
      </c>
      <c r="B5" s="199"/>
      <c r="C5" s="393" t="s">
        <v>296</v>
      </c>
    </row>
    <row r="6" spans="1:6" ht="16" customHeight="1" x14ac:dyDescent="0.35">
      <c r="A6" s="203" t="s">
        <v>2</v>
      </c>
      <c r="B6" s="155"/>
      <c r="C6" s="170"/>
    </row>
    <row r="7" spans="1:6" ht="16" customHeight="1" x14ac:dyDescent="0.35">
      <c r="A7" s="203" t="s">
        <v>3</v>
      </c>
      <c r="B7" s="156" t="s">
        <v>205</v>
      </c>
      <c r="C7" s="171"/>
    </row>
    <row r="8" spans="1:6" ht="16" customHeight="1" x14ac:dyDescent="0.35">
      <c r="A8" s="203" t="s">
        <v>5</v>
      </c>
      <c r="B8" s="155" t="s">
        <v>205</v>
      </c>
      <c r="C8" s="170"/>
    </row>
    <row r="9" spans="1:6" ht="16" customHeight="1" x14ac:dyDescent="0.35">
      <c r="A9" s="203" t="s">
        <v>7</v>
      </c>
      <c r="B9" s="156"/>
      <c r="C9" s="171"/>
    </row>
    <row r="10" spans="1:6" ht="16" customHeight="1" x14ac:dyDescent="0.35">
      <c r="A10" s="203" t="s">
        <v>8</v>
      </c>
      <c r="B10" s="157"/>
      <c r="C10" s="170"/>
    </row>
    <row r="11" spans="1:6" ht="16" customHeight="1" x14ac:dyDescent="0.35">
      <c r="A11" s="203" t="s">
        <v>9</v>
      </c>
      <c r="B11" s="158"/>
      <c r="C11" s="171"/>
    </row>
    <row r="12" spans="1:6" ht="16" customHeight="1" x14ac:dyDescent="0.35">
      <c r="A12" s="202" t="s">
        <v>10</v>
      </c>
      <c r="B12" s="157"/>
      <c r="C12" s="170"/>
    </row>
    <row r="13" spans="1:6" ht="16" customHeight="1" x14ac:dyDescent="0.35">
      <c r="A13" s="202" t="s">
        <v>290</v>
      </c>
      <c r="B13" s="158"/>
      <c r="C13" s="171"/>
      <c r="F13" t="s">
        <v>263</v>
      </c>
    </row>
    <row r="14" spans="1:6" ht="16" customHeight="1" x14ac:dyDescent="0.35">
      <c r="A14" s="202"/>
      <c r="B14" s="159"/>
      <c r="C14" s="172"/>
    </row>
    <row r="15" spans="1:6" ht="16" customHeight="1" x14ac:dyDescent="0.35">
      <c r="A15" s="203" t="s">
        <v>11</v>
      </c>
      <c r="B15" s="155" t="s">
        <v>205</v>
      </c>
      <c r="C15" s="173" t="str">
        <f>IF(B15="Retrofit of existing asset","Project assumed to last only as long as the life of the existing asset","")</f>
        <v/>
      </c>
    </row>
    <row r="16" spans="1:6" ht="16" customHeight="1" x14ac:dyDescent="0.35">
      <c r="A16" s="203" t="str">
        <f>INDEX(Lists!$C$2:$C$5,MATCH(Lists!B6,Lists!$B$2:$B$5,0))</f>
        <v xml:space="preserve"> </v>
      </c>
      <c r="B16" s="156"/>
      <c r="C16" s="171"/>
    </row>
    <row r="17" spans="1:3" ht="16" customHeight="1" x14ac:dyDescent="0.35">
      <c r="A17" s="203" t="str">
        <f>IF(INDEX(Lists!G2:G5,MATCH(Lists!B6,Lists!$B$2:$B$6,0))=0,"",INDEX(Lists!G2:G5,MATCH(Lists!B6,Lists!$B$2:$B$6,0)))</f>
        <v/>
      </c>
      <c r="B17" s="155"/>
      <c r="C17" s="173" t="str">
        <f>IF(FinalYear_PP = 1900, "", "Final year = "&amp;FinalYear_PP)</f>
        <v/>
      </c>
    </row>
    <row r="18" spans="1:3" ht="16" customHeight="1" x14ac:dyDescent="0.35">
      <c r="A18" s="203" t="str">
        <f>IF(INDEX(Lists!E2:E5,MATCH(Lists!B6,Lists!$B$2:$B$5,0))=0,"",INDEX(Lists!E2:E5,MATCH(Lists!B6,Lists!$B$2:$B$5,0)))</f>
        <v/>
      </c>
      <c r="B18" s="156" t="s">
        <v>205</v>
      </c>
      <c r="C18" s="171"/>
    </row>
    <row r="19" spans="1:3" ht="16" customHeight="1" x14ac:dyDescent="0.35">
      <c r="A19" s="203" t="str">
        <f>IF(INDEX(Lists!F2:F5,MATCH(Lists!B6,Lists!$B$2:$B$5,0))=0,"",INDEX(Lists!F2:F5,MATCH(Lists!B6,Lists!$B$2:$B$5,0)))</f>
        <v/>
      </c>
      <c r="B19" s="155"/>
      <c r="C19" s="173" t="str">
        <f>IF(FinalYear_BC=1900, "", "Final year = "&amp;FinalYear_BC)</f>
        <v/>
      </c>
    </row>
    <row r="20" spans="1:3" ht="16" customHeight="1" x14ac:dyDescent="0.35">
      <c r="A20" s="202"/>
      <c r="B20" s="159"/>
      <c r="C20" s="172"/>
    </row>
    <row r="21" spans="1:3" ht="16" customHeight="1" x14ac:dyDescent="0.35">
      <c r="A21" s="202" t="s">
        <v>15</v>
      </c>
      <c r="B21" s="155" t="s">
        <v>205</v>
      </c>
      <c r="C21" s="174"/>
    </row>
    <row r="22" spans="1:3" ht="31.5" customHeight="1" x14ac:dyDescent="0.35">
      <c r="A22" s="204" t="s">
        <v>17</v>
      </c>
      <c r="B22" s="155" t="s">
        <v>205</v>
      </c>
      <c r="C22" s="198" t="str">
        <f>IF(AND(B22="Yes",B21="Yes"),"The base case used for analysis should be that of just meeting the regulated coal phase-out date of 2037","")</f>
        <v/>
      </c>
    </row>
    <row r="23" spans="1:3" ht="16" customHeight="1" x14ac:dyDescent="0.35">
      <c r="A23" s="202" t="s">
        <v>19</v>
      </c>
      <c r="B23" s="156" t="s">
        <v>205</v>
      </c>
      <c r="C23" s="174"/>
    </row>
    <row r="24" spans="1:3" ht="16" customHeight="1" x14ac:dyDescent="0.35">
      <c r="A24" s="205"/>
      <c r="B24" s="160"/>
      <c r="C24" s="175"/>
    </row>
    <row r="25" spans="1:3" ht="16" customHeight="1" x14ac:dyDescent="0.35">
      <c r="A25" s="202" t="s">
        <v>20</v>
      </c>
      <c r="B25" s="161"/>
      <c r="C25" s="170"/>
    </row>
    <row r="26" spans="1:3" ht="16" customHeight="1" x14ac:dyDescent="0.35">
      <c r="A26" s="202" t="s">
        <v>21</v>
      </c>
      <c r="B26" s="162"/>
      <c r="C26" s="171"/>
    </row>
    <row r="27" spans="1:3" ht="16" customHeight="1" x14ac:dyDescent="0.35">
      <c r="A27" s="202" t="s">
        <v>22</v>
      </c>
      <c r="B27" s="163"/>
      <c r="C27" s="173" t="str">
        <f>IF(Start_Yr+B27=0, "", "Full repayment by "&amp;Start_Yr+B27)</f>
        <v/>
      </c>
    </row>
    <row r="28" spans="1:3" ht="16" customHeight="1" x14ac:dyDescent="0.35">
      <c r="A28" s="202" t="s">
        <v>23</v>
      </c>
      <c r="B28" s="154"/>
      <c r="C28" s="171"/>
    </row>
    <row r="29" spans="1:3" ht="16" customHeight="1" x14ac:dyDescent="0.35">
      <c r="A29" s="202" t="s">
        <v>24</v>
      </c>
      <c r="B29" s="164" t="s">
        <v>205</v>
      </c>
      <c r="C29" s="170"/>
    </row>
    <row r="30" spans="1:3" ht="16" customHeight="1" x14ac:dyDescent="0.35">
      <c r="A30" s="206" t="s">
        <v>294</v>
      </c>
      <c r="B30" s="207" t="s">
        <v>205</v>
      </c>
      <c r="C30" s="208"/>
    </row>
    <row r="32" spans="1:3" x14ac:dyDescent="0.35">
      <c r="B32" s="88"/>
    </row>
  </sheetData>
  <sheetProtection algorithmName="SHA-512" hashValue="xFhjeTr6/3NFAowpbdjR9RtcyBWPa3fELhhJ+QU/SBjEOAGPmBSep7/+yA0i98YuYdPYBndS7Db1bs/R0h/rjQ==" saltValue="naHpByMYyuS7RZyz0CVbyw==" spinCount="100000" sheet="1" objects="1" scenarios="1"/>
  <mergeCells count="1">
    <mergeCell ref="B2:C2"/>
  </mergeCells>
  <phoneticPr fontId="20" type="noConversion"/>
  <conditionalFormatting sqref="B21">
    <cfRule type="containsText" dxfId="16" priority="20" operator="containsText" text="No">
      <formula>NOT(ISERROR(SEARCH("No",B21)))</formula>
    </cfRule>
    <cfRule type="containsText" dxfId="15" priority="21" operator="containsText" text="Yes">
      <formula>NOT(ISERROR(SEARCH("Yes",B21)))</formula>
    </cfRule>
    <cfRule type="containsText" dxfId="14" priority="22" operator="containsText" text="&lt;Select&gt;">
      <formula>NOT(ISERROR(SEARCH("&lt;Select&gt;",B21)))</formula>
    </cfRule>
  </conditionalFormatting>
  <conditionalFormatting sqref="B17:C17">
    <cfRule type="expression" dxfId="12" priority="13">
      <formula>$B$15="Retrofit of existing asset"</formula>
    </cfRule>
  </conditionalFormatting>
  <conditionalFormatting sqref="C21">
    <cfRule type="expression" dxfId="10" priority="9">
      <formula>B21="&lt;Select&gt;"</formula>
    </cfRule>
    <cfRule type="expression" dxfId="9" priority="10">
      <formula>B21="Yes"</formula>
    </cfRule>
    <cfRule type="expression" dxfId="8" priority="11">
      <formula>B21="No"</formula>
    </cfRule>
  </conditionalFormatting>
  <dataValidations disablePrompts="1" count="8">
    <dataValidation type="whole" operator="greaterThanOrEqual" allowBlank="1" showInputMessage="1" showErrorMessage="1" errorTitle="Inconsistent dates" error="First year of project cashflows must be in format yyyy and should not be before application submission" sqref="B11" xr:uid="{4F88D85D-58C8-4963-9408-BCCEBED1AAE2}">
      <formula1>YEAR($B$10)</formula1>
    </dataValidation>
    <dataValidation type="whole" allowBlank="1" showInputMessage="1" showErrorMessage="1" sqref="B16" xr:uid="{562B0C5C-37EA-43EC-8A12-CFDA3721D45C}">
      <formula1>2025</formula1>
      <formula2>2100</formula2>
    </dataValidation>
    <dataValidation type="date" operator="greaterThanOrEqual" allowBlank="1" showInputMessage="1" showErrorMessage="1" errorTitle="Inconsistent dates" error="Expected commissioning date must be a date in format dd/mm/yy and cannot be before application date or the first year of project cashflows" sqref="B12 B26 B10" xr:uid="{F888395F-F59F-4EFC-B964-FB5ADE86132B}">
      <formula1>MAX(DATE($B$11,1,1),$B$10)</formula1>
    </dataValidation>
    <dataValidation type="list" allowBlank="1" showInputMessage="1" showErrorMessage="1" errorTitle="Boolean response required" error="This question needs a TRUE / FALSE answer." sqref="B21:B23" xr:uid="{7C2C03FF-8AD8-4E41-A16A-50062357CE71}">
      <formula1>"&lt;Select&gt;,Yes,No"</formula1>
    </dataValidation>
    <dataValidation type="whole" operator="greaterThanOrEqual" allowBlank="1" showInputMessage="1" showErrorMessage="1" errorTitle="Inconsistent dates" error="Expected commissioning date must be a date in format dd/mm/yy and cannot be before application date or the first year of project cashflows" sqref="B19" xr:uid="{433C7610-DEDF-4370-8395-3BAF3F39DB50}">
      <formula1>1</formula1>
    </dataValidation>
    <dataValidation operator="greaterThanOrEqual" allowBlank="1" showInputMessage="1" showErrorMessage="1" errorTitle="Inconsistent dates" error="Expected commissioning date must be a date in format dd/mm/yy and cannot be before application date or the first year of project cashflows" sqref="B13" xr:uid="{DFF04319-A34D-4FC0-9928-3E1827DE4F0E}"/>
    <dataValidation type="list" allowBlank="1" showInputMessage="1" showErrorMessage="1" sqref="B4" xr:uid="{24FDC0D5-14B8-452D-9E68-7A3A23CCD0EF}">
      <formula1>Occasion</formula1>
    </dataValidation>
    <dataValidation type="decimal" operator="lessThanOrEqual" allowBlank="1" showInputMessage="1" showErrorMessage="1" errorTitle="Invalid Entry" error="Please enter a value from 1% to 100%" sqref="B28" xr:uid="{6BE323B2-B37F-4F63-B213-F951842E485B}">
      <formula1>1</formula1>
    </dataValidation>
  </dataValidation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31" id="{483240B7-701F-4768-93AF-326DD8848922}">
            <xm:f>Lists!$B$6=2</xm:f>
            <x14:dxf>
              <font>
                <color theme="0" tint="-0.34998626667073579"/>
              </font>
            </x14:dxf>
          </x14:cfRule>
          <xm:sqref>A16</xm:sqref>
        </x14:conditionalFormatting>
        <x14:conditionalFormatting xmlns:xm="http://schemas.microsoft.com/office/excel/2006/main">
          <x14:cfRule type="expression" priority="32" id="{7A5D9C35-42EB-46D3-9F39-0CF6B296AF8E}">
            <xm:f>Lists!$B$6=1</xm:f>
            <x14:dxf>
              <font>
                <color theme="0" tint="-0.34998626667073579"/>
              </font>
            </x14:dxf>
          </x14:cfRule>
          <xm:sqref>A17:A19</xm:sqref>
        </x14:conditionalFormatting>
        <x14:conditionalFormatting xmlns:xm="http://schemas.microsoft.com/office/excel/2006/main">
          <x14:cfRule type="expression" priority="33" id="{F8A2EC58-8556-4004-BEC8-C9CD79DD3656}">
            <xm:f>Lists!$B$6=2</xm:f>
            <x14:dxf>
              <font>
                <color rgb="FFF2F2F2"/>
              </font>
              <fill>
                <patternFill>
                  <bgColor rgb="FFF2F2F2"/>
                </patternFill>
              </fill>
            </x14:dxf>
          </x14:cfRule>
          <xm:sqref>B16:C16 B23:C23</xm:sqref>
        </x14:conditionalFormatting>
        <x14:conditionalFormatting xmlns:xm="http://schemas.microsoft.com/office/excel/2006/main">
          <x14:cfRule type="expression" priority="34" id="{B55C1E48-7E7D-41A0-86D2-85A07211F1B5}">
            <xm:f>Lists!$B$6=1</xm:f>
            <x14:dxf>
              <font>
                <color rgb="FFF2F2F2"/>
              </font>
              <fill>
                <patternFill>
                  <bgColor rgb="FFF2F2F2"/>
                </patternFill>
              </fill>
            </x14:dxf>
          </x14:cfRule>
          <xm:sqref>B18:C19</xm:sqref>
        </x14:conditionalFormatting>
      </x14:conditionalFormattings>
    </ext>
    <ext xmlns:x14="http://schemas.microsoft.com/office/spreadsheetml/2009/9/main" uri="{CCE6A557-97BC-4b89-ADB6-D9C93CAAB3DF}">
      <x14:dataValidations xmlns:xm="http://schemas.microsoft.com/office/excel/2006/main" disablePrompts="1" count="6">
        <x14:dataValidation type="list" allowBlank="1" showInputMessage="1" showErrorMessage="1" xr:uid="{969487ED-38E2-4553-9C8A-011C706DAB01}">
          <x14:formula1>
            <xm:f>Data!$A$2:$A$14</xm:f>
          </x14:formula1>
          <xm:sqref>B7</xm:sqref>
        </x14:dataValidation>
        <x14:dataValidation type="list" allowBlank="1" showInputMessage="1" showErrorMessage="1" xr:uid="{111ACB8C-FB40-400F-A784-C210B862984F}">
          <x14:formula1>
            <xm:f>Data!$B$2:$B$17</xm:f>
          </x14:formula1>
          <xm:sqref>B8</xm:sqref>
        </x14:dataValidation>
        <x14:dataValidation type="list" allowBlank="1" showInputMessage="1" showErrorMessage="1" xr:uid="{60C92815-678B-41F9-B76B-F3848C4BBFE6}">
          <x14:formula1>
            <xm:f>Lists!$A$2:$A$5</xm:f>
          </x14:formula1>
          <xm:sqref>B15</xm:sqref>
        </x14:dataValidation>
        <x14:dataValidation type="list" operator="greaterThanOrEqual" allowBlank="1" showInputMessage="1" showErrorMessage="1" errorTitle="Inconsistent dates" error="Expected commissioning date must be a date in format dd/mm/yy and cannot be before application date or the first year of project cashflows" xr:uid="{7E1AAE4C-51ED-4879-8521-BC4422D409B4}">
          <x14:formula1>
            <xm:f>Lists!$E$7:$E$10</xm:f>
          </x14:formula1>
          <xm:sqref>B18</xm:sqref>
        </x14:dataValidation>
        <x14:dataValidation type="list" allowBlank="1" showInputMessage="1" showErrorMessage="1" xr:uid="{E7315EEA-B540-43A7-9B3B-E6E826BD1ACE}">
          <x14:formula1>
            <xm:f>Lists!$A$10:$A$14</xm:f>
          </x14:formula1>
          <xm:sqref>B29</xm:sqref>
        </x14:dataValidation>
        <x14:dataValidation type="list" allowBlank="1" showInputMessage="1" showErrorMessage="1" xr:uid="{8B7303F0-AF39-4BFE-8CB3-4CD1EDB75B0E}">
          <x14:formula1>
            <xm:f>Lists!$A$16:$A$18</xm:f>
          </x14:formula1>
          <xm:sqref>B30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55B-9660-4676-92A5-EB896BD87208}">
  <sheetPr codeName="Sheet2">
    <tabColor theme="4"/>
  </sheetPr>
  <dimension ref="A2:BA228"/>
  <sheetViews>
    <sheetView topLeftCell="B163" zoomScale="85" zoomScaleNormal="85" workbookViewId="0">
      <selection activeCell="H154" sqref="H154"/>
    </sheetView>
  </sheetViews>
  <sheetFormatPr defaultRowHeight="14.5" x14ac:dyDescent="0.35"/>
  <cols>
    <col min="1" max="1" width="89" customWidth="1"/>
    <col min="2" max="2" width="19.90625" customWidth="1"/>
    <col min="3" max="3" width="12.08984375" customWidth="1"/>
    <col min="4" max="4" width="25.6328125" customWidth="1"/>
    <col min="5" max="6" width="12.90625" customWidth="1"/>
    <col min="7" max="7" width="19.90625" customWidth="1"/>
    <col min="8" max="32" width="11.08984375" bestFit="1" customWidth="1"/>
  </cols>
  <sheetData>
    <row r="2" spans="1:53" ht="18.5" x14ac:dyDescent="0.45">
      <c r="A2" s="7" t="s">
        <v>27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spans="1:53" x14ac:dyDescent="0.35">
      <c r="A3" s="12" t="s">
        <v>28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spans="1:53" x14ac:dyDescent="0.35">
      <c r="A4" s="3" t="str">
        <f>"All values for the current year ("&amp;'Project description'!B13&amp;") should be in current dollar values"</f>
        <v>All values for the current year () should be in current dollar values</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row>
    <row r="5" spans="1:53" x14ac:dyDescent="0.35">
      <c r="A5" s="2" t="s">
        <v>29</v>
      </c>
      <c r="B5" s="144" t="s">
        <v>18</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row>
    <row r="6" spans="1:53" x14ac:dyDescent="0.35">
      <c r="A6" s="34" t="s">
        <v>30</v>
      </c>
      <c r="B6" s="26"/>
      <c r="C6" s="26"/>
      <c r="D6" s="136"/>
      <c r="E6" s="136"/>
      <c r="F6" s="136"/>
      <c r="G6" s="136"/>
      <c r="H6" s="26">
        <v>2025</v>
      </c>
      <c r="I6" s="26">
        <f>H6+1</f>
        <v>2026</v>
      </c>
      <c r="J6" s="26">
        <f>I6+1</f>
        <v>2027</v>
      </c>
      <c r="K6" s="26">
        <f t="shared" ref="K6:AG6" si="0">J6+1</f>
        <v>2028</v>
      </c>
      <c r="L6" s="26">
        <f t="shared" si="0"/>
        <v>2029</v>
      </c>
      <c r="M6" s="26">
        <f t="shared" si="0"/>
        <v>2030</v>
      </c>
      <c r="N6" s="26">
        <f t="shared" si="0"/>
        <v>2031</v>
      </c>
      <c r="O6" s="26">
        <f t="shared" si="0"/>
        <v>2032</v>
      </c>
      <c r="P6" s="26">
        <f t="shared" si="0"/>
        <v>2033</v>
      </c>
      <c r="Q6" s="26">
        <f t="shared" si="0"/>
        <v>2034</v>
      </c>
      <c r="R6" s="26">
        <f t="shared" si="0"/>
        <v>2035</v>
      </c>
      <c r="S6" s="26">
        <f t="shared" si="0"/>
        <v>2036</v>
      </c>
      <c r="T6" s="26">
        <f t="shared" si="0"/>
        <v>2037</v>
      </c>
      <c r="U6" s="26">
        <f t="shared" si="0"/>
        <v>2038</v>
      </c>
      <c r="V6" s="26">
        <f t="shared" si="0"/>
        <v>2039</v>
      </c>
      <c r="W6" s="26">
        <f t="shared" si="0"/>
        <v>2040</v>
      </c>
      <c r="X6" s="26">
        <f t="shared" si="0"/>
        <v>2041</v>
      </c>
      <c r="Y6" s="26">
        <f t="shared" si="0"/>
        <v>2042</v>
      </c>
      <c r="Z6" s="26">
        <f t="shared" si="0"/>
        <v>2043</v>
      </c>
      <c r="AA6" s="26">
        <f t="shared" si="0"/>
        <v>2044</v>
      </c>
      <c r="AB6" s="26">
        <f t="shared" si="0"/>
        <v>2045</v>
      </c>
      <c r="AC6" s="26">
        <f t="shared" si="0"/>
        <v>2046</v>
      </c>
      <c r="AD6" s="26">
        <f t="shared" si="0"/>
        <v>2047</v>
      </c>
      <c r="AE6" s="26">
        <f t="shared" si="0"/>
        <v>2048</v>
      </c>
      <c r="AF6" s="26">
        <f t="shared" si="0"/>
        <v>2049</v>
      </c>
      <c r="AG6" s="26">
        <f t="shared" si="0"/>
        <v>2050</v>
      </c>
      <c r="AH6" s="26">
        <f t="shared" ref="AH6:BA6" si="1">AG6+1</f>
        <v>2051</v>
      </c>
      <c r="AI6" s="26">
        <f t="shared" si="1"/>
        <v>2052</v>
      </c>
      <c r="AJ6" s="26">
        <f t="shared" si="1"/>
        <v>2053</v>
      </c>
      <c r="AK6" s="26">
        <f t="shared" si="1"/>
        <v>2054</v>
      </c>
      <c r="AL6" s="26">
        <f t="shared" si="1"/>
        <v>2055</v>
      </c>
      <c r="AM6" s="26">
        <f t="shared" si="1"/>
        <v>2056</v>
      </c>
      <c r="AN6" s="26">
        <f t="shared" si="1"/>
        <v>2057</v>
      </c>
      <c r="AO6" s="26">
        <f t="shared" si="1"/>
        <v>2058</v>
      </c>
      <c r="AP6" s="26">
        <f t="shared" si="1"/>
        <v>2059</v>
      </c>
      <c r="AQ6" s="26">
        <f t="shared" si="1"/>
        <v>2060</v>
      </c>
      <c r="AR6" s="26">
        <f t="shared" si="1"/>
        <v>2061</v>
      </c>
      <c r="AS6" s="26">
        <f t="shared" si="1"/>
        <v>2062</v>
      </c>
      <c r="AT6" s="26">
        <f t="shared" si="1"/>
        <v>2063</v>
      </c>
      <c r="AU6" s="26">
        <f t="shared" si="1"/>
        <v>2064</v>
      </c>
      <c r="AV6" s="26">
        <f t="shared" si="1"/>
        <v>2065</v>
      </c>
      <c r="AW6" s="26">
        <f t="shared" si="1"/>
        <v>2066</v>
      </c>
      <c r="AX6" s="26">
        <f t="shared" si="1"/>
        <v>2067</v>
      </c>
      <c r="AY6" s="26">
        <f t="shared" si="1"/>
        <v>2068</v>
      </c>
      <c r="AZ6" s="26">
        <f t="shared" si="1"/>
        <v>2069</v>
      </c>
      <c r="BA6" s="26">
        <f t="shared" si="1"/>
        <v>2070</v>
      </c>
    </row>
    <row r="7" spans="1:53" x14ac:dyDescent="0.35">
      <c r="A7" s="3" t="s">
        <v>31</v>
      </c>
      <c r="B7" s="2" t="s">
        <v>305</v>
      </c>
      <c r="C7" s="2"/>
      <c r="D7" s="2"/>
      <c r="E7" s="2"/>
      <c r="F7" s="2"/>
      <c r="G7" s="2"/>
      <c r="H7" s="197">
        <v>0.03</v>
      </c>
      <c r="I7" s="197">
        <v>0.02</v>
      </c>
      <c r="J7" s="197">
        <v>0.02</v>
      </c>
      <c r="K7" s="197">
        <v>0.02</v>
      </c>
      <c r="L7" s="197">
        <v>0.02</v>
      </c>
      <c r="M7" s="197">
        <v>0.02</v>
      </c>
      <c r="N7" s="197">
        <v>0.02</v>
      </c>
      <c r="O7" s="197">
        <v>0.02</v>
      </c>
      <c r="P7" s="197">
        <v>0.02</v>
      </c>
      <c r="Q7" s="197">
        <v>0.02</v>
      </c>
      <c r="R7" s="197">
        <v>0.02</v>
      </c>
      <c r="S7" s="197">
        <v>0.02</v>
      </c>
      <c r="T7" s="197">
        <v>0.02</v>
      </c>
      <c r="U7" s="197">
        <v>0.02</v>
      </c>
      <c r="V7" s="197">
        <v>0.02</v>
      </c>
      <c r="W7" s="197">
        <v>0.02</v>
      </c>
      <c r="X7" s="197">
        <v>0.02</v>
      </c>
      <c r="Y7" s="197">
        <v>0.02</v>
      </c>
      <c r="Z7" s="197">
        <v>0.02</v>
      </c>
      <c r="AA7" s="197">
        <v>0.02</v>
      </c>
      <c r="AB7" s="197">
        <v>0.02</v>
      </c>
      <c r="AC7" s="197">
        <v>0.02</v>
      </c>
      <c r="AD7" s="197">
        <v>0.02</v>
      </c>
      <c r="AE7" s="197">
        <v>0.02</v>
      </c>
      <c r="AF7" s="197">
        <v>0.02</v>
      </c>
      <c r="AG7" s="197">
        <v>0.02</v>
      </c>
      <c r="AH7" s="197">
        <f t="shared" ref="AH7:BA7" si="2">AG7</f>
        <v>0.02</v>
      </c>
      <c r="AI7" s="197">
        <f t="shared" si="2"/>
        <v>0.02</v>
      </c>
      <c r="AJ7" s="197">
        <f t="shared" si="2"/>
        <v>0.02</v>
      </c>
      <c r="AK7" s="197">
        <f t="shared" si="2"/>
        <v>0.02</v>
      </c>
      <c r="AL7" s="197">
        <f t="shared" si="2"/>
        <v>0.02</v>
      </c>
      <c r="AM7" s="197">
        <f t="shared" si="2"/>
        <v>0.02</v>
      </c>
      <c r="AN7" s="197">
        <f t="shared" si="2"/>
        <v>0.02</v>
      </c>
      <c r="AO7" s="197">
        <f t="shared" si="2"/>
        <v>0.02</v>
      </c>
      <c r="AP7" s="197">
        <f t="shared" si="2"/>
        <v>0.02</v>
      </c>
      <c r="AQ7" s="197">
        <f t="shared" si="2"/>
        <v>0.02</v>
      </c>
      <c r="AR7" s="197">
        <f t="shared" si="2"/>
        <v>0.02</v>
      </c>
      <c r="AS7" s="197">
        <f t="shared" si="2"/>
        <v>0.02</v>
      </c>
      <c r="AT7" s="197">
        <f t="shared" si="2"/>
        <v>0.02</v>
      </c>
      <c r="AU7" s="197">
        <f t="shared" si="2"/>
        <v>0.02</v>
      </c>
      <c r="AV7" s="197">
        <f t="shared" si="2"/>
        <v>0.02</v>
      </c>
      <c r="AW7" s="197">
        <f t="shared" si="2"/>
        <v>0.02</v>
      </c>
      <c r="AX7" s="197">
        <f t="shared" si="2"/>
        <v>0.02</v>
      </c>
      <c r="AY7" s="197">
        <f t="shared" si="2"/>
        <v>0.02</v>
      </c>
      <c r="AZ7" s="197">
        <f t="shared" si="2"/>
        <v>0.02</v>
      </c>
      <c r="BA7" s="197">
        <f t="shared" si="2"/>
        <v>0.02</v>
      </c>
    </row>
    <row r="8" spans="1:53" x14ac:dyDescent="0.35">
      <c r="A8" s="3" t="str">
        <f>IF(B5="Yes","Inflation rate","Default inflation rate")</f>
        <v>Inflation rate</v>
      </c>
      <c r="B8" s="2"/>
      <c r="C8" s="2"/>
      <c r="D8" s="2"/>
      <c r="E8" s="2"/>
      <c r="F8" s="2"/>
      <c r="G8" s="2"/>
      <c r="H8" s="137">
        <f>IF($B$5="Yes",H7,Data!L33)</f>
        <v>0.03</v>
      </c>
      <c r="I8" s="137">
        <f>IF($B$5="Yes",I7,Data!M33)</f>
        <v>0.02</v>
      </c>
      <c r="J8" s="137">
        <f>IF($B$5="Yes",J7,Data!N33)</f>
        <v>0.02</v>
      </c>
      <c r="K8" s="137">
        <f>IF($B$5="Yes",K7,Data!O33)</f>
        <v>0.02</v>
      </c>
      <c r="L8" s="137">
        <f>IF($B$5="Yes",L7,Data!P33)</f>
        <v>0.02</v>
      </c>
      <c r="M8" s="137">
        <f>IF($B$5="Yes",M7,Data!Q33)</f>
        <v>0.02</v>
      </c>
      <c r="N8" s="137">
        <f>IF($B$5="Yes",N7,Data!R33)</f>
        <v>0.02</v>
      </c>
      <c r="O8" s="137">
        <f>IF($B$5="Yes",O7,Data!S33)</f>
        <v>0.02</v>
      </c>
      <c r="P8" s="137">
        <f>IF($B$5="Yes",P7,Data!T33)</f>
        <v>0.02</v>
      </c>
      <c r="Q8" s="137">
        <f>IF($B$5="Yes",Q7,Data!U33)</f>
        <v>0.02</v>
      </c>
      <c r="R8" s="137">
        <f>IF($B$5="Yes",R7,Data!V33)</f>
        <v>0.02</v>
      </c>
      <c r="S8" s="137">
        <f>IF($B$5="Yes",S7,Data!W33)</f>
        <v>0.02</v>
      </c>
      <c r="T8" s="137">
        <f>IF($B$5="Yes",T7,Data!X33)</f>
        <v>0.02</v>
      </c>
      <c r="U8" s="137">
        <f>IF($B$5="Yes",U7,Data!Y33)</f>
        <v>0.02</v>
      </c>
      <c r="V8" s="137">
        <f>IF($B$5="Yes",V7,Data!Z33)</f>
        <v>0.02</v>
      </c>
      <c r="W8" s="137">
        <f>IF($B$5="Yes",W7,Data!AA33)</f>
        <v>0.02</v>
      </c>
      <c r="X8" s="137">
        <f>IF($B$5="Yes",X7,Data!AB33)</f>
        <v>0.02</v>
      </c>
      <c r="Y8" s="137">
        <f>IF($B$5="Yes",Y7,Data!AC33)</f>
        <v>0.02</v>
      </c>
      <c r="Z8" s="137">
        <f>IF($B$5="Yes",Z7,Data!AD33)</f>
        <v>0.02</v>
      </c>
      <c r="AA8" s="137">
        <f>IF($B$5="Yes",AA7,Data!AE33)</f>
        <v>0.02</v>
      </c>
      <c r="AB8" s="137">
        <f>IF($B$5="Yes",AB7,Data!AF33)</f>
        <v>0.02</v>
      </c>
      <c r="AC8" s="137">
        <f>IF($B$5="Yes",AC7,Data!AG33)</f>
        <v>0.02</v>
      </c>
      <c r="AD8" s="137">
        <f>IF($B$5="Yes",AD7,Data!AH33)</f>
        <v>0.02</v>
      </c>
      <c r="AE8" s="137">
        <f>IF($B$5="Yes",AE7,Data!AI33)</f>
        <v>0.02</v>
      </c>
      <c r="AF8" s="137">
        <f>IF($B$5="Yes",AF7,Data!AJ33)</f>
        <v>0.02</v>
      </c>
      <c r="AG8" s="137">
        <f>IF($B$5="Yes",AG7,Data!AK33)</f>
        <v>0.02</v>
      </c>
      <c r="AH8" s="137">
        <f>IF($B$5="Yes",AH7,Data!AL33)</f>
        <v>0.02</v>
      </c>
      <c r="AI8" s="137">
        <f>IF($B$5="Yes",AI7,Data!AM33)</f>
        <v>0.02</v>
      </c>
      <c r="AJ8" s="137">
        <f>IF($B$5="Yes",AJ7,Data!AN33)</f>
        <v>0.02</v>
      </c>
      <c r="AK8" s="137">
        <f>IF($B$5="Yes",AK7,Data!AO33)</f>
        <v>0.02</v>
      </c>
      <c r="AL8" s="137">
        <f>IF($B$5="Yes",AL7,Data!AP33)</f>
        <v>0.02</v>
      </c>
      <c r="AM8" s="137">
        <f>IF($B$5="Yes",AM7,Data!AQ33)</f>
        <v>0.02</v>
      </c>
      <c r="AN8" s="137">
        <f>IF($B$5="Yes",AN7,Data!AR33)</f>
        <v>0.02</v>
      </c>
      <c r="AO8" s="137">
        <f>IF($B$5="Yes",AO7,Data!AS33)</f>
        <v>0.02</v>
      </c>
      <c r="AP8" s="137">
        <f>IF($B$5="Yes",AP7,Data!AT33)</f>
        <v>0.02</v>
      </c>
      <c r="AQ8" s="137">
        <f>IF($B$5="Yes",AQ7,Data!AU33)</f>
        <v>0.02</v>
      </c>
      <c r="AR8" s="137">
        <f>IF($B$5="Yes",AR7,Data!AV33)</f>
        <v>0.02</v>
      </c>
      <c r="AS8" s="137">
        <f>IF($B$5="Yes",AS7,Data!AW33)</f>
        <v>0.02</v>
      </c>
      <c r="AT8" s="137">
        <f>IF($B$5="Yes",AT7,Data!AX33)</f>
        <v>0.02</v>
      </c>
      <c r="AU8" s="137">
        <f>IF($B$5="Yes",AU7,Data!AY33)</f>
        <v>0.02</v>
      </c>
      <c r="AV8" s="137">
        <f>IF($B$5="Yes",AV7,Data!AZ33)</f>
        <v>0.02</v>
      </c>
      <c r="AW8" s="137">
        <f>IF($B$5="Yes",AW7,Data!BA33)</f>
        <v>0.02</v>
      </c>
      <c r="AX8" s="137">
        <f>IF($B$5="Yes",AX7,Data!BB33)</f>
        <v>0.02</v>
      </c>
      <c r="AY8" s="137">
        <f>IF($B$5="Yes",AY7,Data!BC33)</f>
        <v>0.02</v>
      </c>
      <c r="AZ8" s="137">
        <f>IF($B$5="Yes",AZ7,Data!BD33)</f>
        <v>0.02</v>
      </c>
      <c r="BA8" s="137">
        <f>IF($B$5="Yes",BA7,Data!BE33)</f>
        <v>0.02</v>
      </c>
    </row>
    <row r="9" spans="1:53" x14ac:dyDescent="0.35">
      <c r="A9" s="3" t="s">
        <v>306</v>
      </c>
      <c r="B9" s="2"/>
      <c r="C9" s="2"/>
      <c r="D9" s="2"/>
      <c r="E9" s="2"/>
      <c r="F9" s="2"/>
      <c r="G9" s="2"/>
      <c r="H9" s="91">
        <f>IF(YEAR('Project description'!B10)=H6,(DATE(H6,12,31)-'Project description'!B12)/365,1)</f>
        <v>1</v>
      </c>
      <c r="I9" s="91">
        <f>IF(YEAR('Project description'!C10)=I6,(DATE(I6,12,31)-'Project description'!C12)/365,1)</f>
        <v>1</v>
      </c>
      <c r="J9" s="91">
        <f>IF(YEAR('Project description'!D10)=J6,(DATE(J6,12,31)-'Project description'!D12)/365,1)</f>
        <v>1</v>
      </c>
      <c r="K9" s="91">
        <f>IF(YEAR('Project description'!E10)=K6,(DATE(K6,12,31)-'Project description'!E12)/365,1)</f>
        <v>1</v>
      </c>
      <c r="L9" s="91">
        <f>IF(YEAR('Project description'!F10)=L6,(DATE(L6,12,31)-'Project description'!F12)/365,1)</f>
        <v>1</v>
      </c>
      <c r="M9" s="91">
        <f>IF(YEAR('Project description'!G10)=M6,(DATE(M6,12,31)-'Project description'!G12)/365,1)</f>
        <v>1</v>
      </c>
      <c r="N9" s="91">
        <f>IF(YEAR('Project description'!H10)=N6,(DATE(N6,12,31)-'Project description'!H12)/365,1)</f>
        <v>1</v>
      </c>
      <c r="O9" s="91">
        <f>IF(YEAR('Project description'!I10)=O6,(DATE(O6,12,31)-'Project description'!I12)/365,1)</f>
        <v>1</v>
      </c>
      <c r="P9" s="91">
        <f>IF(YEAR('Project description'!J10)=P6,(DATE(P6,12,31)-'Project description'!J12)/365,1)</f>
        <v>1</v>
      </c>
      <c r="Q9" s="91">
        <f>IF(YEAR('Project description'!K10)=Q6,(DATE(Q6,12,31)-'Project description'!K12)/365,1)</f>
        <v>1</v>
      </c>
      <c r="R9" s="91">
        <f>IF(YEAR('Project description'!L10)=R6,(DATE(R6,12,31)-'Project description'!L12)/365,1)</f>
        <v>1</v>
      </c>
      <c r="S9" s="91">
        <f>IF(YEAR('Project description'!M10)=S6,(DATE(S6,12,31)-'Project description'!M12)/365,1)</f>
        <v>1</v>
      </c>
      <c r="T9" s="91">
        <f>IF(YEAR('Project description'!N10)=T6,(DATE(T6,12,31)-'Project description'!N12)/365,1)</f>
        <v>1</v>
      </c>
      <c r="U9" s="91">
        <f>IF(YEAR('Project description'!O10)=U6,(DATE(U6,12,31)-'Project description'!O12)/365,1)</f>
        <v>1</v>
      </c>
      <c r="V9" s="91">
        <f>IF(YEAR('Project description'!P10)=V6,(DATE(V6,12,31)-'Project description'!P12)/365,1)</f>
        <v>1</v>
      </c>
      <c r="W9" s="91">
        <f>IF(YEAR('Project description'!Q10)=W6,(DATE(W6,12,31)-'Project description'!Q12)/365,1)</f>
        <v>1</v>
      </c>
      <c r="X9" s="91">
        <f>IF(YEAR('Project description'!R10)=X6,(DATE(X6,12,31)-'Project description'!R12)/365,1)</f>
        <v>1</v>
      </c>
      <c r="Y9" s="91">
        <f>IF(YEAR('Project description'!S10)=Y6,(DATE(Y6,12,31)-'Project description'!S12)/365,1)</f>
        <v>1</v>
      </c>
      <c r="Z9" s="91">
        <f>IF(YEAR('Project description'!T10)=Z6,(DATE(Z6,12,31)-'Project description'!T12)/365,1)</f>
        <v>1</v>
      </c>
      <c r="AA9" s="91">
        <f>IF(YEAR('Project description'!U10)=AA6,(DATE(AA6,12,31)-'Project description'!U12)/365,1)</f>
        <v>1</v>
      </c>
      <c r="AB9" s="91">
        <f>IF(YEAR('Project description'!V10)=AB6,(DATE(AB6,12,31)-'Project description'!V12)/365,1)</f>
        <v>1</v>
      </c>
      <c r="AC9" s="91">
        <f>IF(YEAR('Project description'!W10)=AC6,(DATE(AC6,12,31)-'Project description'!W12)/365,1)</f>
        <v>1</v>
      </c>
      <c r="AD9" s="91">
        <f>IF(YEAR('Project description'!X10)=AD6,(DATE(AD6,12,31)-'Project description'!X12)/365,1)</f>
        <v>1</v>
      </c>
      <c r="AE9" s="91">
        <f>IF(YEAR('Project description'!Y10)=AE6,(DATE(AE6,12,31)-'Project description'!Y12)/365,1)</f>
        <v>1</v>
      </c>
      <c r="AF9" s="91">
        <f>IF(YEAR('Project description'!Z10)=AF6,(DATE(AF6,12,31)-'Project description'!Z12)/365,1)</f>
        <v>1</v>
      </c>
      <c r="AG9" s="91">
        <f>IF(YEAR('Project description'!AA10)=AG6,(DATE(AG6,12,31)-'Project description'!AA12)/365,1)</f>
        <v>1</v>
      </c>
      <c r="AH9" s="91">
        <f>IF(YEAR('Project description'!AB10)=AH6,(DATE(AH6,12,31)-'Project description'!AB12)/365,1)</f>
        <v>1</v>
      </c>
      <c r="AI9" s="91">
        <f>IF(YEAR('Project description'!AC10)=AI6,(DATE(AI6,12,31)-'Project description'!AC12)/365,1)</f>
        <v>1</v>
      </c>
      <c r="AJ9" s="91">
        <f>IF(YEAR('Project description'!AD10)=AJ6,(DATE(AJ6,12,31)-'Project description'!AD12)/365,1)</f>
        <v>1</v>
      </c>
      <c r="AK9" s="91">
        <f>IF(YEAR('Project description'!AE10)=AK6,(DATE(AK6,12,31)-'Project description'!AE12)/365,1)</f>
        <v>1</v>
      </c>
      <c r="AL9" s="91">
        <f>IF(YEAR('Project description'!AF10)=AL6,(DATE(AL6,12,31)-'Project description'!AF12)/365,1)</f>
        <v>1</v>
      </c>
      <c r="AM9" s="91">
        <f>IF(YEAR('Project description'!AG10)=AM6,(DATE(AM6,12,31)-'Project description'!AG12)/365,1)</f>
        <v>1</v>
      </c>
      <c r="AN9" s="91">
        <f>IF(YEAR('Project description'!AH10)=AN6,(DATE(AN6,12,31)-'Project description'!AH12)/365,1)</f>
        <v>1</v>
      </c>
      <c r="AO9" s="91">
        <f>IF(YEAR('Project description'!AI10)=AO6,(DATE(AO6,12,31)-'Project description'!AI12)/365,1)</f>
        <v>1</v>
      </c>
      <c r="AP9" s="91">
        <f>IF(YEAR('Project description'!AJ10)=AP6,(DATE(AP6,12,31)-'Project description'!AJ12)/365,1)</f>
        <v>1</v>
      </c>
      <c r="AQ9" s="91">
        <f>IF(YEAR('Project description'!AK10)=AQ6,(DATE(AQ6,12,31)-'Project description'!AK12)/365,1)</f>
        <v>1</v>
      </c>
      <c r="AR9" s="91">
        <f>IF(YEAR('Project description'!AL10)=AR6,(DATE(AR6,12,31)-'Project description'!AL12)/365,1)</f>
        <v>1</v>
      </c>
      <c r="AS9" s="91">
        <f>IF(YEAR('Project description'!AM10)=AS6,(DATE(AS6,12,31)-'Project description'!AM12)/365,1)</f>
        <v>1</v>
      </c>
      <c r="AT9" s="91">
        <f>IF(YEAR('Project description'!AN10)=AT6,(DATE(AT6,12,31)-'Project description'!AN12)/365,1)</f>
        <v>1</v>
      </c>
      <c r="AU9" s="91">
        <f>IF(YEAR('Project description'!AO10)=AU6,(DATE(AU6,12,31)-'Project description'!AO12)/365,1)</f>
        <v>1</v>
      </c>
      <c r="AV9" s="91">
        <f>IF(YEAR('Project description'!AP10)=AV6,(DATE(AV6,12,31)-'Project description'!AP12)/365,1)</f>
        <v>1</v>
      </c>
      <c r="AW9" s="91">
        <f>IF(YEAR('Project description'!AQ10)=AW6,(DATE(AW6,12,31)-'Project description'!AQ12)/365,1)</f>
        <v>1</v>
      </c>
      <c r="AX9" s="91">
        <f>IF(YEAR('Project description'!AR10)=AX6,(DATE(AX6,12,31)-'Project description'!AR12)/365,1)</f>
        <v>1</v>
      </c>
      <c r="AY9" s="91">
        <f>IF(YEAR('Project description'!AS10)=AY6,(DATE(AY6,12,31)-'Project description'!AS12)/365,1)</f>
        <v>1</v>
      </c>
      <c r="AZ9" s="91">
        <f>IF(YEAR('Project description'!AT10)=AZ6,(DATE(AZ6,12,31)-'Project description'!AT12)/365,1)</f>
        <v>1</v>
      </c>
      <c r="BA9" s="91">
        <f>IF(YEAR('Project description'!AU10)=BA6,(DATE(BA6,12,31)-'Project description'!AU12)/365,1)</f>
        <v>1</v>
      </c>
    </row>
    <row r="10" spans="1:53" x14ac:dyDescent="0.35">
      <c r="A10" s="3" t="s">
        <v>307</v>
      </c>
      <c r="B10" s="2"/>
      <c r="C10" s="2"/>
      <c r="D10" s="2"/>
      <c r="E10" s="2"/>
      <c r="F10" s="2"/>
      <c r="G10" s="2"/>
      <c r="H10" s="90">
        <f t="shared" ref="H10:BA10" si="3">IF(H6=Analysis_year,1+(H8*H9),IF(H6&lt;Analysis_year,1/((1/I10)*(1+I8*I9)),G10*(1+G8*G9)))</f>
        <v>0</v>
      </c>
      <c r="I10" s="90">
        <f t="shared" si="3"/>
        <v>0</v>
      </c>
      <c r="J10" s="90">
        <f t="shared" si="3"/>
        <v>0</v>
      </c>
      <c r="K10" s="90">
        <f t="shared" si="3"/>
        <v>0</v>
      </c>
      <c r="L10" s="90">
        <f t="shared" si="3"/>
        <v>0</v>
      </c>
      <c r="M10" s="90">
        <f t="shared" si="3"/>
        <v>0</v>
      </c>
      <c r="N10" s="90">
        <f t="shared" si="3"/>
        <v>0</v>
      </c>
      <c r="O10" s="90">
        <f t="shared" si="3"/>
        <v>0</v>
      </c>
      <c r="P10" s="90">
        <f t="shared" si="3"/>
        <v>0</v>
      </c>
      <c r="Q10" s="90">
        <f t="shared" si="3"/>
        <v>0</v>
      </c>
      <c r="R10" s="90">
        <f t="shared" si="3"/>
        <v>0</v>
      </c>
      <c r="S10" s="90">
        <f t="shared" si="3"/>
        <v>0</v>
      </c>
      <c r="T10" s="90">
        <f t="shared" si="3"/>
        <v>0</v>
      </c>
      <c r="U10" s="90">
        <f t="shared" si="3"/>
        <v>0</v>
      </c>
      <c r="V10" s="90">
        <f t="shared" si="3"/>
        <v>0</v>
      </c>
      <c r="W10" s="90">
        <f t="shared" si="3"/>
        <v>0</v>
      </c>
      <c r="X10" s="90">
        <f t="shared" si="3"/>
        <v>0</v>
      </c>
      <c r="Y10" s="90">
        <f t="shared" si="3"/>
        <v>0</v>
      </c>
      <c r="Z10" s="90">
        <f t="shared" si="3"/>
        <v>0</v>
      </c>
      <c r="AA10" s="90">
        <f t="shared" si="3"/>
        <v>0</v>
      </c>
      <c r="AB10" s="90">
        <f t="shared" si="3"/>
        <v>0</v>
      </c>
      <c r="AC10" s="90">
        <f t="shared" si="3"/>
        <v>0</v>
      </c>
      <c r="AD10" s="90">
        <f t="shared" si="3"/>
        <v>0</v>
      </c>
      <c r="AE10" s="90">
        <f t="shared" si="3"/>
        <v>0</v>
      </c>
      <c r="AF10" s="90">
        <f t="shared" si="3"/>
        <v>0</v>
      </c>
      <c r="AG10" s="90">
        <f t="shared" si="3"/>
        <v>0</v>
      </c>
      <c r="AH10" s="90">
        <f t="shared" si="3"/>
        <v>0</v>
      </c>
      <c r="AI10" s="90">
        <f t="shared" si="3"/>
        <v>0</v>
      </c>
      <c r="AJ10" s="90">
        <f t="shared" si="3"/>
        <v>0</v>
      </c>
      <c r="AK10" s="90">
        <f t="shared" si="3"/>
        <v>0</v>
      </c>
      <c r="AL10" s="90">
        <f t="shared" si="3"/>
        <v>0</v>
      </c>
      <c r="AM10" s="90">
        <f t="shared" si="3"/>
        <v>0</v>
      </c>
      <c r="AN10" s="90">
        <f t="shared" si="3"/>
        <v>0</v>
      </c>
      <c r="AO10" s="90">
        <f t="shared" si="3"/>
        <v>0</v>
      </c>
      <c r="AP10" s="90">
        <f t="shared" si="3"/>
        <v>0</v>
      </c>
      <c r="AQ10" s="90">
        <f t="shared" si="3"/>
        <v>0</v>
      </c>
      <c r="AR10" s="90">
        <f t="shared" si="3"/>
        <v>0</v>
      </c>
      <c r="AS10" s="90">
        <f t="shared" si="3"/>
        <v>0</v>
      </c>
      <c r="AT10" s="90">
        <f t="shared" si="3"/>
        <v>0</v>
      </c>
      <c r="AU10" s="90">
        <f t="shared" si="3"/>
        <v>0</v>
      </c>
      <c r="AV10" s="90">
        <f t="shared" si="3"/>
        <v>0</v>
      </c>
      <c r="AW10" s="90">
        <f t="shared" si="3"/>
        <v>0</v>
      </c>
      <c r="AX10" s="90">
        <f t="shared" si="3"/>
        <v>0</v>
      </c>
      <c r="AY10" s="90">
        <f t="shared" si="3"/>
        <v>0</v>
      </c>
      <c r="AZ10" s="90">
        <f t="shared" si="3"/>
        <v>0</v>
      </c>
      <c r="BA10" s="90">
        <f t="shared" si="3"/>
        <v>0</v>
      </c>
    </row>
    <row r="11" spans="1:53" x14ac:dyDescent="0.35">
      <c r="A11" s="3" t="s">
        <v>33</v>
      </c>
      <c r="B11" s="2"/>
      <c r="C11" s="2"/>
      <c r="D11" s="2"/>
      <c r="E11" s="2"/>
      <c r="F11" s="2"/>
      <c r="G11" s="2"/>
      <c r="H11" s="90">
        <f>IFERROR(1/H10,0)</f>
        <v>0</v>
      </c>
      <c r="I11" s="90">
        <f t="shared" ref="I11:BA11" si="4">IFERROR(1/I10,0)</f>
        <v>0</v>
      </c>
      <c r="J11" s="90">
        <f t="shared" si="4"/>
        <v>0</v>
      </c>
      <c r="K11" s="90">
        <f t="shared" si="4"/>
        <v>0</v>
      </c>
      <c r="L11" s="90">
        <f t="shared" si="4"/>
        <v>0</v>
      </c>
      <c r="M11" s="90">
        <f t="shared" si="4"/>
        <v>0</v>
      </c>
      <c r="N11" s="90">
        <f t="shared" si="4"/>
        <v>0</v>
      </c>
      <c r="O11" s="90">
        <f t="shared" si="4"/>
        <v>0</v>
      </c>
      <c r="P11" s="90">
        <f t="shared" si="4"/>
        <v>0</v>
      </c>
      <c r="Q11" s="90">
        <f t="shared" si="4"/>
        <v>0</v>
      </c>
      <c r="R11" s="90">
        <f t="shared" si="4"/>
        <v>0</v>
      </c>
      <c r="S11" s="90">
        <f t="shared" si="4"/>
        <v>0</v>
      </c>
      <c r="T11" s="90">
        <f t="shared" si="4"/>
        <v>0</v>
      </c>
      <c r="U11" s="90">
        <f t="shared" si="4"/>
        <v>0</v>
      </c>
      <c r="V11" s="90">
        <f t="shared" si="4"/>
        <v>0</v>
      </c>
      <c r="W11" s="90">
        <f t="shared" si="4"/>
        <v>0</v>
      </c>
      <c r="X11" s="90">
        <f t="shared" si="4"/>
        <v>0</v>
      </c>
      <c r="Y11" s="90">
        <f t="shared" si="4"/>
        <v>0</v>
      </c>
      <c r="Z11" s="90">
        <f t="shared" si="4"/>
        <v>0</v>
      </c>
      <c r="AA11" s="90">
        <f t="shared" si="4"/>
        <v>0</v>
      </c>
      <c r="AB11" s="90">
        <f t="shared" si="4"/>
        <v>0</v>
      </c>
      <c r="AC11" s="90">
        <f t="shared" si="4"/>
        <v>0</v>
      </c>
      <c r="AD11" s="90">
        <f t="shared" si="4"/>
        <v>0</v>
      </c>
      <c r="AE11" s="90">
        <f t="shared" si="4"/>
        <v>0</v>
      </c>
      <c r="AF11" s="90">
        <f t="shared" si="4"/>
        <v>0</v>
      </c>
      <c r="AG11" s="90">
        <f t="shared" si="4"/>
        <v>0</v>
      </c>
      <c r="AH11" s="90">
        <f t="shared" si="4"/>
        <v>0</v>
      </c>
      <c r="AI11" s="90">
        <f t="shared" si="4"/>
        <v>0</v>
      </c>
      <c r="AJ11" s="90">
        <f t="shared" si="4"/>
        <v>0</v>
      </c>
      <c r="AK11" s="90">
        <f t="shared" si="4"/>
        <v>0</v>
      </c>
      <c r="AL11" s="90">
        <f t="shared" si="4"/>
        <v>0</v>
      </c>
      <c r="AM11" s="90">
        <f t="shared" si="4"/>
        <v>0</v>
      </c>
      <c r="AN11" s="90">
        <f t="shared" si="4"/>
        <v>0</v>
      </c>
      <c r="AO11" s="90">
        <f t="shared" si="4"/>
        <v>0</v>
      </c>
      <c r="AP11" s="90">
        <f t="shared" si="4"/>
        <v>0</v>
      </c>
      <c r="AQ11" s="90">
        <f t="shared" si="4"/>
        <v>0</v>
      </c>
      <c r="AR11" s="90">
        <f t="shared" si="4"/>
        <v>0</v>
      </c>
      <c r="AS11" s="90">
        <f t="shared" si="4"/>
        <v>0</v>
      </c>
      <c r="AT11" s="90">
        <f t="shared" si="4"/>
        <v>0</v>
      </c>
      <c r="AU11" s="90">
        <f t="shared" si="4"/>
        <v>0</v>
      </c>
      <c r="AV11" s="90">
        <f t="shared" si="4"/>
        <v>0</v>
      </c>
      <c r="AW11" s="90">
        <f t="shared" si="4"/>
        <v>0</v>
      </c>
      <c r="AX11" s="90">
        <f t="shared" si="4"/>
        <v>0</v>
      </c>
      <c r="AY11" s="90">
        <f t="shared" si="4"/>
        <v>0</v>
      </c>
      <c r="AZ11" s="90">
        <f t="shared" si="4"/>
        <v>0</v>
      </c>
      <c r="BA11" s="90">
        <f t="shared" si="4"/>
        <v>0</v>
      </c>
    </row>
    <row r="12" spans="1:53" x14ac:dyDescent="0.35">
      <c r="A12" s="2"/>
      <c r="B12" s="2"/>
      <c r="C12" s="2"/>
      <c r="D12" s="2"/>
      <c r="E12" s="2"/>
      <c r="F12" s="2"/>
      <c r="G12" s="2"/>
      <c r="H12" s="128"/>
      <c r="I12" s="128"/>
      <c r="J12" s="128"/>
      <c r="K12" s="128"/>
      <c r="L12" s="128"/>
      <c r="M12" s="128"/>
      <c r="N12" s="128"/>
      <c r="O12" s="128"/>
      <c r="P12" s="128"/>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128"/>
      <c r="BA12" s="128"/>
    </row>
    <row r="13" spans="1:53" ht="18.5" x14ac:dyDescent="0.45">
      <c r="A13" s="7" t="s">
        <v>34</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row>
    <row r="14" spans="1:53" ht="18.5" x14ac:dyDescent="0.45">
      <c r="A14" s="7"/>
      <c r="B14" s="2"/>
      <c r="C14" s="2"/>
      <c r="D14" s="127" t="s">
        <v>35</v>
      </c>
      <c r="E14" s="42" t="s">
        <v>36</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row>
    <row r="15" spans="1:53" x14ac:dyDescent="0.35">
      <c r="A15" s="28" t="s">
        <v>37</v>
      </c>
      <c r="B15" s="26"/>
      <c r="C15" s="26"/>
      <c r="D15" s="28" t="s">
        <v>38</v>
      </c>
      <c r="E15" s="28" t="s">
        <v>35</v>
      </c>
      <c r="F15" s="28"/>
      <c r="G15" s="28" t="s">
        <v>39</v>
      </c>
      <c r="H15" s="94">
        <v>2025</v>
      </c>
      <c r="I15" s="94">
        <v>2026</v>
      </c>
      <c r="J15" s="94">
        <v>2027</v>
      </c>
      <c r="K15" s="94">
        <v>2028</v>
      </c>
      <c r="L15" s="94">
        <v>2029</v>
      </c>
      <c r="M15" s="94">
        <v>2030</v>
      </c>
      <c r="N15" s="94">
        <v>2031</v>
      </c>
      <c r="O15" s="94">
        <v>2032</v>
      </c>
      <c r="P15" s="94">
        <v>2033</v>
      </c>
      <c r="Q15" s="94">
        <v>2034</v>
      </c>
      <c r="R15" s="94">
        <v>2035</v>
      </c>
      <c r="S15" s="94">
        <v>2036</v>
      </c>
      <c r="T15" s="94">
        <v>2037</v>
      </c>
      <c r="U15" s="94">
        <v>2038</v>
      </c>
      <c r="V15" s="94">
        <v>2039</v>
      </c>
      <c r="W15" s="94">
        <v>2040</v>
      </c>
      <c r="X15" s="94">
        <v>2041</v>
      </c>
      <c r="Y15" s="94">
        <v>2042</v>
      </c>
      <c r="Z15" s="94">
        <v>2043</v>
      </c>
      <c r="AA15" s="94">
        <v>2044</v>
      </c>
      <c r="AB15" s="94">
        <v>2045</v>
      </c>
      <c r="AC15" s="94">
        <v>2046</v>
      </c>
      <c r="AD15" s="94">
        <v>2047</v>
      </c>
      <c r="AE15" s="94">
        <v>2048</v>
      </c>
      <c r="AF15" s="94">
        <v>2049</v>
      </c>
      <c r="AG15" s="94">
        <v>2050</v>
      </c>
      <c r="AH15" s="94">
        <v>2051</v>
      </c>
      <c r="AI15" s="94">
        <v>2052</v>
      </c>
      <c r="AJ15" s="94">
        <v>2053</v>
      </c>
      <c r="AK15" s="94">
        <v>2054</v>
      </c>
      <c r="AL15" s="94">
        <v>2055</v>
      </c>
      <c r="AM15" s="94">
        <v>2056</v>
      </c>
      <c r="AN15" s="94">
        <v>2057</v>
      </c>
      <c r="AO15" s="94">
        <v>2058</v>
      </c>
      <c r="AP15" s="94">
        <v>2059</v>
      </c>
      <c r="AQ15" s="94">
        <v>2060</v>
      </c>
      <c r="AR15" s="94">
        <v>2061</v>
      </c>
      <c r="AS15" s="94">
        <v>2062</v>
      </c>
      <c r="AT15" s="94">
        <v>2063</v>
      </c>
      <c r="AU15" s="94">
        <v>2064</v>
      </c>
      <c r="AV15" s="94">
        <v>2065</v>
      </c>
      <c r="AW15" s="94">
        <v>2066</v>
      </c>
      <c r="AX15" s="94">
        <v>2067</v>
      </c>
      <c r="AY15" s="94">
        <v>2068</v>
      </c>
      <c r="AZ15" s="94">
        <v>2069</v>
      </c>
      <c r="BA15" s="94">
        <v>2070</v>
      </c>
    </row>
    <row r="16" spans="1:53" x14ac:dyDescent="0.35">
      <c r="A16" s="95" t="str">
        <f>"Please provide data through to "&amp;FinalYear_PP</f>
        <v>Please provide data through to 1900</v>
      </c>
      <c r="B16" s="2"/>
      <c r="C16" s="2"/>
      <c r="D16" s="8" t="s">
        <v>40</v>
      </c>
      <c r="E16" s="8" t="str">
        <f t="shared" ref="E16:E22" si="5">E$14</f>
        <v>Nominal</v>
      </c>
      <c r="F16" s="8" t="str">
        <f t="shared" ref="F16:F22" si="6">IF(E16="Nominal","",Analysis_year&amp;" values")</f>
        <v/>
      </c>
      <c r="G16" s="9"/>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row>
    <row r="17" spans="1:53" x14ac:dyDescent="0.35">
      <c r="A17" s="95"/>
      <c r="B17" s="2"/>
      <c r="C17" s="2"/>
      <c r="D17" s="8" t="s">
        <v>41</v>
      </c>
      <c r="E17" s="8" t="str">
        <f t="shared" si="5"/>
        <v>Nominal</v>
      </c>
      <c r="F17" s="8" t="str">
        <f t="shared" si="6"/>
        <v/>
      </c>
      <c r="G17" s="9"/>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row>
    <row r="18" spans="1:53" x14ac:dyDescent="0.35">
      <c r="A18" s="95"/>
      <c r="B18" s="2"/>
      <c r="C18" s="2"/>
      <c r="D18" s="8" t="s">
        <v>42</v>
      </c>
      <c r="E18" s="8" t="str">
        <f t="shared" si="5"/>
        <v>Nominal</v>
      </c>
      <c r="F18" s="8" t="str">
        <f t="shared" si="6"/>
        <v/>
      </c>
      <c r="G18" s="9"/>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row>
    <row r="19" spans="1:53" x14ac:dyDescent="0.35">
      <c r="A19" s="95"/>
      <c r="B19" s="2"/>
      <c r="C19" s="2"/>
      <c r="D19" s="8" t="s">
        <v>43</v>
      </c>
      <c r="E19" s="8" t="str">
        <f t="shared" si="5"/>
        <v>Nominal</v>
      </c>
      <c r="F19" s="8" t="str">
        <f t="shared" si="6"/>
        <v/>
      </c>
      <c r="G19" s="9"/>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row>
    <row r="20" spans="1:53" x14ac:dyDescent="0.35">
      <c r="A20" s="95"/>
      <c r="B20" s="2"/>
      <c r="C20" s="2"/>
      <c r="D20" s="8" t="s">
        <v>44</v>
      </c>
      <c r="E20" s="8" t="str">
        <f t="shared" si="5"/>
        <v>Nominal</v>
      </c>
      <c r="F20" s="8" t="str">
        <f t="shared" si="6"/>
        <v/>
      </c>
      <c r="G20" s="9"/>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row>
    <row r="21" spans="1:53" x14ac:dyDescent="0.35">
      <c r="A21" s="95"/>
      <c r="B21" s="2"/>
      <c r="C21" s="2"/>
      <c r="D21" s="8" t="s">
        <v>45</v>
      </c>
      <c r="E21" s="8" t="str">
        <f t="shared" si="5"/>
        <v>Nominal</v>
      </c>
      <c r="F21" s="8" t="str">
        <f t="shared" si="6"/>
        <v/>
      </c>
      <c r="G21" s="9"/>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row>
    <row r="22" spans="1:53" x14ac:dyDescent="0.35">
      <c r="A22" s="95"/>
      <c r="B22" s="2"/>
      <c r="C22" s="2"/>
      <c r="D22" s="94" t="s">
        <v>46</v>
      </c>
      <c r="E22" s="94" t="str">
        <f t="shared" si="5"/>
        <v>Nominal</v>
      </c>
      <c r="F22" s="94" t="str">
        <f t="shared" si="6"/>
        <v/>
      </c>
      <c r="G22" s="9"/>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row>
    <row r="23" spans="1:53" x14ac:dyDescent="0.35">
      <c r="A23" s="95"/>
      <c r="B23" s="2"/>
      <c r="C23" s="2"/>
      <c r="D23" s="96" t="str">
        <f>"Total capex in "&amp;Analysis_year&amp;" dollars"</f>
        <v>Total capex in  dollars</v>
      </c>
      <c r="E23" s="2"/>
      <c r="F23" s="2"/>
      <c r="G23" s="97"/>
      <c r="H23" s="138">
        <f>SUM(H16:H22)*IF($E$14="Real",1,H$11)</f>
        <v>0</v>
      </c>
      <c r="I23" s="138">
        <f t="shared" ref="I23:BA23" si="7">SUM(I16:I22)*IF($E$14="Real",1,I$11)</f>
        <v>0</v>
      </c>
      <c r="J23" s="138">
        <f t="shared" si="7"/>
        <v>0</v>
      </c>
      <c r="K23" s="138">
        <f t="shared" si="7"/>
        <v>0</v>
      </c>
      <c r="L23" s="138">
        <f t="shared" si="7"/>
        <v>0</v>
      </c>
      <c r="M23" s="138">
        <f t="shared" si="7"/>
        <v>0</v>
      </c>
      <c r="N23" s="138">
        <f t="shared" si="7"/>
        <v>0</v>
      </c>
      <c r="O23" s="138">
        <f t="shared" si="7"/>
        <v>0</v>
      </c>
      <c r="P23" s="138">
        <f t="shared" si="7"/>
        <v>0</v>
      </c>
      <c r="Q23" s="138">
        <f t="shared" si="7"/>
        <v>0</v>
      </c>
      <c r="R23" s="138">
        <f t="shared" si="7"/>
        <v>0</v>
      </c>
      <c r="S23" s="138">
        <f t="shared" si="7"/>
        <v>0</v>
      </c>
      <c r="T23" s="138">
        <f t="shared" si="7"/>
        <v>0</v>
      </c>
      <c r="U23" s="138">
        <f t="shared" si="7"/>
        <v>0</v>
      </c>
      <c r="V23" s="138">
        <f t="shared" si="7"/>
        <v>0</v>
      </c>
      <c r="W23" s="138">
        <f t="shared" si="7"/>
        <v>0</v>
      </c>
      <c r="X23" s="138">
        <f t="shared" si="7"/>
        <v>0</v>
      </c>
      <c r="Y23" s="138">
        <f t="shared" si="7"/>
        <v>0</v>
      </c>
      <c r="Z23" s="138">
        <f t="shared" si="7"/>
        <v>0</v>
      </c>
      <c r="AA23" s="138">
        <f t="shared" si="7"/>
        <v>0</v>
      </c>
      <c r="AB23" s="138">
        <f t="shared" si="7"/>
        <v>0</v>
      </c>
      <c r="AC23" s="138">
        <f t="shared" si="7"/>
        <v>0</v>
      </c>
      <c r="AD23" s="138">
        <f t="shared" si="7"/>
        <v>0</v>
      </c>
      <c r="AE23" s="138">
        <f t="shared" si="7"/>
        <v>0</v>
      </c>
      <c r="AF23" s="138">
        <f t="shared" si="7"/>
        <v>0</v>
      </c>
      <c r="AG23" s="138">
        <f t="shared" si="7"/>
        <v>0</v>
      </c>
      <c r="AH23" s="138">
        <f t="shared" si="7"/>
        <v>0</v>
      </c>
      <c r="AI23" s="138">
        <f t="shared" si="7"/>
        <v>0</v>
      </c>
      <c r="AJ23" s="138">
        <f t="shared" si="7"/>
        <v>0</v>
      </c>
      <c r="AK23" s="138">
        <f t="shared" si="7"/>
        <v>0</v>
      </c>
      <c r="AL23" s="138">
        <f t="shared" si="7"/>
        <v>0</v>
      </c>
      <c r="AM23" s="138">
        <f t="shared" si="7"/>
        <v>0</v>
      </c>
      <c r="AN23" s="138">
        <f t="shared" si="7"/>
        <v>0</v>
      </c>
      <c r="AO23" s="138">
        <f t="shared" si="7"/>
        <v>0</v>
      </c>
      <c r="AP23" s="138">
        <f t="shared" si="7"/>
        <v>0</v>
      </c>
      <c r="AQ23" s="138">
        <f t="shared" si="7"/>
        <v>0</v>
      </c>
      <c r="AR23" s="138">
        <f t="shared" si="7"/>
        <v>0</v>
      </c>
      <c r="AS23" s="138">
        <f t="shared" si="7"/>
        <v>0</v>
      </c>
      <c r="AT23" s="138">
        <f t="shared" si="7"/>
        <v>0</v>
      </c>
      <c r="AU23" s="138">
        <f t="shared" si="7"/>
        <v>0</v>
      </c>
      <c r="AV23" s="138">
        <f t="shared" si="7"/>
        <v>0</v>
      </c>
      <c r="AW23" s="138">
        <f t="shared" si="7"/>
        <v>0</v>
      </c>
      <c r="AX23" s="138">
        <f t="shared" si="7"/>
        <v>0</v>
      </c>
      <c r="AY23" s="138">
        <f t="shared" si="7"/>
        <v>0</v>
      </c>
      <c r="AZ23" s="138">
        <f t="shared" si="7"/>
        <v>0</v>
      </c>
      <c r="BA23" s="138">
        <f t="shared" si="7"/>
        <v>0</v>
      </c>
    </row>
    <row r="24" spans="1:53" x14ac:dyDescent="0.35">
      <c r="A24" s="95"/>
      <c r="B24" s="2"/>
      <c r="C24" s="2"/>
      <c r="D24" s="8" t="s">
        <v>47</v>
      </c>
      <c r="E24" s="2"/>
      <c r="F24" s="2"/>
      <c r="G24" s="2"/>
      <c r="H24" s="115">
        <f>SUM(H16:H22)*IF($E$14="Real",H10,1)</f>
        <v>0</v>
      </c>
      <c r="I24" s="115">
        <f t="shared" ref="I24:BA24" si="8">SUM(I16:I22)*IF($E$14="Real",I10,1)</f>
        <v>0</v>
      </c>
      <c r="J24" s="115">
        <f t="shared" si="8"/>
        <v>0</v>
      </c>
      <c r="K24" s="115">
        <f t="shared" si="8"/>
        <v>0</v>
      </c>
      <c r="L24" s="115">
        <f t="shared" si="8"/>
        <v>0</v>
      </c>
      <c r="M24" s="115">
        <f t="shared" si="8"/>
        <v>0</v>
      </c>
      <c r="N24" s="115">
        <f t="shared" si="8"/>
        <v>0</v>
      </c>
      <c r="O24" s="115">
        <f t="shared" si="8"/>
        <v>0</v>
      </c>
      <c r="P24" s="115">
        <f t="shared" si="8"/>
        <v>0</v>
      </c>
      <c r="Q24" s="115">
        <f t="shared" si="8"/>
        <v>0</v>
      </c>
      <c r="R24" s="115">
        <f t="shared" si="8"/>
        <v>0</v>
      </c>
      <c r="S24" s="115">
        <f t="shared" si="8"/>
        <v>0</v>
      </c>
      <c r="T24" s="115">
        <f t="shared" si="8"/>
        <v>0</v>
      </c>
      <c r="U24" s="115">
        <f t="shared" si="8"/>
        <v>0</v>
      </c>
      <c r="V24" s="115">
        <f t="shared" si="8"/>
        <v>0</v>
      </c>
      <c r="W24" s="115">
        <f t="shared" si="8"/>
        <v>0</v>
      </c>
      <c r="X24" s="115">
        <f t="shared" si="8"/>
        <v>0</v>
      </c>
      <c r="Y24" s="115">
        <f t="shared" si="8"/>
        <v>0</v>
      </c>
      <c r="Z24" s="115">
        <f t="shared" si="8"/>
        <v>0</v>
      </c>
      <c r="AA24" s="115">
        <f t="shared" si="8"/>
        <v>0</v>
      </c>
      <c r="AB24" s="115">
        <f t="shared" si="8"/>
        <v>0</v>
      </c>
      <c r="AC24" s="115">
        <f t="shared" si="8"/>
        <v>0</v>
      </c>
      <c r="AD24" s="115">
        <f t="shared" si="8"/>
        <v>0</v>
      </c>
      <c r="AE24" s="115">
        <f t="shared" si="8"/>
        <v>0</v>
      </c>
      <c r="AF24" s="115">
        <f t="shared" si="8"/>
        <v>0</v>
      </c>
      <c r="AG24" s="115">
        <f t="shared" si="8"/>
        <v>0</v>
      </c>
      <c r="AH24" s="115">
        <f t="shared" si="8"/>
        <v>0</v>
      </c>
      <c r="AI24" s="115">
        <f t="shared" si="8"/>
        <v>0</v>
      </c>
      <c r="AJ24" s="115">
        <f t="shared" si="8"/>
        <v>0</v>
      </c>
      <c r="AK24" s="115">
        <f t="shared" si="8"/>
        <v>0</v>
      </c>
      <c r="AL24" s="115">
        <f t="shared" si="8"/>
        <v>0</v>
      </c>
      <c r="AM24" s="115">
        <f t="shared" si="8"/>
        <v>0</v>
      </c>
      <c r="AN24" s="115">
        <f t="shared" si="8"/>
        <v>0</v>
      </c>
      <c r="AO24" s="115">
        <f t="shared" si="8"/>
        <v>0</v>
      </c>
      <c r="AP24" s="115">
        <f t="shared" si="8"/>
        <v>0</v>
      </c>
      <c r="AQ24" s="115">
        <f t="shared" si="8"/>
        <v>0</v>
      </c>
      <c r="AR24" s="115">
        <f t="shared" si="8"/>
        <v>0</v>
      </c>
      <c r="AS24" s="115">
        <f t="shared" si="8"/>
        <v>0</v>
      </c>
      <c r="AT24" s="115">
        <f t="shared" si="8"/>
        <v>0</v>
      </c>
      <c r="AU24" s="115">
        <f t="shared" si="8"/>
        <v>0</v>
      </c>
      <c r="AV24" s="115">
        <f t="shared" si="8"/>
        <v>0</v>
      </c>
      <c r="AW24" s="115">
        <f t="shared" si="8"/>
        <v>0</v>
      </c>
      <c r="AX24" s="115">
        <f t="shared" si="8"/>
        <v>0</v>
      </c>
      <c r="AY24" s="115">
        <f t="shared" si="8"/>
        <v>0</v>
      </c>
      <c r="AZ24" s="115">
        <f t="shared" si="8"/>
        <v>0</v>
      </c>
      <c r="BA24" s="115">
        <f t="shared" si="8"/>
        <v>0</v>
      </c>
    </row>
    <row r="25" spans="1:53" x14ac:dyDescent="0.35">
      <c r="A25" s="95"/>
      <c r="B25" s="2"/>
      <c r="C25" s="2"/>
      <c r="D25" s="2"/>
      <c r="E25" s="2"/>
      <c r="F25" s="2"/>
      <c r="G25" s="2"/>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row>
    <row r="26" spans="1:53" x14ac:dyDescent="0.35">
      <c r="A26" s="95"/>
      <c r="B26" s="2"/>
      <c r="C26" s="2"/>
      <c r="D26" s="10" t="s">
        <v>35</v>
      </c>
      <c r="E26" s="43" t="s">
        <v>109</v>
      </c>
      <c r="F26" s="2"/>
      <c r="G26" s="2"/>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row>
    <row r="27" spans="1:53" x14ac:dyDescent="0.35">
      <c r="A27" s="27" t="s">
        <v>48</v>
      </c>
      <c r="B27" s="26"/>
      <c r="C27" s="26"/>
      <c r="D27" s="27" t="s">
        <v>38</v>
      </c>
      <c r="E27" s="27" t="s">
        <v>35</v>
      </c>
      <c r="F27" s="27"/>
      <c r="G27" s="27" t="s">
        <v>39</v>
      </c>
      <c r="H27" s="29">
        <v>2025</v>
      </c>
      <c r="I27" s="29">
        <v>2026</v>
      </c>
      <c r="J27" s="29">
        <v>2027</v>
      </c>
      <c r="K27" s="29">
        <v>2028</v>
      </c>
      <c r="L27" s="29">
        <v>2029</v>
      </c>
      <c r="M27" s="29">
        <v>2030</v>
      </c>
      <c r="N27" s="29">
        <v>2031</v>
      </c>
      <c r="O27" s="29">
        <v>2032</v>
      </c>
      <c r="P27" s="29">
        <v>2033</v>
      </c>
      <c r="Q27" s="29">
        <v>2034</v>
      </c>
      <c r="R27" s="29">
        <v>2035</v>
      </c>
      <c r="S27" s="29">
        <v>2036</v>
      </c>
      <c r="T27" s="29">
        <v>2037</v>
      </c>
      <c r="U27" s="29">
        <v>2038</v>
      </c>
      <c r="V27" s="29">
        <v>2039</v>
      </c>
      <c r="W27" s="29">
        <v>2040</v>
      </c>
      <c r="X27" s="29">
        <v>2041</v>
      </c>
      <c r="Y27" s="29">
        <v>2042</v>
      </c>
      <c r="Z27" s="29">
        <v>2043</v>
      </c>
      <c r="AA27" s="29">
        <v>2044</v>
      </c>
      <c r="AB27" s="29">
        <v>2045</v>
      </c>
      <c r="AC27" s="29">
        <v>2046</v>
      </c>
      <c r="AD27" s="29">
        <v>2047</v>
      </c>
      <c r="AE27" s="29">
        <v>2048</v>
      </c>
      <c r="AF27" s="29">
        <v>2049</v>
      </c>
      <c r="AG27" s="29">
        <v>2050</v>
      </c>
      <c r="AH27" s="29">
        <v>2051</v>
      </c>
      <c r="AI27" s="29">
        <v>2052</v>
      </c>
      <c r="AJ27" s="29">
        <v>2053</v>
      </c>
      <c r="AK27" s="29">
        <v>2054</v>
      </c>
      <c r="AL27" s="29">
        <v>2055</v>
      </c>
      <c r="AM27" s="29">
        <v>2056</v>
      </c>
      <c r="AN27" s="29">
        <v>2057</v>
      </c>
      <c r="AO27" s="29">
        <v>2058</v>
      </c>
      <c r="AP27" s="29">
        <v>2059</v>
      </c>
      <c r="AQ27" s="29">
        <v>2060</v>
      </c>
      <c r="AR27" s="29">
        <v>2061</v>
      </c>
      <c r="AS27" s="29">
        <v>2062</v>
      </c>
      <c r="AT27" s="29">
        <v>2063</v>
      </c>
      <c r="AU27" s="29">
        <v>2064</v>
      </c>
      <c r="AV27" s="29">
        <v>2065</v>
      </c>
      <c r="AW27" s="29">
        <v>2066</v>
      </c>
      <c r="AX27" s="29">
        <v>2067</v>
      </c>
      <c r="AY27" s="29">
        <v>2068</v>
      </c>
      <c r="AZ27" s="29">
        <v>2069</v>
      </c>
      <c r="BA27" s="29">
        <v>2070</v>
      </c>
    </row>
    <row r="28" spans="1:53" s="139" customFormat="1" x14ac:dyDescent="0.35">
      <c r="A28" s="95" t="str">
        <f>"Please provide data through to "&amp;FinalYear_BC</f>
        <v>Please provide data through to 1900</v>
      </c>
      <c r="B28" s="102"/>
      <c r="C28" s="102"/>
      <c r="D28" s="4" t="s">
        <v>40</v>
      </c>
      <c r="E28" s="4" t="str">
        <f t="shared" ref="E28:E34" si="9">$E$26</f>
        <v>Real</v>
      </c>
      <c r="F28" s="4" t="str">
        <f t="shared" ref="F28:F34" si="10">IF(E28="Nominal","",Analysis_year&amp;" values")</f>
        <v xml:space="preserve"> values</v>
      </c>
      <c r="G28" s="11"/>
      <c r="H28" s="392"/>
      <c r="I28" s="392"/>
      <c r="J28" s="392"/>
      <c r="K28" s="392"/>
      <c r="L28" s="392"/>
      <c r="M28" s="392"/>
      <c r="N28" s="392"/>
      <c r="O28" s="392"/>
      <c r="P28" s="392"/>
      <c r="Q28" s="392"/>
      <c r="R28" s="392"/>
      <c r="S28" s="392"/>
      <c r="T28" s="392"/>
      <c r="U28" s="392"/>
      <c r="V28" s="392"/>
      <c r="W28" s="392"/>
      <c r="X28" s="392"/>
      <c r="Y28" s="392"/>
      <c r="Z28" s="392"/>
      <c r="AA28" s="392"/>
      <c r="AB28" s="392"/>
      <c r="AC28" s="392"/>
      <c r="AD28" s="392"/>
      <c r="AE28" s="392"/>
      <c r="AF28" s="392"/>
      <c r="AG28" s="392"/>
      <c r="AH28" s="392"/>
      <c r="AI28" s="392"/>
      <c r="AJ28" s="392"/>
      <c r="AK28" s="392"/>
      <c r="AL28" s="392"/>
      <c r="AM28" s="392"/>
      <c r="AN28" s="392"/>
      <c r="AO28" s="392"/>
      <c r="AP28" s="392"/>
      <c r="AQ28" s="392"/>
      <c r="AR28" s="392"/>
      <c r="AS28" s="392"/>
      <c r="AT28" s="392"/>
      <c r="AU28" s="392"/>
      <c r="AV28" s="392"/>
      <c r="AW28" s="392"/>
      <c r="AX28" s="392"/>
      <c r="AY28" s="392"/>
      <c r="AZ28" s="392"/>
      <c r="BA28" s="392"/>
    </row>
    <row r="29" spans="1:53" s="139" customFormat="1" x14ac:dyDescent="0.35">
      <c r="A29" s="95"/>
      <c r="B29" s="102"/>
      <c r="C29" s="102"/>
      <c r="D29" s="4" t="s">
        <v>41</v>
      </c>
      <c r="E29" s="4" t="str">
        <f t="shared" si="9"/>
        <v>Real</v>
      </c>
      <c r="F29" s="4" t="str">
        <f t="shared" si="10"/>
        <v xml:space="preserve"> values</v>
      </c>
      <c r="G29" s="11"/>
      <c r="H29" s="392"/>
      <c r="I29" s="392"/>
      <c r="J29" s="392"/>
      <c r="K29" s="392"/>
      <c r="L29" s="392"/>
      <c r="M29" s="392"/>
      <c r="N29" s="392"/>
      <c r="O29" s="392"/>
      <c r="P29" s="392"/>
      <c r="Q29" s="392"/>
      <c r="R29" s="392"/>
      <c r="S29" s="392"/>
      <c r="T29" s="392"/>
      <c r="U29" s="392"/>
      <c r="V29" s="392"/>
      <c r="W29" s="392"/>
      <c r="X29" s="392"/>
      <c r="Y29" s="392"/>
      <c r="Z29" s="392"/>
      <c r="AA29" s="392"/>
      <c r="AB29" s="392"/>
      <c r="AC29" s="392"/>
      <c r="AD29" s="392"/>
      <c r="AE29" s="392"/>
      <c r="AF29" s="392"/>
      <c r="AG29" s="392"/>
      <c r="AH29" s="392"/>
      <c r="AI29" s="392"/>
      <c r="AJ29" s="392"/>
      <c r="AK29" s="392"/>
      <c r="AL29" s="392"/>
      <c r="AM29" s="392"/>
      <c r="AN29" s="392"/>
      <c r="AO29" s="392"/>
      <c r="AP29" s="392"/>
      <c r="AQ29" s="392"/>
      <c r="AR29" s="392"/>
      <c r="AS29" s="392"/>
      <c r="AT29" s="392"/>
      <c r="AU29" s="392"/>
      <c r="AV29" s="392"/>
      <c r="AW29" s="392"/>
      <c r="AX29" s="392"/>
      <c r="AY29" s="392"/>
      <c r="AZ29" s="392"/>
      <c r="BA29" s="392"/>
    </row>
    <row r="30" spans="1:53" s="139" customFormat="1" x14ac:dyDescent="0.35">
      <c r="A30" s="95"/>
      <c r="B30" s="102"/>
      <c r="C30" s="102"/>
      <c r="D30" s="4" t="s">
        <v>42</v>
      </c>
      <c r="E30" s="4" t="str">
        <f t="shared" si="9"/>
        <v>Real</v>
      </c>
      <c r="F30" s="4" t="str">
        <f t="shared" si="10"/>
        <v xml:space="preserve"> values</v>
      </c>
      <c r="G30" s="11"/>
      <c r="H30" s="392"/>
      <c r="I30" s="392"/>
      <c r="J30" s="392"/>
      <c r="K30" s="392"/>
      <c r="L30" s="392"/>
      <c r="M30" s="392"/>
      <c r="N30" s="392"/>
      <c r="O30" s="392"/>
      <c r="P30" s="392"/>
      <c r="Q30" s="392"/>
      <c r="R30" s="392"/>
      <c r="S30" s="392"/>
      <c r="T30" s="392"/>
      <c r="U30" s="392"/>
      <c r="V30" s="392"/>
      <c r="W30" s="392"/>
      <c r="X30" s="392"/>
      <c r="Y30" s="392"/>
      <c r="Z30" s="392"/>
      <c r="AA30" s="392"/>
      <c r="AB30" s="392"/>
      <c r="AC30" s="392"/>
      <c r="AD30" s="392"/>
      <c r="AE30" s="392"/>
      <c r="AF30" s="392"/>
      <c r="AG30" s="392"/>
      <c r="AH30" s="392"/>
      <c r="AI30" s="392"/>
      <c r="AJ30" s="392"/>
      <c r="AK30" s="392"/>
      <c r="AL30" s="392"/>
      <c r="AM30" s="392"/>
      <c r="AN30" s="392"/>
      <c r="AO30" s="392"/>
      <c r="AP30" s="392"/>
      <c r="AQ30" s="392"/>
      <c r="AR30" s="392"/>
      <c r="AS30" s="392"/>
      <c r="AT30" s="392"/>
      <c r="AU30" s="392"/>
      <c r="AV30" s="392"/>
      <c r="AW30" s="392"/>
      <c r="AX30" s="392"/>
      <c r="AY30" s="392"/>
      <c r="AZ30" s="392"/>
      <c r="BA30" s="392"/>
    </row>
    <row r="31" spans="1:53" s="139" customFormat="1" x14ac:dyDescent="0.35">
      <c r="A31" s="95"/>
      <c r="B31" s="102"/>
      <c r="C31" s="102"/>
      <c r="D31" s="4" t="s">
        <v>43</v>
      </c>
      <c r="E31" s="4" t="str">
        <f t="shared" si="9"/>
        <v>Real</v>
      </c>
      <c r="F31" s="4" t="str">
        <f t="shared" si="10"/>
        <v xml:space="preserve"> values</v>
      </c>
      <c r="G31" s="11"/>
      <c r="H31" s="392"/>
      <c r="I31" s="392"/>
      <c r="J31" s="392"/>
      <c r="K31" s="392"/>
      <c r="L31" s="392"/>
      <c r="M31" s="392"/>
      <c r="N31" s="392"/>
      <c r="O31" s="392"/>
      <c r="P31" s="392"/>
      <c r="Q31" s="392"/>
      <c r="R31" s="392"/>
      <c r="S31" s="392"/>
      <c r="T31" s="392"/>
      <c r="U31" s="392"/>
      <c r="V31" s="392"/>
      <c r="W31" s="392"/>
      <c r="X31" s="392"/>
      <c r="Y31" s="392"/>
      <c r="Z31" s="392"/>
      <c r="AA31" s="392"/>
      <c r="AB31" s="392"/>
      <c r="AC31" s="392"/>
      <c r="AD31" s="392"/>
      <c r="AE31" s="392"/>
      <c r="AF31" s="392"/>
      <c r="AG31" s="392"/>
      <c r="AH31" s="392"/>
      <c r="AI31" s="392"/>
      <c r="AJ31" s="392"/>
      <c r="AK31" s="392"/>
      <c r="AL31" s="392"/>
      <c r="AM31" s="392"/>
      <c r="AN31" s="392"/>
      <c r="AO31" s="392"/>
      <c r="AP31" s="392"/>
      <c r="AQ31" s="392"/>
      <c r="AR31" s="392"/>
      <c r="AS31" s="392"/>
      <c r="AT31" s="392"/>
      <c r="AU31" s="392"/>
      <c r="AV31" s="392"/>
      <c r="AW31" s="392"/>
      <c r="AX31" s="392"/>
      <c r="AY31" s="392"/>
      <c r="AZ31" s="392"/>
      <c r="BA31" s="392"/>
    </row>
    <row r="32" spans="1:53" s="139" customFormat="1" x14ac:dyDescent="0.35">
      <c r="A32" s="95"/>
      <c r="B32" s="102"/>
      <c r="C32" s="102"/>
      <c r="D32" s="4" t="s">
        <v>44</v>
      </c>
      <c r="E32" s="4" t="str">
        <f t="shared" si="9"/>
        <v>Real</v>
      </c>
      <c r="F32" s="4" t="str">
        <f t="shared" si="10"/>
        <v xml:space="preserve"> values</v>
      </c>
      <c r="G32" s="11"/>
      <c r="H32" s="392"/>
      <c r="I32" s="392"/>
      <c r="J32" s="392"/>
      <c r="K32" s="392"/>
      <c r="L32" s="392"/>
      <c r="M32" s="392"/>
      <c r="N32" s="392"/>
      <c r="O32" s="392"/>
      <c r="P32" s="392"/>
      <c r="Q32" s="392"/>
      <c r="R32" s="392"/>
      <c r="S32" s="392"/>
      <c r="T32" s="392"/>
      <c r="U32" s="392"/>
      <c r="V32" s="392"/>
      <c r="W32" s="392"/>
      <c r="X32" s="392"/>
      <c r="Y32" s="392"/>
      <c r="Z32" s="392"/>
      <c r="AA32" s="392"/>
      <c r="AB32" s="392"/>
      <c r="AC32" s="392"/>
      <c r="AD32" s="392"/>
      <c r="AE32" s="392"/>
      <c r="AF32" s="392"/>
      <c r="AG32" s="392"/>
      <c r="AH32" s="392"/>
      <c r="AI32" s="392"/>
      <c r="AJ32" s="392"/>
      <c r="AK32" s="392"/>
      <c r="AL32" s="392"/>
      <c r="AM32" s="392"/>
      <c r="AN32" s="392"/>
      <c r="AO32" s="392"/>
      <c r="AP32" s="392"/>
      <c r="AQ32" s="392"/>
      <c r="AR32" s="392"/>
      <c r="AS32" s="392"/>
      <c r="AT32" s="392"/>
      <c r="AU32" s="392"/>
      <c r="AV32" s="392"/>
      <c r="AW32" s="392"/>
      <c r="AX32" s="392"/>
      <c r="AY32" s="392"/>
      <c r="AZ32" s="392"/>
      <c r="BA32" s="392"/>
    </row>
    <row r="33" spans="1:53" s="139" customFormat="1" x14ac:dyDescent="0.35">
      <c r="A33" s="95"/>
      <c r="B33" s="102"/>
      <c r="C33" s="102"/>
      <c r="D33" s="4" t="s">
        <v>45</v>
      </c>
      <c r="E33" s="4" t="str">
        <f t="shared" si="9"/>
        <v>Real</v>
      </c>
      <c r="F33" s="4" t="str">
        <f t="shared" si="10"/>
        <v xml:space="preserve"> values</v>
      </c>
      <c r="G33" s="11"/>
      <c r="H33" s="392"/>
      <c r="I33" s="392"/>
      <c r="J33" s="392"/>
      <c r="K33" s="392"/>
      <c r="L33" s="392"/>
      <c r="M33" s="392"/>
      <c r="N33" s="392"/>
      <c r="O33" s="392"/>
      <c r="P33" s="392"/>
      <c r="Q33" s="392"/>
      <c r="R33" s="392"/>
      <c r="S33" s="392"/>
      <c r="T33" s="392"/>
      <c r="U33" s="392"/>
      <c r="V33" s="392"/>
      <c r="W33" s="392"/>
      <c r="X33" s="392"/>
      <c r="Y33" s="392"/>
      <c r="Z33" s="392"/>
      <c r="AA33" s="392"/>
      <c r="AB33" s="392"/>
      <c r="AC33" s="392"/>
      <c r="AD33" s="392"/>
      <c r="AE33" s="392"/>
      <c r="AF33" s="392"/>
      <c r="AG33" s="392"/>
      <c r="AH33" s="392"/>
      <c r="AI33" s="392"/>
      <c r="AJ33" s="392"/>
      <c r="AK33" s="392"/>
      <c r="AL33" s="392"/>
      <c r="AM33" s="392"/>
      <c r="AN33" s="392"/>
      <c r="AO33" s="392"/>
      <c r="AP33" s="392"/>
      <c r="AQ33" s="392"/>
      <c r="AR33" s="392"/>
      <c r="AS33" s="392"/>
      <c r="AT33" s="392"/>
      <c r="AU33" s="392"/>
      <c r="AV33" s="392"/>
      <c r="AW33" s="392"/>
      <c r="AX33" s="392"/>
      <c r="AY33" s="392"/>
      <c r="AZ33" s="392"/>
      <c r="BA33" s="392"/>
    </row>
    <row r="34" spans="1:53" s="139" customFormat="1" x14ac:dyDescent="0.35">
      <c r="A34" s="95"/>
      <c r="B34" s="102"/>
      <c r="C34" s="102"/>
      <c r="D34" s="29" t="s">
        <v>46</v>
      </c>
      <c r="E34" s="29" t="str">
        <f t="shared" si="9"/>
        <v>Real</v>
      </c>
      <c r="F34" s="29" t="str">
        <f t="shared" si="10"/>
        <v xml:space="preserve"> values</v>
      </c>
      <c r="G34" s="11"/>
      <c r="H34" s="392"/>
      <c r="I34" s="392"/>
      <c r="J34" s="392"/>
      <c r="K34" s="392"/>
      <c r="L34" s="392"/>
      <c r="M34" s="392"/>
      <c r="N34" s="392"/>
      <c r="O34" s="392"/>
      <c r="P34" s="392"/>
      <c r="Q34" s="392"/>
      <c r="R34" s="392"/>
      <c r="S34" s="392"/>
      <c r="T34" s="392"/>
      <c r="U34" s="392"/>
      <c r="V34" s="392"/>
      <c r="W34" s="392"/>
      <c r="X34" s="392"/>
      <c r="Y34" s="392"/>
      <c r="Z34" s="392"/>
      <c r="AA34" s="392"/>
      <c r="AB34" s="392"/>
      <c r="AC34" s="392"/>
      <c r="AD34" s="392"/>
      <c r="AE34" s="392"/>
      <c r="AF34" s="392"/>
      <c r="AG34" s="392"/>
      <c r="AH34" s="392"/>
      <c r="AI34" s="392"/>
      <c r="AJ34" s="392"/>
      <c r="AK34" s="392"/>
      <c r="AL34" s="392"/>
      <c r="AM34" s="392"/>
      <c r="AN34" s="392"/>
      <c r="AO34" s="392"/>
      <c r="AP34" s="392"/>
      <c r="AQ34" s="392"/>
      <c r="AR34" s="392"/>
      <c r="AS34" s="392"/>
      <c r="AT34" s="392"/>
      <c r="AU34" s="392"/>
      <c r="AV34" s="392"/>
      <c r="AW34" s="392"/>
      <c r="AX34" s="392"/>
      <c r="AY34" s="392"/>
      <c r="AZ34" s="392"/>
      <c r="BA34" s="392"/>
    </row>
    <row r="35" spans="1:53" x14ac:dyDescent="0.35">
      <c r="A35" s="95"/>
      <c r="B35" s="2"/>
      <c r="C35" s="2"/>
      <c r="D35" s="4" t="str">
        <f>"Total capex in "&amp;Analysis_year&amp;" dollars"</f>
        <v>Total capex in  dollars</v>
      </c>
      <c r="E35" s="4"/>
      <c r="F35" s="4"/>
      <c r="G35" s="189"/>
      <c r="H35" s="190">
        <f>SUM(H28:H34)*IF($E$26="Real",1,H$11)</f>
        <v>0</v>
      </c>
      <c r="I35" s="190">
        <f t="shared" ref="I35:BA35" si="11">SUM(I28:I34)*IF($E$26="Real",1,I$11)</f>
        <v>0</v>
      </c>
      <c r="J35" s="190">
        <f t="shared" si="11"/>
        <v>0</v>
      </c>
      <c r="K35" s="190">
        <f t="shared" si="11"/>
        <v>0</v>
      </c>
      <c r="L35" s="190">
        <f t="shared" si="11"/>
        <v>0</v>
      </c>
      <c r="M35" s="190">
        <f t="shared" si="11"/>
        <v>0</v>
      </c>
      <c r="N35" s="190">
        <f t="shared" si="11"/>
        <v>0</v>
      </c>
      <c r="O35" s="190">
        <f t="shared" si="11"/>
        <v>0</v>
      </c>
      <c r="P35" s="190">
        <f t="shared" si="11"/>
        <v>0</v>
      </c>
      <c r="Q35" s="190">
        <f t="shared" si="11"/>
        <v>0</v>
      </c>
      <c r="R35" s="190">
        <f t="shared" si="11"/>
        <v>0</v>
      </c>
      <c r="S35" s="190">
        <f t="shared" si="11"/>
        <v>0</v>
      </c>
      <c r="T35" s="190">
        <f t="shared" si="11"/>
        <v>0</v>
      </c>
      <c r="U35" s="190">
        <f t="shared" si="11"/>
        <v>0</v>
      </c>
      <c r="V35" s="190">
        <f t="shared" si="11"/>
        <v>0</v>
      </c>
      <c r="W35" s="190">
        <f t="shared" si="11"/>
        <v>0</v>
      </c>
      <c r="X35" s="190">
        <f t="shared" si="11"/>
        <v>0</v>
      </c>
      <c r="Y35" s="190">
        <f t="shared" si="11"/>
        <v>0</v>
      </c>
      <c r="Z35" s="190">
        <f t="shared" si="11"/>
        <v>0</v>
      </c>
      <c r="AA35" s="190">
        <f t="shared" si="11"/>
        <v>0</v>
      </c>
      <c r="AB35" s="190">
        <f t="shared" si="11"/>
        <v>0</v>
      </c>
      <c r="AC35" s="190">
        <f t="shared" si="11"/>
        <v>0</v>
      </c>
      <c r="AD35" s="190">
        <f t="shared" si="11"/>
        <v>0</v>
      </c>
      <c r="AE35" s="190">
        <f t="shared" si="11"/>
        <v>0</v>
      </c>
      <c r="AF35" s="190">
        <f t="shared" si="11"/>
        <v>0</v>
      </c>
      <c r="AG35" s="190">
        <f t="shared" si="11"/>
        <v>0</v>
      </c>
      <c r="AH35" s="190">
        <f t="shared" si="11"/>
        <v>0</v>
      </c>
      <c r="AI35" s="190">
        <f t="shared" si="11"/>
        <v>0</v>
      </c>
      <c r="AJ35" s="190">
        <f t="shared" si="11"/>
        <v>0</v>
      </c>
      <c r="AK35" s="190">
        <f t="shared" si="11"/>
        <v>0</v>
      </c>
      <c r="AL35" s="190">
        <f t="shared" si="11"/>
        <v>0</v>
      </c>
      <c r="AM35" s="190">
        <f t="shared" si="11"/>
        <v>0</v>
      </c>
      <c r="AN35" s="190">
        <f t="shared" si="11"/>
        <v>0</v>
      </c>
      <c r="AO35" s="190">
        <f t="shared" si="11"/>
        <v>0</v>
      </c>
      <c r="AP35" s="190">
        <f t="shared" si="11"/>
        <v>0</v>
      </c>
      <c r="AQ35" s="190">
        <f t="shared" si="11"/>
        <v>0</v>
      </c>
      <c r="AR35" s="190">
        <f t="shared" si="11"/>
        <v>0</v>
      </c>
      <c r="AS35" s="190">
        <f t="shared" si="11"/>
        <v>0</v>
      </c>
      <c r="AT35" s="190">
        <f t="shared" si="11"/>
        <v>0</v>
      </c>
      <c r="AU35" s="190">
        <f t="shared" si="11"/>
        <v>0</v>
      </c>
      <c r="AV35" s="190">
        <f t="shared" si="11"/>
        <v>0</v>
      </c>
      <c r="AW35" s="190">
        <f t="shared" si="11"/>
        <v>0</v>
      </c>
      <c r="AX35" s="190">
        <f t="shared" si="11"/>
        <v>0</v>
      </c>
      <c r="AY35" s="190">
        <f t="shared" si="11"/>
        <v>0</v>
      </c>
      <c r="AZ35" s="190">
        <f t="shared" si="11"/>
        <v>0</v>
      </c>
      <c r="BA35" s="190">
        <f t="shared" si="11"/>
        <v>0</v>
      </c>
    </row>
    <row r="36" spans="1:53" x14ac:dyDescent="0.35">
      <c r="A36" s="95"/>
      <c r="B36" s="2"/>
      <c r="C36" s="2"/>
      <c r="D36" s="4" t="s">
        <v>47</v>
      </c>
      <c r="E36" s="4"/>
      <c r="F36" s="4"/>
      <c r="G36" s="4"/>
      <c r="H36" s="117">
        <f>SUM(H28:H34)*IF($E$26="Real",H$10,1)</f>
        <v>0</v>
      </c>
      <c r="I36" s="117">
        <f t="shared" ref="I36:BA36" si="12">SUM(I28:I34)*IF($E$26="Real",I$10,1)</f>
        <v>0</v>
      </c>
      <c r="J36" s="117">
        <f t="shared" si="12"/>
        <v>0</v>
      </c>
      <c r="K36" s="117">
        <f t="shared" si="12"/>
        <v>0</v>
      </c>
      <c r="L36" s="117">
        <f t="shared" si="12"/>
        <v>0</v>
      </c>
      <c r="M36" s="117">
        <f t="shared" si="12"/>
        <v>0</v>
      </c>
      <c r="N36" s="117">
        <f t="shared" si="12"/>
        <v>0</v>
      </c>
      <c r="O36" s="117">
        <f t="shared" si="12"/>
        <v>0</v>
      </c>
      <c r="P36" s="117">
        <f t="shared" si="12"/>
        <v>0</v>
      </c>
      <c r="Q36" s="117">
        <f t="shared" si="12"/>
        <v>0</v>
      </c>
      <c r="R36" s="117">
        <f t="shared" si="12"/>
        <v>0</v>
      </c>
      <c r="S36" s="117">
        <f t="shared" si="12"/>
        <v>0</v>
      </c>
      <c r="T36" s="117">
        <f t="shared" si="12"/>
        <v>0</v>
      </c>
      <c r="U36" s="117">
        <f t="shared" si="12"/>
        <v>0</v>
      </c>
      <c r="V36" s="117">
        <f t="shared" si="12"/>
        <v>0</v>
      </c>
      <c r="W36" s="117">
        <f t="shared" si="12"/>
        <v>0</v>
      </c>
      <c r="X36" s="117">
        <f t="shared" si="12"/>
        <v>0</v>
      </c>
      <c r="Y36" s="117">
        <f t="shared" si="12"/>
        <v>0</v>
      </c>
      <c r="Z36" s="117">
        <f t="shared" si="12"/>
        <v>0</v>
      </c>
      <c r="AA36" s="117">
        <f t="shared" si="12"/>
        <v>0</v>
      </c>
      <c r="AB36" s="117">
        <f t="shared" si="12"/>
        <v>0</v>
      </c>
      <c r="AC36" s="117">
        <f t="shared" si="12"/>
        <v>0</v>
      </c>
      <c r="AD36" s="117">
        <f t="shared" si="12"/>
        <v>0</v>
      </c>
      <c r="AE36" s="117">
        <f t="shared" si="12"/>
        <v>0</v>
      </c>
      <c r="AF36" s="117">
        <f t="shared" si="12"/>
        <v>0</v>
      </c>
      <c r="AG36" s="117">
        <f t="shared" si="12"/>
        <v>0</v>
      </c>
      <c r="AH36" s="117">
        <f t="shared" si="12"/>
        <v>0</v>
      </c>
      <c r="AI36" s="117">
        <f t="shared" si="12"/>
        <v>0</v>
      </c>
      <c r="AJ36" s="117">
        <f t="shared" si="12"/>
        <v>0</v>
      </c>
      <c r="AK36" s="117">
        <f t="shared" si="12"/>
        <v>0</v>
      </c>
      <c r="AL36" s="117">
        <f t="shared" si="12"/>
        <v>0</v>
      </c>
      <c r="AM36" s="117">
        <f t="shared" si="12"/>
        <v>0</v>
      </c>
      <c r="AN36" s="117">
        <f t="shared" si="12"/>
        <v>0</v>
      </c>
      <c r="AO36" s="117">
        <f t="shared" si="12"/>
        <v>0</v>
      </c>
      <c r="AP36" s="117">
        <f t="shared" si="12"/>
        <v>0</v>
      </c>
      <c r="AQ36" s="117">
        <f t="shared" si="12"/>
        <v>0</v>
      </c>
      <c r="AR36" s="117">
        <f t="shared" si="12"/>
        <v>0</v>
      </c>
      <c r="AS36" s="117">
        <f t="shared" si="12"/>
        <v>0</v>
      </c>
      <c r="AT36" s="117">
        <f t="shared" si="12"/>
        <v>0</v>
      </c>
      <c r="AU36" s="117">
        <f t="shared" si="12"/>
        <v>0</v>
      </c>
      <c r="AV36" s="117">
        <f t="shared" si="12"/>
        <v>0</v>
      </c>
      <c r="AW36" s="117">
        <f t="shared" si="12"/>
        <v>0</v>
      </c>
      <c r="AX36" s="117">
        <f t="shared" si="12"/>
        <v>0</v>
      </c>
      <c r="AY36" s="117">
        <f t="shared" si="12"/>
        <v>0</v>
      </c>
      <c r="AZ36" s="117">
        <f t="shared" si="12"/>
        <v>0</v>
      </c>
      <c r="BA36" s="117">
        <f t="shared" si="12"/>
        <v>0</v>
      </c>
    </row>
    <row r="37" spans="1:53" ht="18.5" x14ac:dyDescent="0.45">
      <c r="A37" s="95"/>
      <c r="B37" s="2"/>
      <c r="C37" s="2"/>
      <c r="D37" s="7"/>
      <c r="E37" s="4"/>
      <c r="F37" s="4"/>
      <c r="G37" s="4"/>
      <c r="H37" s="4"/>
      <c r="I37" s="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row>
    <row r="38" spans="1:53" ht="18.5" x14ac:dyDescent="0.45">
      <c r="A38" s="95"/>
      <c r="B38" s="2"/>
      <c r="C38" s="2"/>
      <c r="D38" s="7"/>
      <c r="E38" s="2"/>
      <c r="F38" s="2"/>
      <c r="G38" s="2"/>
      <c r="H38" s="2"/>
      <c r="I38" s="2"/>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row>
    <row r="39" spans="1:53" ht="18.5" x14ac:dyDescent="0.45">
      <c r="A39" s="7" t="s">
        <v>50</v>
      </c>
      <c r="B39" s="2"/>
      <c r="C39" s="2"/>
      <c r="D39" s="7"/>
      <c r="E39" s="7"/>
      <c r="F39" s="7"/>
      <c r="G39" s="2"/>
      <c r="H39" s="2"/>
      <c r="I39" s="2"/>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row>
    <row r="40" spans="1:53" ht="18.5" x14ac:dyDescent="0.45">
      <c r="A40" s="1" t="s">
        <v>51</v>
      </c>
      <c r="B40" s="7"/>
      <c r="C40" s="7"/>
      <c r="D40" s="127" t="s">
        <v>35</v>
      </c>
      <c r="E40" s="42" t="s">
        <v>36</v>
      </c>
      <c r="F40" s="7"/>
      <c r="G40" s="2"/>
      <c r="H40" s="2"/>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row>
    <row r="41" spans="1:53" ht="18.5" x14ac:dyDescent="0.45">
      <c r="A41" s="28" t="s">
        <v>37</v>
      </c>
      <c r="B41" s="105"/>
      <c r="C41" s="105"/>
      <c r="D41" s="28" t="s">
        <v>52</v>
      </c>
      <c r="E41" s="28" t="s">
        <v>35</v>
      </c>
      <c r="F41" s="28"/>
      <c r="G41" s="28" t="s">
        <v>39</v>
      </c>
      <c r="H41" s="94">
        <v>2025</v>
      </c>
      <c r="I41" s="94">
        <v>2026</v>
      </c>
      <c r="J41" s="94">
        <v>2027</v>
      </c>
      <c r="K41" s="94">
        <v>2028</v>
      </c>
      <c r="L41" s="94">
        <v>2029</v>
      </c>
      <c r="M41" s="94">
        <v>2030</v>
      </c>
      <c r="N41" s="94">
        <v>2031</v>
      </c>
      <c r="O41" s="94">
        <v>2032</v>
      </c>
      <c r="P41" s="94">
        <v>2033</v>
      </c>
      <c r="Q41" s="94">
        <v>2034</v>
      </c>
      <c r="R41" s="94">
        <v>2035</v>
      </c>
      <c r="S41" s="94">
        <v>2036</v>
      </c>
      <c r="T41" s="94">
        <v>2037</v>
      </c>
      <c r="U41" s="94">
        <v>2038</v>
      </c>
      <c r="V41" s="94">
        <v>2039</v>
      </c>
      <c r="W41" s="94">
        <v>2040</v>
      </c>
      <c r="X41" s="94">
        <v>2041</v>
      </c>
      <c r="Y41" s="94">
        <v>2042</v>
      </c>
      <c r="Z41" s="94">
        <v>2043</v>
      </c>
      <c r="AA41" s="94">
        <v>2044</v>
      </c>
      <c r="AB41" s="94">
        <v>2045</v>
      </c>
      <c r="AC41" s="94">
        <v>2046</v>
      </c>
      <c r="AD41" s="94">
        <v>2047</v>
      </c>
      <c r="AE41" s="94">
        <v>2048</v>
      </c>
      <c r="AF41" s="94">
        <v>2049</v>
      </c>
      <c r="AG41" s="94">
        <v>2050</v>
      </c>
      <c r="AH41" s="94">
        <v>2051</v>
      </c>
      <c r="AI41" s="94">
        <v>2052</v>
      </c>
      <c r="AJ41" s="94">
        <v>2053</v>
      </c>
      <c r="AK41" s="94">
        <v>2054</v>
      </c>
      <c r="AL41" s="94">
        <v>2055</v>
      </c>
      <c r="AM41" s="94">
        <v>2056</v>
      </c>
      <c r="AN41" s="94">
        <v>2057</v>
      </c>
      <c r="AO41" s="94">
        <v>2058</v>
      </c>
      <c r="AP41" s="94">
        <v>2059</v>
      </c>
      <c r="AQ41" s="94">
        <v>2060</v>
      </c>
      <c r="AR41" s="94">
        <v>2061</v>
      </c>
      <c r="AS41" s="94">
        <v>2062</v>
      </c>
      <c r="AT41" s="94">
        <v>2063</v>
      </c>
      <c r="AU41" s="94">
        <v>2064</v>
      </c>
      <c r="AV41" s="94">
        <v>2065</v>
      </c>
      <c r="AW41" s="94">
        <v>2066</v>
      </c>
      <c r="AX41" s="94">
        <v>2067</v>
      </c>
      <c r="AY41" s="94">
        <v>2068</v>
      </c>
      <c r="AZ41" s="94">
        <v>2069</v>
      </c>
      <c r="BA41" s="94">
        <v>2070</v>
      </c>
    </row>
    <row r="42" spans="1:53" ht="18.5" x14ac:dyDescent="0.45">
      <c r="A42" s="95" t="str">
        <f>"Please provide data through to "&amp;FinalYear_PP</f>
        <v>Please provide data through to 1900</v>
      </c>
      <c r="B42" s="7"/>
      <c r="C42" s="7"/>
      <c r="D42" s="8" t="s">
        <v>53</v>
      </c>
      <c r="E42" s="8" t="str">
        <f t="shared" ref="E42:E47" si="13">$E$40</f>
        <v>Nominal</v>
      </c>
      <c r="F42" s="8" t="str">
        <f t="shared" ref="F42:F47" si="14">IF(E42="Nominal","",Analysis_year&amp;" values")</f>
        <v/>
      </c>
      <c r="G42" s="9"/>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row>
    <row r="43" spans="1:53" ht="18.5" x14ac:dyDescent="0.45">
      <c r="A43" s="95"/>
      <c r="B43" s="7"/>
      <c r="C43" s="7"/>
      <c r="D43" s="8" t="s">
        <v>54</v>
      </c>
      <c r="E43" s="8" t="str">
        <f t="shared" si="13"/>
        <v>Nominal</v>
      </c>
      <c r="F43" s="8" t="str">
        <f t="shared" si="14"/>
        <v/>
      </c>
      <c r="G43" s="9"/>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row>
    <row r="44" spans="1:53" ht="18.5" x14ac:dyDescent="0.45">
      <c r="A44" s="95"/>
      <c r="B44" s="7"/>
      <c r="C44" s="7"/>
      <c r="D44" s="8" t="s">
        <v>55</v>
      </c>
      <c r="E44" s="8" t="str">
        <f t="shared" si="13"/>
        <v>Nominal</v>
      </c>
      <c r="F44" s="8" t="str">
        <f t="shared" si="14"/>
        <v/>
      </c>
      <c r="G44" s="9"/>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row>
    <row r="45" spans="1:53" ht="18.5" x14ac:dyDescent="0.45">
      <c r="A45" s="95"/>
      <c r="B45" s="7"/>
      <c r="C45" s="7"/>
      <c r="D45" s="8" t="s">
        <v>56</v>
      </c>
      <c r="E45" s="8" t="str">
        <f t="shared" si="13"/>
        <v>Nominal</v>
      </c>
      <c r="F45" s="8" t="str">
        <f t="shared" si="14"/>
        <v/>
      </c>
      <c r="G45" s="9"/>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row>
    <row r="46" spans="1:53" ht="18.5" x14ac:dyDescent="0.45">
      <c r="A46" s="95"/>
      <c r="B46" s="7"/>
      <c r="C46" s="7"/>
      <c r="D46" s="8" t="s">
        <v>57</v>
      </c>
      <c r="E46" s="8" t="str">
        <f t="shared" si="13"/>
        <v>Nominal</v>
      </c>
      <c r="F46" s="8" t="str">
        <f t="shared" si="14"/>
        <v/>
      </c>
      <c r="G46" s="9"/>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row>
    <row r="47" spans="1:53" ht="18.5" x14ac:dyDescent="0.45">
      <c r="A47" s="95"/>
      <c r="B47" s="7"/>
      <c r="C47" s="7"/>
      <c r="D47" s="94" t="s">
        <v>46</v>
      </c>
      <c r="E47" s="94" t="str">
        <f t="shared" si="13"/>
        <v>Nominal</v>
      </c>
      <c r="F47" s="94" t="str">
        <f t="shared" si="14"/>
        <v/>
      </c>
      <c r="G47" s="55"/>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row>
    <row r="48" spans="1:53" ht="18.5" x14ac:dyDescent="0.45">
      <c r="A48" s="95"/>
      <c r="B48" s="7"/>
      <c r="C48" s="7"/>
      <c r="D48" s="8" t="str">
        <f>"Total non-fuel opex in "&amp;Analysis_year&amp;" dollars"</f>
        <v>Total non-fuel opex in  dollars</v>
      </c>
      <c r="E48" s="8"/>
      <c r="F48" s="8"/>
      <c r="G48" s="8"/>
      <c r="H48" s="138">
        <f t="shared" ref="H48:BA48" si="15">SUM(H42:H47)*IF($E$40="Real",1,H$11)</f>
        <v>0</v>
      </c>
      <c r="I48" s="138">
        <f t="shared" si="15"/>
        <v>0</v>
      </c>
      <c r="J48" s="138">
        <f t="shared" si="15"/>
        <v>0</v>
      </c>
      <c r="K48" s="138">
        <f t="shared" si="15"/>
        <v>0</v>
      </c>
      <c r="L48" s="138">
        <f t="shared" si="15"/>
        <v>0</v>
      </c>
      <c r="M48" s="138">
        <f t="shared" si="15"/>
        <v>0</v>
      </c>
      <c r="N48" s="138">
        <f t="shared" si="15"/>
        <v>0</v>
      </c>
      <c r="O48" s="138">
        <f t="shared" si="15"/>
        <v>0</v>
      </c>
      <c r="P48" s="138">
        <f t="shared" si="15"/>
        <v>0</v>
      </c>
      <c r="Q48" s="138">
        <f t="shared" si="15"/>
        <v>0</v>
      </c>
      <c r="R48" s="138">
        <f t="shared" si="15"/>
        <v>0</v>
      </c>
      <c r="S48" s="138">
        <f t="shared" si="15"/>
        <v>0</v>
      </c>
      <c r="T48" s="138">
        <f t="shared" si="15"/>
        <v>0</v>
      </c>
      <c r="U48" s="138">
        <f t="shared" si="15"/>
        <v>0</v>
      </c>
      <c r="V48" s="138">
        <f t="shared" si="15"/>
        <v>0</v>
      </c>
      <c r="W48" s="138">
        <f t="shared" si="15"/>
        <v>0</v>
      </c>
      <c r="X48" s="138">
        <f t="shared" si="15"/>
        <v>0</v>
      </c>
      <c r="Y48" s="138">
        <f t="shared" si="15"/>
        <v>0</v>
      </c>
      <c r="Z48" s="138">
        <f t="shared" si="15"/>
        <v>0</v>
      </c>
      <c r="AA48" s="138">
        <f t="shared" si="15"/>
        <v>0</v>
      </c>
      <c r="AB48" s="138">
        <f t="shared" si="15"/>
        <v>0</v>
      </c>
      <c r="AC48" s="138">
        <f t="shared" si="15"/>
        <v>0</v>
      </c>
      <c r="AD48" s="138">
        <f t="shared" si="15"/>
        <v>0</v>
      </c>
      <c r="AE48" s="138">
        <f t="shared" si="15"/>
        <v>0</v>
      </c>
      <c r="AF48" s="138">
        <f t="shared" si="15"/>
        <v>0</v>
      </c>
      <c r="AG48" s="138">
        <f t="shared" si="15"/>
        <v>0</v>
      </c>
      <c r="AH48" s="138">
        <f t="shared" si="15"/>
        <v>0</v>
      </c>
      <c r="AI48" s="138">
        <f t="shared" si="15"/>
        <v>0</v>
      </c>
      <c r="AJ48" s="138">
        <f t="shared" si="15"/>
        <v>0</v>
      </c>
      <c r="AK48" s="138">
        <f t="shared" si="15"/>
        <v>0</v>
      </c>
      <c r="AL48" s="138">
        <f t="shared" si="15"/>
        <v>0</v>
      </c>
      <c r="AM48" s="138">
        <f t="shared" si="15"/>
        <v>0</v>
      </c>
      <c r="AN48" s="138">
        <f t="shared" si="15"/>
        <v>0</v>
      </c>
      <c r="AO48" s="138">
        <f t="shared" si="15"/>
        <v>0</v>
      </c>
      <c r="AP48" s="138">
        <f t="shared" si="15"/>
        <v>0</v>
      </c>
      <c r="AQ48" s="138">
        <f t="shared" si="15"/>
        <v>0</v>
      </c>
      <c r="AR48" s="138">
        <f t="shared" si="15"/>
        <v>0</v>
      </c>
      <c r="AS48" s="138">
        <f t="shared" si="15"/>
        <v>0</v>
      </c>
      <c r="AT48" s="138">
        <f t="shared" si="15"/>
        <v>0</v>
      </c>
      <c r="AU48" s="138">
        <f t="shared" si="15"/>
        <v>0</v>
      </c>
      <c r="AV48" s="138">
        <f t="shared" si="15"/>
        <v>0</v>
      </c>
      <c r="AW48" s="138">
        <f t="shared" si="15"/>
        <v>0</v>
      </c>
      <c r="AX48" s="138">
        <f t="shared" si="15"/>
        <v>0</v>
      </c>
      <c r="AY48" s="138">
        <f t="shared" si="15"/>
        <v>0</v>
      </c>
      <c r="AZ48" s="138">
        <f t="shared" si="15"/>
        <v>0</v>
      </c>
      <c r="BA48" s="138">
        <f t="shared" si="15"/>
        <v>0</v>
      </c>
    </row>
    <row r="49" spans="1:53" ht="18.5" x14ac:dyDescent="0.45">
      <c r="A49" s="95"/>
      <c r="B49" s="7"/>
      <c r="C49" s="7"/>
      <c r="D49" s="8" t="s">
        <v>58</v>
      </c>
      <c r="E49" s="8"/>
      <c r="F49" s="8"/>
      <c r="G49" s="8"/>
      <c r="H49" s="115">
        <f t="shared" ref="H49:BA49" si="16">SUM(H42:H47)*IF($E$40="Real",H$10,1)</f>
        <v>0</v>
      </c>
      <c r="I49" s="115">
        <f t="shared" si="16"/>
        <v>0</v>
      </c>
      <c r="J49" s="115">
        <f t="shared" si="16"/>
        <v>0</v>
      </c>
      <c r="K49" s="115">
        <f t="shared" si="16"/>
        <v>0</v>
      </c>
      <c r="L49" s="115">
        <f t="shared" si="16"/>
        <v>0</v>
      </c>
      <c r="M49" s="115">
        <f t="shared" si="16"/>
        <v>0</v>
      </c>
      <c r="N49" s="115">
        <f t="shared" si="16"/>
        <v>0</v>
      </c>
      <c r="O49" s="115">
        <f t="shared" si="16"/>
        <v>0</v>
      </c>
      <c r="P49" s="115">
        <f t="shared" si="16"/>
        <v>0</v>
      </c>
      <c r="Q49" s="115">
        <f t="shared" si="16"/>
        <v>0</v>
      </c>
      <c r="R49" s="115">
        <f t="shared" si="16"/>
        <v>0</v>
      </c>
      <c r="S49" s="115">
        <f t="shared" si="16"/>
        <v>0</v>
      </c>
      <c r="T49" s="115">
        <f t="shared" si="16"/>
        <v>0</v>
      </c>
      <c r="U49" s="115">
        <f t="shared" si="16"/>
        <v>0</v>
      </c>
      <c r="V49" s="115">
        <f t="shared" si="16"/>
        <v>0</v>
      </c>
      <c r="W49" s="115">
        <f t="shared" si="16"/>
        <v>0</v>
      </c>
      <c r="X49" s="115">
        <f t="shared" si="16"/>
        <v>0</v>
      </c>
      <c r="Y49" s="115">
        <f t="shared" si="16"/>
        <v>0</v>
      </c>
      <c r="Z49" s="115">
        <f t="shared" si="16"/>
        <v>0</v>
      </c>
      <c r="AA49" s="115">
        <f t="shared" si="16"/>
        <v>0</v>
      </c>
      <c r="AB49" s="115">
        <f t="shared" si="16"/>
        <v>0</v>
      </c>
      <c r="AC49" s="115">
        <f t="shared" si="16"/>
        <v>0</v>
      </c>
      <c r="AD49" s="115">
        <f t="shared" si="16"/>
        <v>0</v>
      </c>
      <c r="AE49" s="115">
        <f t="shared" si="16"/>
        <v>0</v>
      </c>
      <c r="AF49" s="115">
        <f t="shared" si="16"/>
        <v>0</v>
      </c>
      <c r="AG49" s="115">
        <f t="shared" si="16"/>
        <v>0</v>
      </c>
      <c r="AH49" s="115">
        <f t="shared" si="16"/>
        <v>0</v>
      </c>
      <c r="AI49" s="115">
        <f t="shared" si="16"/>
        <v>0</v>
      </c>
      <c r="AJ49" s="115">
        <f t="shared" si="16"/>
        <v>0</v>
      </c>
      <c r="AK49" s="115">
        <f t="shared" si="16"/>
        <v>0</v>
      </c>
      <c r="AL49" s="115">
        <f t="shared" si="16"/>
        <v>0</v>
      </c>
      <c r="AM49" s="115">
        <f t="shared" si="16"/>
        <v>0</v>
      </c>
      <c r="AN49" s="115">
        <f t="shared" si="16"/>
        <v>0</v>
      </c>
      <c r="AO49" s="115">
        <f t="shared" si="16"/>
        <v>0</v>
      </c>
      <c r="AP49" s="115">
        <f t="shared" si="16"/>
        <v>0</v>
      </c>
      <c r="AQ49" s="115">
        <f t="shared" si="16"/>
        <v>0</v>
      </c>
      <c r="AR49" s="115">
        <f t="shared" si="16"/>
        <v>0</v>
      </c>
      <c r="AS49" s="115">
        <f t="shared" si="16"/>
        <v>0</v>
      </c>
      <c r="AT49" s="115">
        <f t="shared" si="16"/>
        <v>0</v>
      </c>
      <c r="AU49" s="115">
        <f t="shared" si="16"/>
        <v>0</v>
      </c>
      <c r="AV49" s="115">
        <f t="shared" si="16"/>
        <v>0</v>
      </c>
      <c r="AW49" s="115">
        <f t="shared" si="16"/>
        <v>0</v>
      </c>
      <c r="AX49" s="115">
        <f t="shared" si="16"/>
        <v>0</v>
      </c>
      <c r="AY49" s="115">
        <f t="shared" si="16"/>
        <v>0</v>
      </c>
      <c r="AZ49" s="115">
        <f t="shared" si="16"/>
        <v>0</v>
      </c>
      <c r="BA49" s="115">
        <f t="shared" si="16"/>
        <v>0</v>
      </c>
    </row>
    <row r="50" spans="1:53" ht="18.5" x14ac:dyDescent="0.45">
      <c r="A50" s="95"/>
      <c r="B50" s="7"/>
      <c r="C50" s="7"/>
      <c r="D50" s="8"/>
      <c r="E50" s="8"/>
      <c r="F50" s="8"/>
      <c r="G50" s="8"/>
      <c r="H50" s="8"/>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row>
    <row r="51" spans="1:53" ht="18.5" x14ac:dyDescent="0.45">
      <c r="A51" s="95"/>
      <c r="B51" s="7"/>
      <c r="C51" s="7"/>
      <c r="D51" s="10" t="s">
        <v>35</v>
      </c>
      <c r="E51" s="43" t="s">
        <v>109</v>
      </c>
      <c r="F51" s="8"/>
      <c r="G51" s="2"/>
      <c r="H51" s="2"/>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row>
    <row r="52" spans="1:53" ht="18.5" x14ac:dyDescent="0.45">
      <c r="A52" s="27" t="s">
        <v>48</v>
      </c>
      <c r="B52" s="105"/>
      <c r="C52" s="105"/>
      <c r="D52" s="27" t="s">
        <v>52</v>
      </c>
      <c r="E52" s="27" t="s">
        <v>35</v>
      </c>
      <c r="F52" s="27"/>
      <c r="G52" s="27" t="s">
        <v>39</v>
      </c>
      <c r="H52" s="29">
        <v>2025</v>
      </c>
      <c r="I52" s="29">
        <v>2026</v>
      </c>
      <c r="J52" s="29">
        <v>2027</v>
      </c>
      <c r="K52" s="29">
        <v>2028</v>
      </c>
      <c r="L52" s="29">
        <v>2029</v>
      </c>
      <c r="M52" s="29">
        <v>2030</v>
      </c>
      <c r="N52" s="29">
        <v>2031</v>
      </c>
      <c r="O52" s="29">
        <v>2032</v>
      </c>
      <c r="P52" s="29">
        <v>2033</v>
      </c>
      <c r="Q52" s="29">
        <v>2034</v>
      </c>
      <c r="R52" s="29">
        <v>2035</v>
      </c>
      <c r="S52" s="29">
        <v>2036</v>
      </c>
      <c r="T52" s="29">
        <v>2037</v>
      </c>
      <c r="U52" s="29">
        <v>2038</v>
      </c>
      <c r="V52" s="29">
        <v>2039</v>
      </c>
      <c r="W52" s="29">
        <v>2040</v>
      </c>
      <c r="X52" s="29">
        <v>2041</v>
      </c>
      <c r="Y52" s="29">
        <v>2042</v>
      </c>
      <c r="Z52" s="29">
        <v>2043</v>
      </c>
      <c r="AA52" s="29">
        <v>2044</v>
      </c>
      <c r="AB52" s="29">
        <v>2045</v>
      </c>
      <c r="AC52" s="29">
        <v>2046</v>
      </c>
      <c r="AD52" s="29">
        <v>2047</v>
      </c>
      <c r="AE52" s="29">
        <v>2048</v>
      </c>
      <c r="AF52" s="29">
        <v>2049</v>
      </c>
      <c r="AG52" s="29">
        <v>2050</v>
      </c>
      <c r="AH52" s="29">
        <v>2051</v>
      </c>
      <c r="AI52" s="29">
        <v>2052</v>
      </c>
      <c r="AJ52" s="29">
        <v>2053</v>
      </c>
      <c r="AK52" s="29">
        <v>2054</v>
      </c>
      <c r="AL52" s="29">
        <v>2055</v>
      </c>
      <c r="AM52" s="29">
        <v>2056</v>
      </c>
      <c r="AN52" s="29">
        <v>2057</v>
      </c>
      <c r="AO52" s="29">
        <v>2058</v>
      </c>
      <c r="AP52" s="29">
        <v>2059</v>
      </c>
      <c r="AQ52" s="29">
        <v>2060</v>
      </c>
      <c r="AR52" s="29">
        <v>2061</v>
      </c>
      <c r="AS52" s="29">
        <v>2062</v>
      </c>
      <c r="AT52" s="29">
        <v>2063</v>
      </c>
      <c r="AU52" s="29">
        <v>2064</v>
      </c>
      <c r="AV52" s="29">
        <v>2065</v>
      </c>
      <c r="AW52" s="29">
        <v>2066</v>
      </c>
      <c r="AX52" s="29">
        <v>2067</v>
      </c>
      <c r="AY52" s="29">
        <v>2068</v>
      </c>
      <c r="AZ52" s="29">
        <v>2069</v>
      </c>
      <c r="BA52" s="29">
        <v>2070</v>
      </c>
    </row>
    <row r="53" spans="1:53" ht="18.5" x14ac:dyDescent="0.45">
      <c r="A53" s="95" t="str">
        <f>"Please provide data through to "&amp;FinalYear_BC</f>
        <v>Please provide data through to 1900</v>
      </c>
      <c r="B53" s="7"/>
      <c r="C53" s="7"/>
      <c r="D53" s="4" t="s">
        <v>53</v>
      </c>
      <c r="E53" s="4" t="str">
        <f t="shared" ref="E53:E58" si="17">$E$51</f>
        <v>Real</v>
      </c>
      <c r="F53" s="4" t="str">
        <f t="shared" ref="F53:F58" si="18">IF(E53="Nominal","",Analysis_year&amp;" values")</f>
        <v xml:space="preserve"> values</v>
      </c>
      <c r="G53" s="11"/>
      <c r="H53" s="392"/>
      <c r="I53" s="392"/>
      <c r="J53" s="392"/>
      <c r="K53" s="392"/>
      <c r="L53" s="392"/>
      <c r="M53" s="392"/>
      <c r="N53" s="392"/>
      <c r="O53" s="392"/>
      <c r="P53" s="392"/>
      <c r="Q53" s="392"/>
      <c r="R53" s="392"/>
      <c r="S53" s="392"/>
      <c r="T53" s="392"/>
      <c r="U53" s="392"/>
      <c r="V53" s="392"/>
      <c r="W53" s="392"/>
      <c r="X53" s="392"/>
      <c r="Y53" s="392"/>
      <c r="Z53" s="392"/>
      <c r="AA53" s="392"/>
      <c r="AB53" s="392"/>
      <c r="AC53" s="392"/>
      <c r="AD53" s="392"/>
      <c r="AE53" s="392"/>
      <c r="AF53" s="392"/>
      <c r="AG53" s="392"/>
      <c r="AH53" s="392"/>
      <c r="AI53" s="392"/>
      <c r="AJ53" s="392"/>
      <c r="AK53" s="392"/>
      <c r="AL53" s="392"/>
      <c r="AM53" s="392"/>
      <c r="AN53" s="392"/>
      <c r="AO53" s="392"/>
      <c r="AP53" s="392"/>
      <c r="AQ53" s="392"/>
      <c r="AR53" s="392"/>
      <c r="AS53" s="392"/>
      <c r="AT53" s="392"/>
      <c r="AU53" s="392"/>
      <c r="AV53" s="392"/>
      <c r="AW53" s="392"/>
      <c r="AX53" s="392"/>
      <c r="AY53" s="392"/>
      <c r="AZ53" s="392"/>
      <c r="BA53" s="392"/>
    </row>
    <row r="54" spans="1:53" ht="18.5" x14ac:dyDescent="0.45">
      <c r="A54" s="95"/>
      <c r="B54" s="7"/>
      <c r="C54" s="7"/>
      <c r="D54" s="4" t="s">
        <v>54</v>
      </c>
      <c r="E54" s="4" t="str">
        <f t="shared" si="17"/>
        <v>Real</v>
      </c>
      <c r="F54" s="4" t="str">
        <f t="shared" si="18"/>
        <v xml:space="preserve"> values</v>
      </c>
      <c r="G54" s="11"/>
      <c r="H54" s="392"/>
      <c r="I54" s="392"/>
      <c r="J54" s="392"/>
      <c r="K54" s="392"/>
      <c r="L54" s="392"/>
      <c r="M54" s="392"/>
      <c r="N54" s="392"/>
      <c r="O54" s="392"/>
      <c r="P54" s="392"/>
      <c r="Q54" s="392"/>
      <c r="R54" s="392"/>
      <c r="S54" s="392"/>
      <c r="T54" s="392"/>
      <c r="U54" s="392"/>
      <c r="V54" s="392"/>
      <c r="W54" s="392"/>
      <c r="X54" s="392"/>
      <c r="Y54" s="392"/>
      <c r="Z54" s="392"/>
      <c r="AA54" s="392"/>
      <c r="AB54" s="392"/>
      <c r="AC54" s="392"/>
      <c r="AD54" s="392"/>
      <c r="AE54" s="392"/>
      <c r="AF54" s="392"/>
      <c r="AG54" s="392"/>
      <c r="AH54" s="392"/>
      <c r="AI54" s="392"/>
      <c r="AJ54" s="392"/>
      <c r="AK54" s="392"/>
      <c r="AL54" s="392"/>
      <c r="AM54" s="392"/>
      <c r="AN54" s="392"/>
      <c r="AO54" s="392"/>
      <c r="AP54" s="392"/>
      <c r="AQ54" s="392"/>
      <c r="AR54" s="392"/>
      <c r="AS54" s="392"/>
      <c r="AT54" s="392"/>
      <c r="AU54" s="392"/>
      <c r="AV54" s="392"/>
      <c r="AW54" s="392"/>
      <c r="AX54" s="392"/>
      <c r="AY54" s="392"/>
      <c r="AZ54" s="392"/>
      <c r="BA54" s="392"/>
    </row>
    <row r="55" spans="1:53" ht="18.5" x14ac:dyDescent="0.45">
      <c r="A55" s="95"/>
      <c r="B55" s="7"/>
      <c r="C55" s="7"/>
      <c r="D55" s="4" t="s">
        <v>55</v>
      </c>
      <c r="E55" s="4" t="str">
        <f t="shared" si="17"/>
        <v>Real</v>
      </c>
      <c r="F55" s="4" t="str">
        <f t="shared" si="18"/>
        <v xml:space="preserve"> values</v>
      </c>
      <c r="G55" s="11"/>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c r="AE55" s="392"/>
      <c r="AF55" s="392"/>
      <c r="AG55" s="392"/>
      <c r="AH55" s="392"/>
      <c r="AI55" s="392"/>
      <c r="AJ55" s="392"/>
      <c r="AK55" s="392"/>
      <c r="AL55" s="392"/>
      <c r="AM55" s="392"/>
      <c r="AN55" s="392"/>
      <c r="AO55" s="392"/>
      <c r="AP55" s="392"/>
      <c r="AQ55" s="392"/>
      <c r="AR55" s="392"/>
      <c r="AS55" s="392"/>
      <c r="AT55" s="392"/>
      <c r="AU55" s="392"/>
      <c r="AV55" s="392"/>
      <c r="AW55" s="392"/>
      <c r="AX55" s="392"/>
      <c r="AY55" s="392"/>
      <c r="AZ55" s="392"/>
      <c r="BA55" s="392"/>
    </row>
    <row r="56" spans="1:53" ht="18.5" x14ac:dyDescent="0.45">
      <c r="A56" s="95"/>
      <c r="B56" s="7"/>
      <c r="C56" s="7"/>
      <c r="D56" s="4" t="s">
        <v>56</v>
      </c>
      <c r="E56" s="4" t="str">
        <f t="shared" si="17"/>
        <v>Real</v>
      </c>
      <c r="F56" s="4" t="str">
        <f t="shared" si="18"/>
        <v xml:space="preserve"> values</v>
      </c>
      <c r="G56" s="11"/>
      <c r="H56" s="392"/>
      <c r="I56" s="392"/>
      <c r="J56" s="392"/>
      <c r="K56" s="392"/>
      <c r="L56" s="392"/>
      <c r="M56" s="392"/>
      <c r="N56" s="392"/>
      <c r="O56" s="392"/>
      <c r="P56" s="392"/>
      <c r="Q56" s="392"/>
      <c r="R56" s="392"/>
      <c r="S56" s="392"/>
      <c r="T56" s="392"/>
      <c r="U56" s="392"/>
      <c r="V56" s="392"/>
      <c r="W56" s="392"/>
      <c r="X56" s="392"/>
      <c r="Y56" s="392"/>
      <c r="Z56" s="392"/>
      <c r="AA56" s="392"/>
      <c r="AB56" s="392"/>
      <c r="AC56" s="392"/>
      <c r="AD56" s="392"/>
      <c r="AE56" s="392"/>
      <c r="AF56" s="392"/>
      <c r="AG56" s="392"/>
      <c r="AH56" s="392"/>
      <c r="AI56" s="392"/>
      <c r="AJ56" s="392"/>
      <c r="AK56" s="392"/>
      <c r="AL56" s="392"/>
      <c r="AM56" s="392"/>
      <c r="AN56" s="392"/>
      <c r="AO56" s="392"/>
      <c r="AP56" s="392"/>
      <c r="AQ56" s="392"/>
      <c r="AR56" s="392"/>
      <c r="AS56" s="392"/>
      <c r="AT56" s="392"/>
      <c r="AU56" s="392"/>
      <c r="AV56" s="392"/>
      <c r="AW56" s="392"/>
      <c r="AX56" s="392"/>
      <c r="AY56" s="392"/>
      <c r="AZ56" s="392"/>
      <c r="BA56" s="392"/>
    </row>
    <row r="57" spans="1:53" ht="18.5" x14ac:dyDescent="0.45">
      <c r="A57" s="95"/>
      <c r="B57" s="7"/>
      <c r="C57" s="7"/>
      <c r="D57" s="4" t="s">
        <v>57</v>
      </c>
      <c r="E57" s="4" t="str">
        <f t="shared" si="17"/>
        <v>Real</v>
      </c>
      <c r="F57" s="4" t="str">
        <f t="shared" si="18"/>
        <v xml:space="preserve"> values</v>
      </c>
      <c r="G57" s="11"/>
      <c r="H57" s="392"/>
      <c r="I57" s="392"/>
      <c r="J57" s="392"/>
      <c r="K57" s="392"/>
      <c r="L57" s="392"/>
      <c r="M57" s="392"/>
      <c r="N57" s="392"/>
      <c r="O57" s="392"/>
      <c r="P57" s="392"/>
      <c r="Q57" s="392"/>
      <c r="R57" s="392"/>
      <c r="S57" s="392"/>
      <c r="T57" s="392"/>
      <c r="U57" s="392"/>
      <c r="V57" s="392"/>
      <c r="W57" s="392"/>
      <c r="X57" s="392"/>
      <c r="Y57" s="392"/>
      <c r="Z57" s="392"/>
      <c r="AA57" s="392"/>
      <c r="AB57" s="392"/>
      <c r="AC57" s="392"/>
      <c r="AD57" s="392"/>
      <c r="AE57" s="392"/>
      <c r="AF57" s="392"/>
      <c r="AG57" s="392"/>
      <c r="AH57" s="392"/>
      <c r="AI57" s="392"/>
      <c r="AJ57" s="392"/>
      <c r="AK57" s="392"/>
      <c r="AL57" s="392"/>
      <c r="AM57" s="392"/>
      <c r="AN57" s="392"/>
      <c r="AO57" s="392"/>
      <c r="AP57" s="392"/>
      <c r="AQ57" s="392"/>
      <c r="AR57" s="392"/>
      <c r="AS57" s="392"/>
      <c r="AT57" s="392"/>
      <c r="AU57" s="392"/>
      <c r="AV57" s="392"/>
      <c r="AW57" s="392"/>
      <c r="AX57" s="392"/>
      <c r="AY57" s="392"/>
      <c r="AZ57" s="392"/>
      <c r="BA57" s="392"/>
    </row>
    <row r="58" spans="1:53" ht="18.5" x14ac:dyDescent="0.45">
      <c r="A58" s="95"/>
      <c r="B58" s="7"/>
      <c r="C58" s="7"/>
      <c r="D58" s="29" t="s">
        <v>46</v>
      </c>
      <c r="E58" s="29" t="str">
        <f t="shared" si="17"/>
        <v>Real</v>
      </c>
      <c r="F58" s="29" t="str">
        <f t="shared" si="18"/>
        <v xml:space="preserve"> values</v>
      </c>
      <c r="G58" s="54"/>
      <c r="H58" s="392"/>
      <c r="I58" s="392"/>
      <c r="J58" s="392"/>
      <c r="K58" s="392"/>
      <c r="L58" s="392"/>
      <c r="M58" s="392"/>
      <c r="N58" s="392"/>
      <c r="O58" s="392"/>
      <c r="P58" s="392"/>
      <c r="Q58" s="392"/>
      <c r="R58" s="392"/>
      <c r="S58" s="392"/>
      <c r="T58" s="392"/>
      <c r="U58" s="392"/>
      <c r="V58" s="392"/>
      <c r="W58" s="392"/>
      <c r="X58" s="392"/>
      <c r="Y58" s="392"/>
      <c r="Z58" s="392"/>
      <c r="AA58" s="392"/>
      <c r="AB58" s="392"/>
      <c r="AC58" s="392"/>
      <c r="AD58" s="392"/>
      <c r="AE58" s="392"/>
      <c r="AF58" s="392"/>
      <c r="AG58" s="392"/>
      <c r="AH58" s="392"/>
      <c r="AI58" s="392"/>
      <c r="AJ58" s="392"/>
      <c r="AK58" s="392"/>
      <c r="AL58" s="392"/>
      <c r="AM58" s="392"/>
      <c r="AN58" s="392"/>
      <c r="AO58" s="392"/>
      <c r="AP58" s="392"/>
      <c r="AQ58" s="392"/>
      <c r="AR58" s="392"/>
      <c r="AS58" s="392"/>
      <c r="AT58" s="392"/>
      <c r="AU58" s="392"/>
      <c r="AV58" s="392"/>
      <c r="AW58" s="392"/>
      <c r="AX58" s="392"/>
      <c r="AY58" s="392"/>
      <c r="AZ58" s="392"/>
      <c r="BA58" s="392"/>
    </row>
    <row r="59" spans="1:53" ht="18.5" x14ac:dyDescent="0.45">
      <c r="A59" s="95"/>
      <c r="B59" s="7"/>
      <c r="C59" s="7"/>
      <c r="D59" s="4" t="str">
        <f>"Total non-fuel opex in "&amp;Analysis_year&amp;" dollars"</f>
        <v>Total non-fuel opex in  dollars</v>
      </c>
      <c r="E59" s="4"/>
      <c r="F59" s="4"/>
      <c r="G59" s="4"/>
      <c r="H59" s="190">
        <f t="shared" ref="H59:BA59" si="19">SUM(H53:H58)*IF($E$51="Real",1,H$11)</f>
        <v>0</v>
      </c>
      <c r="I59" s="190">
        <f t="shared" si="19"/>
        <v>0</v>
      </c>
      <c r="J59" s="190">
        <f t="shared" si="19"/>
        <v>0</v>
      </c>
      <c r="K59" s="190">
        <f t="shared" si="19"/>
        <v>0</v>
      </c>
      <c r="L59" s="190">
        <f t="shared" si="19"/>
        <v>0</v>
      </c>
      <c r="M59" s="190">
        <f t="shared" si="19"/>
        <v>0</v>
      </c>
      <c r="N59" s="190">
        <f t="shared" si="19"/>
        <v>0</v>
      </c>
      <c r="O59" s="190">
        <f t="shared" si="19"/>
        <v>0</v>
      </c>
      <c r="P59" s="190">
        <f t="shared" si="19"/>
        <v>0</v>
      </c>
      <c r="Q59" s="190">
        <f t="shared" si="19"/>
        <v>0</v>
      </c>
      <c r="R59" s="190">
        <f t="shared" si="19"/>
        <v>0</v>
      </c>
      <c r="S59" s="190">
        <f t="shared" si="19"/>
        <v>0</v>
      </c>
      <c r="T59" s="190">
        <f t="shared" si="19"/>
        <v>0</v>
      </c>
      <c r="U59" s="190">
        <f t="shared" si="19"/>
        <v>0</v>
      </c>
      <c r="V59" s="190">
        <f t="shared" si="19"/>
        <v>0</v>
      </c>
      <c r="W59" s="190">
        <f t="shared" si="19"/>
        <v>0</v>
      </c>
      <c r="X59" s="190">
        <f t="shared" si="19"/>
        <v>0</v>
      </c>
      <c r="Y59" s="190">
        <f t="shared" si="19"/>
        <v>0</v>
      </c>
      <c r="Z59" s="190">
        <f t="shared" si="19"/>
        <v>0</v>
      </c>
      <c r="AA59" s="190">
        <f t="shared" si="19"/>
        <v>0</v>
      </c>
      <c r="AB59" s="190">
        <f t="shared" si="19"/>
        <v>0</v>
      </c>
      <c r="AC59" s="190">
        <f t="shared" si="19"/>
        <v>0</v>
      </c>
      <c r="AD59" s="190">
        <f t="shared" si="19"/>
        <v>0</v>
      </c>
      <c r="AE59" s="190">
        <f t="shared" si="19"/>
        <v>0</v>
      </c>
      <c r="AF59" s="190">
        <f t="shared" si="19"/>
        <v>0</v>
      </c>
      <c r="AG59" s="190">
        <f t="shared" si="19"/>
        <v>0</v>
      </c>
      <c r="AH59" s="190">
        <f t="shared" si="19"/>
        <v>0</v>
      </c>
      <c r="AI59" s="190">
        <f t="shared" si="19"/>
        <v>0</v>
      </c>
      <c r="AJ59" s="190">
        <f t="shared" si="19"/>
        <v>0</v>
      </c>
      <c r="AK59" s="190">
        <f t="shared" si="19"/>
        <v>0</v>
      </c>
      <c r="AL59" s="190">
        <f t="shared" si="19"/>
        <v>0</v>
      </c>
      <c r="AM59" s="190">
        <f t="shared" si="19"/>
        <v>0</v>
      </c>
      <c r="AN59" s="190">
        <f t="shared" si="19"/>
        <v>0</v>
      </c>
      <c r="AO59" s="190">
        <f t="shared" si="19"/>
        <v>0</v>
      </c>
      <c r="AP59" s="190">
        <f t="shared" si="19"/>
        <v>0</v>
      </c>
      <c r="AQ59" s="190">
        <f t="shared" si="19"/>
        <v>0</v>
      </c>
      <c r="AR59" s="190">
        <f t="shared" si="19"/>
        <v>0</v>
      </c>
      <c r="AS59" s="190">
        <f t="shared" si="19"/>
        <v>0</v>
      </c>
      <c r="AT59" s="190">
        <f t="shared" si="19"/>
        <v>0</v>
      </c>
      <c r="AU59" s="190">
        <f t="shared" si="19"/>
        <v>0</v>
      </c>
      <c r="AV59" s="190">
        <f t="shared" si="19"/>
        <v>0</v>
      </c>
      <c r="AW59" s="190">
        <f t="shared" si="19"/>
        <v>0</v>
      </c>
      <c r="AX59" s="190">
        <f t="shared" si="19"/>
        <v>0</v>
      </c>
      <c r="AY59" s="190">
        <f t="shared" si="19"/>
        <v>0</v>
      </c>
      <c r="AZ59" s="190">
        <f t="shared" si="19"/>
        <v>0</v>
      </c>
      <c r="BA59" s="190">
        <f t="shared" si="19"/>
        <v>0</v>
      </c>
    </row>
    <row r="60" spans="1:53" ht="18.5" x14ac:dyDescent="0.45">
      <c r="A60" s="95"/>
      <c r="B60" s="7"/>
      <c r="C60" s="7"/>
      <c r="D60" s="4" t="s">
        <v>58</v>
      </c>
      <c r="E60" s="2"/>
      <c r="F60" s="2"/>
      <c r="G60" s="2"/>
      <c r="H60" s="117">
        <f t="shared" ref="H60:BA60" si="20">SUM(H53:H58)*IF($E$51="Real",H10,1)</f>
        <v>0</v>
      </c>
      <c r="I60" s="117">
        <f t="shared" si="20"/>
        <v>0</v>
      </c>
      <c r="J60" s="117">
        <f t="shared" si="20"/>
        <v>0</v>
      </c>
      <c r="K60" s="117">
        <f t="shared" si="20"/>
        <v>0</v>
      </c>
      <c r="L60" s="117">
        <f t="shared" si="20"/>
        <v>0</v>
      </c>
      <c r="M60" s="117">
        <f t="shared" si="20"/>
        <v>0</v>
      </c>
      <c r="N60" s="117">
        <f t="shared" si="20"/>
        <v>0</v>
      </c>
      <c r="O60" s="117">
        <f t="shared" si="20"/>
        <v>0</v>
      </c>
      <c r="P60" s="117">
        <f t="shared" si="20"/>
        <v>0</v>
      </c>
      <c r="Q60" s="117">
        <f t="shared" si="20"/>
        <v>0</v>
      </c>
      <c r="R60" s="117">
        <f t="shared" si="20"/>
        <v>0</v>
      </c>
      <c r="S60" s="117">
        <f t="shared" si="20"/>
        <v>0</v>
      </c>
      <c r="T60" s="117">
        <f t="shared" si="20"/>
        <v>0</v>
      </c>
      <c r="U60" s="117">
        <f t="shared" si="20"/>
        <v>0</v>
      </c>
      <c r="V60" s="117">
        <f t="shared" si="20"/>
        <v>0</v>
      </c>
      <c r="W60" s="117">
        <f t="shared" si="20"/>
        <v>0</v>
      </c>
      <c r="X60" s="117">
        <f t="shared" si="20"/>
        <v>0</v>
      </c>
      <c r="Y60" s="117">
        <f t="shared" si="20"/>
        <v>0</v>
      </c>
      <c r="Z60" s="117">
        <f t="shared" si="20"/>
        <v>0</v>
      </c>
      <c r="AA60" s="117">
        <f t="shared" si="20"/>
        <v>0</v>
      </c>
      <c r="AB60" s="117">
        <f t="shared" si="20"/>
        <v>0</v>
      </c>
      <c r="AC60" s="117">
        <f t="shared" si="20"/>
        <v>0</v>
      </c>
      <c r="AD60" s="117">
        <f t="shared" si="20"/>
        <v>0</v>
      </c>
      <c r="AE60" s="117">
        <f t="shared" si="20"/>
        <v>0</v>
      </c>
      <c r="AF60" s="117">
        <f t="shared" si="20"/>
        <v>0</v>
      </c>
      <c r="AG60" s="117">
        <f t="shared" si="20"/>
        <v>0</v>
      </c>
      <c r="AH60" s="117">
        <f t="shared" si="20"/>
        <v>0</v>
      </c>
      <c r="AI60" s="117">
        <f t="shared" si="20"/>
        <v>0</v>
      </c>
      <c r="AJ60" s="117">
        <f t="shared" si="20"/>
        <v>0</v>
      </c>
      <c r="AK60" s="117">
        <f t="shared" si="20"/>
        <v>0</v>
      </c>
      <c r="AL60" s="117">
        <f t="shared" si="20"/>
        <v>0</v>
      </c>
      <c r="AM60" s="117">
        <f t="shared" si="20"/>
        <v>0</v>
      </c>
      <c r="AN60" s="117">
        <f t="shared" si="20"/>
        <v>0</v>
      </c>
      <c r="AO60" s="117">
        <f t="shared" si="20"/>
        <v>0</v>
      </c>
      <c r="AP60" s="117">
        <f t="shared" si="20"/>
        <v>0</v>
      </c>
      <c r="AQ60" s="117">
        <f t="shared" si="20"/>
        <v>0</v>
      </c>
      <c r="AR60" s="117">
        <f t="shared" si="20"/>
        <v>0</v>
      </c>
      <c r="AS60" s="117">
        <f t="shared" si="20"/>
        <v>0</v>
      </c>
      <c r="AT60" s="117">
        <f t="shared" si="20"/>
        <v>0</v>
      </c>
      <c r="AU60" s="117">
        <f t="shared" si="20"/>
        <v>0</v>
      </c>
      <c r="AV60" s="117">
        <f t="shared" si="20"/>
        <v>0</v>
      </c>
      <c r="AW60" s="117">
        <f t="shared" si="20"/>
        <v>0</v>
      </c>
      <c r="AX60" s="117">
        <f t="shared" si="20"/>
        <v>0</v>
      </c>
      <c r="AY60" s="117">
        <f t="shared" si="20"/>
        <v>0</v>
      </c>
      <c r="AZ60" s="117">
        <f t="shared" si="20"/>
        <v>0</v>
      </c>
      <c r="BA60" s="117">
        <f t="shared" si="20"/>
        <v>0</v>
      </c>
    </row>
    <row r="61" spans="1:53" ht="18.5" x14ac:dyDescent="0.45">
      <c r="A61" s="95"/>
      <c r="B61" s="7"/>
      <c r="C61" s="4"/>
      <c r="D61" s="2"/>
      <c r="E61" s="2"/>
      <c r="F61" s="2"/>
      <c r="G61" s="2"/>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row>
    <row r="62" spans="1:53" ht="18.5" x14ac:dyDescent="0.45">
      <c r="A62" s="1" t="s">
        <v>59</v>
      </c>
      <c r="B62" s="7"/>
      <c r="C62" s="2"/>
      <c r="D62" s="2"/>
      <c r="E62" s="2"/>
      <c r="F62" s="2"/>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row>
    <row r="63" spans="1:53" ht="18.5" x14ac:dyDescent="0.45">
      <c r="A63" s="28" t="s">
        <v>37</v>
      </c>
      <c r="B63" s="105"/>
      <c r="C63" s="26"/>
      <c r="D63" s="28" t="s">
        <v>60</v>
      </c>
      <c r="E63" s="28" t="s">
        <v>61</v>
      </c>
      <c r="F63" s="28"/>
      <c r="G63" s="28" t="s">
        <v>39</v>
      </c>
      <c r="H63" s="94">
        <v>2025</v>
      </c>
      <c r="I63" s="94">
        <v>2026</v>
      </c>
      <c r="J63" s="94">
        <v>2027</v>
      </c>
      <c r="K63" s="94">
        <v>2028</v>
      </c>
      <c r="L63" s="94">
        <v>2029</v>
      </c>
      <c r="M63" s="94">
        <v>2030</v>
      </c>
      <c r="N63" s="94">
        <v>2031</v>
      </c>
      <c r="O63" s="94">
        <v>2032</v>
      </c>
      <c r="P63" s="94">
        <v>2033</v>
      </c>
      <c r="Q63" s="94">
        <v>2034</v>
      </c>
      <c r="R63" s="94">
        <v>2035</v>
      </c>
      <c r="S63" s="94">
        <v>2036</v>
      </c>
      <c r="T63" s="94">
        <v>2037</v>
      </c>
      <c r="U63" s="94">
        <v>2038</v>
      </c>
      <c r="V63" s="94">
        <v>2039</v>
      </c>
      <c r="W63" s="94">
        <v>2040</v>
      </c>
      <c r="X63" s="94">
        <v>2041</v>
      </c>
      <c r="Y63" s="94">
        <v>2042</v>
      </c>
      <c r="Z63" s="94">
        <v>2043</v>
      </c>
      <c r="AA63" s="94">
        <v>2044</v>
      </c>
      <c r="AB63" s="94">
        <v>2045</v>
      </c>
      <c r="AC63" s="94">
        <v>2046</v>
      </c>
      <c r="AD63" s="94">
        <v>2047</v>
      </c>
      <c r="AE63" s="94">
        <v>2048</v>
      </c>
      <c r="AF63" s="94">
        <v>2049</v>
      </c>
      <c r="AG63" s="94">
        <v>2050</v>
      </c>
      <c r="AH63" s="94">
        <v>2051</v>
      </c>
      <c r="AI63" s="94">
        <v>2052</v>
      </c>
      <c r="AJ63" s="94">
        <v>2053</v>
      </c>
      <c r="AK63" s="94">
        <v>2054</v>
      </c>
      <c r="AL63" s="94">
        <v>2055</v>
      </c>
      <c r="AM63" s="94">
        <v>2056</v>
      </c>
      <c r="AN63" s="94">
        <v>2057</v>
      </c>
      <c r="AO63" s="94">
        <v>2058</v>
      </c>
      <c r="AP63" s="94">
        <v>2059</v>
      </c>
      <c r="AQ63" s="94">
        <v>2060</v>
      </c>
      <c r="AR63" s="94">
        <v>2061</v>
      </c>
      <c r="AS63" s="94">
        <v>2062</v>
      </c>
      <c r="AT63" s="94">
        <v>2063</v>
      </c>
      <c r="AU63" s="94">
        <v>2064</v>
      </c>
      <c r="AV63" s="94">
        <v>2065</v>
      </c>
      <c r="AW63" s="94">
        <v>2066</v>
      </c>
      <c r="AX63" s="94">
        <v>2067</v>
      </c>
      <c r="AY63" s="94">
        <v>2068</v>
      </c>
      <c r="AZ63" s="94">
        <v>2069</v>
      </c>
      <c r="BA63" s="94">
        <v>2070</v>
      </c>
    </row>
    <row r="64" spans="1:53" ht="18.5" x14ac:dyDescent="0.45">
      <c r="A64" s="95" t="str">
        <f>"Please provide data through to "&amp;FinalYear_PP</f>
        <v>Please provide data through to 1900</v>
      </c>
      <c r="B64" s="7"/>
      <c r="C64" s="2"/>
      <c r="D64" s="8" t="str">
        <f>Data!D3</f>
        <v>Electricity</v>
      </c>
      <c r="E64" s="8" t="str">
        <f>Data!E3</f>
        <v>MWh</v>
      </c>
      <c r="F64" s="8"/>
      <c r="G64" s="2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row>
    <row r="65" spans="1:53" ht="18.5" x14ac:dyDescent="0.45">
      <c r="A65" s="2"/>
      <c r="B65" s="7"/>
      <c r="C65" s="2"/>
      <c r="D65" s="8" t="str">
        <f>Data!D4</f>
        <v>Natural Gas</v>
      </c>
      <c r="E65" s="8" t="str">
        <f>Data!E4</f>
        <v>GJ</v>
      </c>
      <c r="F65" s="8"/>
      <c r="G65" s="2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row>
    <row r="66" spans="1:53" ht="18.5" x14ac:dyDescent="0.45">
      <c r="A66" s="2"/>
      <c r="B66" s="7"/>
      <c r="C66" s="2"/>
      <c r="D66" s="8" t="str">
        <f>Data!D5</f>
        <v>Coal - sub bituminous</v>
      </c>
      <c r="E66" s="8" t="str">
        <f>Data!E5</f>
        <v>tonnes</v>
      </c>
      <c r="F66" s="8"/>
      <c r="G66" s="2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row>
    <row r="67" spans="1:53" ht="18.5" x14ac:dyDescent="0.45">
      <c r="A67" s="2"/>
      <c r="B67" s="7"/>
      <c r="C67" s="2"/>
      <c r="D67" s="8" t="str">
        <f>Data!D6</f>
        <v>Coal - bituminous</v>
      </c>
      <c r="E67" s="8" t="str">
        <f>Data!E6</f>
        <v>tonnes</v>
      </c>
      <c r="F67" s="8"/>
      <c r="G67" s="2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row>
    <row r="68" spans="1:53" ht="18.5" x14ac:dyDescent="0.45">
      <c r="A68" s="2"/>
      <c r="B68" s="7"/>
      <c r="C68" s="2"/>
      <c r="D68" s="8" t="str">
        <f>Data!D7</f>
        <v>Coal - lignite</v>
      </c>
      <c r="E68" s="8" t="str">
        <f>Data!E7</f>
        <v>tonnes</v>
      </c>
      <c r="F68" s="8"/>
      <c r="G68" s="2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row>
    <row r="69" spans="1:53" ht="18.5" x14ac:dyDescent="0.45">
      <c r="A69" s="2"/>
      <c r="B69" s="7"/>
      <c r="C69" s="2"/>
      <c r="D69" s="8" t="str">
        <f>Data!D8</f>
        <v>Diesel</v>
      </c>
      <c r="E69" s="8" t="str">
        <f>Data!E8</f>
        <v>litres</v>
      </c>
      <c r="F69" s="8"/>
      <c r="G69" s="2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row>
    <row r="70" spans="1:53" ht="18.5" x14ac:dyDescent="0.45">
      <c r="A70" s="2"/>
      <c r="B70" s="7"/>
      <c r="C70" s="2"/>
      <c r="D70" s="8" t="str">
        <f>Data!D9</f>
        <v>LPG</v>
      </c>
      <c r="E70" s="8" t="str">
        <f>Data!E9</f>
        <v>m3</v>
      </c>
      <c r="F70" s="8"/>
      <c r="G70" s="2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row>
    <row r="71" spans="1:53" ht="18.5" x14ac:dyDescent="0.45">
      <c r="A71" s="2"/>
      <c r="B71" s="7"/>
      <c r="C71" s="2"/>
      <c r="D71" s="8" t="str">
        <f>Data!D10</f>
        <v>Light fuel oil</v>
      </c>
      <c r="E71" s="8" t="str">
        <f>Data!E10</f>
        <v>litres</v>
      </c>
      <c r="F71" s="8"/>
      <c r="G71" s="2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row>
    <row r="72" spans="1:53" ht="18.5" x14ac:dyDescent="0.45">
      <c r="A72" s="2"/>
      <c r="B72" s="7"/>
      <c r="C72" s="2"/>
      <c r="D72" s="8" t="str">
        <f>Data!D11</f>
        <v>Heavy fuel oil</v>
      </c>
      <c r="E72" s="8" t="str">
        <f>Data!E11</f>
        <v>litres</v>
      </c>
      <c r="F72" s="8"/>
      <c r="G72" s="2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row>
    <row r="73" spans="1:53" ht="18.5" x14ac:dyDescent="0.45">
      <c r="A73" s="2"/>
      <c r="B73" s="7"/>
      <c r="C73" s="2"/>
      <c r="D73" s="8" t="str">
        <f>Data!D12</f>
        <v>Geothermal</v>
      </c>
      <c r="E73" s="8" t="str">
        <f>Data!E12</f>
        <v>kWh</v>
      </c>
      <c r="F73" s="8"/>
      <c r="G73" s="2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row>
    <row r="74" spans="1:53" ht="18.5" x14ac:dyDescent="0.45">
      <c r="A74" s="2"/>
      <c r="B74" s="7"/>
      <c r="C74" s="2"/>
      <c r="D74" s="8" t="str">
        <f>Data!D13</f>
        <v>Wood or wood chips</v>
      </c>
      <c r="E74" s="8" t="str">
        <f>Data!E13</f>
        <v>tonnes</v>
      </c>
      <c r="F74" s="8"/>
      <c r="G74" s="2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row>
    <row r="75" spans="1:53" ht="18.5" x14ac:dyDescent="0.45">
      <c r="A75" s="2"/>
      <c r="B75" s="7"/>
      <c r="C75" s="2"/>
      <c r="D75" s="2"/>
      <c r="E75" s="2"/>
      <c r="F75" s="2"/>
      <c r="G75" s="191"/>
      <c r="H75" s="191"/>
      <c r="I75" s="191"/>
      <c r="J75" s="191"/>
      <c r="K75" s="191"/>
      <c r="L75" s="191"/>
      <c r="M75" s="191"/>
      <c r="N75" s="191"/>
      <c r="O75" s="191"/>
      <c r="P75" s="191"/>
      <c r="Q75" s="191"/>
      <c r="R75" s="191"/>
      <c r="S75" s="191"/>
      <c r="T75" s="191"/>
      <c r="U75" s="191"/>
      <c r="V75" s="191"/>
      <c r="W75" s="191"/>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row>
    <row r="76" spans="1:53" ht="18.5" x14ac:dyDescent="0.45">
      <c r="A76" s="27" t="s">
        <v>48</v>
      </c>
      <c r="B76" s="105"/>
      <c r="C76" s="26"/>
      <c r="D76" s="27" t="s">
        <v>60</v>
      </c>
      <c r="E76" s="27" t="s">
        <v>61</v>
      </c>
      <c r="F76" s="27"/>
      <c r="G76" s="27" t="s">
        <v>39</v>
      </c>
      <c r="H76" s="29">
        <v>2025</v>
      </c>
      <c r="I76" s="29">
        <v>2026</v>
      </c>
      <c r="J76" s="29">
        <v>2027</v>
      </c>
      <c r="K76" s="29">
        <v>2028</v>
      </c>
      <c r="L76" s="29">
        <v>2029</v>
      </c>
      <c r="M76" s="29">
        <v>2030</v>
      </c>
      <c r="N76" s="29">
        <v>2031</v>
      </c>
      <c r="O76" s="29">
        <v>2032</v>
      </c>
      <c r="P76" s="29">
        <v>2033</v>
      </c>
      <c r="Q76" s="29">
        <v>2034</v>
      </c>
      <c r="R76" s="29">
        <v>2035</v>
      </c>
      <c r="S76" s="29">
        <v>2036</v>
      </c>
      <c r="T76" s="29">
        <v>2037</v>
      </c>
      <c r="U76" s="29">
        <v>2038</v>
      </c>
      <c r="V76" s="29">
        <v>2039</v>
      </c>
      <c r="W76" s="29">
        <v>2040</v>
      </c>
      <c r="X76" s="29">
        <v>2041</v>
      </c>
      <c r="Y76" s="29">
        <v>2042</v>
      </c>
      <c r="Z76" s="29">
        <v>2043</v>
      </c>
      <c r="AA76" s="29">
        <v>2044</v>
      </c>
      <c r="AB76" s="29">
        <v>2045</v>
      </c>
      <c r="AC76" s="29">
        <v>2046</v>
      </c>
      <c r="AD76" s="29">
        <v>2047</v>
      </c>
      <c r="AE76" s="29">
        <v>2048</v>
      </c>
      <c r="AF76" s="29">
        <v>2049</v>
      </c>
      <c r="AG76" s="29">
        <v>2050</v>
      </c>
      <c r="AH76" s="29">
        <v>2051</v>
      </c>
      <c r="AI76" s="29">
        <v>2052</v>
      </c>
      <c r="AJ76" s="29">
        <v>2053</v>
      </c>
      <c r="AK76" s="29">
        <v>2054</v>
      </c>
      <c r="AL76" s="29">
        <v>2055</v>
      </c>
      <c r="AM76" s="29">
        <v>2056</v>
      </c>
      <c r="AN76" s="29">
        <v>2057</v>
      </c>
      <c r="AO76" s="29">
        <v>2058</v>
      </c>
      <c r="AP76" s="29">
        <v>2059</v>
      </c>
      <c r="AQ76" s="29">
        <v>2060</v>
      </c>
      <c r="AR76" s="29">
        <v>2061</v>
      </c>
      <c r="AS76" s="29">
        <v>2062</v>
      </c>
      <c r="AT76" s="29">
        <v>2063</v>
      </c>
      <c r="AU76" s="29">
        <v>2064</v>
      </c>
      <c r="AV76" s="29">
        <v>2065</v>
      </c>
      <c r="AW76" s="29">
        <v>2066</v>
      </c>
      <c r="AX76" s="29">
        <v>2067</v>
      </c>
      <c r="AY76" s="29">
        <v>2068</v>
      </c>
      <c r="AZ76" s="29">
        <v>2069</v>
      </c>
      <c r="BA76" s="29">
        <v>2070</v>
      </c>
    </row>
    <row r="77" spans="1:53" ht="18.5" x14ac:dyDescent="0.45">
      <c r="A77" s="95" t="str">
        <f>"Please provide data through to "&amp;FinalYear_BC</f>
        <v>Please provide data through to 1900</v>
      </c>
      <c r="B77" s="7"/>
      <c r="C77" s="2"/>
      <c r="D77" s="4" t="str">
        <f>Data!D3</f>
        <v>Electricity</v>
      </c>
      <c r="E77" s="4" t="str">
        <f>Data!E3</f>
        <v>MWh</v>
      </c>
      <c r="F77" s="4"/>
      <c r="G77" s="24"/>
      <c r="H77" s="392"/>
      <c r="I77" s="392"/>
      <c r="J77" s="392"/>
      <c r="K77" s="392"/>
      <c r="L77" s="392"/>
      <c r="M77" s="392"/>
      <c r="N77" s="392"/>
      <c r="O77" s="392"/>
      <c r="P77" s="392"/>
      <c r="Q77" s="392"/>
      <c r="R77" s="392"/>
      <c r="S77" s="392"/>
      <c r="T77" s="392"/>
      <c r="U77" s="392"/>
      <c r="V77" s="392"/>
      <c r="W77" s="392"/>
      <c r="X77" s="392"/>
      <c r="Y77" s="392"/>
      <c r="Z77" s="392"/>
      <c r="AA77" s="392"/>
      <c r="AB77" s="392"/>
      <c r="AC77" s="392"/>
      <c r="AD77" s="392"/>
      <c r="AE77" s="392"/>
      <c r="AF77" s="392"/>
      <c r="AG77" s="392"/>
      <c r="AH77" s="392"/>
      <c r="AI77" s="392"/>
      <c r="AJ77" s="392"/>
      <c r="AK77" s="392"/>
      <c r="AL77" s="392"/>
      <c r="AM77" s="392"/>
      <c r="AN77" s="392"/>
      <c r="AO77" s="392"/>
      <c r="AP77" s="392"/>
      <c r="AQ77" s="392"/>
      <c r="AR77" s="392"/>
      <c r="AS77" s="392"/>
      <c r="AT77" s="392"/>
      <c r="AU77" s="392"/>
      <c r="AV77" s="392"/>
      <c r="AW77" s="392"/>
      <c r="AX77" s="392"/>
      <c r="AY77" s="392"/>
      <c r="AZ77" s="392"/>
      <c r="BA77" s="392"/>
    </row>
    <row r="78" spans="1:53" ht="18.5" x14ac:dyDescent="0.45">
      <c r="A78" s="2"/>
      <c r="B78" s="7"/>
      <c r="C78" s="2"/>
      <c r="D78" s="4" t="str">
        <f>Data!D4</f>
        <v>Natural Gas</v>
      </c>
      <c r="E78" s="4" t="str">
        <f>Data!E4</f>
        <v>GJ</v>
      </c>
      <c r="F78" s="4"/>
      <c r="G78" s="24"/>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2"/>
      <c r="AF78" s="392"/>
      <c r="AG78" s="392"/>
      <c r="AH78" s="392"/>
      <c r="AI78" s="392"/>
      <c r="AJ78" s="392"/>
      <c r="AK78" s="392"/>
      <c r="AL78" s="392"/>
      <c r="AM78" s="392"/>
      <c r="AN78" s="392"/>
      <c r="AO78" s="392"/>
      <c r="AP78" s="392"/>
      <c r="AQ78" s="392"/>
      <c r="AR78" s="392"/>
      <c r="AS78" s="392"/>
      <c r="AT78" s="392"/>
      <c r="AU78" s="392"/>
      <c r="AV78" s="392"/>
      <c r="AW78" s="392"/>
      <c r="AX78" s="392"/>
      <c r="AY78" s="392"/>
      <c r="AZ78" s="392"/>
      <c r="BA78" s="392"/>
    </row>
    <row r="79" spans="1:53" ht="18.5" x14ac:dyDescent="0.45">
      <c r="A79" s="2"/>
      <c r="B79" s="7"/>
      <c r="C79" s="2"/>
      <c r="D79" s="4" t="str">
        <f>Data!D5</f>
        <v>Coal - sub bituminous</v>
      </c>
      <c r="E79" s="4" t="str">
        <f>Data!E5</f>
        <v>tonnes</v>
      </c>
      <c r="F79" s="4"/>
      <c r="G79" s="24"/>
      <c r="H79" s="392"/>
      <c r="I79" s="392"/>
      <c r="J79" s="392"/>
      <c r="K79" s="392"/>
      <c r="L79" s="392"/>
      <c r="M79" s="392"/>
      <c r="N79" s="392"/>
      <c r="O79" s="392"/>
      <c r="P79" s="392"/>
      <c r="Q79" s="392"/>
      <c r="R79" s="392"/>
      <c r="S79" s="392"/>
      <c r="T79" s="392"/>
      <c r="U79" s="392"/>
      <c r="V79" s="392"/>
      <c r="W79" s="392"/>
      <c r="X79" s="392"/>
      <c r="Y79" s="392"/>
      <c r="Z79" s="392"/>
      <c r="AA79" s="392"/>
      <c r="AB79" s="392"/>
      <c r="AC79" s="392"/>
      <c r="AD79" s="392"/>
      <c r="AE79" s="392"/>
      <c r="AF79" s="392"/>
      <c r="AG79" s="392"/>
      <c r="AH79" s="392"/>
      <c r="AI79" s="392"/>
      <c r="AJ79" s="392"/>
      <c r="AK79" s="392"/>
      <c r="AL79" s="392"/>
      <c r="AM79" s="392"/>
      <c r="AN79" s="392"/>
      <c r="AO79" s="392"/>
      <c r="AP79" s="392"/>
      <c r="AQ79" s="392"/>
      <c r="AR79" s="392"/>
      <c r="AS79" s="392"/>
      <c r="AT79" s="392"/>
      <c r="AU79" s="392"/>
      <c r="AV79" s="392"/>
      <c r="AW79" s="392"/>
      <c r="AX79" s="392"/>
      <c r="AY79" s="392"/>
      <c r="AZ79" s="392"/>
      <c r="BA79" s="392"/>
    </row>
    <row r="80" spans="1:53" ht="18.5" x14ac:dyDescent="0.45">
      <c r="A80" s="2"/>
      <c r="B80" s="7"/>
      <c r="C80" s="2"/>
      <c r="D80" s="4" t="str">
        <f>Data!D6</f>
        <v>Coal - bituminous</v>
      </c>
      <c r="E80" s="4" t="str">
        <f>Data!E6</f>
        <v>tonnes</v>
      </c>
      <c r="F80" s="4"/>
      <c r="G80" s="24"/>
      <c r="H80" s="392"/>
      <c r="I80" s="392"/>
      <c r="J80" s="392"/>
      <c r="K80" s="392"/>
      <c r="L80" s="392"/>
      <c r="M80" s="392"/>
      <c r="N80" s="392"/>
      <c r="O80" s="392"/>
      <c r="P80" s="392"/>
      <c r="Q80" s="392"/>
      <c r="R80" s="392"/>
      <c r="S80" s="392"/>
      <c r="T80" s="392"/>
      <c r="U80" s="392"/>
      <c r="V80" s="392"/>
      <c r="W80" s="392"/>
      <c r="X80" s="392"/>
      <c r="Y80" s="392"/>
      <c r="Z80" s="392"/>
      <c r="AA80" s="392"/>
      <c r="AB80" s="392"/>
      <c r="AC80" s="392"/>
      <c r="AD80" s="392"/>
      <c r="AE80" s="392"/>
      <c r="AF80" s="392"/>
      <c r="AG80" s="392"/>
      <c r="AH80" s="392"/>
      <c r="AI80" s="392"/>
      <c r="AJ80" s="392"/>
      <c r="AK80" s="392"/>
      <c r="AL80" s="392"/>
      <c r="AM80" s="392"/>
      <c r="AN80" s="392"/>
      <c r="AO80" s="392"/>
      <c r="AP80" s="392"/>
      <c r="AQ80" s="392"/>
      <c r="AR80" s="392"/>
      <c r="AS80" s="392"/>
      <c r="AT80" s="392"/>
      <c r="AU80" s="392"/>
      <c r="AV80" s="392"/>
      <c r="AW80" s="392"/>
      <c r="AX80" s="392"/>
      <c r="AY80" s="392"/>
      <c r="AZ80" s="392"/>
      <c r="BA80" s="392"/>
    </row>
    <row r="81" spans="1:53" ht="18.5" x14ac:dyDescent="0.45">
      <c r="A81" s="2"/>
      <c r="B81" s="7"/>
      <c r="C81" s="2"/>
      <c r="D81" s="4" t="str">
        <f>Data!D7</f>
        <v>Coal - lignite</v>
      </c>
      <c r="E81" s="4" t="str">
        <f>Data!E7</f>
        <v>tonnes</v>
      </c>
      <c r="F81" s="4"/>
      <c r="G81" s="24"/>
      <c r="H81" s="392"/>
      <c r="I81" s="392"/>
      <c r="J81" s="392"/>
      <c r="K81" s="392"/>
      <c r="L81" s="392"/>
      <c r="M81" s="392"/>
      <c r="N81" s="392"/>
      <c r="O81" s="392"/>
      <c r="P81" s="392"/>
      <c r="Q81" s="392"/>
      <c r="R81" s="392"/>
      <c r="S81" s="392"/>
      <c r="T81" s="392"/>
      <c r="U81" s="392"/>
      <c r="V81" s="392"/>
      <c r="W81" s="392"/>
      <c r="X81" s="392"/>
      <c r="Y81" s="392"/>
      <c r="Z81" s="392"/>
      <c r="AA81" s="392"/>
      <c r="AB81" s="392"/>
      <c r="AC81" s="392"/>
      <c r="AD81" s="392"/>
      <c r="AE81" s="392"/>
      <c r="AF81" s="392"/>
      <c r="AG81" s="392"/>
      <c r="AH81" s="392"/>
      <c r="AI81" s="392"/>
      <c r="AJ81" s="392"/>
      <c r="AK81" s="392"/>
      <c r="AL81" s="392"/>
      <c r="AM81" s="392"/>
      <c r="AN81" s="392"/>
      <c r="AO81" s="392"/>
      <c r="AP81" s="392"/>
      <c r="AQ81" s="392"/>
      <c r="AR81" s="392"/>
      <c r="AS81" s="392"/>
      <c r="AT81" s="392"/>
      <c r="AU81" s="392"/>
      <c r="AV81" s="392"/>
      <c r="AW81" s="392"/>
      <c r="AX81" s="392"/>
      <c r="AY81" s="392"/>
      <c r="AZ81" s="392"/>
      <c r="BA81" s="392"/>
    </row>
    <row r="82" spans="1:53" ht="18.5" x14ac:dyDescent="0.45">
      <c r="A82" s="2"/>
      <c r="B82" s="7"/>
      <c r="C82" s="2"/>
      <c r="D82" s="4" t="str">
        <f>Data!D8</f>
        <v>Diesel</v>
      </c>
      <c r="E82" s="4" t="str">
        <f>Data!E8</f>
        <v>litres</v>
      </c>
      <c r="F82" s="4"/>
      <c r="G82" s="24"/>
      <c r="H82" s="392"/>
      <c r="I82" s="392"/>
      <c r="J82" s="392"/>
      <c r="K82" s="392"/>
      <c r="L82" s="392"/>
      <c r="M82" s="392"/>
      <c r="N82" s="392"/>
      <c r="O82" s="392"/>
      <c r="P82" s="392"/>
      <c r="Q82" s="392"/>
      <c r="R82" s="392"/>
      <c r="S82" s="392"/>
      <c r="T82" s="392"/>
      <c r="U82" s="392"/>
      <c r="V82" s="392"/>
      <c r="W82" s="392"/>
      <c r="X82" s="392"/>
      <c r="Y82" s="392"/>
      <c r="Z82" s="392"/>
      <c r="AA82" s="392"/>
      <c r="AB82" s="392"/>
      <c r="AC82" s="392"/>
      <c r="AD82" s="392"/>
      <c r="AE82" s="392"/>
      <c r="AF82" s="392"/>
      <c r="AG82" s="392"/>
      <c r="AH82" s="392"/>
      <c r="AI82" s="392"/>
      <c r="AJ82" s="392"/>
      <c r="AK82" s="392"/>
      <c r="AL82" s="392"/>
      <c r="AM82" s="392"/>
      <c r="AN82" s="392"/>
      <c r="AO82" s="392"/>
      <c r="AP82" s="392"/>
      <c r="AQ82" s="392"/>
      <c r="AR82" s="392"/>
      <c r="AS82" s="392"/>
      <c r="AT82" s="392"/>
      <c r="AU82" s="392"/>
      <c r="AV82" s="392"/>
      <c r="AW82" s="392"/>
      <c r="AX82" s="392"/>
      <c r="AY82" s="392"/>
      <c r="AZ82" s="392"/>
      <c r="BA82" s="392"/>
    </row>
    <row r="83" spans="1:53" ht="18.5" x14ac:dyDescent="0.45">
      <c r="A83" s="2"/>
      <c r="B83" s="7"/>
      <c r="C83" s="2"/>
      <c r="D83" s="4" t="str">
        <f>Data!D9</f>
        <v>LPG</v>
      </c>
      <c r="E83" s="4" t="str">
        <f>Data!E9</f>
        <v>m3</v>
      </c>
      <c r="F83" s="4"/>
      <c r="G83" s="24"/>
      <c r="H83" s="392"/>
      <c r="I83" s="392"/>
      <c r="J83" s="392"/>
      <c r="K83" s="392"/>
      <c r="L83" s="392"/>
      <c r="M83" s="392"/>
      <c r="N83" s="392"/>
      <c r="O83" s="392"/>
      <c r="P83" s="392"/>
      <c r="Q83" s="392"/>
      <c r="R83" s="392"/>
      <c r="S83" s="392"/>
      <c r="T83" s="392"/>
      <c r="U83" s="392"/>
      <c r="V83" s="392"/>
      <c r="W83" s="392"/>
      <c r="X83" s="392"/>
      <c r="Y83" s="392"/>
      <c r="Z83" s="392"/>
      <c r="AA83" s="392"/>
      <c r="AB83" s="392"/>
      <c r="AC83" s="392"/>
      <c r="AD83" s="392"/>
      <c r="AE83" s="392"/>
      <c r="AF83" s="392"/>
      <c r="AG83" s="392"/>
      <c r="AH83" s="392"/>
      <c r="AI83" s="392"/>
      <c r="AJ83" s="392"/>
      <c r="AK83" s="392"/>
      <c r="AL83" s="392"/>
      <c r="AM83" s="392"/>
      <c r="AN83" s="392"/>
      <c r="AO83" s="392"/>
      <c r="AP83" s="392"/>
      <c r="AQ83" s="392"/>
      <c r="AR83" s="392"/>
      <c r="AS83" s="392"/>
      <c r="AT83" s="392"/>
      <c r="AU83" s="392"/>
      <c r="AV83" s="392"/>
      <c r="AW83" s="392"/>
      <c r="AX83" s="392"/>
      <c r="AY83" s="392"/>
      <c r="AZ83" s="392"/>
      <c r="BA83" s="392"/>
    </row>
    <row r="84" spans="1:53" ht="18.5" x14ac:dyDescent="0.45">
      <c r="A84" s="2"/>
      <c r="B84" s="7"/>
      <c r="C84" s="2"/>
      <c r="D84" s="4" t="str">
        <f>Data!D10</f>
        <v>Light fuel oil</v>
      </c>
      <c r="E84" s="4" t="str">
        <f>Data!E10</f>
        <v>litres</v>
      </c>
      <c r="F84" s="4"/>
      <c r="G84" s="24"/>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row>
    <row r="85" spans="1:53" ht="18.5" x14ac:dyDescent="0.45">
      <c r="A85" s="2"/>
      <c r="B85" s="7"/>
      <c r="C85" s="2"/>
      <c r="D85" s="4" t="str">
        <f>Data!D11</f>
        <v>Heavy fuel oil</v>
      </c>
      <c r="E85" s="4" t="str">
        <f>Data!E11</f>
        <v>litres</v>
      </c>
      <c r="F85" s="4"/>
      <c r="G85" s="24"/>
      <c r="H85" s="392"/>
      <c r="I85" s="392"/>
      <c r="J85" s="392"/>
      <c r="K85" s="392"/>
      <c r="L85" s="392"/>
      <c r="M85" s="392"/>
      <c r="N85" s="392"/>
      <c r="O85" s="392"/>
      <c r="P85" s="392"/>
      <c r="Q85" s="392"/>
      <c r="R85" s="392"/>
      <c r="S85" s="392"/>
      <c r="T85" s="392"/>
      <c r="U85" s="392"/>
      <c r="V85" s="392"/>
      <c r="W85" s="392"/>
      <c r="X85" s="392"/>
      <c r="Y85" s="392"/>
      <c r="Z85" s="392"/>
      <c r="AA85" s="392"/>
      <c r="AB85" s="392"/>
      <c r="AC85" s="392"/>
      <c r="AD85" s="392"/>
      <c r="AE85" s="392"/>
      <c r="AF85" s="392"/>
      <c r="AG85" s="392"/>
      <c r="AH85" s="392"/>
      <c r="AI85" s="392"/>
      <c r="AJ85" s="392"/>
      <c r="AK85" s="392"/>
      <c r="AL85" s="392"/>
      <c r="AM85" s="392"/>
      <c r="AN85" s="392"/>
      <c r="AO85" s="392"/>
      <c r="AP85" s="392"/>
      <c r="AQ85" s="392"/>
      <c r="AR85" s="392"/>
      <c r="AS85" s="392"/>
      <c r="AT85" s="392"/>
      <c r="AU85" s="392"/>
      <c r="AV85" s="392"/>
      <c r="AW85" s="392"/>
      <c r="AX85" s="392"/>
      <c r="AY85" s="392"/>
      <c r="AZ85" s="392"/>
      <c r="BA85" s="392"/>
    </row>
    <row r="86" spans="1:53" ht="18.5" x14ac:dyDescent="0.45">
      <c r="A86" s="2"/>
      <c r="B86" s="7"/>
      <c r="C86" s="2"/>
      <c r="D86" s="4" t="str">
        <f>Data!D12</f>
        <v>Geothermal</v>
      </c>
      <c r="E86" s="4" t="str">
        <f>Data!E12</f>
        <v>kWh</v>
      </c>
      <c r="F86" s="4"/>
      <c r="G86" s="24"/>
      <c r="H86" s="392"/>
      <c r="I86" s="392"/>
      <c r="J86" s="392"/>
      <c r="K86" s="392"/>
      <c r="L86" s="392"/>
      <c r="M86" s="392"/>
      <c r="N86" s="392"/>
      <c r="O86" s="392"/>
      <c r="P86" s="392"/>
      <c r="Q86" s="392"/>
      <c r="R86" s="392"/>
      <c r="S86" s="392"/>
      <c r="T86" s="392"/>
      <c r="U86" s="392"/>
      <c r="V86" s="392"/>
      <c r="W86" s="392"/>
      <c r="X86" s="392"/>
      <c r="Y86" s="392"/>
      <c r="Z86" s="392"/>
      <c r="AA86" s="392"/>
      <c r="AB86" s="392"/>
      <c r="AC86" s="392"/>
      <c r="AD86" s="392"/>
      <c r="AE86" s="392"/>
      <c r="AF86" s="392"/>
      <c r="AG86" s="392"/>
      <c r="AH86" s="392"/>
      <c r="AI86" s="392"/>
      <c r="AJ86" s="392"/>
      <c r="AK86" s="392"/>
      <c r="AL86" s="392"/>
      <c r="AM86" s="392"/>
      <c r="AN86" s="392"/>
      <c r="AO86" s="392"/>
      <c r="AP86" s="392"/>
      <c r="AQ86" s="392"/>
      <c r="AR86" s="392"/>
      <c r="AS86" s="392"/>
      <c r="AT86" s="392"/>
      <c r="AU86" s="392"/>
      <c r="AV86" s="392"/>
      <c r="AW86" s="392"/>
      <c r="AX86" s="392"/>
      <c r="AY86" s="392"/>
      <c r="AZ86" s="392"/>
      <c r="BA86" s="392"/>
    </row>
    <row r="87" spans="1:53" ht="18.5" x14ac:dyDescent="0.45">
      <c r="A87" s="2"/>
      <c r="B87" s="7"/>
      <c r="C87" s="2"/>
      <c r="D87" s="4" t="str">
        <f>Data!D13</f>
        <v>Wood or wood chips</v>
      </c>
      <c r="E87" s="4" t="str">
        <f>Data!E13</f>
        <v>tonnes</v>
      </c>
      <c r="F87" s="4"/>
      <c r="G87" s="24"/>
      <c r="H87" s="392"/>
      <c r="I87" s="392"/>
      <c r="J87" s="392"/>
      <c r="K87" s="392"/>
      <c r="L87" s="392"/>
      <c r="M87" s="392"/>
      <c r="N87" s="392"/>
      <c r="O87" s="392"/>
      <c r="P87" s="392"/>
      <c r="Q87" s="392"/>
      <c r="R87" s="392"/>
      <c r="S87" s="392"/>
      <c r="T87" s="392"/>
      <c r="U87" s="392"/>
      <c r="V87" s="392"/>
      <c r="W87" s="392"/>
      <c r="X87" s="392"/>
      <c r="Y87" s="392"/>
      <c r="Z87" s="392"/>
      <c r="AA87" s="392"/>
      <c r="AB87" s="392"/>
      <c r="AC87" s="392"/>
      <c r="AD87" s="392"/>
      <c r="AE87" s="392"/>
      <c r="AF87" s="392"/>
      <c r="AG87" s="392"/>
      <c r="AH87" s="392"/>
      <c r="AI87" s="392"/>
      <c r="AJ87" s="392"/>
      <c r="AK87" s="392"/>
      <c r="AL87" s="392"/>
      <c r="AM87" s="392"/>
      <c r="AN87" s="392"/>
      <c r="AO87" s="392"/>
      <c r="AP87" s="392"/>
      <c r="AQ87" s="392"/>
      <c r="AR87" s="392"/>
      <c r="AS87" s="392"/>
      <c r="AT87" s="392"/>
      <c r="AU87" s="392"/>
      <c r="AV87" s="392"/>
      <c r="AW87" s="392"/>
      <c r="AX87" s="392"/>
      <c r="AY87" s="392"/>
      <c r="AZ87" s="392"/>
      <c r="BA87" s="392"/>
    </row>
    <row r="88" spans="1:53" x14ac:dyDescent="0.35">
      <c r="A88" s="2"/>
      <c r="B88" s="2"/>
      <c r="C88" s="2"/>
      <c r="D88" s="2"/>
      <c r="E88" s="2"/>
      <c r="F88" s="2"/>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row>
    <row r="89" spans="1:53" x14ac:dyDescent="0.35">
      <c r="A89" s="1" t="s">
        <v>107</v>
      </c>
      <c r="B89" s="4"/>
      <c r="C89" s="4"/>
      <c r="D89" s="2"/>
      <c r="E89" s="2"/>
      <c r="F89" s="2"/>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row>
    <row r="90" spans="1:53" x14ac:dyDescent="0.35">
      <c r="A90" s="28" t="s">
        <v>37</v>
      </c>
      <c r="B90" s="25" t="s">
        <v>60</v>
      </c>
      <c r="C90" s="25" t="s">
        <v>61</v>
      </c>
      <c r="D90" s="93" t="s">
        <v>108</v>
      </c>
      <c r="E90" s="93" t="s">
        <v>35</v>
      </c>
      <c r="F90" s="93"/>
      <c r="G90" s="106" t="s">
        <v>39</v>
      </c>
      <c r="H90" s="94">
        <v>2025</v>
      </c>
      <c r="I90" s="94">
        <v>2026</v>
      </c>
      <c r="J90" s="94">
        <v>2027</v>
      </c>
      <c r="K90" s="94">
        <v>2028</v>
      </c>
      <c r="L90" s="94">
        <v>2029</v>
      </c>
      <c r="M90" s="94">
        <v>2030</v>
      </c>
      <c r="N90" s="94">
        <v>2031</v>
      </c>
      <c r="O90" s="94">
        <v>2032</v>
      </c>
      <c r="P90" s="94">
        <v>2033</v>
      </c>
      <c r="Q90" s="94">
        <v>2034</v>
      </c>
      <c r="R90" s="94">
        <v>2035</v>
      </c>
      <c r="S90" s="94">
        <v>2036</v>
      </c>
      <c r="T90" s="94">
        <v>2037</v>
      </c>
      <c r="U90" s="94">
        <v>2038</v>
      </c>
      <c r="V90" s="94">
        <v>2039</v>
      </c>
      <c r="W90" s="94">
        <v>2040</v>
      </c>
      <c r="X90" s="94">
        <v>2041</v>
      </c>
      <c r="Y90" s="94">
        <v>2042</v>
      </c>
      <c r="Z90" s="94">
        <v>2043</v>
      </c>
      <c r="AA90" s="94">
        <v>2044</v>
      </c>
      <c r="AB90" s="94">
        <v>2045</v>
      </c>
      <c r="AC90" s="94">
        <v>2046</v>
      </c>
      <c r="AD90" s="94">
        <v>2047</v>
      </c>
      <c r="AE90" s="94">
        <v>2048</v>
      </c>
      <c r="AF90" s="94">
        <v>2049</v>
      </c>
      <c r="AG90" s="94">
        <v>2050</v>
      </c>
      <c r="AH90" s="94">
        <v>2051</v>
      </c>
      <c r="AI90" s="94">
        <v>2052</v>
      </c>
      <c r="AJ90" s="94">
        <v>2053</v>
      </c>
      <c r="AK90" s="94">
        <v>2054</v>
      </c>
      <c r="AL90" s="94">
        <v>2055</v>
      </c>
      <c r="AM90" s="94">
        <v>2056</v>
      </c>
      <c r="AN90" s="94">
        <v>2057</v>
      </c>
      <c r="AO90" s="94">
        <v>2058</v>
      </c>
      <c r="AP90" s="94">
        <v>2059</v>
      </c>
      <c r="AQ90" s="94">
        <v>2060</v>
      </c>
      <c r="AR90" s="94">
        <v>2061</v>
      </c>
      <c r="AS90" s="94">
        <v>2062</v>
      </c>
      <c r="AT90" s="94">
        <v>2063</v>
      </c>
      <c r="AU90" s="94">
        <v>2064</v>
      </c>
      <c r="AV90" s="94">
        <v>2065</v>
      </c>
      <c r="AW90" s="94">
        <v>2066</v>
      </c>
      <c r="AX90" s="94">
        <v>2067</v>
      </c>
      <c r="AY90" s="94">
        <v>2068</v>
      </c>
      <c r="AZ90" s="94">
        <v>2069</v>
      </c>
      <c r="BA90" s="94">
        <v>2070</v>
      </c>
    </row>
    <row r="91" spans="1:53" x14ac:dyDescent="0.35">
      <c r="A91" s="95" t="str">
        <f>"Please provide data through to "&amp;FinalYear_PP</f>
        <v>Please provide data through to 1900</v>
      </c>
      <c r="B91" s="8" t="str">
        <f>Data!D3</f>
        <v>Electricity</v>
      </c>
      <c r="C91" s="8" t="str">
        <f>"$/"&amp;IF(RIGHT(E64,1)="s",LEFT(E64,LEN(E64)-1),E64)</f>
        <v>$/MWh</v>
      </c>
      <c r="D91" s="131" t="s">
        <v>18</v>
      </c>
      <c r="E91" s="131" t="s">
        <v>109</v>
      </c>
      <c r="F91" s="8" t="str">
        <f t="shared" ref="F91:F101" si="21">IF(E91="Nominal","",Analysis_year&amp;" values")</f>
        <v xml:space="preserve"> values</v>
      </c>
      <c r="G91" s="185"/>
      <c r="H91" s="186">
        <v>250</v>
      </c>
      <c r="I91" s="186">
        <v>250</v>
      </c>
      <c r="J91" s="186">
        <v>250</v>
      </c>
      <c r="K91" s="186">
        <v>250</v>
      </c>
      <c r="L91" s="186">
        <v>250</v>
      </c>
      <c r="M91" s="186">
        <v>250</v>
      </c>
      <c r="N91" s="186">
        <v>250</v>
      </c>
      <c r="O91" s="186">
        <v>250</v>
      </c>
      <c r="P91" s="186">
        <v>250</v>
      </c>
      <c r="Q91" s="186">
        <v>250</v>
      </c>
      <c r="R91" s="186">
        <v>250</v>
      </c>
      <c r="S91" s="186">
        <v>250</v>
      </c>
      <c r="T91" s="186">
        <v>250</v>
      </c>
      <c r="U91" s="186">
        <v>250</v>
      </c>
      <c r="V91" s="186">
        <v>250</v>
      </c>
      <c r="W91" s="186">
        <v>250</v>
      </c>
      <c r="X91" s="186">
        <v>250</v>
      </c>
      <c r="Y91" s="186">
        <v>250</v>
      </c>
      <c r="Z91" s="186">
        <v>250</v>
      </c>
      <c r="AA91" s="186">
        <v>250</v>
      </c>
      <c r="AB91" s="186">
        <v>250</v>
      </c>
      <c r="AC91" s="186">
        <v>250</v>
      </c>
      <c r="AD91" s="186"/>
      <c r="AE91" s="186"/>
      <c r="AF91" s="186"/>
      <c r="AG91" s="186"/>
      <c r="AH91" s="186"/>
      <c r="AI91" s="186"/>
      <c r="AJ91" s="186"/>
      <c r="AK91" s="186"/>
      <c r="AL91" s="186"/>
      <c r="AM91" s="186"/>
      <c r="AN91" s="186"/>
      <c r="AO91" s="186"/>
      <c r="AP91" s="186"/>
      <c r="AQ91" s="186"/>
      <c r="AR91" s="186"/>
      <c r="AS91" s="186"/>
      <c r="AT91" s="186"/>
      <c r="AU91" s="186"/>
      <c r="AV91" s="186"/>
      <c r="AW91" s="186"/>
      <c r="AX91" s="186"/>
      <c r="AY91" s="186"/>
      <c r="AZ91" s="186"/>
      <c r="BA91" s="186"/>
    </row>
    <row r="92" spans="1:53" x14ac:dyDescent="0.35">
      <c r="A92" s="95"/>
      <c r="B92" s="8" t="str">
        <f>Data!D4</f>
        <v>Natural Gas</v>
      </c>
      <c r="C92" s="8" t="str">
        <f t="shared" ref="C92:C101" si="22">"$/"&amp;IF(RIGHT(E65,1)="s",LEFT(E65,LEN(E65)-1),E65)</f>
        <v>$/GJ</v>
      </c>
      <c r="D92" s="131" t="s">
        <v>18</v>
      </c>
      <c r="E92" s="131" t="s">
        <v>109</v>
      </c>
      <c r="F92" s="8" t="str">
        <f t="shared" si="21"/>
        <v xml:space="preserve"> values</v>
      </c>
      <c r="G92" s="185"/>
      <c r="H92" s="186">
        <v>10</v>
      </c>
      <c r="I92" s="186">
        <v>10</v>
      </c>
      <c r="J92" s="186">
        <v>10</v>
      </c>
      <c r="K92" s="186">
        <v>10</v>
      </c>
      <c r="L92" s="186">
        <v>10</v>
      </c>
      <c r="M92" s="186">
        <v>10</v>
      </c>
      <c r="N92" s="186">
        <v>10</v>
      </c>
      <c r="O92" s="186">
        <v>10</v>
      </c>
      <c r="P92" s="186">
        <v>10</v>
      </c>
      <c r="Q92" s="186">
        <v>10</v>
      </c>
      <c r="R92" s="186">
        <v>10</v>
      </c>
      <c r="S92" s="186">
        <v>10</v>
      </c>
      <c r="T92" s="186">
        <v>10</v>
      </c>
      <c r="U92" s="186">
        <v>10</v>
      </c>
      <c r="V92" s="186">
        <v>10</v>
      </c>
      <c r="W92" s="186">
        <v>10</v>
      </c>
      <c r="X92" s="186">
        <v>10</v>
      </c>
      <c r="Y92" s="186">
        <v>10</v>
      </c>
      <c r="Z92" s="186">
        <v>10</v>
      </c>
      <c r="AA92" s="186">
        <v>10</v>
      </c>
      <c r="AB92" s="186">
        <v>10</v>
      </c>
      <c r="AC92" s="186">
        <v>10</v>
      </c>
      <c r="AD92" s="186"/>
      <c r="AE92" s="186"/>
      <c r="AF92" s="186"/>
      <c r="AG92" s="186"/>
      <c r="AH92" s="186"/>
      <c r="AI92" s="186"/>
      <c r="AJ92" s="186"/>
      <c r="AK92" s="186"/>
      <c r="AL92" s="186"/>
      <c r="AM92" s="186"/>
      <c r="AN92" s="186"/>
      <c r="AO92" s="186"/>
      <c r="AP92" s="186"/>
      <c r="AQ92" s="186"/>
      <c r="AR92" s="186"/>
      <c r="AS92" s="186"/>
      <c r="AT92" s="186"/>
      <c r="AU92" s="186"/>
      <c r="AV92" s="186"/>
      <c r="AW92" s="186"/>
      <c r="AX92" s="186"/>
      <c r="AY92" s="186"/>
      <c r="AZ92" s="186"/>
      <c r="BA92" s="186"/>
    </row>
    <row r="93" spans="1:53" x14ac:dyDescent="0.35">
      <c r="A93" s="95"/>
      <c r="B93" s="8" t="str">
        <f>Data!D5</f>
        <v>Coal - sub bituminous</v>
      </c>
      <c r="C93" s="8" t="str">
        <f t="shared" si="22"/>
        <v>$/tonne</v>
      </c>
      <c r="D93" s="131" t="s">
        <v>18</v>
      </c>
      <c r="E93" s="131" t="s">
        <v>109</v>
      </c>
      <c r="F93" s="8" t="str">
        <f t="shared" si="21"/>
        <v xml:space="preserve"> values</v>
      </c>
      <c r="G93" s="185"/>
      <c r="H93" s="186">
        <v>150</v>
      </c>
      <c r="I93" s="186">
        <v>150</v>
      </c>
      <c r="J93" s="186">
        <v>150</v>
      </c>
      <c r="K93" s="186">
        <v>150</v>
      </c>
      <c r="L93" s="186">
        <v>150</v>
      </c>
      <c r="M93" s="186">
        <v>150</v>
      </c>
      <c r="N93" s="186">
        <v>150</v>
      </c>
      <c r="O93" s="186">
        <v>150</v>
      </c>
      <c r="P93" s="186">
        <v>150</v>
      </c>
      <c r="Q93" s="186">
        <v>150</v>
      </c>
      <c r="R93" s="186">
        <v>150</v>
      </c>
      <c r="S93" s="186">
        <v>150</v>
      </c>
      <c r="T93" s="186">
        <v>150</v>
      </c>
      <c r="U93" s="186">
        <v>150</v>
      </c>
      <c r="V93" s="186">
        <v>150</v>
      </c>
      <c r="W93" s="186">
        <v>150</v>
      </c>
      <c r="X93" s="186">
        <v>150</v>
      </c>
      <c r="Y93" s="186">
        <v>150</v>
      </c>
      <c r="Z93" s="186">
        <v>150</v>
      </c>
      <c r="AA93" s="186">
        <v>150</v>
      </c>
      <c r="AB93" s="186">
        <v>150</v>
      </c>
      <c r="AC93" s="186">
        <v>150</v>
      </c>
      <c r="AD93" s="186"/>
      <c r="AE93" s="186"/>
      <c r="AF93" s="186"/>
      <c r="AG93" s="186"/>
      <c r="AH93" s="186"/>
      <c r="AI93" s="186"/>
      <c r="AJ93" s="186"/>
      <c r="AK93" s="186"/>
      <c r="AL93" s="186"/>
      <c r="AM93" s="186"/>
      <c r="AN93" s="186"/>
      <c r="AO93" s="186"/>
      <c r="AP93" s="186"/>
      <c r="AQ93" s="186"/>
      <c r="AR93" s="186"/>
      <c r="AS93" s="186"/>
      <c r="AT93" s="186"/>
      <c r="AU93" s="186"/>
      <c r="AV93" s="186"/>
      <c r="AW93" s="186"/>
      <c r="AX93" s="186"/>
      <c r="AY93" s="186"/>
      <c r="AZ93" s="186"/>
      <c r="BA93" s="186"/>
    </row>
    <row r="94" spans="1:53" x14ac:dyDescent="0.35">
      <c r="A94" s="95"/>
      <c r="B94" s="8" t="str">
        <f>Data!D6</f>
        <v>Coal - bituminous</v>
      </c>
      <c r="C94" s="8" t="str">
        <f t="shared" si="22"/>
        <v>$/tonne</v>
      </c>
      <c r="D94" s="131" t="s">
        <v>18</v>
      </c>
      <c r="E94" s="131" t="s">
        <v>109</v>
      </c>
      <c r="F94" s="8" t="str">
        <f t="shared" si="21"/>
        <v xml:space="preserve"> values</v>
      </c>
      <c r="G94" s="185"/>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row>
    <row r="95" spans="1:53" x14ac:dyDescent="0.35">
      <c r="A95" s="95"/>
      <c r="B95" s="8" t="str">
        <f>Data!D7</f>
        <v>Coal - lignite</v>
      </c>
      <c r="C95" s="8" t="str">
        <f t="shared" si="22"/>
        <v>$/tonne</v>
      </c>
      <c r="D95" s="131" t="s">
        <v>18</v>
      </c>
      <c r="E95" s="131" t="s">
        <v>109</v>
      </c>
      <c r="F95" s="8" t="str">
        <f t="shared" si="21"/>
        <v xml:space="preserve"> values</v>
      </c>
      <c r="G95" s="185"/>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row>
    <row r="96" spans="1:53" x14ac:dyDescent="0.35">
      <c r="A96" s="95"/>
      <c r="B96" s="8" t="str">
        <f>Data!D8</f>
        <v>Diesel</v>
      </c>
      <c r="C96" s="8" t="str">
        <f t="shared" si="22"/>
        <v>$/litre</v>
      </c>
      <c r="D96" s="131" t="s">
        <v>18</v>
      </c>
      <c r="E96" s="131" t="s">
        <v>109</v>
      </c>
      <c r="F96" s="8" t="str">
        <f t="shared" si="21"/>
        <v xml:space="preserve"> values</v>
      </c>
      <c r="G96" s="185"/>
      <c r="H96" s="186">
        <v>2</v>
      </c>
      <c r="I96" s="186">
        <v>2</v>
      </c>
      <c r="J96" s="186">
        <v>2</v>
      </c>
      <c r="K96" s="186">
        <v>2</v>
      </c>
      <c r="L96" s="186">
        <v>2</v>
      </c>
      <c r="M96" s="186">
        <v>2</v>
      </c>
      <c r="N96" s="186">
        <v>2</v>
      </c>
      <c r="O96" s="186">
        <v>2</v>
      </c>
      <c r="P96" s="186">
        <v>2</v>
      </c>
      <c r="Q96" s="186">
        <v>2</v>
      </c>
      <c r="R96" s="186">
        <v>2</v>
      </c>
      <c r="S96" s="186">
        <v>2</v>
      </c>
      <c r="T96" s="186">
        <v>2</v>
      </c>
      <c r="U96" s="186">
        <v>2</v>
      </c>
      <c r="V96" s="186">
        <v>2</v>
      </c>
      <c r="W96" s="186">
        <v>2</v>
      </c>
      <c r="X96" s="186">
        <v>2</v>
      </c>
      <c r="Y96" s="186">
        <v>0</v>
      </c>
      <c r="Z96" s="186">
        <v>0</v>
      </c>
      <c r="AA96" s="186">
        <v>0</v>
      </c>
      <c r="AB96" s="186">
        <v>0</v>
      </c>
      <c r="AC96" s="186">
        <v>0</v>
      </c>
      <c r="AD96" s="186">
        <v>0</v>
      </c>
      <c r="AE96" s="186">
        <v>0</v>
      </c>
      <c r="AF96" s="186">
        <v>0</v>
      </c>
      <c r="AG96" s="186">
        <v>0</v>
      </c>
      <c r="AH96" s="186">
        <v>0</v>
      </c>
      <c r="AI96" s="186">
        <v>0</v>
      </c>
      <c r="AJ96" s="186">
        <v>0</v>
      </c>
      <c r="AK96" s="186">
        <v>0</v>
      </c>
      <c r="AL96" s="186">
        <v>0</v>
      </c>
      <c r="AM96" s="186">
        <v>0</v>
      </c>
      <c r="AN96" s="186">
        <v>0</v>
      </c>
      <c r="AO96" s="186">
        <v>0</v>
      </c>
      <c r="AP96" s="186">
        <v>0</v>
      </c>
      <c r="AQ96" s="186">
        <v>0</v>
      </c>
      <c r="AR96" s="186">
        <v>0</v>
      </c>
      <c r="AS96" s="186">
        <v>0</v>
      </c>
      <c r="AT96" s="186">
        <v>0</v>
      </c>
      <c r="AU96" s="186">
        <v>0</v>
      </c>
      <c r="AV96" s="186">
        <v>0</v>
      </c>
      <c r="AW96" s="186">
        <v>0</v>
      </c>
      <c r="AX96" s="186">
        <v>0</v>
      </c>
      <c r="AY96" s="186">
        <v>0</v>
      </c>
      <c r="AZ96" s="186">
        <v>0</v>
      </c>
      <c r="BA96" s="186">
        <v>1</v>
      </c>
    </row>
    <row r="97" spans="1:53" x14ac:dyDescent="0.35">
      <c r="A97" s="95"/>
      <c r="B97" s="8" t="str">
        <f>Data!D9</f>
        <v>LPG</v>
      </c>
      <c r="C97" s="8" t="str">
        <f t="shared" si="22"/>
        <v>$/m3</v>
      </c>
      <c r="D97" s="131" t="s">
        <v>18</v>
      </c>
      <c r="E97" s="131" t="s">
        <v>109</v>
      </c>
      <c r="F97" s="8" t="str">
        <f t="shared" si="21"/>
        <v xml:space="preserve"> values</v>
      </c>
      <c r="G97" s="185"/>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row>
    <row r="98" spans="1:53" x14ac:dyDescent="0.35">
      <c r="A98" s="95"/>
      <c r="B98" s="8" t="str">
        <f>Data!D10</f>
        <v>Light fuel oil</v>
      </c>
      <c r="C98" s="8" t="str">
        <f t="shared" si="22"/>
        <v>$/litre</v>
      </c>
      <c r="D98" s="131" t="s">
        <v>18</v>
      </c>
      <c r="E98" s="131" t="s">
        <v>109</v>
      </c>
      <c r="F98" s="8" t="str">
        <f t="shared" si="21"/>
        <v xml:space="preserve"> values</v>
      </c>
      <c r="G98" s="185"/>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row>
    <row r="99" spans="1:53" x14ac:dyDescent="0.35">
      <c r="A99" s="95"/>
      <c r="B99" s="8" t="str">
        <f>Data!D11</f>
        <v>Heavy fuel oil</v>
      </c>
      <c r="C99" s="8" t="str">
        <f t="shared" si="22"/>
        <v>$/litre</v>
      </c>
      <c r="D99" s="131" t="s">
        <v>18</v>
      </c>
      <c r="E99" s="131" t="s">
        <v>109</v>
      </c>
      <c r="F99" s="8" t="str">
        <f t="shared" si="21"/>
        <v xml:space="preserve"> values</v>
      </c>
      <c r="G99" s="185"/>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c r="AS99" s="53"/>
      <c r="AT99" s="53"/>
      <c r="AU99" s="53"/>
      <c r="AV99" s="53"/>
      <c r="AW99" s="53"/>
      <c r="AX99" s="53"/>
      <c r="AY99" s="53"/>
      <c r="AZ99" s="53"/>
      <c r="BA99" s="53"/>
    </row>
    <row r="100" spans="1:53" x14ac:dyDescent="0.35">
      <c r="A100" s="95"/>
      <c r="B100" s="8" t="str">
        <f>Data!D12</f>
        <v>Geothermal</v>
      </c>
      <c r="C100" s="8" t="str">
        <f t="shared" si="22"/>
        <v>$/kWh</v>
      </c>
      <c r="D100" s="131" t="s">
        <v>18</v>
      </c>
      <c r="E100" s="131" t="s">
        <v>109</v>
      </c>
      <c r="F100" s="8" t="str">
        <f t="shared" si="21"/>
        <v xml:space="preserve"> values</v>
      </c>
      <c r="G100" s="185"/>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row>
    <row r="101" spans="1:53" x14ac:dyDescent="0.35">
      <c r="A101" s="95"/>
      <c r="B101" s="94" t="str">
        <f>Data!D13</f>
        <v>Wood or wood chips</v>
      </c>
      <c r="C101" s="94" t="str">
        <f t="shared" si="22"/>
        <v>$/tonne</v>
      </c>
      <c r="D101" s="106" t="s">
        <v>18</v>
      </c>
      <c r="E101" s="106" t="s">
        <v>109</v>
      </c>
      <c r="F101" s="94" t="str">
        <f t="shared" si="21"/>
        <v xml:space="preserve"> values</v>
      </c>
      <c r="G101" s="185"/>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row>
    <row r="102" spans="1:53" x14ac:dyDescent="0.35">
      <c r="A102" s="2"/>
      <c r="B102" s="2"/>
      <c r="C102" s="2"/>
      <c r="D102" s="2"/>
      <c r="E102" s="2"/>
      <c r="F102" s="2"/>
      <c r="G102" s="97"/>
      <c r="H102" s="191"/>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row>
    <row r="103" spans="1:53" x14ac:dyDescent="0.35">
      <c r="A103" s="27" t="s">
        <v>48</v>
      </c>
      <c r="B103" s="25" t="s">
        <v>60</v>
      </c>
      <c r="C103" s="25" t="s">
        <v>61</v>
      </c>
      <c r="D103" s="100" t="s">
        <v>108</v>
      </c>
      <c r="E103" s="100" t="s">
        <v>35</v>
      </c>
      <c r="F103" s="100"/>
      <c r="G103" s="101" t="s">
        <v>39</v>
      </c>
      <c r="H103" s="29">
        <v>2025</v>
      </c>
      <c r="I103" s="29">
        <v>2026</v>
      </c>
      <c r="J103" s="29">
        <v>2027</v>
      </c>
      <c r="K103" s="29">
        <v>2028</v>
      </c>
      <c r="L103" s="29">
        <v>2029</v>
      </c>
      <c r="M103" s="29">
        <v>2030</v>
      </c>
      <c r="N103" s="29">
        <v>2031</v>
      </c>
      <c r="O103" s="29">
        <v>2032</v>
      </c>
      <c r="P103" s="29">
        <v>2033</v>
      </c>
      <c r="Q103" s="29">
        <v>2034</v>
      </c>
      <c r="R103" s="29">
        <v>2035</v>
      </c>
      <c r="S103" s="29">
        <v>2036</v>
      </c>
      <c r="T103" s="29">
        <v>2037</v>
      </c>
      <c r="U103" s="29">
        <v>2038</v>
      </c>
      <c r="V103" s="29">
        <v>2039</v>
      </c>
      <c r="W103" s="29">
        <v>2040</v>
      </c>
      <c r="X103" s="29">
        <v>2041</v>
      </c>
      <c r="Y103" s="29">
        <v>2042</v>
      </c>
      <c r="Z103" s="29">
        <v>2043</v>
      </c>
      <c r="AA103" s="29">
        <v>2044</v>
      </c>
      <c r="AB103" s="29">
        <v>2045</v>
      </c>
      <c r="AC103" s="29">
        <v>2046</v>
      </c>
      <c r="AD103" s="29">
        <v>2047</v>
      </c>
      <c r="AE103" s="29">
        <v>2048</v>
      </c>
      <c r="AF103" s="29">
        <v>2049</v>
      </c>
      <c r="AG103" s="29">
        <v>2050</v>
      </c>
      <c r="AH103" s="29">
        <v>2051</v>
      </c>
      <c r="AI103" s="29">
        <v>2052</v>
      </c>
      <c r="AJ103" s="29">
        <v>2053</v>
      </c>
      <c r="AK103" s="29">
        <v>2054</v>
      </c>
      <c r="AL103" s="29">
        <v>2055</v>
      </c>
      <c r="AM103" s="29">
        <v>2056</v>
      </c>
      <c r="AN103" s="29">
        <v>2057</v>
      </c>
      <c r="AO103" s="29">
        <v>2058</v>
      </c>
      <c r="AP103" s="29">
        <v>2059</v>
      </c>
      <c r="AQ103" s="29">
        <v>2060</v>
      </c>
      <c r="AR103" s="29">
        <v>2061</v>
      </c>
      <c r="AS103" s="29">
        <v>2062</v>
      </c>
      <c r="AT103" s="29">
        <v>2063</v>
      </c>
      <c r="AU103" s="29">
        <v>2064</v>
      </c>
      <c r="AV103" s="29">
        <v>2065</v>
      </c>
      <c r="AW103" s="29">
        <v>2066</v>
      </c>
      <c r="AX103" s="29">
        <v>2067</v>
      </c>
      <c r="AY103" s="29">
        <v>2068</v>
      </c>
      <c r="AZ103" s="29">
        <v>2069</v>
      </c>
      <c r="BA103" s="29">
        <v>2070</v>
      </c>
    </row>
    <row r="104" spans="1:53" x14ac:dyDescent="0.35">
      <c r="A104" s="95" t="str">
        <f>"Please provide data through to "&amp;FinalYear_BC</f>
        <v>Please provide data through to 1900</v>
      </c>
      <c r="B104" s="4" t="str">
        <f>Data!D3</f>
        <v>Electricity</v>
      </c>
      <c r="C104" s="4" t="str">
        <f>"$/"&amp;IF(RIGHT(E77,1)="s",LEFT(E77,LEN(E77)-1),E77)</f>
        <v>$/MWh</v>
      </c>
      <c r="D104" s="4" t="s">
        <v>18</v>
      </c>
      <c r="E104" s="129" t="s">
        <v>109</v>
      </c>
      <c r="F104" s="4" t="str">
        <f t="shared" ref="F104:F114" si="23">IF(E104="Nominal","",Analysis_year&amp;" values")</f>
        <v xml:space="preserve"> values</v>
      </c>
      <c r="G104" s="103"/>
      <c r="H104" s="187">
        <v>250</v>
      </c>
      <c r="I104" s="187">
        <v>250</v>
      </c>
      <c r="J104" s="187">
        <v>250</v>
      </c>
      <c r="K104" s="187">
        <v>250</v>
      </c>
      <c r="L104" s="187">
        <v>250</v>
      </c>
      <c r="M104" s="187">
        <v>250</v>
      </c>
      <c r="N104" s="187">
        <v>250</v>
      </c>
      <c r="O104" s="187">
        <v>250</v>
      </c>
      <c r="P104" s="187">
        <v>250</v>
      </c>
      <c r="Q104" s="187">
        <v>250</v>
      </c>
      <c r="R104" s="187">
        <v>250</v>
      </c>
      <c r="S104" s="187">
        <v>250</v>
      </c>
      <c r="T104" s="187">
        <v>250</v>
      </c>
      <c r="U104" s="187">
        <v>250</v>
      </c>
      <c r="V104" s="187">
        <v>250</v>
      </c>
      <c r="W104" s="187">
        <v>250</v>
      </c>
      <c r="X104" s="187">
        <v>250</v>
      </c>
      <c r="Y104" s="187">
        <v>250</v>
      </c>
      <c r="Z104" s="187">
        <v>250</v>
      </c>
      <c r="AA104" s="187">
        <v>250</v>
      </c>
      <c r="AB104" s="187">
        <v>250</v>
      </c>
      <c r="AC104" s="187">
        <v>250</v>
      </c>
      <c r="AD104" s="187"/>
      <c r="AE104" s="187"/>
      <c r="AF104" s="187"/>
      <c r="AG104" s="187"/>
      <c r="AH104" s="187"/>
      <c r="AI104" s="187"/>
      <c r="AJ104" s="187"/>
      <c r="AK104" s="187"/>
      <c r="AL104" s="187"/>
      <c r="AM104" s="187"/>
      <c r="AN104" s="187"/>
      <c r="AO104" s="187"/>
      <c r="AP104" s="187"/>
      <c r="AQ104" s="187"/>
      <c r="AR104" s="187"/>
      <c r="AS104" s="187"/>
      <c r="AT104" s="187"/>
      <c r="AU104" s="187"/>
      <c r="AV104" s="187"/>
      <c r="AW104" s="187"/>
      <c r="AX104" s="187"/>
      <c r="AY104" s="187"/>
      <c r="AZ104" s="187"/>
      <c r="BA104" s="187"/>
    </row>
    <row r="105" spans="1:53" x14ac:dyDescent="0.35">
      <c r="A105" s="95"/>
      <c r="B105" s="4" t="str">
        <f>Data!D4</f>
        <v>Natural Gas</v>
      </c>
      <c r="C105" s="4" t="str">
        <f t="shared" ref="C105:C114" si="24">"$/"&amp;IF(RIGHT(E78,1)="s",LEFT(E78,LEN(E78)-1),E78)</f>
        <v>$/GJ</v>
      </c>
      <c r="D105" s="4" t="s">
        <v>18</v>
      </c>
      <c r="E105" s="129" t="s">
        <v>109</v>
      </c>
      <c r="F105" s="4" t="str">
        <f t="shared" si="23"/>
        <v xml:space="preserve"> values</v>
      </c>
      <c r="G105" s="103"/>
      <c r="H105" s="187">
        <v>10</v>
      </c>
      <c r="I105" s="187">
        <v>10</v>
      </c>
      <c r="J105" s="187">
        <v>10</v>
      </c>
      <c r="K105" s="187">
        <v>10</v>
      </c>
      <c r="L105" s="187">
        <v>10</v>
      </c>
      <c r="M105" s="187">
        <v>10</v>
      </c>
      <c r="N105" s="187">
        <v>10</v>
      </c>
      <c r="O105" s="187">
        <v>10</v>
      </c>
      <c r="P105" s="187">
        <v>10</v>
      </c>
      <c r="Q105" s="187">
        <v>10</v>
      </c>
      <c r="R105" s="187">
        <v>10</v>
      </c>
      <c r="S105" s="187">
        <v>10</v>
      </c>
      <c r="T105" s="187">
        <v>10</v>
      </c>
      <c r="U105" s="187">
        <v>10</v>
      </c>
      <c r="V105" s="187">
        <v>10</v>
      </c>
      <c r="W105" s="187">
        <v>10</v>
      </c>
      <c r="X105" s="187">
        <v>10</v>
      </c>
      <c r="Y105" s="187">
        <v>10</v>
      </c>
      <c r="Z105" s="187">
        <v>10</v>
      </c>
      <c r="AA105" s="187">
        <v>10</v>
      </c>
      <c r="AB105" s="187">
        <v>10</v>
      </c>
      <c r="AC105" s="187">
        <v>10</v>
      </c>
      <c r="AD105" s="187"/>
      <c r="AE105" s="187"/>
      <c r="AF105" s="187"/>
      <c r="AG105" s="187"/>
      <c r="AH105" s="187"/>
      <c r="AI105" s="187"/>
      <c r="AJ105" s="187"/>
      <c r="AK105" s="187"/>
      <c r="AL105" s="187"/>
      <c r="AM105" s="187"/>
      <c r="AN105" s="187"/>
      <c r="AO105" s="187"/>
      <c r="AP105" s="187"/>
      <c r="AQ105" s="187"/>
      <c r="AR105" s="187"/>
      <c r="AS105" s="187"/>
      <c r="AT105" s="187"/>
      <c r="AU105" s="187"/>
      <c r="AV105" s="187"/>
      <c r="AW105" s="187"/>
      <c r="AX105" s="187"/>
      <c r="AY105" s="187"/>
      <c r="AZ105" s="187"/>
      <c r="BA105" s="187"/>
    </row>
    <row r="106" spans="1:53" x14ac:dyDescent="0.35">
      <c r="A106" s="95"/>
      <c r="B106" s="4" t="str">
        <f>Data!D5</f>
        <v>Coal - sub bituminous</v>
      </c>
      <c r="C106" s="4" t="str">
        <f t="shared" si="24"/>
        <v>$/tonne</v>
      </c>
      <c r="D106" s="4" t="s">
        <v>18</v>
      </c>
      <c r="E106" s="129" t="s">
        <v>109</v>
      </c>
      <c r="F106" s="4" t="str">
        <f t="shared" si="23"/>
        <v xml:space="preserve"> values</v>
      </c>
      <c r="G106" s="103"/>
      <c r="H106" s="187">
        <v>150</v>
      </c>
      <c r="I106" s="187">
        <v>150</v>
      </c>
      <c r="J106" s="187">
        <v>150</v>
      </c>
      <c r="K106" s="187">
        <v>150</v>
      </c>
      <c r="L106" s="187">
        <v>150</v>
      </c>
      <c r="M106" s="187">
        <v>150</v>
      </c>
      <c r="N106" s="187">
        <v>150</v>
      </c>
      <c r="O106" s="187">
        <v>150</v>
      </c>
      <c r="P106" s="187">
        <v>150</v>
      </c>
      <c r="Q106" s="187">
        <v>150</v>
      </c>
      <c r="R106" s="187">
        <v>150</v>
      </c>
      <c r="S106" s="187">
        <v>150</v>
      </c>
      <c r="T106" s="187">
        <v>150</v>
      </c>
      <c r="U106" s="187">
        <v>150</v>
      </c>
      <c r="V106" s="187">
        <v>150</v>
      </c>
      <c r="W106" s="187">
        <v>150</v>
      </c>
      <c r="X106" s="187">
        <v>150</v>
      </c>
      <c r="Y106" s="187">
        <v>150</v>
      </c>
      <c r="Z106" s="187">
        <v>150</v>
      </c>
      <c r="AA106" s="187">
        <v>150</v>
      </c>
      <c r="AB106" s="187">
        <v>150</v>
      </c>
      <c r="AC106" s="187">
        <v>150</v>
      </c>
      <c r="AD106" s="187"/>
      <c r="AE106" s="187"/>
      <c r="AF106" s="187"/>
      <c r="AG106" s="187"/>
      <c r="AH106" s="187"/>
      <c r="AI106" s="187"/>
      <c r="AJ106" s="187"/>
      <c r="AK106" s="187"/>
      <c r="AL106" s="187"/>
      <c r="AM106" s="187"/>
      <c r="AN106" s="187"/>
      <c r="AO106" s="187"/>
      <c r="AP106" s="187"/>
      <c r="AQ106" s="187"/>
      <c r="AR106" s="187"/>
      <c r="AS106" s="187"/>
      <c r="AT106" s="187"/>
      <c r="AU106" s="187"/>
      <c r="AV106" s="187"/>
      <c r="AW106" s="187"/>
      <c r="AX106" s="187"/>
      <c r="AY106" s="187"/>
      <c r="AZ106" s="187"/>
      <c r="BA106" s="187"/>
    </row>
    <row r="107" spans="1:53" x14ac:dyDescent="0.35">
      <c r="A107" s="95"/>
      <c r="B107" s="4" t="str">
        <f>Data!D6</f>
        <v>Coal - bituminous</v>
      </c>
      <c r="C107" s="4" t="str">
        <f t="shared" si="24"/>
        <v>$/tonne</v>
      </c>
      <c r="D107" s="4" t="s">
        <v>18</v>
      </c>
      <c r="E107" s="129" t="s">
        <v>109</v>
      </c>
      <c r="F107" s="4" t="str">
        <f t="shared" si="23"/>
        <v xml:space="preserve"> values</v>
      </c>
      <c r="G107" s="10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row>
    <row r="108" spans="1:53" x14ac:dyDescent="0.35">
      <c r="A108" s="95"/>
      <c r="B108" s="4" t="str">
        <f>Data!D7</f>
        <v>Coal - lignite</v>
      </c>
      <c r="C108" s="4" t="str">
        <f t="shared" si="24"/>
        <v>$/tonne</v>
      </c>
      <c r="D108" s="4" t="s">
        <v>18</v>
      </c>
      <c r="E108" s="129" t="s">
        <v>109</v>
      </c>
      <c r="F108" s="4" t="str">
        <f t="shared" si="23"/>
        <v xml:space="preserve"> values</v>
      </c>
      <c r="G108" s="10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row>
    <row r="109" spans="1:53" x14ac:dyDescent="0.35">
      <c r="A109" s="95"/>
      <c r="B109" s="4" t="str">
        <f>Data!D8</f>
        <v>Diesel</v>
      </c>
      <c r="C109" s="4" t="str">
        <f t="shared" si="24"/>
        <v>$/litre</v>
      </c>
      <c r="D109" s="4" t="s">
        <v>18</v>
      </c>
      <c r="E109" s="129" t="s">
        <v>109</v>
      </c>
      <c r="F109" s="4" t="str">
        <f t="shared" si="23"/>
        <v xml:space="preserve"> values</v>
      </c>
      <c r="G109" s="103"/>
      <c r="H109" s="187">
        <v>2</v>
      </c>
      <c r="I109" s="187">
        <v>2</v>
      </c>
      <c r="J109" s="187">
        <v>2</v>
      </c>
      <c r="K109" s="187">
        <v>2</v>
      </c>
      <c r="L109" s="187">
        <v>2</v>
      </c>
      <c r="M109" s="187">
        <v>2</v>
      </c>
      <c r="N109" s="187">
        <v>2</v>
      </c>
      <c r="O109" s="187">
        <v>2</v>
      </c>
      <c r="P109" s="187">
        <v>2</v>
      </c>
      <c r="Q109" s="187">
        <v>2</v>
      </c>
      <c r="R109" s="187">
        <v>2</v>
      </c>
      <c r="S109" s="187">
        <v>2</v>
      </c>
      <c r="T109" s="187">
        <v>2</v>
      </c>
      <c r="U109" s="187">
        <v>2</v>
      </c>
      <c r="V109" s="187">
        <v>2</v>
      </c>
      <c r="W109" s="187">
        <v>2</v>
      </c>
      <c r="X109" s="187">
        <v>2</v>
      </c>
      <c r="Y109" s="187">
        <v>2</v>
      </c>
      <c r="Z109" s="187">
        <v>2</v>
      </c>
      <c r="AA109" s="187">
        <v>2</v>
      </c>
      <c r="AB109" s="187">
        <v>2</v>
      </c>
      <c r="AC109" s="187">
        <v>2</v>
      </c>
      <c r="AD109" s="187">
        <v>2</v>
      </c>
      <c r="AE109" s="187">
        <v>2</v>
      </c>
      <c r="AF109" s="187">
        <v>2</v>
      </c>
      <c r="AG109" s="187">
        <v>2</v>
      </c>
      <c r="AH109" s="187">
        <v>2</v>
      </c>
      <c r="AI109" s="187">
        <v>2</v>
      </c>
      <c r="AJ109" s="187">
        <v>2</v>
      </c>
      <c r="AK109" s="187">
        <v>2</v>
      </c>
      <c r="AL109" s="187">
        <v>2</v>
      </c>
      <c r="AM109" s="187">
        <v>2</v>
      </c>
      <c r="AN109" s="187">
        <v>2</v>
      </c>
      <c r="AO109" s="187">
        <v>2</v>
      </c>
      <c r="AP109" s="187">
        <v>2</v>
      </c>
      <c r="AQ109" s="187">
        <v>2</v>
      </c>
      <c r="AR109" s="187">
        <v>2</v>
      </c>
      <c r="AS109" s="187">
        <v>2</v>
      </c>
      <c r="AT109" s="187">
        <v>2</v>
      </c>
      <c r="AU109" s="187">
        <v>2</v>
      </c>
      <c r="AV109" s="187">
        <v>2</v>
      </c>
      <c r="AW109" s="187">
        <v>2</v>
      </c>
      <c r="AX109" s="187">
        <v>2</v>
      </c>
      <c r="AY109" s="187">
        <v>2</v>
      </c>
      <c r="AZ109" s="187">
        <v>2</v>
      </c>
      <c r="BA109" s="187">
        <v>2</v>
      </c>
    </row>
    <row r="110" spans="1:53" x14ac:dyDescent="0.35">
      <c r="A110" s="95"/>
      <c r="B110" s="4" t="str">
        <f>Data!D9</f>
        <v>LPG</v>
      </c>
      <c r="C110" s="4" t="str">
        <f t="shared" si="24"/>
        <v>$/m3</v>
      </c>
      <c r="D110" s="4" t="s">
        <v>18</v>
      </c>
      <c r="E110" s="129" t="s">
        <v>109</v>
      </c>
      <c r="F110" s="4" t="str">
        <f t="shared" si="23"/>
        <v xml:space="preserve"> values</v>
      </c>
      <c r="G110" s="10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row>
    <row r="111" spans="1:53" x14ac:dyDescent="0.35">
      <c r="A111" s="95"/>
      <c r="B111" s="4" t="str">
        <f>Data!D10</f>
        <v>Light fuel oil</v>
      </c>
      <c r="C111" s="4" t="str">
        <f t="shared" si="24"/>
        <v>$/litre</v>
      </c>
      <c r="D111" s="4" t="s">
        <v>18</v>
      </c>
      <c r="E111" s="129" t="s">
        <v>109</v>
      </c>
      <c r="F111" s="4" t="str">
        <f t="shared" si="23"/>
        <v xml:space="preserve"> values</v>
      </c>
      <c r="G111" s="10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row>
    <row r="112" spans="1:53" x14ac:dyDescent="0.35">
      <c r="A112" s="95"/>
      <c r="B112" s="4" t="str">
        <f>Data!D11</f>
        <v>Heavy fuel oil</v>
      </c>
      <c r="C112" s="4" t="str">
        <f t="shared" si="24"/>
        <v>$/litre</v>
      </c>
      <c r="D112" s="4" t="s">
        <v>18</v>
      </c>
      <c r="E112" s="129" t="s">
        <v>109</v>
      </c>
      <c r="F112" s="4" t="str">
        <f t="shared" si="23"/>
        <v xml:space="preserve"> values</v>
      </c>
      <c r="G112" s="10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row>
    <row r="113" spans="1:53" x14ac:dyDescent="0.35">
      <c r="A113" s="95"/>
      <c r="B113" s="4" t="str">
        <f>Data!D12</f>
        <v>Geothermal</v>
      </c>
      <c r="C113" s="4" t="str">
        <f t="shared" si="24"/>
        <v>$/kWh</v>
      </c>
      <c r="D113" s="4" t="s">
        <v>18</v>
      </c>
      <c r="E113" s="129" t="s">
        <v>109</v>
      </c>
      <c r="F113" s="4" t="str">
        <f t="shared" si="23"/>
        <v xml:space="preserve"> values</v>
      </c>
      <c r="G113" s="10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row>
    <row r="114" spans="1:53" x14ac:dyDescent="0.35">
      <c r="A114" s="95"/>
      <c r="B114" s="29" t="str">
        <f>Data!D13</f>
        <v>Wood or wood chips</v>
      </c>
      <c r="C114" s="29" t="str">
        <f t="shared" si="24"/>
        <v>$/tonne</v>
      </c>
      <c r="D114" s="29" t="s">
        <v>18</v>
      </c>
      <c r="E114" s="101" t="s">
        <v>109</v>
      </c>
      <c r="F114" s="29" t="str">
        <f t="shared" si="23"/>
        <v xml:space="preserve"> values</v>
      </c>
      <c r="G114" s="10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row>
    <row r="115" spans="1:53" x14ac:dyDescent="0.35">
      <c r="A115" s="95"/>
      <c r="B115" s="2"/>
      <c r="C115" s="2"/>
      <c r="D115" s="2"/>
      <c r="E115" s="2"/>
      <c r="F115" s="2"/>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row>
    <row r="116" spans="1:53" x14ac:dyDescent="0.35">
      <c r="A116" s="1" t="s">
        <v>110</v>
      </c>
      <c r="B116" s="2"/>
      <c r="C116" s="2"/>
      <c r="D116" s="2"/>
      <c r="E116" s="2"/>
      <c r="F116" s="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row>
    <row r="117" spans="1:53" x14ac:dyDescent="0.35">
      <c r="A117" s="28" t="s">
        <v>111</v>
      </c>
      <c r="B117" s="26"/>
      <c r="C117" s="26"/>
      <c r="D117" s="94" t="s">
        <v>60</v>
      </c>
      <c r="E117" s="94" t="s">
        <v>35</v>
      </c>
      <c r="F117" s="94"/>
      <c r="G117" s="106" t="s">
        <v>39</v>
      </c>
      <c r="H117" s="94">
        <v>2025</v>
      </c>
      <c r="I117" s="94">
        <v>2026</v>
      </c>
      <c r="J117" s="94">
        <v>2027</v>
      </c>
      <c r="K117" s="94">
        <v>2028</v>
      </c>
      <c r="L117" s="94">
        <v>2029</v>
      </c>
      <c r="M117" s="94">
        <v>2030</v>
      </c>
      <c r="N117" s="94">
        <v>2031</v>
      </c>
      <c r="O117" s="94">
        <v>2032</v>
      </c>
      <c r="P117" s="94">
        <v>2033</v>
      </c>
      <c r="Q117" s="94">
        <v>2034</v>
      </c>
      <c r="R117" s="94">
        <v>2035</v>
      </c>
      <c r="S117" s="94">
        <v>2036</v>
      </c>
      <c r="T117" s="94">
        <v>2037</v>
      </c>
      <c r="U117" s="94">
        <v>2038</v>
      </c>
      <c r="V117" s="94">
        <v>2039</v>
      </c>
      <c r="W117" s="94">
        <v>2040</v>
      </c>
      <c r="X117" s="94">
        <v>2041</v>
      </c>
      <c r="Y117" s="94">
        <v>2042</v>
      </c>
      <c r="Z117" s="94">
        <v>2043</v>
      </c>
      <c r="AA117" s="94">
        <v>2044</v>
      </c>
      <c r="AB117" s="94">
        <v>2045</v>
      </c>
      <c r="AC117" s="94">
        <v>2046</v>
      </c>
      <c r="AD117" s="94">
        <v>2047</v>
      </c>
      <c r="AE117" s="94">
        <v>2048</v>
      </c>
      <c r="AF117" s="94">
        <v>2049</v>
      </c>
      <c r="AG117" s="94">
        <v>2050</v>
      </c>
      <c r="AH117" s="94">
        <v>2051</v>
      </c>
      <c r="AI117" s="94">
        <v>2052</v>
      </c>
      <c r="AJ117" s="94">
        <v>2053</v>
      </c>
      <c r="AK117" s="94">
        <v>2054</v>
      </c>
      <c r="AL117" s="94">
        <v>2055</v>
      </c>
      <c r="AM117" s="94">
        <v>2056</v>
      </c>
      <c r="AN117" s="94">
        <v>2057</v>
      </c>
      <c r="AO117" s="94">
        <v>2058</v>
      </c>
      <c r="AP117" s="94">
        <v>2059</v>
      </c>
      <c r="AQ117" s="94">
        <v>2060</v>
      </c>
      <c r="AR117" s="94">
        <v>2061</v>
      </c>
      <c r="AS117" s="94">
        <v>2062</v>
      </c>
      <c r="AT117" s="94">
        <v>2063</v>
      </c>
      <c r="AU117" s="94">
        <v>2064</v>
      </c>
      <c r="AV117" s="94">
        <v>2065</v>
      </c>
      <c r="AW117" s="94">
        <v>2066</v>
      </c>
      <c r="AX117" s="94">
        <v>2067</v>
      </c>
      <c r="AY117" s="94">
        <v>2068</v>
      </c>
      <c r="AZ117" s="94">
        <v>2069</v>
      </c>
      <c r="BA117" s="94">
        <v>2070</v>
      </c>
    </row>
    <row r="118" spans="1:53" x14ac:dyDescent="0.35">
      <c r="A118" s="95" t="str">
        <f>"Please provide data through to "&amp;FinalYear_PP</f>
        <v>Please provide data through to 1900</v>
      </c>
      <c r="B118" s="2"/>
      <c r="C118" s="2"/>
      <c r="D118" s="8" t="str">
        <f>B91</f>
        <v>Electricity</v>
      </c>
      <c r="E118" s="8" t="str">
        <f>E91</f>
        <v>Real</v>
      </c>
      <c r="F118" s="8"/>
      <c r="G118" s="131"/>
      <c r="H118" s="140">
        <f>H64*H91</f>
        <v>0</v>
      </c>
      <c r="I118" s="140">
        <f t="shared" ref="I118:AZ124" si="25">I64*I91</f>
        <v>0</v>
      </c>
      <c r="J118" s="140">
        <f t="shared" si="25"/>
        <v>0</v>
      </c>
      <c r="K118" s="140">
        <f t="shared" si="25"/>
        <v>0</v>
      </c>
      <c r="L118" s="140">
        <f t="shared" si="25"/>
        <v>0</v>
      </c>
      <c r="M118" s="140">
        <f t="shared" si="25"/>
        <v>0</v>
      </c>
      <c r="N118" s="140">
        <f t="shared" si="25"/>
        <v>0</v>
      </c>
      <c r="O118" s="140">
        <f t="shared" si="25"/>
        <v>0</v>
      </c>
      <c r="P118" s="140">
        <f t="shared" si="25"/>
        <v>0</v>
      </c>
      <c r="Q118" s="140">
        <f t="shared" si="25"/>
        <v>0</v>
      </c>
      <c r="R118" s="140">
        <f t="shared" si="25"/>
        <v>0</v>
      </c>
      <c r="S118" s="140">
        <f t="shared" si="25"/>
        <v>0</v>
      </c>
      <c r="T118" s="140">
        <f t="shared" si="25"/>
        <v>0</v>
      </c>
      <c r="U118" s="140">
        <f t="shared" si="25"/>
        <v>0</v>
      </c>
      <c r="V118" s="140">
        <f t="shared" si="25"/>
        <v>0</v>
      </c>
      <c r="W118" s="140">
        <f t="shared" si="25"/>
        <v>0</v>
      </c>
      <c r="X118" s="140">
        <f t="shared" si="25"/>
        <v>0</v>
      </c>
      <c r="Y118" s="140">
        <f t="shared" si="25"/>
        <v>0</v>
      </c>
      <c r="Z118" s="140">
        <f t="shared" si="25"/>
        <v>0</v>
      </c>
      <c r="AA118" s="140">
        <f t="shared" si="25"/>
        <v>0</v>
      </c>
      <c r="AB118" s="140">
        <f t="shared" si="25"/>
        <v>0</v>
      </c>
      <c r="AC118" s="140">
        <f t="shared" si="25"/>
        <v>0</v>
      </c>
      <c r="AD118" s="140">
        <f t="shared" si="25"/>
        <v>0</v>
      </c>
      <c r="AE118" s="140">
        <f t="shared" si="25"/>
        <v>0</v>
      </c>
      <c r="AF118" s="140">
        <f t="shared" si="25"/>
        <v>0</v>
      </c>
      <c r="AG118" s="140">
        <f t="shared" si="25"/>
        <v>0</v>
      </c>
      <c r="AH118" s="140">
        <f t="shared" si="25"/>
        <v>0</v>
      </c>
      <c r="AI118" s="140">
        <f t="shared" si="25"/>
        <v>0</v>
      </c>
      <c r="AJ118" s="140">
        <f t="shared" si="25"/>
        <v>0</v>
      </c>
      <c r="AK118" s="140">
        <f t="shared" si="25"/>
        <v>0</v>
      </c>
      <c r="AL118" s="140">
        <f t="shared" si="25"/>
        <v>0</v>
      </c>
      <c r="AM118" s="140">
        <f t="shared" si="25"/>
        <v>0</v>
      </c>
      <c r="AN118" s="140">
        <f t="shared" si="25"/>
        <v>0</v>
      </c>
      <c r="AO118" s="140">
        <f t="shared" si="25"/>
        <v>0</v>
      </c>
      <c r="AP118" s="140">
        <f t="shared" si="25"/>
        <v>0</v>
      </c>
      <c r="AQ118" s="140">
        <f t="shared" si="25"/>
        <v>0</v>
      </c>
      <c r="AR118" s="140">
        <f t="shared" si="25"/>
        <v>0</v>
      </c>
      <c r="AS118" s="140">
        <f t="shared" si="25"/>
        <v>0</v>
      </c>
      <c r="AT118" s="140">
        <f t="shared" si="25"/>
        <v>0</v>
      </c>
      <c r="AU118" s="140">
        <f t="shared" si="25"/>
        <v>0</v>
      </c>
      <c r="AV118" s="140">
        <f t="shared" si="25"/>
        <v>0</v>
      </c>
      <c r="AW118" s="140">
        <f t="shared" si="25"/>
        <v>0</v>
      </c>
      <c r="AX118" s="140">
        <f t="shared" si="25"/>
        <v>0</v>
      </c>
      <c r="AY118" s="140">
        <f t="shared" si="25"/>
        <v>0</v>
      </c>
      <c r="AZ118" s="140">
        <f t="shared" si="25"/>
        <v>0</v>
      </c>
      <c r="BA118" s="140">
        <f t="shared" ref="BA118:BA123" si="26">BA64*BA91</f>
        <v>0</v>
      </c>
    </row>
    <row r="119" spans="1:53" x14ac:dyDescent="0.35">
      <c r="A119" s="95"/>
      <c r="B119" s="2"/>
      <c r="C119" s="2"/>
      <c r="D119" s="8" t="str">
        <f t="shared" ref="D119:D128" si="27">B92</f>
        <v>Natural Gas</v>
      </c>
      <c r="E119" s="8" t="str">
        <f t="shared" ref="E119:E128" si="28">E92</f>
        <v>Real</v>
      </c>
      <c r="F119" s="8"/>
      <c r="G119" s="131"/>
      <c r="H119" s="140">
        <f t="shared" ref="H119:W128" si="29">H65*H92</f>
        <v>0</v>
      </c>
      <c r="I119" s="140">
        <f t="shared" si="29"/>
        <v>0</v>
      </c>
      <c r="J119" s="140">
        <f t="shared" si="29"/>
        <v>0</v>
      </c>
      <c r="K119" s="140">
        <f t="shared" si="29"/>
        <v>0</v>
      </c>
      <c r="L119" s="140">
        <f t="shared" si="29"/>
        <v>0</v>
      </c>
      <c r="M119" s="140">
        <f t="shared" si="29"/>
        <v>0</v>
      </c>
      <c r="N119" s="140">
        <f t="shared" si="29"/>
        <v>0</v>
      </c>
      <c r="O119" s="140">
        <f t="shared" si="29"/>
        <v>0</v>
      </c>
      <c r="P119" s="140">
        <f t="shared" si="29"/>
        <v>0</v>
      </c>
      <c r="Q119" s="140">
        <f t="shared" si="29"/>
        <v>0</v>
      </c>
      <c r="R119" s="140">
        <f t="shared" si="29"/>
        <v>0</v>
      </c>
      <c r="S119" s="140">
        <f t="shared" si="29"/>
        <v>0</v>
      </c>
      <c r="T119" s="140">
        <f t="shared" si="29"/>
        <v>0</v>
      </c>
      <c r="U119" s="140">
        <f t="shared" si="29"/>
        <v>0</v>
      </c>
      <c r="V119" s="140">
        <f t="shared" si="29"/>
        <v>0</v>
      </c>
      <c r="W119" s="140">
        <f t="shared" si="29"/>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140">
        <f t="shared" si="25"/>
        <v>0</v>
      </c>
      <c r="AK119" s="140">
        <f t="shared" si="25"/>
        <v>0</v>
      </c>
      <c r="AL119" s="140">
        <f t="shared" si="25"/>
        <v>0</v>
      </c>
      <c r="AM119" s="140">
        <f t="shared" si="25"/>
        <v>0</v>
      </c>
      <c r="AN119" s="140">
        <f t="shared" si="25"/>
        <v>0</v>
      </c>
      <c r="AO119" s="140">
        <f t="shared" si="25"/>
        <v>0</v>
      </c>
      <c r="AP119" s="140">
        <f t="shared" si="25"/>
        <v>0</v>
      </c>
      <c r="AQ119" s="140">
        <f t="shared" si="25"/>
        <v>0</v>
      </c>
      <c r="AR119" s="140">
        <f t="shared" si="25"/>
        <v>0</v>
      </c>
      <c r="AS119" s="140">
        <f t="shared" si="25"/>
        <v>0</v>
      </c>
      <c r="AT119" s="140">
        <f t="shared" si="25"/>
        <v>0</v>
      </c>
      <c r="AU119" s="140">
        <f t="shared" si="25"/>
        <v>0</v>
      </c>
      <c r="AV119" s="140">
        <f t="shared" si="25"/>
        <v>0</v>
      </c>
      <c r="AW119" s="140">
        <f t="shared" si="25"/>
        <v>0</v>
      </c>
      <c r="AX119" s="140">
        <f t="shared" si="25"/>
        <v>0</v>
      </c>
      <c r="AY119" s="140">
        <f t="shared" si="25"/>
        <v>0</v>
      </c>
      <c r="AZ119" s="140">
        <f t="shared" si="25"/>
        <v>0</v>
      </c>
      <c r="BA119" s="140">
        <f t="shared" si="26"/>
        <v>0</v>
      </c>
    </row>
    <row r="120" spans="1:53" x14ac:dyDescent="0.35">
      <c r="A120" s="95"/>
      <c r="B120" s="2"/>
      <c r="C120" s="2"/>
      <c r="D120" s="8" t="str">
        <f t="shared" si="27"/>
        <v>Coal - sub bituminous</v>
      </c>
      <c r="E120" s="8" t="str">
        <f t="shared" si="28"/>
        <v>Real</v>
      </c>
      <c r="F120" s="8"/>
      <c r="G120" s="131"/>
      <c r="H120" s="140">
        <f t="shared" si="29"/>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140">
        <f t="shared" si="25"/>
        <v>0</v>
      </c>
      <c r="AK120" s="140">
        <f t="shared" si="25"/>
        <v>0</v>
      </c>
      <c r="AL120" s="140">
        <f t="shared" si="25"/>
        <v>0</v>
      </c>
      <c r="AM120" s="140">
        <f t="shared" si="25"/>
        <v>0</v>
      </c>
      <c r="AN120" s="140">
        <f t="shared" si="25"/>
        <v>0</v>
      </c>
      <c r="AO120" s="140">
        <f t="shared" si="25"/>
        <v>0</v>
      </c>
      <c r="AP120" s="140">
        <f t="shared" si="25"/>
        <v>0</v>
      </c>
      <c r="AQ120" s="140">
        <f t="shared" si="25"/>
        <v>0</v>
      </c>
      <c r="AR120" s="140">
        <f t="shared" si="25"/>
        <v>0</v>
      </c>
      <c r="AS120" s="140">
        <f t="shared" si="25"/>
        <v>0</v>
      </c>
      <c r="AT120" s="140">
        <f t="shared" si="25"/>
        <v>0</v>
      </c>
      <c r="AU120" s="140">
        <f t="shared" si="25"/>
        <v>0</v>
      </c>
      <c r="AV120" s="140">
        <f t="shared" si="25"/>
        <v>0</v>
      </c>
      <c r="AW120" s="140">
        <f t="shared" si="25"/>
        <v>0</v>
      </c>
      <c r="AX120" s="140">
        <f t="shared" si="25"/>
        <v>0</v>
      </c>
      <c r="AY120" s="140">
        <f t="shared" si="25"/>
        <v>0</v>
      </c>
      <c r="AZ120" s="140">
        <f t="shared" si="25"/>
        <v>0</v>
      </c>
      <c r="BA120" s="140">
        <f t="shared" si="26"/>
        <v>0</v>
      </c>
    </row>
    <row r="121" spans="1:53" x14ac:dyDescent="0.35">
      <c r="A121" s="95"/>
      <c r="B121" s="2"/>
      <c r="C121" s="2"/>
      <c r="D121" s="8" t="str">
        <f t="shared" si="27"/>
        <v>Coal - bituminous</v>
      </c>
      <c r="E121" s="8" t="str">
        <f t="shared" si="28"/>
        <v>Real</v>
      </c>
      <c r="F121" s="8"/>
      <c r="G121" s="131"/>
      <c r="H121" s="140">
        <f t="shared" si="29"/>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140">
        <f t="shared" si="25"/>
        <v>0</v>
      </c>
      <c r="AK121" s="140">
        <f t="shared" si="25"/>
        <v>0</v>
      </c>
      <c r="AL121" s="140">
        <f t="shared" si="25"/>
        <v>0</v>
      </c>
      <c r="AM121" s="140">
        <f t="shared" si="25"/>
        <v>0</v>
      </c>
      <c r="AN121" s="140">
        <f t="shared" si="25"/>
        <v>0</v>
      </c>
      <c r="AO121" s="140">
        <f t="shared" si="25"/>
        <v>0</v>
      </c>
      <c r="AP121" s="140">
        <f t="shared" si="25"/>
        <v>0</v>
      </c>
      <c r="AQ121" s="140">
        <f t="shared" si="25"/>
        <v>0</v>
      </c>
      <c r="AR121" s="140">
        <f t="shared" si="25"/>
        <v>0</v>
      </c>
      <c r="AS121" s="140">
        <f t="shared" si="25"/>
        <v>0</v>
      </c>
      <c r="AT121" s="140">
        <f t="shared" si="25"/>
        <v>0</v>
      </c>
      <c r="AU121" s="140">
        <f t="shared" si="25"/>
        <v>0</v>
      </c>
      <c r="AV121" s="140">
        <f t="shared" si="25"/>
        <v>0</v>
      </c>
      <c r="AW121" s="140">
        <f t="shared" si="25"/>
        <v>0</v>
      </c>
      <c r="AX121" s="140">
        <f t="shared" si="25"/>
        <v>0</v>
      </c>
      <c r="AY121" s="140">
        <f t="shared" si="25"/>
        <v>0</v>
      </c>
      <c r="AZ121" s="140">
        <f t="shared" si="25"/>
        <v>0</v>
      </c>
      <c r="BA121" s="140">
        <f t="shared" si="26"/>
        <v>0</v>
      </c>
    </row>
    <row r="122" spans="1:53" x14ac:dyDescent="0.35">
      <c r="A122" s="95"/>
      <c r="B122" s="2"/>
      <c r="C122" s="2"/>
      <c r="D122" s="8" t="str">
        <f t="shared" si="27"/>
        <v>Coal - lignite</v>
      </c>
      <c r="E122" s="8" t="str">
        <f t="shared" si="28"/>
        <v>Real</v>
      </c>
      <c r="F122" s="8"/>
      <c r="G122" s="131"/>
      <c r="H122" s="140">
        <f t="shared" si="29"/>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140">
        <f t="shared" si="25"/>
        <v>0</v>
      </c>
      <c r="AK122" s="140">
        <f t="shared" si="25"/>
        <v>0</v>
      </c>
      <c r="AL122" s="140">
        <f t="shared" si="25"/>
        <v>0</v>
      </c>
      <c r="AM122" s="140">
        <f t="shared" si="25"/>
        <v>0</v>
      </c>
      <c r="AN122" s="140">
        <f t="shared" si="25"/>
        <v>0</v>
      </c>
      <c r="AO122" s="140">
        <f t="shared" si="25"/>
        <v>0</v>
      </c>
      <c r="AP122" s="140">
        <f t="shared" si="25"/>
        <v>0</v>
      </c>
      <c r="AQ122" s="140">
        <f t="shared" si="25"/>
        <v>0</v>
      </c>
      <c r="AR122" s="140">
        <f t="shared" si="25"/>
        <v>0</v>
      </c>
      <c r="AS122" s="140">
        <f t="shared" si="25"/>
        <v>0</v>
      </c>
      <c r="AT122" s="140">
        <f t="shared" si="25"/>
        <v>0</v>
      </c>
      <c r="AU122" s="140">
        <f t="shared" si="25"/>
        <v>0</v>
      </c>
      <c r="AV122" s="140">
        <f t="shared" si="25"/>
        <v>0</v>
      </c>
      <c r="AW122" s="140">
        <f t="shared" si="25"/>
        <v>0</v>
      </c>
      <c r="AX122" s="140">
        <f t="shared" si="25"/>
        <v>0</v>
      </c>
      <c r="AY122" s="140">
        <f t="shared" si="25"/>
        <v>0</v>
      </c>
      <c r="AZ122" s="140">
        <f t="shared" si="25"/>
        <v>0</v>
      </c>
      <c r="BA122" s="140">
        <f t="shared" si="26"/>
        <v>0</v>
      </c>
    </row>
    <row r="123" spans="1:53" x14ac:dyDescent="0.35">
      <c r="A123" s="95"/>
      <c r="B123" s="2"/>
      <c r="C123" s="2"/>
      <c r="D123" s="8" t="str">
        <f t="shared" si="27"/>
        <v>Diesel</v>
      </c>
      <c r="E123" s="8" t="str">
        <f t="shared" si="28"/>
        <v>Real</v>
      </c>
      <c r="F123" s="8"/>
      <c r="G123" s="131"/>
      <c r="H123" s="140">
        <f t="shared" si="29"/>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140">
        <f t="shared" si="25"/>
        <v>0</v>
      </c>
      <c r="AK123" s="140">
        <f t="shared" si="25"/>
        <v>0</v>
      </c>
      <c r="AL123" s="140">
        <f t="shared" si="25"/>
        <v>0</v>
      </c>
      <c r="AM123" s="140">
        <f t="shared" si="25"/>
        <v>0</v>
      </c>
      <c r="AN123" s="140">
        <f t="shared" si="25"/>
        <v>0</v>
      </c>
      <c r="AO123" s="140">
        <f t="shared" si="25"/>
        <v>0</v>
      </c>
      <c r="AP123" s="140">
        <f t="shared" si="25"/>
        <v>0</v>
      </c>
      <c r="AQ123" s="140">
        <f t="shared" si="25"/>
        <v>0</v>
      </c>
      <c r="AR123" s="140">
        <f t="shared" si="25"/>
        <v>0</v>
      </c>
      <c r="AS123" s="140">
        <f t="shared" si="25"/>
        <v>0</v>
      </c>
      <c r="AT123" s="140">
        <f t="shared" si="25"/>
        <v>0</v>
      </c>
      <c r="AU123" s="140">
        <f t="shared" si="25"/>
        <v>0</v>
      </c>
      <c r="AV123" s="140">
        <f t="shared" si="25"/>
        <v>0</v>
      </c>
      <c r="AW123" s="140">
        <f t="shared" si="25"/>
        <v>0</v>
      </c>
      <c r="AX123" s="140">
        <f t="shared" si="25"/>
        <v>0</v>
      </c>
      <c r="AY123" s="140">
        <f t="shared" si="25"/>
        <v>0</v>
      </c>
      <c r="AZ123" s="140">
        <f t="shared" si="25"/>
        <v>0</v>
      </c>
      <c r="BA123" s="140">
        <f t="shared" si="26"/>
        <v>0</v>
      </c>
    </row>
    <row r="124" spans="1:53" x14ac:dyDescent="0.35">
      <c r="A124" s="95"/>
      <c r="B124" s="2"/>
      <c r="C124" s="2"/>
      <c r="D124" s="8" t="str">
        <f t="shared" si="27"/>
        <v>LPG</v>
      </c>
      <c r="E124" s="8" t="str">
        <f t="shared" si="28"/>
        <v>Real</v>
      </c>
      <c r="F124" s="8"/>
      <c r="G124" s="131"/>
      <c r="H124" s="140">
        <f t="shared" si="29"/>
        <v>0</v>
      </c>
      <c r="I124" s="140">
        <f t="shared" si="25"/>
        <v>0</v>
      </c>
      <c r="J124" s="140">
        <f t="shared" si="25"/>
        <v>0</v>
      </c>
      <c r="K124" s="140">
        <f t="shared" si="25"/>
        <v>0</v>
      </c>
      <c r="L124" s="140">
        <f t="shared" si="25"/>
        <v>0</v>
      </c>
      <c r="M124" s="140">
        <f t="shared" si="25"/>
        <v>0</v>
      </c>
      <c r="N124" s="140">
        <f t="shared" si="25"/>
        <v>0</v>
      </c>
      <c r="O124" s="140">
        <f t="shared" ref="I124:AZ128" si="30">O70*O97</f>
        <v>0</v>
      </c>
      <c r="P124" s="140">
        <f t="shared" si="30"/>
        <v>0</v>
      </c>
      <c r="Q124" s="140">
        <f t="shared" si="30"/>
        <v>0</v>
      </c>
      <c r="R124" s="140">
        <f t="shared" si="30"/>
        <v>0</v>
      </c>
      <c r="S124" s="140">
        <f t="shared" si="30"/>
        <v>0</v>
      </c>
      <c r="T124" s="140">
        <f t="shared" si="30"/>
        <v>0</v>
      </c>
      <c r="U124" s="140">
        <f t="shared" si="30"/>
        <v>0</v>
      </c>
      <c r="V124" s="140">
        <f t="shared" si="30"/>
        <v>0</v>
      </c>
      <c r="W124" s="140">
        <f t="shared" si="30"/>
        <v>0</v>
      </c>
      <c r="X124" s="140">
        <f t="shared" si="30"/>
        <v>0</v>
      </c>
      <c r="Y124" s="140">
        <f t="shared" si="30"/>
        <v>0</v>
      </c>
      <c r="Z124" s="140">
        <f t="shared" si="30"/>
        <v>0</v>
      </c>
      <c r="AA124" s="140">
        <f t="shared" si="30"/>
        <v>0</v>
      </c>
      <c r="AB124" s="140">
        <f t="shared" si="30"/>
        <v>0</v>
      </c>
      <c r="AC124" s="140">
        <f t="shared" si="30"/>
        <v>0</v>
      </c>
      <c r="AD124" s="140">
        <f t="shared" si="30"/>
        <v>0</v>
      </c>
      <c r="AE124" s="140">
        <f t="shared" si="30"/>
        <v>0</v>
      </c>
      <c r="AF124" s="140">
        <f t="shared" si="30"/>
        <v>0</v>
      </c>
      <c r="AG124" s="140">
        <f t="shared" si="30"/>
        <v>0</v>
      </c>
      <c r="AH124" s="140">
        <f t="shared" si="30"/>
        <v>0</v>
      </c>
      <c r="AI124" s="140">
        <f t="shared" si="30"/>
        <v>0</v>
      </c>
      <c r="AJ124" s="140">
        <f t="shared" si="30"/>
        <v>0</v>
      </c>
      <c r="AK124" s="140">
        <f t="shared" si="30"/>
        <v>0</v>
      </c>
      <c r="AL124" s="140">
        <f t="shared" si="30"/>
        <v>0</v>
      </c>
      <c r="AM124" s="140">
        <f t="shared" si="30"/>
        <v>0</v>
      </c>
      <c r="AN124" s="140">
        <f t="shared" si="30"/>
        <v>0</v>
      </c>
      <c r="AO124" s="140">
        <f t="shared" si="30"/>
        <v>0</v>
      </c>
      <c r="AP124" s="140">
        <f t="shared" si="30"/>
        <v>0</v>
      </c>
      <c r="AQ124" s="140">
        <f t="shared" si="30"/>
        <v>0</v>
      </c>
      <c r="AR124" s="140">
        <f t="shared" si="30"/>
        <v>0</v>
      </c>
      <c r="AS124" s="140">
        <f t="shared" si="30"/>
        <v>0</v>
      </c>
      <c r="AT124" s="140">
        <f t="shared" si="30"/>
        <v>0</v>
      </c>
      <c r="AU124" s="140">
        <f t="shared" si="30"/>
        <v>0</v>
      </c>
      <c r="AV124" s="140">
        <f t="shared" si="30"/>
        <v>0</v>
      </c>
      <c r="AW124" s="140">
        <f t="shared" si="30"/>
        <v>0</v>
      </c>
      <c r="AX124" s="140">
        <f t="shared" si="30"/>
        <v>0</v>
      </c>
      <c r="AY124" s="140">
        <f t="shared" si="30"/>
        <v>0</v>
      </c>
      <c r="AZ124" s="140">
        <f t="shared" si="30"/>
        <v>0</v>
      </c>
      <c r="BA124" s="140">
        <f t="shared" ref="BA124" si="31">BA70*BA97</f>
        <v>0</v>
      </c>
    </row>
    <row r="125" spans="1:53" x14ac:dyDescent="0.35">
      <c r="A125" s="95"/>
      <c r="B125" s="2"/>
      <c r="C125" s="2"/>
      <c r="D125" s="8" t="str">
        <f t="shared" si="27"/>
        <v>Light fuel oil</v>
      </c>
      <c r="E125" s="8" t="str">
        <f t="shared" si="28"/>
        <v>Real</v>
      </c>
      <c r="F125" s="8"/>
      <c r="G125" s="131"/>
      <c r="H125" s="140">
        <f t="shared" si="29"/>
        <v>0</v>
      </c>
      <c r="I125" s="140">
        <f t="shared" si="30"/>
        <v>0</v>
      </c>
      <c r="J125" s="140">
        <f t="shared" si="30"/>
        <v>0</v>
      </c>
      <c r="K125" s="140">
        <f t="shared" si="30"/>
        <v>0</v>
      </c>
      <c r="L125" s="140">
        <f t="shared" si="30"/>
        <v>0</v>
      </c>
      <c r="M125" s="140">
        <f t="shared" si="30"/>
        <v>0</v>
      </c>
      <c r="N125" s="140">
        <f t="shared" si="30"/>
        <v>0</v>
      </c>
      <c r="O125" s="140">
        <f t="shared" si="30"/>
        <v>0</v>
      </c>
      <c r="P125" s="140">
        <f t="shared" si="30"/>
        <v>0</v>
      </c>
      <c r="Q125" s="140">
        <f t="shared" si="30"/>
        <v>0</v>
      </c>
      <c r="R125" s="140">
        <f t="shared" si="30"/>
        <v>0</v>
      </c>
      <c r="S125" s="140">
        <f t="shared" si="30"/>
        <v>0</v>
      </c>
      <c r="T125" s="140">
        <f t="shared" si="30"/>
        <v>0</v>
      </c>
      <c r="U125" s="140">
        <f t="shared" si="30"/>
        <v>0</v>
      </c>
      <c r="V125" s="140">
        <f t="shared" si="30"/>
        <v>0</v>
      </c>
      <c r="W125" s="140">
        <f t="shared" si="30"/>
        <v>0</v>
      </c>
      <c r="X125" s="140">
        <f t="shared" si="30"/>
        <v>0</v>
      </c>
      <c r="Y125" s="140">
        <f t="shared" si="30"/>
        <v>0</v>
      </c>
      <c r="Z125" s="140">
        <f t="shared" si="30"/>
        <v>0</v>
      </c>
      <c r="AA125" s="140">
        <f t="shared" si="30"/>
        <v>0</v>
      </c>
      <c r="AB125" s="140">
        <f t="shared" si="30"/>
        <v>0</v>
      </c>
      <c r="AC125" s="140">
        <f t="shared" si="30"/>
        <v>0</v>
      </c>
      <c r="AD125" s="140">
        <f t="shared" si="30"/>
        <v>0</v>
      </c>
      <c r="AE125" s="140">
        <f t="shared" si="30"/>
        <v>0</v>
      </c>
      <c r="AF125" s="140">
        <f t="shared" si="30"/>
        <v>0</v>
      </c>
      <c r="AG125" s="140">
        <f t="shared" si="30"/>
        <v>0</v>
      </c>
      <c r="AH125" s="140">
        <f t="shared" si="30"/>
        <v>0</v>
      </c>
      <c r="AI125" s="140">
        <f t="shared" si="30"/>
        <v>0</v>
      </c>
      <c r="AJ125" s="140">
        <f t="shared" si="30"/>
        <v>0</v>
      </c>
      <c r="AK125" s="140">
        <f t="shared" si="30"/>
        <v>0</v>
      </c>
      <c r="AL125" s="140">
        <f t="shared" si="30"/>
        <v>0</v>
      </c>
      <c r="AM125" s="140">
        <f t="shared" si="30"/>
        <v>0</v>
      </c>
      <c r="AN125" s="140">
        <f t="shared" si="30"/>
        <v>0</v>
      </c>
      <c r="AO125" s="140">
        <f t="shared" si="30"/>
        <v>0</v>
      </c>
      <c r="AP125" s="140">
        <f t="shared" si="30"/>
        <v>0</v>
      </c>
      <c r="AQ125" s="140">
        <f t="shared" si="30"/>
        <v>0</v>
      </c>
      <c r="AR125" s="140">
        <f t="shared" si="30"/>
        <v>0</v>
      </c>
      <c r="AS125" s="140">
        <f t="shared" si="30"/>
        <v>0</v>
      </c>
      <c r="AT125" s="140">
        <f t="shared" si="30"/>
        <v>0</v>
      </c>
      <c r="AU125" s="140">
        <f t="shared" si="30"/>
        <v>0</v>
      </c>
      <c r="AV125" s="140">
        <f t="shared" si="30"/>
        <v>0</v>
      </c>
      <c r="AW125" s="140">
        <f t="shared" si="30"/>
        <v>0</v>
      </c>
      <c r="AX125" s="140">
        <f t="shared" si="30"/>
        <v>0</v>
      </c>
      <c r="AY125" s="140">
        <f t="shared" si="30"/>
        <v>0</v>
      </c>
      <c r="AZ125" s="140">
        <f t="shared" si="30"/>
        <v>0</v>
      </c>
      <c r="BA125" s="140">
        <f t="shared" ref="BA125" si="32">BA71*BA98</f>
        <v>0</v>
      </c>
    </row>
    <row r="126" spans="1:53" x14ac:dyDescent="0.35">
      <c r="A126" s="95"/>
      <c r="B126" s="2"/>
      <c r="C126" s="2"/>
      <c r="D126" s="8" t="str">
        <f t="shared" si="27"/>
        <v>Heavy fuel oil</v>
      </c>
      <c r="E126" s="8" t="str">
        <f t="shared" si="28"/>
        <v>Real</v>
      </c>
      <c r="F126" s="8"/>
      <c r="G126" s="131"/>
      <c r="H126" s="140">
        <f t="shared" si="29"/>
        <v>0</v>
      </c>
      <c r="I126" s="140">
        <f t="shared" si="30"/>
        <v>0</v>
      </c>
      <c r="J126" s="140">
        <f t="shared" si="30"/>
        <v>0</v>
      </c>
      <c r="K126" s="140">
        <f t="shared" si="30"/>
        <v>0</v>
      </c>
      <c r="L126" s="140">
        <f t="shared" si="30"/>
        <v>0</v>
      </c>
      <c r="M126" s="140">
        <f t="shared" si="30"/>
        <v>0</v>
      </c>
      <c r="N126" s="140">
        <f t="shared" si="30"/>
        <v>0</v>
      </c>
      <c r="O126" s="140">
        <f t="shared" si="30"/>
        <v>0</v>
      </c>
      <c r="P126" s="140">
        <f t="shared" si="30"/>
        <v>0</v>
      </c>
      <c r="Q126" s="140">
        <f t="shared" si="30"/>
        <v>0</v>
      </c>
      <c r="R126" s="140">
        <f t="shared" si="30"/>
        <v>0</v>
      </c>
      <c r="S126" s="140">
        <f t="shared" si="30"/>
        <v>0</v>
      </c>
      <c r="T126" s="140">
        <f t="shared" si="30"/>
        <v>0</v>
      </c>
      <c r="U126" s="140">
        <f t="shared" si="30"/>
        <v>0</v>
      </c>
      <c r="V126" s="140">
        <f t="shared" si="30"/>
        <v>0</v>
      </c>
      <c r="W126" s="140">
        <f t="shared" si="30"/>
        <v>0</v>
      </c>
      <c r="X126" s="140">
        <f t="shared" si="30"/>
        <v>0</v>
      </c>
      <c r="Y126" s="140">
        <f t="shared" si="30"/>
        <v>0</v>
      </c>
      <c r="Z126" s="140">
        <f t="shared" si="30"/>
        <v>0</v>
      </c>
      <c r="AA126" s="140">
        <f t="shared" si="30"/>
        <v>0</v>
      </c>
      <c r="AB126" s="140">
        <f t="shared" si="30"/>
        <v>0</v>
      </c>
      <c r="AC126" s="140">
        <f t="shared" si="30"/>
        <v>0</v>
      </c>
      <c r="AD126" s="140">
        <f t="shared" si="30"/>
        <v>0</v>
      </c>
      <c r="AE126" s="140">
        <f t="shared" si="30"/>
        <v>0</v>
      </c>
      <c r="AF126" s="140">
        <f t="shared" si="30"/>
        <v>0</v>
      </c>
      <c r="AG126" s="140">
        <f t="shared" si="30"/>
        <v>0</v>
      </c>
      <c r="AH126" s="140">
        <f t="shared" si="30"/>
        <v>0</v>
      </c>
      <c r="AI126" s="140">
        <f t="shared" si="30"/>
        <v>0</v>
      </c>
      <c r="AJ126" s="140">
        <f t="shared" si="30"/>
        <v>0</v>
      </c>
      <c r="AK126" s="140">
        <f t="shared" si="30"/>
        <v>0</v>
      </c>
      <c r="AL126" s="140">
        <f t="shared" si="30"/>
        <v>0</v>
      </c>
      <c r="AM126" s="140">
        <f t="shared" si="30"/>
        <v>0</v>
      </c>
      <c r="AN126" s="140">
        <f t="shared" si="30"/>
        <v>0</v>
      </c>
      <c r="AO126" s="140">
        <f t="shared" si="30"/>
        <v>0</v>
      </c>
      <c r="AP126" s="140">
        <f t="shared" si="30"/>
        <v>0</v>
      </c>
      <c r="AQ126" s="140">
        <f t="shared" si="30"/>
        <v>0</v>
      </c>
      <c r="AR126" s="140">
        <f t="shared" si="30"/>
        <v>0</v>
      </c>
      <c r="AS126" s="140">
        <f t="shared" si="30"/>
        <v>0</v>
      </c>
      <c r="AT126" s="140">
        <f t="shared" si="30"/>
        <v>0</v>
      </c>
      <c r="AU126" s="140">
        <f t="shared" si="30"/>
        <v>0</v>
      </c>
      <c r="AV126" s="140">
        <f t="shared" si="30"/>
        <v>0</v>
      </c>
      <c r="AW126" s="140">
        <f t="shared" si="30"/>
        <v>0</v>
      </c>
      <c r="AX126" s="140">
        <f t="shared" si="30"/>
        <v>0</v>
      </c>
      <c r="AY126" s="140">
        <f t="shared" si="30"/>
        <v>0</v>
      </c>
      <c r="AZ126" s="140">
        <f t="shared" si="30"/>
        <v>0</v>
      </c>
      <c r="BA126" s="140">
        <f t="shared" ref="BA126" si="33">BA72*BA99</f>
        <v>0</v>
      </c>
    </row>
    <row r="127" spans="1:53" x14ac:dyDescent="0.35">
      <c r="A127" s="95"/>
      <c r="B127" s="2"/>
      <c r="C127" s="2"/>
      <c r="D127" s="8" t="str">
        <f t="shared" si="27"/>
        <v>Geothermal</v>
      </c>
      <c r="E127" s="8" t="str">
        <f t="shared" si="28"/>
        <v>Real</v>
      </c>
      <c r="F127" s="8"/>
      <c r="G127" s="131"/>
      <c r="H127" s="140">
        <f t="shared" si="29"/>
        <v>0</v>
      </c>
      <c r="I127" s="140">
        <f t="shared" si="30"/>
        <v>0</v>
      </c>
      <c r="J127" s="140">
        <f t="shared" si="30"/>
        <v>0</v>
      </c>
      <c r="K127" s="140">
        <f t="shared" si="30"/>
        <v>0</v>
      </c>
      <c r="L127" s="140">
        <f t="shared" si="30"/>
        <v>0</v>
      </c>
      <c r="M127" s="140">
        <f t="shared" si="30"/>
        <v>0</v>
      </c>
      <c r="N127" s="140">
        <f t="shared" si="30"/>
        <v>0</v>
      </c>
      <c r="O127" s="140">
        <f t="shared" si="30"/>
        <v>0</v>
      </c>
      <c r="P127" s="140">
        <f t="shared" si="30"/>
        <v>0</v>
      </c>
      <c r="Q127" s="140">
        <f t="shared" si="30"/>
        <v>0</v>
      </c>
      <c r="R127" s="140">
        <f t="shared" si="30"/>
        <v>0</v>
      </c>
      <c r="S127" s="140">
        <f t="shared" si="30"/>
        <v>0</v>
      </c>
      <c r="T127" s="140">
        <f t="shared" si="30"/>
        <v>0</v>
      </c>
      <c r="U127" s="140">
        <f t="shared" si="30"/>
        <v>0</v>
      </c>
      <c r="V127" s="140">
        <f t="shared" si="30"/>
        <v>0</v>
      </c>
      <c r="W127" s="140">
        <f t="shared" si="30"/>
        <v>0</v>
      </c>
      <c r="X127" s="140">
        <f t="shared" si="30"/>
        <v>0</v>
      </c>
      <c r="Y127" s="140">
        <f t="shared" si="30"/>
        <v>0</v>
      </c>
      <c r="Z127" s="140">
        <f t="shared" si="30"/>
        <v>0</v>
      </c>
      <c r="AA127" s="140">
        <f t="shared" si="30"/>
        <v>0</v>
      </c>
      <c r="AB127" s="140">
        <f t="shared" si="30"/>
        <v>0</v>
      </c>
      <c r="AC127" s="140">
        <f t="shared" si="30"/>
        <v>0</v>
      </c>
      <c r="AD127" s="140">
        <f t="shared" si="30"/>
        <v>0</v>
      </c>
      <c r="AE127" s="140">
        <f t="shared" si="30"/>
        <v>0</v>
      </c>
      <c r="AF127" s="140">
        <f t="shared" si="30"/>
        <v>0</v>
      </c>
      <c r="AG127" s="140">
        <f t="shared" si="30"/>
        <v>0</v>
      </c>
      <c r="AH127" s="140">
        <f t="shared" si="30"/>
        <v>0</v>
      </c>
      <c r="AI127" s="140">
        <f t="shared" si="30"/>
        <v>0</v>
      </c>
      <c r="AJ127" s="140">
        <f t="shared" si="30"/>
        <v>0</v>
      </c>
      <c r="AK127" s="140">
        <f t="shared" si="30"/>
        <v>0</v>
      </c>
      <c r="AL127" s="140">
        <f t="shared" si="30"/>
        <v>0</v>
      </c>
      <c r="AM127" s="140">
        <f t="shared" si="30"/>
        <v>0</v>
      </c>
      <c r="AN127" s="140">
        <f t="shared" si="30"/>
        <v>0</v>
      </c>
      <c r="AO127" s="140">
        <f t="shared" si="30"/>
        <v>0</v>
      </c>
      <c r="AP127" s="140">
        <f t="shared" si="30"/>
        <v>0</v>
      </c>
      <c r="AQ127" s="140">
        <f t="shared" si="30"/>
        <v>0</v>
      </c>
      <c r="AR127" s="140">
        <f t="shared" si="30"/>
        <v>0</v>
      </c>
      <c r="AS127" s="140">
        <f t="shared" si="30"/>
        <v>0</v>
      </c>
      <c r="AT127" s="140">
        <f t="shared" si="30"/>
        <v>0</v>
      </c>
      <c r="AU127" s="140">
        <f t="shared" si="30"/>
        <v>0</v>
      </c>
      <c r="AV127" s="140">
        <f t="shared" si="30"/>
        <v>0</v>
      </c>
      <c r="AW127" s="140">
        <f t="shared" si="30"/>
        <v>0</v>
      </c>
      <c r="AX127" s="140">
        <f t="shared" si="30"/>
        <v>0</v>
      </c>
      <c r="AY127" s="140">
        <f t="shared" si="30"/>
        <v>0</v>
      </c>
      <c r="AZ127" s="140">
        <f t="shared" si="30"/>
        <v>0</v>
      </c>
      <c r="BA127" s="140">
        <f t="shared" ref="BA127" si="34">BA73*BA100</f>
        <v>0</v>
      </c>
    </row>
    <row r="128" spans="1:53" x14ac:dyDescent="0.35">
      <c r="A128" s="95"/>
      <c r="B128" s="2"/>
      <c r="C128" s="2"/>
      <c r="D128" s="94" t="str">
        <f t="shared" si="27"/>
        <v>Wood or wood chips</v>
      </c>
      <c r="E128" s="94" t="str">
        <f t="shared" si="28"/>
        <v>Real</v>
      </c>
      <c r="F128" s="94"/>
      <c r="G128" s="106"/>
      <c r="H128" s="141">
        <f t="shared" si="29"/>
        <v>0</v>
      </c>
      <c r="I128" s="141">
        <f t="shared" si="30"/>
        <v>0</v>
      </c>
      <c r="J128" s="141">
        <f t="shared" si="30"/>
        <v>0</v>
      </c>
      <c r="K128" s="141">
        <f t="shared" si="30"/>
        <v>0</v>
      </c>
      <c r="L128" s="141">
        <f t="shared" si="30"/>
        <v>0</v>
      </c>
      <c r="M128" s="141">
        <f t="shared" si="30"/>
        <v>0</v>
      </c>
      <c r="N128" s="141">
        <f t="shared" si="30"/>
        <v>0</v>
      </c>
      <c r="O128" s="141">
        <f t="shared" si="30"/>
        <v>0</v>
      </c>
      <c r="P128" s="141">
        <f t="shared" si="30"/>
        <v>0</v>
      </c>
      <c r="Q128" s="141">
        <f t="shared" si="30"/>
        <v>0</v>
      </c>
      <c r="R128" s="141">
        <f t="shared" si="30"/>
        <v>0</v>
      </c>
      <c r="S128" s="141">
        <f t="shared" si="30"/>
        <v>0</v>
      </c>
      <c r="T128" s="141">
        <f t="shared" si="30"/>
        <v>0</v>
      </c>
      <c r="U128" s="141">
        <f t="shared" si="30"/>
        <v>0</v>
      </c>
      <c r="V128" s="141">
        <f t="shared" si="30"/>
        <v>0</v>
      </c>
      <c r="W128" s="141">
        <f t="shared" si="30"/>
        <v>0</v>
      </c>
      <c r="X128" s="141">
        <f t="shared" si="30"/>
        <v>0</v>
      </c>
      <c r="Y128" s="141">
        <f t="shared" si="30"/>
        <v>0</v>
      </c>
      <c r="Z128" s="141">
        <f t="shared" si="30"/>
        <v>0</v>
      </c>
      <c r="AA128" s="141">
        <f t="shared" si="30"/>
        <v>0</v>
      </c>
      <c r="AB128" s="141">
        <f t="shared" si="30"/>
        <v>0</v>
      </c>
      <c r="AC128" s="141">
        <f t="shared" si="30"/>
        <v>0</v>
      </c>
      <c r="AD128" s="141">
        <f t="shared" si="30"/>
        <v>0</v>
      </c>
      <c r="AE128" s="141">
        <f t="shared" si="30"/>
        <v>0</v>
      </c>
      <c r="AF128" s="141">
        <f t="shared" si="30"/>
        <v>0</v>
      </c>
      <c r="AG128" s="141">
        <f t="shared" si="30"/>
        <v>0</v>
      </c>
      <c r="AH128" s="141">
        <f t="shared" si="30"/>
        <v>0</v>
      </c>
      <c r="AI128" s="141">
        <f t="shared" si="30"/>
        <v>0</v>
      </c>
      <c r="AJ128" s="141">
        <f t="shared" si="30"/>
        <v>0</v>
      </c>
      <c r="AK128" s="141">
        <f t="shared" si="30"/>
        <v>0</v>
      </c>
      <c r="AL128" s="141">
        <f t="shared" si="30"/>
        <v>0</v>
      </c>
      <c r="AM128" s="141">
        <f t="shared" si="30"/>
        <v>0</v>
      </c>
      <c r="AN128" s="141">
        <f t="shared" si="30"/>
        <v>0</v>
      </c>
      <c r="AO128" s="141">
        <f t="shared" si="30"/>
        <v>0</v>
      </c>
      <c r="AP128" s="141">
        <f t="shared" si="30"/>
        <v>0</v>
      </c>
      <c r="AQ128" s="141">
        <f t="shared" si="30"/>
        <v>0</v>
      </c>
      <c r="AR128" s="141">
        <f t="shared" si="30"/>
        <v>0</v>
      </c>
      <c r="AS128" s="141">
        <f t="shared" si="30"/>
        <v>0</v>
      </c>
      <c r="AT128" s="141">
        <f t="shared" si="30"/>
        <v>0</v>
      </c>
      <c r="AU128" s="141">
        <f t="shared" si="30"/>
        <v>0</v>
      </c>
      <c r="AV128" s="141">
        <f t="shared" si="30"/>
        <v>0</v>
      </c>
      <c r="AW128" s="141">
        <f t="shared" si="30"/>
        <v>0</v>
      </c>
      <c r="AX128" s="141">
        <f t="shared" si="30"/>
        <v>0</v>
      </c>
      <c r="AY128" s="141">
        <f t="shared" si="30"/>
        <v>0</v>
      </c>
      <c r="AZ128" s="141">
        <f t="shared" si="30"/>
        <v>0</v>
      </c>
      <c r="BA128" s="141">
        <f t="shared" ref="BA128" si="35">BA74*BA101</f>
        <v>0</v>
      </c>
    </row>
    <row r="129" spans="1:53" x14ac:dyDescent="0.35">
      <c r="A129" s="95"/>
      <c r="B129" s="2"/>
      <c r="C129" s="2"/>
      <c r="D129" s="8" t="str">
        <f>"Total  fuel opex in "&amp;Analysis_year&amp;" dollars"</f>
        <v>Total  fuel opex in  dollars</v>
      </c>
      <c r="E129" s="8"/>
      <c r="F129" s="8"/>
      <c r="G129" s="8"/>
      <c r="H129" s="115">
        <f t="shared" ref="H129:BA129" si="36">SUMIFS(H118:H128,$E$91:$E$101,"Real")+SUMIFS(H118:H128,$E$91:$E$101,"Nominal")*I$11</f>
        <v>0</v>
      </c>
      <c r="I129" s="115">
        <f t="shared" si="36"/>
        <v>0</v>
      </c>
      <c r="J129" s="115">
        <f t="shared" si="36"/>
        <v>0</v>
      </c>
      <c r="K129" s="115">
        <f t="shared" si="36"/>
        <v>0</v>
      </c>
      <c r="L129" s="115">
        <f t="shared" si="36"/>
        <v>0</v>
      </c>
      <c r="M129" s="115">
        <f t="shared" si="36"/>
        <v>0</v>
      </c>
      <c r="N129" s="115">
        <f t="shared" si="36"/>
        <v>0</v>
      </c>
      <c r="O129" s="115">
        <f t="shared" si="36"/>
        <v>0</v>
      </c>
      <c r="P129" s="115">
        <f t="shared" si="36"/>
        <v>0</v>
      </c>
      <c r="Q129" s="115">
        <f t="shared" si="36"/>
        <v>0</v>
      </c>
      <c r="R129" s="115">
        <f t="shared" si="36"/>
        <v>0</v>
      </c>
      <c r="S129" s="115">
        <f t="shared" si="36"/>
        <v>0</v>
      </c>
      <c r="T129" s="115">
        <f t="shared" si="36"/>
        <v>0</v>
      </c>
      <c r="U129" s="115">
        <f t="shared" si="36"/>
        <v>0</v>
      </c>
      <c r="V129" s="115">
        <f t="shared" si="36"/>
        <v>0</v>
      </c>
      <c r="W129" s="115">
        <f t="shared" si="36"/>
        <v>0</v>
      </c>
      <c r="X129" s="115">
        <f t="shared" si="36"/>
        <v>0</v>
      </c>
      <c r="Y129" s="115">
        <f t="shared" si="36"/>
        <v>0</v>
      </c>
      <c r="Z129" s="115">
        <f t="shared" si="36"/>
        <v>0</v>
      </c>
      <c r="AA129" s="115">
        <f t="shared" si="36"/>
        <v>0</v>
      </c>
      <c r="AB129" s="115">
        <f t="shared" si="36"/>
        <v>0</v>
      </c>
      <c r="AC129" s="115">
        <f t="shared" si="36"/>
        <v>0</v>
      </c>
      <c r="AD129" s="115">
        <f t="shared" si="36"/>
        <v>0</v>
      </c>
      <c r="AE129" s="115">
        <f t="shared" si="36"/>
        <v>0</v>
      </c>
      <c r="AF129" s="115">
        <f t="shared" si="36"/>
        <v>0</v>
      </c>
      <c r="AG129" s="115">
        <f t="shared" si="36"/>
        <v>0</v>
      </c>
      <c r="AH129" s="115">
        <f t="shared" si="36"/>
        <v>0</v>
      </c>
      <c r="AI129" s="115">
        <f t="shared" si="36"/>
        <v>0</v>
      </c>
      <c r="AJ129" s="115">
        <f t="shared" si="36"/>
        <v>0</v>
      </c>
      <c r="AK129" s="115">
        <f t="shared" si="36"/>
        <v>0</v>
      </c>
      <c r="AL129" s="115">
        <f t="shared" si="36"/>
        <v>0</v>
      </c>
      <c r="AM129" s="115">
        <f t="shared" si="36"/>
        <v>0</v>
      </c>
      <c r="AN129" s="115">
        <f t="shared" si="36"/>
        <v>0</v>
      </c>
      <c r="AO129" s="115">
        <f t="shared" si="36"/>
        <v>0</v>
      </c>
      <c r="AP129" s="115">
        <f t="shared" si="36"/>
        <v>0</v>
      </c>
      <c r="AQ129" s="115">
        <f t="shared" si="36"/>
        <v>0</v>
      </c>
      <c r="AR129" s="115">
        <f t="shared" si="36"/>
        <v>0</v>
      </c>
      <c r="AS129" s="115">
        <f t="shared" si="36"/>
        <v>0</v>
      </c>
      <c r="AT129" s="115">
        <f t="shared" si="36"/>
        <v>0</v>
      </c>
      <c r="AU129" s="115">
        <f t="shared" si="36"/>
        <v>0</v>
      </c>
      <c r="AV129" s="115">
        <f t="shared" si="36"/>
        <v>0</v>
      </c>
      <c r="AW129" s="115">
        <f t="shared" si="36"/>
        <v>0</v>
      </c>
      <c r="AX129" s="115">
        <f t="shared" si="36"/>
        <v>0</v>
      </c>
      <c r="AY129" s="115">
        <f t="shared" si="36"/>
        <v>0</v>
      </c>
      <c r="AZ129" s="115">
        <f t="shared" si="36"/>
        <v>0</v>
      </c>
      <c r="BA129" s="115">
        <f t="shared" si="36"/>
        <v>0</v>
      </c>
    </row>
    <row r="130" spans="1:53" x14ac:dyDescent="0.35">
      <c r="A130" s="95"/>
      <c r="B130" s="8"/>
      <c r="C130" s="8"/>
      <c r="D130" s="8" t="s">
        <v>112</v>
      </c>
      <c r="E130" s="8"/>
      <c r="F130" s="8"/>
      <c r="G130" s="8"/>
      <c r="H130" s="115">
        <f t="shared" ref="H130:BA130" si="37">SUMIFS(H118:H128,$E$91:$E$101,"Real")*I10+SUMIFS(H118:H128,$E$91:$E$101,"Nominal")</f>
        <v>0</v>
      </c>
      <c r="I130" s="115">
        <f t="shared" si="37"/>
        <v>0</v>
      </c>
      <c r="J130" s="115">
        <f t="shared" si="37"/>
        <v>0</v>
      </c>
      <c r="K130" s="115">
        <f t="shared" si="37"/>
        <v>0</v>
      </c>
      <c r="L130" s="115">
        <f t="shared" si="37"/>
        <v>0</v>
      </c>
      <c r="M130" s="115">
        <f t="shared" si="37"/>
        <v>0</v>
      </c>
      <c r="N130" s="115">
        <f t="shared" si="37"/>
        <v>0</v>
      </c>
      <c r="O130" s="115">
        <f t="shared" si="37"/>
        <v>0</v>
      </c>
      <c r="P130" s="115">
        <f t="shared" si="37"/>
        <v>0</v>
      </c>
      <c r="Q130" s="115">
        <f t="shared" si="37"/>
        <v>0</v>
      </c>
      <c r="R130" s="115">
        <f t="shared" si="37"/>
        <v>0</v>
      </c>
      <c r="S130" s="115">
        <f t="shared" si="37"/>
        <v>0</v>
      </c>
      <c r="T130" s="115">
        <f t="shared" si="37"/>
        <v>0</v>
      </c>
      <c r="U130" s="115">
        <f t="shared" si="37"/>
        <v>0</v>
      </c>
      <c r="V130" s="115">
        <f t="shared" si="37"/>
        <v>0</v>
      </c>
      <c r="W130" s="115">
        <f t="shared" si="37"/>
        <v>0</v>
      </c>
      <c r="X130" s="115">
        <f t="shared" si="37"/>
        <v>0</v>
      </c>
      <c r="Y130" s="115">
        <f t="shared" si="37"/>
        <v>0</v>
      </c>
      <c r="Z130" s="115">
        <f t="shared" si="37"/>
        <v>0</v>
      </c>
      <c r="AA130" s="115">
        <f t="shared" si="37"/>
        <v>0</v>
      </c>
      <c r="AB130" s="115">
        <f t="shared" si="37"/>
        <v>0</v>
      </c>
      <c r="AC130" s="115">
        <f t="shared" si="37"/>
        <v>0</v>
      </c>
      <c r="AD130" s="115">
        <f t="shared" si="37"/>
        <v>0</v>
      </c>
      <c r="AE130" s="115">
        <f t="shared" si="37"/>
        <v>0</v>
      </c>
      <c r="AF130" s="115">
        <f t="shared" si="37"/>
        <v>0</v>
      </c>
      <c r="AG130" s="115">
        <f t="shared" si="37"/>
        <v>0</v>
      </c>
      <c r="AH130" s="115">
        <f t="shared" si="37"/>
        <v>0</v>
      </c>
      <c r="AI130" s="115">
        <f t="shared" si="37"/>
        <v>0</v>
      </c>
      <c r="AJ130" s="115">
        <f t="shared" si="37"/>
        <v>0</v>
      </c>
      <c r="AK130" s="115">
        <f t="shared" si="37"/>
        <v>0</v>
      </c>
      <c r="AL130" s="115">
        <f t="shared" si="37"/>
        <v>0</v>
      </c>
      <c r="AM130" s="115">
        <f t="shared" si="37"/>
        <v>0</v>
      </c>
      <c r="AN130" s="115">
        <f t="shared" si="37"/>
        <v>0</v>
      </c>
      <c r="AO130" s="115">
        <f t="shared" si="37"/>
        <v>0</v>
      </c>
      <c r="AP130" s="115">
        <f t="shared" si="37"/>
        <v>0</v>
      </c>
      <c r="AQ130" s="115">
        <f t="shared" si="37"/>
        <v>0</v>
      </c>
      <c r="AR130" s="115">
        <f t="shared" si="37"/>
        <v>0</v>
      </c>
      <c r="AS130" s="115">
        <f t="shared" si="37"/>
        <v>0</v>
      </c>
      <c r="AT130" s="115">
        <f t="shared" si="37"/>
        <v>0</v>
      </c>
      <c r="AU130" s="115">
        <f t="shared" si="37"/>
        <v>0</v>
      </c>
      <c r="AV130" s="115">
        <f t="shared" si="37"/>
        <v>0</v>
      </c>
      <c r="AW130" s="115">
        <f t="shared" si="37"/>
        <v>0</v>
      </c>
      <c r="AX130" s="115">
        <f t="shared" si="37"/>
        <v>0</v>
      </c>
      <c r="AY130" s="115">
        <f t="shared" si="37"/>
        <v>0</v>
      </c>
      <c r="AZ130" s="115">
        <f t="shared" si="37"/>
        <v>0</v>
      </c>
      <c r="BA130" s="115">
        <f t="shared" si="37"/>
        <v>0</v>
      </c>
    </row>
    <row r="131" spans="1:53" x14ac:dyDescent="0.35">
      <c r="A131" s="95"/>
      <c r="B131" s="2"/>
      <c r="C131" s="2"/>
      <c r="D131" s="2"/>
      <c r="E131" s="2"/>
      <c r="F131" s="2"/>
      <c r="G131" s="2"/>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95"/>
      <c r="AO131" s="95"/>
      <c r="AP131" s="95"/>
      <c r="AQ131" s="95"/>
      <c r="AR131" s="95"/>
      <c r="AS131" s="95"/>
      <c r="AT131" s="95"/>
      <c r="AU131" s="95"/>
      <c r="AV131" s="95"/>
      <c r="AW131" s="95"/>
      <c r="AX131" s="95"/>
      <c r="AY131" s="95"/>
      <c r="AZ131" s="95"/>
      <c r="BA131" s="95"/>
    </row>
    <row r="132" spans="1:53" x14ac:dyDescent="0.35">
      <c r="A132" s="27" t="s">
        <v>48</v>
      </c>
      <c r="B132" s="26"/>
      <c r="C132" s="26"/>
      <c r="D132" s="29" t="s">
        <v>60</v>
      </c>
      <c r="E132" s="29" t="s">
        <v>35</v>
      </c>
      <c r="F132" s="29"/>
      <c r="G132" s="101" t="s">
        <v>39</v>
      </c>
      <c r="H132" s="29">
        <v>2025</v>
      </c>
      <c r="I132" s="29">
        <v>2026</v>
      </c>
      <c r="J132" s="29">
        <v>2027</v>
      </c>
      <c r="K132" s="29">
        <v>2028</v>
      </c>
      <c r="L132" s="29">
        <v>2029</v>
      </c>
      <c r="M132" s="29">
        <v>2030</v>
      </c>
      <c r="N132" s="29">
        <v>2031</v>
      </c>
      <c r="O132" s="29">
        <v>2032</v>
      </c>
      <c r="P132" s="29">
        <v>2033</v>
      </c>
      <c r="Q132" s="29">
        <v>2034</v>
      </c>
      <c r="R132" s="29">
        <v>2035</v>
      </c>
      <c r="S132" s="29">
        <v>2036</v>
      </c>
      <c r="T132" s="29">
        <v>2037</v>
      </c>
      <c r="U132" s="29">
        <v>2038</v>
      </c>
      <c r="V132" s="29">
        <v>2039</v>
      </c>
      <c r="W132" s="29">
        <v>2040</v>
      </c>
      <c r="X132" s="29">
        <v>2041</v>
      </c>
      <c r="Y132" s="29">
        <v>2042</v>
      </c>
      <c r="Z132" s="29">
        <v>2043</v>
      </c>
      <c r="AA132" s="29">
        <v>2044</v>
      </c>
      <c r="AB132" s="29">
        <v>2045</v>
      </c>
      <c r="AC132" s="29">
        <v>2046</v>
      </c>
      <c r="AD132" s="29">
        <v>2047</v>
      </c>
      <c r="AE132" s="29">
        <v>2048</v>
      </c>
      <c r="AF132" s="29">
        <v>2049</v>
      </c>
      <c r="AG132" s="29">
        <v>2050</v>
      </c>
      <c r="AH132" s="29">
        <v>2051</v>
      </c>
      <c r="AI132" s="29">
        <v>2052</v>
      </c>
      <c r="AJ132" s="29">
        <v>2053</v>
      </c>
      <c r="AK132" s="29">
        <v>2054</v>
      </c>
      <c r="AL132" s="29">
        <v>2055</v>
      </c>
      <c r="AM132" s="29">
        <v>2056</v>
      </c>
      <c r="AN132" s="29">
        <v>2057</v>
      </c>
      <c r="AO132" s="29">
        <v>2058</v>
      </c>
      <c r="AP132" s="29">
        <v>2059</v>
      </c>
      <c r="AQ132" s="29">
        <v>2060</v>
      </c>
      <c r="AR132" s="29">
        <v>2061</v>
      </c>
      <c r="AS132" s="29">
        <v>2062</v>
      </c>
      <c r="AT132" s="29">
        <v>2063</v>
      </c>
      <c r="AU132" s="29">
        <v>2064</v>
      </c>
      <c r="AV132" s="29">
        <v>2065</v>
      </c>
      <c r="AW132" s="29">
        <v>2066</v>
      </c>
      <c r="AX132" s="29">
        <v>2067</v>
      </c>
      <c r="AY132" s="29">
        <v>2068</v>
      </c>
      <c r="AZ132" s="29">
        <v>2069</v>
      </c>
      <c r="BA132" s="29">
        <v>2070</v>
      </c>
    </row>
    <row r="133" spans="1:53" x14ac:dyDescent="0.35">
      <c r="A133" s="95" t="str">
        <f>"Please provide data through to "&amp;FinalYear_BC</f>
        <v>Please provide data through to 1900</v>
      </c>
      <c r="B133" s="2"/>
      <c r="C133" s="2"/>
      <c r="D133" s="4" t="str">
        <f>B104</f>
        <v>Electricity</v>
      </c>
      <c r="E133" s="4" t="str">
        <f>E104</f>
        <v>Real</v>
      </c>
      <c r="F133" s="4"/>
      <c r="G133" s="4"/>
      <c r="H133" s="51">
        <f>H77*H104</f>
        <v>0</v>
      </c>
      <c r="I133" s="51">
        <f t="shared" ref="I133:AZ133" si="38">I77*I104</f>
        <v>0</v>
      </c>
      <c r="J133" s="51">
        <f t="shared" si="38"/>
        <v>0</v>
      </c>
      <c r="K133" s="51">
        <f t="shared" si="38"/>
        <v>0</v>
      </c>
      <c r="L133" s="51">
        <f t="shared" si="38"/>
        <v>0</v>
      </c>
      <c r="M133" s="51">
        <f t="shared" si="38"/>
        <v>0</v>
      </c>
      <c r="N133" s="51">
        <f t="shared" si="38"/>
        <v>0</v>
      </c>
      <c r="O133" s="51">
        <f t="shared" si="38"/>
        <v>0</v>
      </c>
      <c r="P133" s="51">
        <f t="shared" si="38"/>
        <v>0</v>
      </c>
      <c r="Q133" s="51">
        <f t="shared" si="38"/>
        <v>0</v>
      </c>
      <c r="R133" s="51">
        <f t="shared" si="38"/>
        <v>0</v>
      </c>
      <c r="S133" s="51">
        <f t="shared" si="38"/>
        <v>0</v>
      </c>
      <c r="T133" s="51">
        <f t="shared" si="38"/>
        <v>0</v>
      </c>
      <c r="U133" s="51">
        <f t="shared" si="38"/>
        <v>0</v>
      </c>
      <c r="V133" s="51">
        <f t="shared" si="38"/>
        <v>0</v>
      </c>
      <c r="W133" s="51">
        <f t="shared" si="38"/>
        <v>0</v>
      </c>
      <c r="X133" s="51">
        <f t="shared" si="38"/>
        <v>0</v>
      </c>
      <c r="Y133" s="51">
        <f t="shared" si="38"/>
        <v>0</v>
      </c>
      <c r="Z133" s="51">
        <f t="shared" si="38"/>
        <v>0</v>
      </c>
      <c r="AA133" s="51">
        <f t="shared" si="38"/>
        <v>0</v>
      </c>
      <c r="AB133" s="51">
        <f t="shared" si="38"/>
        <v>0</v>
      </c>
      <c r="AC133" s="51">
        <f t="shared" si="38"/>
        <v>0</v>
      </c>
      <c r="AD133" s="51">
        <f t="shared" si="38"/>
        <v>0</v>
      </c>
      <c r="AE133" s="51">
        <f t="shared" si="38"/>
        <v>0</v>
      </c>
      <c r="AF133" s="51">
        <f t="shared" si="38"/>
        <v>0</v>
      </c>
      <c r="AG133" s="51">
        <f t="shared" si="38"/>
        <v>0</v>
      </c>
      <c r="AH133" s="51">
        <f t="shared" si="38"/>
        <v>0</v>
      </c>
      <c r="AI133" s="51">
        <f t="shared" si="38"/>
        <v>0</v>
      </c>
      <c r="AJ133" s="51">
        <f t="shared" si="38"/>
        <v>0</v>
      </c>
      <c r="AK133" s="51">
        <f t="shared" si="38"/>
        <v>0</v>
      </c>
      <c r="AL133" s="51">
        <f t="shared" si="38"/>
        <v>0</v>
      </c>
      <c r="AM133" s="51">
        <f t="shared" si="38"/>
        <v>0</v>
      </c>
      <c r="AN133" s="51">
        <f t="shared" si="38"/>
        <v>0</v>
      </c>
      <c r="AO133" s="51">
        <f t="shared" si="38"/>
        <v>0</v>
      </c>
      <c r="AP133" s="51">
        <f t="shared" si="38"/>
        <v>0</v>
      </c>
      <c r="AQ133" s="51">
        <f t="shared" si="38"/>
        <v>0</v>
      </c>
      <c r="AR133" s="51">
        <f t="shared" si="38"/>
        <v>0</v>
      </c>
      <c r="AS133" s="51">
        <f t="shared" si="38"/>
        <v>0</v>
      </c>
      <c r="AT133" s="51">
        <f t="shared" si="38"/>
        <v>0</v>
      </c>
      <c r="AU133" s="51">
        <f t="shared" si="38"/>
        <v>0</v>
      </c>
      <c r="AV133" s="51">
        <f t="shared" si="38"/>
        <v>0</v>
      </c>
      <c r="AW133" s="51">
        <f t="shared" si="38"/>
        <v>0</v>
      </c>
      <c r="AX133" s="51">
        <f t="shared" si="38"/>
        <v>0</v>
      </c>
      <c r="AY133" s="51">
        <f t="shared" si="38"/>
        <v>0</v>
      </c>
      <c r="AZ133" s="51">
        <f t="shared" si="38"/>
        <v>0</v>
      </c>
      <c r="BA133" s="51">
        <f t="shared" ref="BA133:BA139" si="39">BA77*BA104</f>
        <v>0</v>
      </c>
    </row>
    <row r="134" spans="1:53" x14ac:dyDescent="0.35">
      <c r="A134" s="95"/>
      <c r="B134" s="2"/>
      <c r="C134" s="2"/>
      <c r="D134" s="4" t="str">
        <f t="shared" ref="D134:D143" si="40">B105</f>
        <v>Natural Gas</v>
      </c>
      <c r="E134" s="4" t="str">
        <f t="shared" ref="E134:E143" si="41">E105</f>
        <v>Real</v>
      </c>
      <c r="F134" s="4"/>
      <c r="G134" s="4"/>
      <c r="H134" s="51">
        <f>H78*H105</f>
        <v>0</v>
      </c>
      <c r="I134" s="51">
        <f t="shared" ref="I134:AZ140" si="42">I78*I105</f>
        <v>0</v>
      </c>
      <c r="J134" s="51">
        <f t="shared" si="42"/>
        <v>0</v>
      </c>
      <c r="K134" s="51">
        <f t="shared" si="42"/>
        <v>0</v>
      </c>
      <c r="L134" s="51">
        <f t="shared" si="42"/>
        <v>0</v>
      </c>
      <c r="M134" s="51">
        <f t="shared" si="42"/>
        <v>0</v>
      </c>
      <c r="N134" s="51">
        <f t="shared" si="42"/>
        <v>0</v>
      </c>
      <c r="O134" s="51">
        <f t="shared" si="42"/>
        <v>0</v>
      </c>
      <c r="P134" s="51">
        <f t="shared" si="42"/>
        <v>0</v>
      </c>
      <c r="Q134" s="51">
        <f t="shared" si="42"/>
        <v>0</v>
      </c>
      <c r="R134" s="51">
        <f t="shared" si="42"/>
        <v>0</v>
      </c>
      <c r="S134" s="51">
        <f t="shared" si="42"/>
        <v>0</v>
      </c>
      <c r="T134" s="51">
        <f t="shared" si="42"/>
        <v>0</v>
      </c>
      <c r="U134" s="51">
        <f t="shared" si="42"/>
        <v>0</v>
      </c>
      <c r="V134" s="51">
        <f t="shared" si="42"/>
        <v>0</v>
      </c>
      <c r="W134" s="51">
        <f t="shared" si="42"/>
        <v>0</v>
      </c>
      <c r="X134" s="51">
        <f t="shared" si="42"/>
        <v>0</v>
      </c>
      <c r="Y134" s="51">
        <f t="shared" si="42"/>
        <v>0</v>
      </c>
      <c r="Z134" s="51">
        <f t="shared" si="42"/>
        <v>0</v>
      </c>
      <c r="AA134" s="51">
        <f t="shared" si="42"/>
        <v>0</v>
      </c>
      <c r="AB134" s="51">
        <f t="shared" si="42"/>
        <v>0</v>
      </c>
      <c r="AC134" s="51">
        <f t="shared" si="42"/>
        <v>0</v>
      </c>
      <c r="AD134" s="51">
        <f t="shared" si="42"/>
        <v>0</v>
      </c>
      <c r="AE134" s="51">
        <f t="shared" si="42"/>
        <v>0</v>
      </c>
      <c r="AF134" s="51">
        <f t="shared" si="42"/>
        <v>0</v>
      </c>
      <c r="AG134" s="51">
        <f t="shared" si="42"/>
        <v>0</v>
      </c>
      <c r="AH134" s="51">
        <f t="shared" si="42"/>
        <v>0</v>
      </c>
      <c r="AI134" s="51">
        <f t="shared" si="42"/>
        <v>0</v>
      </c>
      <c r="AJ134" s="51">
        <f t="shared" si="42"/>
        <v>0</v>
      </c>
      <c r="AK134" s="51">
        <f t="shared" si="42"/>
        <v>0</v>
      </c>
      <c r="AL134" s="51">
        <f t="shared" si="42"/>
        <v>0</v>
      </c>
      <c r="AM134" s="51">
        <f t="shared" si="42"/>
        <v>0</v>
      </c>
      <c r="AN134" s="51">
        <f t="shared" si="42"/>
        <v>0</v>
      </c>
      <c r="AO134" s="51">
        <f t="shared" si="42"/>
        <v>0</v>
      </c>
      <c r="AP134" s="51">
        <f t="shared" si="42"/>
        <v>0</v>
      </c>
      <c r="AQ134" s="51">
        <f t="shared" si="42"/>
        <v>0</v>
      </c>
      <c r="AR134" s="51">
        <f t="shared" si="42"/>
        <v>0</v>
      </c>
      <c r="AS134" s="51">
        <f t="shared" si="42"/>
        <v>0</v>
      </c>
      <c r="AT134" s="51">
        <f t="shared" si="42"/>
        <v>0</v>
      </c>
      <c r="AU134" s="51">
        <f t="shared" si="42"/>
        <v>0</v>
      </c>
      <c r="AV134" s="51">
        <f t="shared" si="42"/>
        <v>0</v>
      </c>
      <c r="AW134" s="51">
        <f t="shared" si="42"/>
        <v>0</v>
      </c>
      <c r="AX134" s="51">
        <f t="shared" si="42"/>
        <v>0</v>
      </c>
      <c r="AY134" s="51">
        <f t="shared" si="42"/>
        <v>0</v>
      </c>
      <c r="AZ134" s="51">
        <f t="shared" si="42"/>
        <v>0</v>
      </c>
      <c r="BA134" s="51">
        <f t="shared" si="39"/>
        <v>0</v>
      </c>
    </row>
    <row r="135" spans="1:53" x14ac:dyDescent="0.35">
      <c r="A135" s="95"/>
      <c r="B135" s="2"/>
      <c r="C135" s="2"/>
      <c r="D135" s="4" t="str">
        <f t="shared" si="40"/>
        <v>Coal - sub bituminous</v>
      </c>
      <c r="E135" s="4" t="str">
        <f t="shared" si="41"/>
        <v>Real</v>
      </c>
      <c r="F135" s="4"/>
      <c r="G135" s="4"/>
      <c r="H135" s="51">
        <f t="shared" ref="H135:W143" si="43">H79*H106</f>
        <v>0</v>
      </c>
      <c r="I135" s="51">
        <f t="shared" si="43"/>
        <v>0</v>
      </c>
      <c r="J135" s="51">
        <f t="shared" si="43"/>
        <v>0</v>
      </c>
      <c r="K135" s="51">
        <f t="shared" si="43"/>
        <v>0</v>
      </c>
      <c r="L135" s="51">
        <f t="shared" si="43"/>
        <v>0</v>
      </c>
      <c r="M135" s="51">
        <f t="shared" si="43"/>
        <v>0</v>
      </c>
      <c r="N135" s="51">
        <f t="shared" si="43"/>
        <v>0</v>
      </c>
      <c r="O135" s="51">
        <f t="shared" si="43"/>
        <v>0</v>
      </c>
      <c r="P135" s="51">
        <f t="shared" si="43"/>
        <v>0</v>
      </c>
      <c r="Q135" s="51">
        <f t="shared" si="43"/>
        <v>0</v>
      </c>
      <c r="R135" s="51">
        <f t="shared" si="43"/>
        <v>0</v>
      </c>
      <c r="S135" s="51">
        <f t="shared" si="43"/>
        <v>0</v>
      </c>
      <c r="T135" s="51">
        <f t="shared" si="43"/>
        <v>0</v>
      </c>
      <c r="U135" s="51">
        <f t="shared" si="43"/>
        <v>0</v>
      </c>
      <c r="V135" s="51">
        <f t="shared" si="43"/>
        <v>0</v>
      </c>
      <c r="W135" s="51">
        <f t="shared" si="43"/>
        <v>0</v>
      </c>
      <c r="X135" s="51">
        <f t="shared" si="42"/>
        <v>0</v>
      </c>
      <c r="Y135" s="51">
        <f t="shared" si="42"/>
        <v>0</v>
      </c>
      <c r="Z135" s="51">
        <f t="shared" si="42"/>
        <v>0</v>
      </c>
      <c r="AA135" s="51">
        <f t="shared" si="42"/>
        <v>0</v>
      </c>
      <c r="AB135" s="51">
        <f t="shared" si="42"/>
        <v>0</v>
      </c>
      <c r="AC135" s="51">
        <f t="shared" si="42"/>
        <v>0</v>
      </c>
      <c r="AD135" s="51">
        <f t="shared" si="42"/>
        <v>0</v>
      </c>
      <c r="AE135" s="51">
        <f t="shared" si="42"/>
        <v>0</v>
      </c>
      <c r="AF135" s="51">
        <f t="shared" si="42"/>
        <v>0</v>
      </c>
      <c r="AG135" s="51">
        <f t="shared" si="42"/>
        <v>0</v>
      </c>
      <c r="AH135" s="51">
        <f t="shared" si="42"/>
        <v>0</v>
      </c>
      <c r="AI135" s="51">
        <f t="shared" si="42"/>
        <v>0</v>
      </c>
      <c r="AJ135" s="51">
        <f t="shared" si="42"/>
        <v>0</v>
      </c>
      <c r="AK135" s="51">
        <f t="shared" si="42"/>
        <v>0</v>
      </c>
      <c r="AL135" s="51">
        <f t="shared" si="42"/>
        <v>0</v>
      </c>
      <c r="AM135" s="51">
        <f t="shared" si="42"/>
        <v>0</v>
      </c>
      <c r="AN135" s="51">
        <f t="shared" si="42"/>
        <v>0</v>
      </c>
      <c r="AO135" s="51">
        <f t="shared" si="42"/>
        <v>0</v>
      </c>
      <c r="AP135" s="51">
        <f t="shared" si="42"/>
        <v>0</v>
      </c>
      <c r="AQ135" s="51">
        <f t="shared" si="42"/>
        <v>0</v>
      </c>
      <c r="AR135" s="51">
        <f t="shared" si="42"/>
        <v>0</v>
      </c>
      <c r="AS135" s="51">
        <f t="shared" si="42"/>
        <v>0</v>
      </c>
      <c r="AT135" s="51">
        <f t="shared" si="42"/>
        <v>0</v>
      </c>
      <c r="AU135" s="51">
        <f t="shared" si="42"/>
        <v>0</v>
      </c>
      <c r="AV135" s="51">
        <f t="shared" si="42"/>
        <v>0</v>
      </c>
      <c r="AW135" s="51">
        <f t="shared" si="42"/>
        <v>0</v>
      </c>
      <c r="AX135" s="51">
        <f t="shared" si="42"/>
        <v>0</v>
      </c>
      <c r="AY135" s="51">
        <f t="shared" si="42"/>
        <v>0</v>
      </c>
      <c r="AZ135" s="51">
        <f t="shared" si="42"/>
        <v>0</v>
      </c>
      <c r="BA135" s="51">
        <f t="shared" si="39"/>
        <v>0</v>
      </c>
    </row>
    <row r="136" spans="1:53" x14ac:dyDescent="0.35">
      <c r="A136" s="95"/>
      <c r="B136" s="2"/>
      <c r="C136" s="2"/>
      <c r="D136" s="4" t="str">
        <f t="shared" si="40"/>
        <v>Coal - bituminous</v>
      </c>
      <c r="E136" s="4" t="str">
        <f t="shared" si="41"/>
        <v>Real</v>
      </c>
      <c r="F136" s="4"/>
      <c r="G136" s="4"/>
      <c r="H136" s="51">
        <f t="shared" si="43"/>
        <v>0</v>
      </c>
      <c r="I136" s="51">
        <f t="shared" si="42"/>
        <v>0</v>
      </c>
      <c r="J136" s="51">
        <f t="shared" si="42"/>
        <v>0</v>
      </c>
      <c r="K136" s="51">
        <f t="shared" si="42"/>
        <v>0</v>
      </c>
      <c r="L136" s="51">
        <f t="shared" si="42"/>
        <v>0</v>
      </c>
      <c r="M136" s="51">
        <f t="shared" si="42"/>
        <v>0</v>
      </c>
      <c r="N136" s="51">
        <f t="shared" si="42"/>
        <v>0</v>
      </c>
      <c r="O136" s="51">
        <f t="shared" si="42"/>
        <v>0</v>
      </c>
      <c r="P136" s="51">
        <f t="shared" si="42"/>
        <v>0</v>
      </c>
      <c r="Q136" s="51">
        <f t="shared" si="42"/>
        <v>0</v>
      </c>
      <c r="R136" s="51">
        <f t="shared" si="42"/>
        <v>0</v>
      </c>
      <c r="S136" s="51">
        <f t="shared" si="42"/>
        <v>0</v>
      </c>
      <c r="T136" s="51">
        <f t="shared" si="42"/>
        <v>0</v>
      </c>
      <c r="U136" s="51">
        <f t="shared" si="42"/>
        <v>0</v>
      </c>
      <c r="V136" s="51">
        <f t="shared" si="42"/>
        <v>0</v>
      </c>
      <c r="W136" s="51">
        <f t="shared" si="42"/>
        <v>0</v>
      </c>
      <c r="X136" s="51">
        <f t="shared" si="42"/>
        <v>0</v>
      </c>
      <c r="Y136" s="51">
        <f t="shared" si="42"/>
        <v>0</v>
      </c>
      <c r="Z136" s="51">
        <f t="shared" si="42"/>
        <v>0</v>
      </c>
      <c r="AA136" s="51">
        <f t="shared" si="42"/>
        <v>0</v>
      </c>
      <c r="AB136" s="51">
        <f t="shared" si="42"/>
        <v>0</v>
      </c>
      <c r="AC136" s="51">
        <f t="shared" si="42"/>
        <v>0</v>
      </c>
      <c r="AD136" s="51">
        <f t="shared" si="42"/>
        <v>0</v>
      </c>
      <c r="AE136" s="51">
        <f t="shared" si="42"/>
        <v>0</v>
      </c>
      <c r="AF136" s="51">
        <f t="shared" si="42"/>
        <v>0</v>
      </c>
      <c r="AG136" s="51">
        <f t="shared" si="42"/>
        <v>0</v>
      </c>
      <c r="AH136" s="51">
        <f t="shared" si="42"/>
        <v>0</v>
      </c>
      <c r="AI136" s="51">
        <f t="shared" si="42"/>
        <v>0</v>
      </c>
      <c r="AJ136" s="51">
        <f t="shared" si="42"/>
        <v>0</v>
      </c>
      <c r="AK136" s="51">
        <f t="shared" si="42"/>
        <v>0</v>
      </c>
      <c r="AL136" s="51">
        <f t="shared" si="42"/>
        <v>0</v>
      </c>
      <c r="AM136" s="51">
        <f t="shared" si="42"/>
        <v>0</v>
      </c>
      <c r="AN136" s="51">
        <f t="shared" si="42"/>
        <v>0</v>
      </c>
      <c r="AO136" s="51">
        <f t="shared" si="42"/>
        <v>0</v>
      </c>
      <c r="AP136" s="51">
        <f t="shared" si="42"/>
        <v>0</v>
      </c>
      <c r="AQ136" s="51">
        <f t="shared" si="42"/>
        <v>0</v>
      </c>
      <c r="AR136" s="51">
        <f t="shared" si="42"/>
        <v>0</v>
      </c>
      <c r="AS136" s="51">
        <f t="shared" si="42"/>
        <v>0</v>
      </c>
      <c r="AT136" s="51">
        <f t="shared" si="42"/>
        <v>0</v>
      </c>
      <c r="AU136" s="51">
        <f t="shared" si="42"/>
        <v>0</v>
      </c>
      <c r="AV136" s="51">
        <f t="shared" si="42"/>
        <v>0</v>
      </c>
      <c r="AW136" s="51">
        <f t="shared" si="42"/>
        <v>0</v>
      </c>
      <c r="AX136" s="51">
        <f t="shared" si="42"/>
        <v>0</v>
      </c>
      <c r="AY136" s="51">
        <f t="shared" si="42"/>
        <v>0</v>
      </c>
      <c r="AZ136" s="51">
        <f t="shared" si="42"/>
        <v>0</v>
      </c>
      <c r="BA136" s="51">
        <f t="shared" si="39"/>
        <v>0</v>
      </c>
    </row>
    <row r="137" spans="1:53" x14ac:dyDescent="0.35">
      <c r="A137" s="95"/>
      <c r="B137" s="2"/>
      <c r="C137" s="2"/>
      <c r="D137" s="4" t="str">
        <f t="shared" si="40"/>
        <v>Coal - lignite</v>
      </c>
      <c r="E137" s="4" t="str">
        <f t="shared" si="41"/>
        <v>Real</v>
      </c>
      <c r="F137" s="4"/>
      <c r="G137" s="4"/>
      <c r="H137" s="51">
        <f t="shared" si="43"/>
        <v>0</v>
      </c>
      <c r="I137" s="51">
        <f t="shared" si="42"/>
        <v>0</v>
      </c>
      <c r="J137" s="51">
        <f t="shared" si="42"/>
        <v>0</v>
      </c>
      <c r="K137" s="51">
        <f t="shared" si="42"/>
        <v>0</v>
      </c>
      <c r="L137" s="51">
        <f t="shared" si="42"/>
        <v>0</v>
      </c>
      <c r="M137" s="51">
        <f t="shared" si="42"/>
        <v>0</v>
      </c>
      <c r="N137" s="51">
        <f t="shared" si="42"/>
        <v>0</v>
      </c>
      <c r="O137" s="51">
        <f t="shared" si="42"/>
        <v>0</v>
      </c>
      <c r="P137" s="51">
        <f t="shared" si="42"/>
        <v>0</v>
      </c>
      <c r="Q137" s="51">
        <f t="shared" si="42"/>
        <v>0</v>
      </c>
      <c r="R137" s="51">
        <f t="shared" si="42"/>
        <v>0</v>
      </c>
      <c r="S137" s="51">
        <f t="shared" si="42"/>
        <v>0</v>
      </c>
      <c r="T137" s="51">
        <f t="shared" si="42"/>
        <v>0</v>
      </c>
      <c r="U137" s="51">
        <f t="shared" si="42"/>
        <v>0</v>
      </c>
      <c r="V137" s="51">
        <f t="shared" si="42"/>
        <v>0</v>
      </c>
      <c r="W137" s="51">
        <f t="shared" si="42"/>
        <v>0</v>
      </c>
      <c r="X137" s="51">
        <f t="shared" si="42"/>
        <v>0</v>
      </c>
      <c r="Y137" s="51">
        <f t="shared" si="42"/>
        <v>0</v>
      </c>
      <c r="Z137" s="51">
        <f t="shared" si="42"/>
        <v>0</v>
      </c>
      <c r="AA137" s="51">
        <f t="shared" si="42"/>
        <v>0</v>
      </c>
      <c r="AB137" s="51">
        <f t="shared" si="42"/>
        <v>0</v>
      </c>
      <c r="AC137" s="51">
        <f t="shared" si="42"/>
        <v>0</v>
      </c>
      <c r="AD137" s="51">
        <f t="shared" si="42"/>
        <v>0</v>
      </c>
      <c r="AE137" s="51">
        <f t="shared" si="42"/>
        <v>0</v>
      </c>
      <c r="AF137" s="51">
        <f t="shared" si="42"/>
        <v>0</v>
      </c>
      <c r="AG137" s="51">
        <f t="shared" si="42"/>
        <v>0</v>
      </c>
      <c r="AH137" s="51">
        <f t="shared" si="42"/>
        <v>0</v>
      </c>
      <c r="AI137" s="51">
        <f t="shared" si="42"/>
        <v>0</v>
      </c>
      <c r="AJ137" s="51">
        <f t="shared" si="42"/>
        <v>0</v>
      </c>
      <c r="AK137" s="51">
        <f t="shared" si="42"/>
        <v>0</v>
      </c>
      <c r="AL137" s="51">
        <f t="shared" si="42"/>
        <v>0</v>
      </c>
      <c r="AM137" s="51">
        <f t="shared" si="42"/>
        <v>0</v>
      </c>
      <c r="AN137" s="51">
        <f t="shared" si="42"/>
        <v>0</v>
      </c>
      <c r="AO137" s="51">
        <f t="shared" si="42"/>
        <v>0</v>
      </c>
      <c r="AP137" s="51">
        <f t="shared" si="42"/>
        <v>0</v>
      </c>
      <c r="AQ137" s="51">
        <f t="shared" si="42"/>
        <v>0</v>
      </c>
      <c r="AR137" s="51">
        <f t="shared" si="42"/>
        <v>0</v>
      </c>
      <c r="AS137" s="51">
        <f t="shared" si="42"/>
        <v>0</v>
      </c>
      <c r="AT137" s="51">
        <f t="shared" si="42"/>
        <v>0</v>
      </c>
      <c r="AU137" s="51">
        <f t="shared" si="42"/>
        <v>0</v>
      </c>
      <c r="AV137" s="51">
        <f t="shared" si="42"/>
        <v>0</v>
      </c>
      <c r="AW137" s="51">
        <f t="shared" si="42"/>
        <v>0</v>
      </c>
      <c r="AX137" s="51">
        <f t="shared" si="42"/>
        <v>0</v>
      </c>
      <c r="AY137" s="51">
        <f t="shared" si="42"/>
        <v>0</v>
      </c>
      <c r="AZ137" s="51">
        <f t="shared" si="42"/>
        <v>0</v>
      </c>
      <c r="BA137" s="51">
        <f t="shared" si="39"/>
        <v>0</v>
      </c>
    </row>
    <row r="138" spans="1:53" x14ac:dyDescent="0.35">
      <c r="A138" s="95"/>
      <c r="B138" s="2"/>
      <c r="C138" s="2"/>
      <c r="D138" s="4" t="str">
        <f t="shared" si="40"/>
        <v>Diesel</v>
      </c>
      <c r="E138" s="4" t="str">
        <f t="shared" si="41"/>
        <v>Real</v>
      </c>
      <c r="F138" s="4"/>
      <c r="G138" s="4"/>
      <c r="H138" s="51">
        <f t="shared" si="43"/>
        <v>0</v>
      </c>
      <c r="I138" s="51">
        <f t="shared" si="42"/>
        <v>0</v>
      </c>
      <c r="J138" s="51">
        <f t="shared" si="42"/>
        <v>0</v>
      </c>
      <c r="K138" s="51">
        <f t="shared" si="42"/>
        <v>0</v>
      </c>
      <c r="L138" s="51">
        <f t="shared" si="42"/>
        <v>0</v>
      </c>
      <c r="M138" s="51">
        <f t="shared" si="42"/>
        <v>0</v>
      </c>
      <c r="N138" s="51">
        <f t="shared" si="42"/>
        <v>0</v>
      </c>
      <c r="O138" s="51">
        <f t="shared" si="42"/>
        <v>0</v>
      </c>
      <c r="P138" s="51">
        <f t="shared" si="42"/>
        <v>0</v>
      </c>
      <c r="Q138" s="51">
        <f t="shared" si="42"/>
        <v>0</v>
      </c>
      <c r="R138" s="51">
        <f t="shared" si="42"/>
        <v>0</v>
      </c>
      <c r="S138" s="51">
        <f t="shared" si="42"/>
        <v>0</v>
      </c>
      <c r="T138" s="51">
        <f t="shared" si="42"/>
        <v>0</v>
      </c>
      <c r="U138" s="51">
        <f t="shared" si="42"/>
        <v>0</v>
      </c>
      <c r="V138" s="51">
        <f t="shared" si="42"/>
        <v>0</v>
      </c>
      <c r="W138" s="51">
        <f t="shared" si="42"/>
        <v>0</v>
      </c>
      <c r="X138" s="51">
        <f t="shared" si="42"/>
        <v>0</v>
      </c>
      <c r="Y138" s="51">
        <f t="shared" si="42"/>
        <v>0</v>
      </c>
      <c r="Z138" s="51">
        <f t="shared" si="42"/>
        <v>0</v>
      </c>
      <c r="AA138" s="51">
        <f t="shared" si="42"/>
        <v>0</v>
      </c>
      <c r="AB138" s="51">
        <f t="shared" si="42"/>
        <v>0</v>
      </c>
      <c r="AC138" s="51">
        <f t="shared" si="42"/>
        <v>0</v>
      </c>
      <c r="AD138" s="51">
        <f t="shared" si="42"/>
        <v>0</v>
      </c>
      <c r="AE138" s="51">
        <f t="shared" si="42"/>
        <v>0</v>
      </c>
      <c r="AF138" s="51">
        <f t="shared" si="42"/>
        <v>0</v>
      </c>
      <c r="AG138" s="51">
        <f t="shared" si="42"/>
        <v>0</v>
      </c>
      <c r="AH138" s="51">
        <f t="shared" si="42"/>
        <v>0</v>
      </c>
      <c r="AI138" s="51">
        <f t="shared" si="42"/>
        <v>0</v>
      </c>
      <c r="AJ138" s="51">
        <f t="shared" si="42"/>
        <v>0</v>
      </c>
      <c r="AK138" s="51">
        <f t="shared" si="42"/>
        <v>0</v>
      </c>
      <c r="AL138" s="51">
        <f t="shared" si="42"/>
        <v>0</v>
      </c>
      <c r="AM138" s="51">
        <f t="shared" si="42"/>
        <v>0</v>
      </c>
      <c r="AN138" s="51">
        <f t="shared" si="42"/>
        <v>0</v>
      </c>
      <c r="AO138" s="51">
        <f t="shared" si="42"/>
        <v>0</v>
      </c>
      <c r="AP138" s="51">
        <f t="shared" si="42"/>
        <v>0</v>
      </c>
      <c r="AQ138" s="51">
        <f t="shared" si="42"/>
        <v>0</v>
      </c>
      <c r="AR138" s="51">
        <f t="shared" si="42"/>
        <v>0</v>
      </c>
      <c r="AS138" s="51">
        <f t="shared" si="42"/>
        <v>0</v>
      </c>
      <c r="AT138" s="51">
        <f t="shared" si="42"/>
        <v>0</v>
      </c>
      <c r="AU138" s="51">
        <f t="shared" si="42"/>
        <v>0</v>
      </c>
      <c r="AV138" s="51">
        <f t="shared" si="42"/>
        <v>0</v>
      </c>
      <c r="AW138" s="51">
        <f t="shared" si="42"/>
        <v>0</v>
      </c>
      <c r="AX138" s="51">
        <f t="shared" si="42"/>
        <v>0</v>
      </c>
      <c r="AY138" s="51">
        <f t="shared" si="42"/>
        <v>0</v>
      </c>
      <c r="AZ138" s="51">
        <f t="shared" si="42"/>
        <v>0</v>
      </c>
      <c r="BA138" s="51">
        <f t="shared" si="39"/>
        <v>0</v>
      </c>
    </row>
    <row r="139" spans="1:53" x14ac:dyDescent="0.35">
      <c r="A139" s="95"/>
      <c r="B139" s="2"/>
      <c r="C139" s="2"/>
      <c r="D139" s="4" t="str">
        <f t="shared" si="40"/>
        <v>LPG</v>
      </c>
      <c r="E139" s="4" t="str">
        <f t="shared" si="41"/>
        <v>Real</v>
      </c>
      <c r="F139" s="4"/>
      <c r="G139" s="4"/>
      <c r="H139" s="51">
        <f t="shared" si="43"/>
        <v>0</v>
      </c>
      <c r="I139" s="51">
        <f t="shared" si="42"/>
        <v>0</v>
      </c>
      <c r="J139" s="51">
        <f t="shared" si="42"/>
        <v>0</v>
      </c>
      <c r="K139" s="51">
        <f t="shared" si="42"/>
        <v>0</v>
      </c>
      <c r="L139" s="51">
        <f t="shared" si="42"/>
        <v>0</v>
      </c>
      <c r="M139" s="51">
        <f t="shared" si="42"/>
        <v>0</v>
      </c>
      <c r="N139" s="51">
        <f t="shared" si="42"/>
        <v>0</v>
      </c>
      <c r="O139" s="51">
        <f t="shared" si="42"/>
        <v>0</v>
      </c>
      <c r="P139" s="51">
        <f t="shared" si="42"/>
        <v>0</v>
      </c>
      <c r="Q139" s="51">
        <f t="shared" si="42"/>
        <v>0</v>
      </c>
      <c r="R139" s="51">
        <f t="shared" si="42"/>
        <v>0</v>
      </c>
      <c r="S139" s="51">
        <f t="shared" si="42"/>
        <v>0</v>
      </c>
      <c r="T139" s="51">
        <f t="shared" si="42"/>
        <v>0</v>
      </c>
      <c r="U139" s="51">
        <f t="shared" si="42"/>
        <v>0</v>
      </c>
      <c r="V139" s="51">
        <f t="shared" si="42"/>
        <v>0</v>
      </c>
      <c r="W139" s="51">
        <f t="shared" si="42"/>
        <v>0</v>
      </c>
      <c r="X139" s="51">
        <f t="shared" si="42"/>
        <v>0</v>
      </c>
      <c r="Y139" s="51">
        <f t="shared" si="42"/>
        <v>0</v>
      </c>
      <c r="Z139" s="51">
        <f t="shared" si="42"/>
        <v>0</v>
      </c>
      <c r="AA139" s="51">
        <f t="shared" si="42"/>
        <v>0</v>
      </c>
      <c r="AB139" s="51">
        <f t="shared" si="42"/>
        <v>0</v>
      </c>
      <c r="AC139" s="51">
        <f t="shared" si="42"/>
        <v>0</v>
      </c>
      <c r="AD139" s="51">
        <f t="shared" si="42"/>
        <v>0</v>
      </c>
      <c r="AE139" s="51">
        <f t="shared" si="42"/>
        <v>0</v>
      </c>
      <c r="AF139" s="51">
        <f t="shared" si="42"/>
        <v>0</v>
      </c>
      <c r="AG139" s="51">
        <f t="shared" si="42"/>
        <v>0</v>
      </c>
      <c r="AH139" s="51">
        <f t="shared" si="42"/>
        <v>0</v>
      </c>
      <c r="AI139" s="51">
        <f t="shared" si="42"/>
        <v>0</v>
      </c>
      <c r="AJ139" s="51">
        <f t="shared" si="42"/>
        <v>0</v>
      </c>
      <c r="AK139" s="51">
        <f t="shared" si="42"/>
        <v>0</v>
      </c>
      <c r="AL139" s="51">
        <f t="shared" si="42"/>
        <v>0</v>
      </c>
      <c r="AM139" s="51">
        <f t="shared" si="42"/>
        <v>0</v>
      </c>
      <c r="AN139" s="51">
        <f t="shared" si="42"/>
        <v>0</v>
      </c>
      <c r="AO139" s="51">
        <f t="shared" si="42"/>
        <v>0</v>
      </c>
      <c r="AP139" s="51">
        <f t="shared" si="42"/>
        <v>0</v>
      </c>
      <c r="AQ139" s="51">
        <f t="shared" si="42"/>
        <v>0</v>
      </c>
      <c r="AR139" s="51">
        <f t="shared" si="42"/>
        <v>0</v>
      </c>
      <c r="AS139" s="51">
        <f t="shared" si="42"/>
        <v>0</v>
      </c>
      <c r="AT139" s="51">
        <f t="shared" si="42"/>
        <v>0</v>
      </c>
      <c r="AU139" s="51">
        <f t="shared" si="42"/>
        <v>0</v>
      </c>
      <c r="AV139" s="51">
        <f t="shared" si="42"/>
        <v>0</v>
      </c>
      <c r="AW139" s="51">
        <f t="shared" si="42"/>
        <v>0</v>
      </c>
      <c r="AX139" s="51">
        <f t="shared" si="42"/>
        <v>0</v>
      </c>
      <c r="AY139" s="51">
        <f t="shared" si="42"/>
        <v>0</v>
      </c>
      <c r="AZ139" s="51">
        <f t="shared" si="42"/>
        <v>0</v>
      </c>
      <c r="BA139" s="51">
        <f t="shared" si="39"/>
        <v>0</v>
      </c>
    </row>
    <row r="140" spans="1:53" x14ac:dyDescent="0.35">
      <c r="A140" s="95"/>
      <c r="B140" s="2"/>
      <c r="C140" s="2"/>
      <c r="D140" s="4" t="str">
        <f t="shared" si="40"/>
        <v>Light fuel oil</v>
      </c>
      <c r="E140" s="4" t="str">
        <f t="shared" si="41"/>
        <v>Real</v>
      </c>
      <c r="F140" s="4"/>
      <c r="G140" s="4"/>
      <c r="H140" s="51">
        <f t="shared" si="43"/>
        <v>0</v>
      </c>
      <c r="I140" s="51">
        <f t="shared" si="42"/>
        <v>0</v>
      </c>
      <c r="J140" s="51">
        <f t="shared" si="42"/>
        <v>0</v>
      </c>
      <c r="K140" s="51">
        <f t="shared" si="42"/>
        <v>0</v>
      </c>
      <c r="L140" s="51">
        <f t="shared" si="42"/>
        <v>0</v>
      </c>
      <c r="M140" s="51">
        <f t="shared" si="42"/>
        <v>0</v>
      </c>
      <c r="N140" s="51">
        <f t="shared" si="42"/>
        <v>0</v>
      </c>
      <c r="O140" s="51">
        <f t="shared" ref="I140:AZ143" si="44">O84*O111</f>
        <v>0</v>
      </c>
      <c r="P140" s="51">
        <f t="shared" si="44"/>
        <v>0</v>
      </c>
      <c r="Q140" s="51">
        <f t="shared" si="44"/>
        <v>0</v>
      </c>
      <c r="R140" s="51">
        <f t="shared" si="44"/>
        <v>0</v>
      </c>
      <c r="S140" s="51">
        <f t="shared" si="44"/>
        <v>0</v>
      </c>
      <c r="T140" s="51">
        <f t="shared" si="44"/>
        <v>0</v>
      </c>
      <c r="U140" s="51">
        <f t="shared" si="44"/>
        <v>0</v>
      </c>
      <c r="V140" s="51">
        <f t="shared" si="44"/>
        <v>0</v>
      </c>
      <c r="W140" s="51">
        <f t="shared" si="44"/>
        <v>0</v>
      </c>
      <c r="X140" s="51">
        <f t="shared" si="44"/>
        <v>0</v>
      </c>
      <c r="Y140" s="51">
        <f t="shared" si="44"/>
        <v>0</v>
      </c>
      <c r="Z140" s="51">
        <f t="shared" si="44"/>
        <v>0</v>
      </c>
      <c r="AA140" s="51">
        <f t="shared" si="44"/>
        <v>0</v>
      </c>
      <c r="AB140" s="51">
        <f t="shared" si="44"/>
        <v>0</v>
      </c>
      <c r="AC140" s="51">
        <f t="shared" si="44"/>
        <v>0</v>
      </c>
      <c r="AD140" s="51">
        <f t="shared" si="44"/>
        <v>0</v>
      </c>
      <c r="AE140" s="51">
        <f t="shared" si="44"/>
        <v>0</v>
      </c>
      <c r="AF140" s="51">
        <f t="shared" si="44"/>
        <v>0</v>
      </c>
      <c r="AG140" s="51">
        <f t="shared" si="44"/>
        <v>0</v>
      </c>
      <c r="AH140" s="51">
        <f t="shared" si="44"/>
        <v>0</v>
      </c>
      <c r="AI140" s="51">
        <f t="shared" si="44"/>
        <v>0</v>
      </c>
      <c r="AJ140" s="51">
        <f t="shared" si="44"/>
        <v>0</v>
      </c>
      <c r="AK140" s="51">
        <f t="shared" si="44"/>
        <v>0</v>
      </c>
      <c r="AL140" s="51">
        <f t="shared" si="44"/>
        <v>0</v>
      </c>
      <c r="AM140" s="51">
        <f t="shared" si="44"/>
        <v>0</v>
      </c>
      <c r="AN140" s="51">
        <f t="shared" si="44"/>
        <v>0</v>
      </c>
      <c r="AO140" s="51">
        <f t="shared" si="44"/>
        <v>0</v>
      </c>
      <c r="AP140" s="51">
        <f t="shared" si="44"/>
        <v>0</v>
      </c>
      <c r="AQ140" s="51">
        <f t="shared" si="44"/>
        <v>0</v>
      </c>
      <c r="AR140" s="51">
        <f t="shared" si="44"/>
        <v>0</v>
      </c>
      <c r="AS140" s="51">
        <f t="shared" si="44"/>
        <v>0</v>
      </c>
      <c r="AT140" s="51">
        <f t="shared" si="44"/>
        <v>0</v>
      </c>
      <c r="AU140" s="51">
        <f t="shared" si="44"/>
        <v>0</v>
      </c>
      <c r="AV140" s="51">
        <f t="shared" si="44"/>
        <v>0</v>
      </c>
      <c r="AW140" s="51">
        <f t="shared" si="44"/>
        <v>0</v>
      </c>
      <c r="AX140" s="51">
        <f t="shared" si="44"/>
        <v>0</v>
      </c>
      <c r="AY140" s="51">
        <f t="shared" si="44"/>
        <v>0</v>
      </c>
      <c r="AZ140" s="51">
        <f t="shared" si="44"/>
        <v>0</v>
      </c>
      <c r="BA140" s="51">
        <f t="shared" ref="BA140" si="45">BA84*BA111</f>
        <v>0</v>
      </c>
    </row>
    <row r="141" spans="1:53" x14ac:dyDescent="0.35">
      <c r="A141" s="95"/>
      <c r="B141" s="2"/>
      <c r="C141" s="2"/>
      <c r="D141" s="4" t="str">
        <f t="shared" si="40"/>
        <v>Heavy fuel oil</v>
      </c>
      <c r="E141" s="4" t="str">
        <f t="shared" si="41"/>
        <v>Real</v>
      </c>
      <c r="F141" s="4"/>
      <c r="G141" s="4"/>
      <c r="H141" s="51">
        <f t="shared" si="43"/>
        <v>0</v>
      </c>
      <c r="I141" s="51">
        <f t="shared" si="44"/>
        <v>0</v>
      </c>
      <c r="J141" s="51">
        <f t="shared" si="44"/>
        <v>0</v>
      </c>
      <c r="K141" s="51">
        <f t="shared" si="44"/>
        <v>0</v>
      </c>
      <c r="L141" s="51">
        <f t="shared" si="44"/>
        <v>0</v>
      </c>
      <c r="M141" s="51">
        <f t="shared" si="44"/>
        <v>0</v>
      </c>
      <c r="N141" s="51">
        <f t="shared" si="44"/>
        <v>0</v>
      </c>
      <c r="O141" s="51">
        <f t="shared" si="44"/>
        <v>0</v>
      </c>
      <c r="P141" s="51">
        <f t="shared" si="44"/>
        <v>0</v>
      </c>
      <c r="Q141" s="51">
        <f t="shared" si="44"/>
        <v>0</v>
      </c>
      <c r="R141" s="51">
        <f t="shared" si="44"/>
        <v>0</v>
      </c>
      <c r="S141" s="51">
        <f t="shared" si="44"/>
        <v>0</v>
      </c>
      <c r="T141" s="51">
        <f t="shared" si="44"/>
        <v>0</v>
      </c>
      <c r="U141" s="51">
        <f t="shared" si="44"/>
        <v>0</v>
      </c>
      <c r="V141" s="51">
        <f t="shared" si="44"/>
        <v>0</v>
      </c>
      <c r="W141" s="51">
        <f t="shared" si="44"/>
        <v>0</v>
      </c>
      <c r="X141" s="51">
        <f t="shared" si="44"/>
        <v>0</v>
      </c>
      <c r="Y141" s="51">
        <f t="shared" si="44"/>
        <v>0</v>
      </c>
      <c r="Z141" s="51">
        <f t="shared" si="44"/>
        <v>0</v>
      </c>
      <c r="AA141" s="51">
        <f t="shared" si="44"/>
        <v>0</v>
      </c>
      <c r="AB141" s="51">
        <f t="shared" si="44"/>
        <v>0</v>
      </c>
      <c r="AC141" s="51">
        <f t="shared" si="44"/>
        <v>0</v>
      </c>
      <c r="AD141" s="51">
        <f t="shared" si="44"/>
        <v>0</v>
      </c>
      <c r="AE141" s="51">
        <f t="shared" si="44"/>
        <v>0</v>
      </c>
      <c r="AF141" s="51">
        <f t="shared" si="44"/>
        <v>0</v>
      </c>
      <c r="AG141" s="51">
        <f t="shared" si="44"/>
        <v>0</v>
      </c>
      <c r="AH141" s="51">
        <f t="shared" si="44"/>
        <v>0</v>
      </c>
      <c r="AI141" s="51">
        <f t="shared" si="44"/>
        <v>0</v>
      </c>
      <c r="AJ141" s="51">
        <f t="shared" si="44"/>
        <v>0</v>
      </c>
      <c r="AK141" s="51">
        <f t="shared" si="44"/>
        <v>0</v>
      </c>
      <c r="AL141" s="51">
        <f t="shared" si="44"/>
        <v>0</v>
      </c>
      <c r="AM141" s="51">
        <f t="shared" si="44"/>
        <v>0</v>
      </c>
      <c r="AN141" s="51">
        <f t="shared" si="44"/>
        <v>0</v>
      </c>
      <c r="AO141" s="51">
        <f t="shared" si="44"/>
        <v>0</v>
      </c>
      <c r="AP141" s="51">
        <f t="shared" si="44"/>
        <v>0</v>
      </c>
      <c r="AQ141" s="51">
        <f t="shared" si="44"/>
        <v>0</v>
      </c>
      <c r="AR141" s="51">
        <f t="shared" si="44"/>
        <v>0</v>
      </c>
      <c r="AS141" s="51">
        <f t="shared" si="44"/>
        <v>0</v>
      </c>
      <c r="AT141" s="51">
        <f t="shared" si="44"/>
        <v>0</v>
      </c>
      <c r="AU141" s="51">
        <f t="shared" si="44"/>
        <v>0</v>
      </c>
      <c r="AV141" s="51">
        <f t="shared" si="44"/>
        <v>0</v>
      </c>
      <c r="AW141" s="51">
        <f t="shared" si="44"/>
        <v>0</v>
      </c>
      <c r="AX141" s="51">
        <f t="shared" si="44"/>
        <v>0</v>
      </c>
      <c r="AY141" s="51">
        <f t="shared" si="44"/>
        <v>0</v>
      </c>
      <c r="AZ141" s="51">
        <f t="shared" si="44"/>
        <v>0</v>
      </c>
      <c r="BA141" s="51">
        <f t="shared" ref="BA141" si="46">BA85*BA112</f>
        <v>0</v>
      </c>
    </row>
    <row r="142" spans="1:53" x14ac:dyDescent="0.35">
      <c r="A142" s="95"/>
      <c r="B142" s="2"/>
      <c r="C142" s="2"/>
      <c r="D142" s="4" t="str">
        <f t="shared" si="40"/>
        <v>Geothermal</v>
      </c>
      <c r="E142" s="4" t="str">
        <f t="shared" si="41"/>
        <v>Real</v>
      </c>
      <c r="F142" s="4"/>
      <c r="G142" s="4"/>
      <c r="H142" s="51">
        <f t="shared" si="43"/>
        <v>0</v>
      </c>
      <c r="I142" s="51">
        <f t="shared" si="44"/>
        <v>0</v>
      </c>
      <c r="J142" s="51">
        <f t="shared" si="44"/>
        <v>0</v>
      </c>
      <c r="K142" s="51">
        <f t="shared" si="44"/>
        <v>0</v>
      </c>
      <c r="L142" s="51">
        <f t="shared" si="44"/>
        <v>0</v>
      </c>
      <c r="M142" s="51">
        <f t="shared" si="44"/>
        <v>0</v>
      </c>
      <c r="N142" s="51">
        <f t="shared" si="44"/>
        <v>0</v>
      </c>
      <c r="O142" s="51">
        <f t="shared" si="44"/>
        <v>0</v>
      </c>
      <c r="P142" s="51">
        <f t="shared" si="44"/>
        <v>0</v>
      </c>
      <c r="Q142" s="51">
        <f t="shared" si="44"/>
        <v>0</v>
      </c>
      <c r="R142" s="51">
        <f t="shared" si="44"/>
        <v>0</v>
      </c>
      <c r="S142" s="51">
        <f t="shared" si="44"/>
        <v>0</v>
      </c>
      <c r="T142" s="51">
        <f t="shared" si="44"/>
        <v>0</v>
      </c>
      <c r="U142" s="51">
        <f t="shared" si="44"/>
        <v>0</v>
      </c>
      <c r="V142" s="51">
        <f t="shared" si="44"/>
        <v>0</v>
      </c>
      <c r="W142" s="51">
        <f t="shared" si="44"/>
        <v>0</v>
      </c>
      <c r="X142" s="51">
        <f t="shared" si="44"/>
        <v>0</v>
      </c>
      <c r="Y142" s="51">
        <f t="shared" si="44"/>
        <v>0</v>
      </c>
      <c r="Z142" s="51">
        <f t="shared" si="44"/>
        <v>0</v>
      </c>
      <c r="AA142" s="51">
        <f t="shared" si="44"/>
        <v>0</v>
      </c>
      <c r="AB142" s="51">
        <f t="shared" si="44"/>
        <v>0</v>
      </c>
      <c r="AC142" s="51">
        <f t="shared" si="44"/>
        <v>0</v>
      </c>
      <c r="AD142" s="51">
        <f t="shared" si="44"/>
        <v>0</v>
      </c>
      <c r="AE142" s="51">
        <f t="shared" si="44"/>
        <v>0</v>
      </c>
      <c r="AF142" s="51">
        <f t="shared" si="44"/>
        <v>0</v>
      </c>
      <c r="AG142" s="51">
        <f t="shared" si="44"/>
        <v>0</v>
      </c>
      <c r="AH142" s="51">
        <f t="shared" si="44"/>
        <v>0</v>
      </c>
      <c r="AI142" s="51">
        <f t="shared" si="44"/>
        <v>0</v>
      </c>
      <c r="AJ142" s="51">
        <f t="shared" si="44"/>
        <v>0</v>
      </c>
      <c r="AK142" s="51">
        <f t="shared" si="44"/>
        <v>0</v>
      </c>
      <c r="AL142" s="51">
        <f t="shared" si="44"/>
        <v>0</v>
      </c>
      <c r="AM142" s="51">
        <f t="shared" si="44"/>
        <v>0</v>
      </c>
      <c r="AN142" s="51">
        <f t="shared" si="44"/>
        <v>0</v>
      </c>
      <c r="AO142" s="51">
        <f t="shared" si="44"/>
        <v>0</v>
      </c>
      <c r="AP142" s="51">
        <f t="shared" si="44"/>
        <v>0</v>
      </c>
      <c r="AQ142" s="51">
        <f t="shared" si="44"/>
        <v>0</v>
      </c>
      <c r="AR142" s="51">
        <f t="shared" si="44"/>
        <v>0</v>
      </c>
      <c r="AS142" s="51">
        <f t="shared" si="44"/>
        <v>0</v>
      </c>
      <c r="AT142" s="51">
        <f t="shared" si="44"/>
        <v>0</v>
      </c>
      <c r="AU142" s="51">
        <f t="shared" si="44"/>
        <v>0</v>
      </c>
      <c r="AV142" s="51">
        <f t="shared" si="44"/>
        <v>0</v>
      </c>
      <c r="AW142" s="51">
        <f t="shared" si="44"/>
        <v>0</v>
      </c>
      <c r="AX142" s="51">
        <f t="shared" si="44"/>
        <v>0</v>
      </c>
      <c r="AY142" s="51">
        <f t="shared" si="44"/>
        <v>0</v>
      </c>
      <c r="AZ142" s="51">
        <f t="shared" si="44"/>
        <v>0</v>
      </c>
      <c r="BA142" s="51">
        <f t="shared" ref="BA142" si="47">BA86*BA113</f>
        <v>0</v>
      </c>
    </row>
    <row r="143" spans="1:53" x14ac:dyDescent="0.35">
      <c r="A143" s="95"/>
      <c r="B143" s="2"/>
      <c r="C143" s="2"/>
      <c r="D143" s="29" t="str">
        <f t="shared" si="40"/>
        <v>Wood or wood chips</v>
      </c>
      <c r="E143" s="29" t="str">
        <f t="shared" si="41"/>
        <v>Real</v>
      </c>
      <c r="F143" s="29"/>
      <c r="G143" s="29"/>
      <c r="H143" s="60">
        <f t="shared" si="43"/>
        <v>0</v>
      </c>
      <c r="I143" s="60">
        <f t="shared" si="44"/>
        <v>0</v>
      </c>
      <c r="J143" s="60">
        <f t="shared" si="44"/>
        <v>0</v>
      </c>
      <c r="K143" s="60">
        <f t="shared" si="44"/>
        <v>0</v>
      </c>
      <c r="L143" s="60">
        <f t="shared" si="44"/>
        <v>0</v>
      </c>
      <c r="M143" s="60">
        <f t="shared" si="44"/>
        <v>0</v>
      </c>
      <c r="N143" s="60">
        <f t="shared" si="44"/>
        <v>0</v>
      </c>
      <c r="O143" s="60">
        <f t="shared" si="44"/>
        <v>0</v>
      </c>
      <c r="P143" s="60">
        <f t="shared" si="44"/>
        <v>0</v>
      </c>
      <c r="Q143" s="60">
        <f t="shared" si="44"/>
        <v>0</v>
      </c>
      <c r="R143" s="60">
        <f t="shared" si="44"/>
        <v>0</v>
      </c>
      <c r="S143" s="60">
        <f t="shared" si="44"/>
        <v>0</v>
      </c>
      <c r="T143" s="60">
        <f t="shared" si="44"/>
        <v>0</v>
      </c>
      <c r="U143" s="60">
        <f t="shared" si="44"/>
        <v>0</v>
      </c>
      <c r="V143" s="60">
        <f t="shared" si="44"/>
        <v>0</v>
      </c>
      <c r="W143" s="60">
        <f t="shared" si="44"/>
        <v>0</v>
      </c>
      <c r="X143" s="60">
        <f t="shared" si="44"/>
        <v>0</v>
      </c>
      <c r="Y143" s="60">
        <f t="shared" si="44"/>
        <v>0</v>
      </c>
      <c r="Z143" s="60">
        <f t="shared" si="44"/>
        <v>0</v>
      </c>
      <c r="AA143" s="60">
        <f t="shared" si="44"/>
        <v>0</v>
      </c>
      <c r="AB143" s="60">
        <f t="shared" si="44"/>
        <v>0</v>
      </c>
      <c r="AC143" s="60">
        <f t="shared" si="44"/>
        <v>0</v>
      </c>
      <c r="AD143" s="60">
        <f t="shared" si="44"/>
        <v>0</v>
      </c>
      <c r="AE143" s="60">
        <f t="shared" si="44"/>
        <v>0</v>
      </c>
      <c r="AF143" s="60">
        <f t="shared" si="44"/>
        <v>0</v>
      </c>
      <c r="AG143" s="60">
        <f t="shared" si="44"/>
        <v>0</v>
      </c>
      <c r="AH143" s="60">
        <f t="shared" si="44"/>
        <v>0</v>
      </c>
      <c r="AI143" s="60">
        <f t="shared" si="44"/>
        <v>0</v>
      </c>
      <c r="AJ143" s="60">
        <f t="shared" si="44"/>
        <v>0</v>
      </c>
      <c r="AK143" s="60">
        <f t="shared" si="44"/>
        <v>0</v>
      </c>
      <c r="AL143" s="60">
        <f t="shared" si="44"/>
        <v>0</v>
      </c>
      <c r="AM143" s="60">
        <f t="shared" si="44"/>
        <v>0</v>
      </c>
      <c r="AN143" s="60">
        <f t="shared" si="44"/>
        <v>0</v>
      </c>
      <c r="AO143" s="60">
        <f t="shared" si="44"/>
        <v>0</v>
      </c>
      <c r="AP143" s="60">
        <f t="shared" si="44"/>
        <v>0</v>
      </c>
      <c r="AQ143" s="60">
        <f t="shared" si="44"/>
        <v>0</v>
      </c>
      <c r="AR143" s="60">
        <f t="shared" si="44"/>
        <v>0</v>
      </c>
      <c r="AS143" s="60">
        <f t="shared" si="44"/>
        <v>0</v>
      </c>
      <c r="AT143" s="60">
        <f t="shared" si="44"/>
        <v>0</v>
      </c>
      <c r="AU143" s="60">
        <f t="shared" si="44"/>
        <v>0</v>
      </c>
      <c r="AV143" s="60">
        <f t="shared" si="44"/>
        <v>0</v>
      </c>
      <c r="AW143" s="60">
        <f t="shared" si="44"/>
        <v>0</v>
      </c>
      <c r="AX143" s="60">
        <f t="shared" si="44"/>
        <v>0</v>
      </c>
      <c r="AY143" s="60">
        <f t="shared" si="44"/>
        <v>0</v>
      </c>
      <c r="AZ143" s="60">
        <f t="shared" si="44"/>
        <v>0</v>
      </c>
      <c r="BA143" s="60">
        <f t="shared" ref="BA143" si="48">BA87*BA114</f>
        <v>0</v>
      </c>
    </row>
    <row r="144" spans="1:53" x14ac:dyDescent="0.35">
      <c r="A144" s="95"/>
      <c r="B144" s="2"/>
      <c r="C144" s="2"/>
      <c r="D144" s="4" t="str">
        <f>D129</f>
        <v>Total  fuel opex in  dollars</v>
      </c>
      <c r="E144" s="4"/>
      <c r="F144" s="4"/>
      <c r="G144" s="4"/>
      <c r="H144" s="117">
        <f t="shared" ref="H144:BA144" si="49">SUMIFS(H133:H143,$E$104:$E$114,"Real")+SUMIFS(H133:H143,$E$104:$E$114,"Nominal")*I$11</f>
        <v>0</v>
      </c>
      <c r="I144" s="117">
        <f t="shared" si="49"/>
        <v>0</v>
      </c>
      <c r="J144" s="117">
        <f t="shared" si="49"/>
        <v>0</v>
      </c>
      <c r="K144" s="117">
        <f t="shared" si="49"/>
        <v>0</v>
      </c>
      <c r="L144" s="117">
        <f t="shared" si="49"/>
        <v>0</v>
      </c>
      <c r="M144" s="117">
        <f t="shared" si="49"/>
        <v>0</v>
      </c>
      <c r="N144" s="117">
        <f t="shared" si="49"/>
        <v>0</v>
      </c>
      <c r="O144" s="117">
        <f t="shared" si="49"/>
        <v>0</v>
      </c>
      <c r="P144" s="117">
        <f t="shared" si="49"/>
        <v>0</v>
      </c>
      <c r="Q144" s="117">
        <f t="shared" si="49"/>
        <v>0</v>
      </c>
      <c r="R144" s="117">
        <f t="shared" si="49"/>
        <v>0</v>
      </c>
      <c r="S144" s="117">
        <f t="shared" si="49"/>
        <v>0</v>
      </c>
      <c r="T144" s="117">
        <f t="shared" si="49"/>
        <v>0</v>
      </c>
      <c r="U144" s="117">
        <f t="shared" si="49"/>
        <v>0</v>
      </c>
      <c r="V144" s="117">
        <f t="shared" si="49"/>
        <v>0</v>
      </c>
      <c r="W144" s="117">
        <f t="shared" si="49"/>
        <v>0</v>
      </c>
      <c r="X144" s="117">
        <f t="shared" si="49"/>
        <v>0</v>
      </c>
      <c r="Y144" s="117">
        <f t="shared" si="49"/>
        <v>0</v>
      </c>
      <c r="Z144" s="117">
        <f t="shared" si="49"/>
        <v>0</v>
      </c>
      <c r="AA144" s="117">
        <f t="shared" si="49"/>
        <v>0</v>
      </c>
      <c r="AB144" s="117">
        <f t="shared" si="49"/>
        <v>0</v>
      </c>
      <c r="AC144" s="117">
        <f t="shared" si="49"/>
        <v>0</v>
      </c>
      <c r="AD144" s="117">
        <f t="shared" si="49"/>
        <v>0</v>
      </c>
      <c r="AE144" s="117">
        <f t="shared" si="49"/>
        <v>0</v>
      </c>
      <c r="AF144" s="117">
        <f t="shared" si="49"/>
        <v>0</v>
      </c>
      <c r="AG144" s="117">
        <f t="shared" si="49"/>
        <v>0</v>
      </c>
      <c r="AH144" s="117">
        <f t="shared" si="49"/>
        <v>0</v>
      </c>
      <c r="AI144" s="117">
        <f t="shared" si="49"/>
        <v>0</v>
      </c>
      <c r="AJ144" s="117">
        <f t="shared" si="49"/>
        <v>0</v>
      </c>
      <c r="AK144" s="117">
        <f t="shared" si="49"/>
        <v>0</v>
      </c>
      <c r="AL144" s="117">
        <f t="shared" si="49"/>
        <v>0</v>
      </c>
      <c r="AM144" s="117">
        <f t="shared" si="49"/>
        <v>0</v>
      </c>
      <c r="AN144" s="117">
        <f t="shared" si="49"/>
        <v>0</v>
      </c>
      <c r="AO144" s="117">
        <f t="shared" si="49"/>
        <v>0</v>
      </c>
      <c r="AP144" s="117">
        <f t="shared" si="49"/>
        <v>0</v>
      </c>
      <c r="AQ144" s="117">
        <f t="shared" si="49"/>
        <v>0</v>
      </c>
      <c r="AR144" s="117">
        <f t="shared" si="49"/>
        <v>0</v>
      </c>
      <c r="AS144" s="117">
        <f t="shared" si="49"/>
        <v>0</v>
      </c>
      <c r="AT144" s="117">
        <f t="shared" si="49"/>
        <v>0</v>
      </c>
      <c r="AU144" s="117">
        <f t="shared" si="49"/>
        <v>0</v>
      </c>
      <c r="AV144" s="117">
        <f t="shared" si="49"/>
        <v>0</v>
      </c>
      <c r="AW144" s="117">
        <f t="shared" si="49"/>
        <v>0</v>
      </c>
      <c r="AX144" s="117">
        <f t="shared" si="49"/>
        <v>0</v>
      </c>
      <c r="AY144" s="117">
        <f t="shared" si="49"/>
        <v>0</v>
      </c>
      <c r="AZ144" s="117">
        <f t="shared" si="49"/>
        <v>0</v>
      </c>
      <c r="BA144" s="117">
        <f t="shared" si="49"/>
        <v>0</v>
      </c>
    </row>
    <row r="145" spans="1:53" x14ac:dyDescent="0.35">
      <c r="A145" s="95"/>
      <c r="B145" s="4"/>
      <c r="C145" s="4"/>
      <c r="D145" s="4" t="str">
        <f>D130</f>
        <v>Total fuel opex in nominal dollars</v>
      </c>
      <c r="E145" s="4"/>
      <c r="F145" s="4"/>
      <c r="G145" s="4"/>
      <c r="H145" s="117">
        <f t="shared" ref="H145:BA145" si="50">SUMIFS(H133:H143,$E$104:$E$114,"Real")*I10+SUMIFS(H133:H143,$E$104:$E$114,"Nominal")</f>
        <v>0</v>
      </c>
      <c r="I145" s="117">
        <f t="shared" si="50"/>
        <v>0</v>
      </c>
      <c r="J145" s="117">
        <f t="shared" si="50"/>
        <v>0</v>
      </c>
      <c r="K145" s="117">
        <f t="shared" si="50"/>
        <v>0</v>
      </c>
      <c r="L145" s="117">
        <f t="shared" si="50"/>
        <v>0</v>
      </c>
      <c r="M145" s="117">
        <f t="shared" si="50"/>
        <v>0</v>
      </c>
      <c r="N145" s="117">
        <f t="shared" si="50"/>
        <v>0</v>
      </c>
      <c r="O145" s="117">
        <f t="shared" si="50"/>
        <v>0</v>
      </c>
      <c r="P145" s="117">
        <f t="shared" si="50"/>
        <v>0</v>
      </c>
      <c r="Q145" s="117">
        <f t="shared" si="50"/>
        <v>0</v>
      </c>
      <c r="R145" s="117">
        <f t="shared" si="50"/>
        <v>0</v>
      </c>
      <c r="S145" s="117">
        <f t="shared" si="50"/>
        <v>0</v>
      </c>
      <c r="T145" s="117">
        <f t="shared" si="50"/>
        <v>0</v>
      </c>
      <c r="U145" s="117">
        <f t="shared" si="50"/>
        <v>0</v>
      </c>
      <c r="V145" s="117">
        <f t="shared" si="50"/>
        <v>0</v>
      </c>
      <c r="W145" s="117">
        <f t="shared" si="50"/>
        <v>0</v>
      </c>
      <c r="X145" s="117">
        <f t="shared" si="50"/>
        <v>0</v>
      </c>
      <c r="Y145" s="117">
        <f t="shared" si="50"/>
        <v>0</v>
      </c>
      <c r="Z145" s="117">
        <f t="shared" si="50"/>
        <v>0</v>
      </c>
      <c r="AA145" s="117">
        <f t="shared" si="50"/>
        <v>0</v>
      </c>
      <c r="AB145" s="117">
        <f t="shared" si="50"/>
        <v>0</v>
      </c>
      <c r="AC145" s="117">
        <f t="shared" si="50"/>
        <v>0</v>
      </c>
      <c r="AD145" s="117">
        <f t="shared" si="50"/>
        <v>0</v>
      </c>
      <c r="AE145" s="117">
        <f t="shared" si="50"/>
        <v>0</v>
      </c>
      <c r="AF145" s="117">
        <f t="shared" si="50"/>
        <v>0</v>
      </c>
      <c r="AG145" s="117">
        <f t="shared" si="50"/>
        <v>0</v>
      </c>
      <c r="AH145" s="117">
        <f t="shared" si="50"/>
        <v>0</v>
      </c>
      <c r="AI145" s="117">
        <f t="shared" si="50"/>
        <v>0</v>
      </c>
      <c r="AJ145" s="117">
        <f t="shared" si="50"/>
        <v>0</v>
      </c>
      <c r="AK145" s="117">
        <f t="shared" si="50"/>
        <v>0</v>
      </c>
      <c r="AL145" s="117">
        <f t="shared" si="50"/>
        <v>0</v>
      </c>
      <c r="AM145" s="117">
        <f t="shared" si="50"/>
        <v>0</v>
      </c>
      <c r="AN145" s="117">
        <f t="shared" si="50"/>
        <v>0</v>
      </c>
      <c r="AO145" s="117">
        <f t="shared" si="50"/>
        <v>0</v>
      </c>
      <c r="AP145" s="117">
        <f t="shared" si="50"/>
        <v>0</v>
      </c>
      <c r="AQ145" s="117">
        <f t="shared" si="50"/>
        <v>0</v>
      </c>
      <c r="AR145" s="117">
        <f t="shared" si="50"/>
        <v>0</v>
      </c>
      <c r="AS145" s="117">
        <f t="shared" si="50"/>
        <v>0</v>
      </c>
      <c r="AT145" s="117">
        <f t="shared" si="50"/>
        <v>0</v>
      </c>
      <c r="AU145" s="117">
        <f t="shared" si="50"/>
        <v>0</v>
      </c>
      <c r="AV145" s="117">
        <f t="shared" si="50"/>
        <v>0</v>
      </c>
      <c r="AW145" s="117">
        <f t="shared" si="50"/>
        <v>0</v>
      </c>
      <c r="AX145" s="117">
        <f t="shared" si="50"/>
        <v>0</v>
      </c>
      <c r="AY145" s="117">
        <f t="shared" si="50"/>
        <v>0</v>
      </c>
      <c r="AZ145" s="117">
        <f t="shared" si="50"/>
        <v>0</v>
      </c>
      <c r="BA145" s="117">
        <f t="shared" si="50"/>
        <v>0</v>
      </c>
    </row>
    <row r="146" spans="1:53" x14ac:dyDescent="0.35">
      <c r="A146" s="95"/>
      <c r="B146" s="2"/>
      <c r="C146" s="2"/>
      <c r="D146" s="2"/>
      <c r="E146" s="2"/>
      <c r="F146" s="2"/>
      <c r="G146" s="2"/>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row>
    <row r="147" spans="1:53"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row>
    <row r="148" spans="1:53" ht="18.5" x14ac:dyDescent="0.45">
      <c r="A148" s="7" t="s">
        <v>113</v>
      </c>
      <c r="B148" s="7"/>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row>
    <row r="149" spans="1:53" x14ac:dyDescent="0.35">
      <c r="A149" s="28" t="s">
        <v>37</v>
      </c>
      <c r="B149" s="25" t="s">
        <v>114</v>
      </c>
      <c r="C149" s="25"/>
      <c r="D149" s="25"/>
      <c r="E149" s="25"/>
      <c r="F149" s="25"/>
      <c r="G149" s="106" t="s">
        <v>39</v>
      </c>
      <c r="H149" s="94">
        <v>2025</v>
      </c>
      <c r="I149" s="94">
        <v>2026</v>
      </c>
      <c r="J149" s="94">
        <v>2027</v>
      </c>
      <c r="K149" s="94">
        <v>2028</v>
      </c>
      <c r="L149" s="94">
        <v>2029</v>
      </c>
      <c r="M149" s="94">
        <v>2030</v>
      </c>
      <c r="N149" s="94">
        <v>2031</v>
      </c>
      <c r="O149" s="94">
        <v>2032</v>
      </c>
      <c r="P149" s="94">
        <v>2033</v>
      </c>
      <c r="Q149" s="94">
        <v>2034</v>
      </c>
      <c r="R149" s="94">
        <v>2035</v>
      </c>
      <c r="S149" s="94">
        <v>2036</v>
      </c>
      <c r="T149" s="94">
        <v>2037</v>
      </c>
      <c r="U149" s="94">
        <v>2038</v>
      </c>
      <c r="V149" s="94">
        <v>2039</v>
      </c>
      <c r="W149" s="94">
        <v>2040</v>
      </c>
      <c r="X149" s="94">
        <v>2041</v>
      </c>
      <c r="Y149" s="94">
        <v>2042</v>
      </c>
      <c r="Z149" s="94">
        <v>2043</v>
      </c>
      <c r="AA149" s="94">
        <v>2044</v>
      </c>
      <c r="AB149" s="94">
        <v>2045</v>
      </c>
      <c r="AC149" s="94">
        <v>2046</v>
      </c>
      <c r="AD149" s="94">
        <v>2047</v>
      </c>
      <c r="AE149" s="94">
        <v>2048</v>
      </c>
      <c r="AF149" s="94">
        <v>2049</v>
      </c>
      <c r="AG149" s="94">
        <v>2050</v>
      </c>
      <c r="AH149" s="94">
        <v>2051</v>
      </c>
      <c r="AI149" s="94">
        <v>2052</v>
      </c>
      <c r="AJ149" s="94">
        <v>2053</v>
      </c>
      <c r="AK149" s="94">
        <v>2054</v>
      </c>
      <c r="AL149" s="94">
        <v>2055</v>
      </c>
      <c r="AM149" s="94">
        <v>2056</v>
      </c>
      <c r="AN149" s="94">
        <v>2057</v>
      </c>
      <c r="AO149" s="94">
        <v>2058</v>
      </c>
      <c r="AP149" s="94">
        <v>2059</v>
      </c>
      <c r="AQ149" s="94">
        <v>2060</v>
      </c>
      <c r="AR149" s="94">
        <v>2061</v>
      </c>
      <c r="AS149" s="94">
        <v>2062</v>
      </c>
      <c r="AT149" s="94">
        <v>2063</v>
      </c>
      <c r="AU149" s="94">
        <v>2064</v>
      </c>
      <c r="AV149" s="94">
        <v>2065</v>
      </c>
      <c r="AW149" s="94">
        <v>2066</v>
      </c>
      <c r="AX149" s="94">
        <v>2067</v>
      </c>
      <c r="AY149" s="94">
        <v>2068</v>
      </c>
      <c r="AZ149" s="94">
        <v>2069</v>
      </c>
      <c r="BA149" s="94">
        <v>2070</v>
      </c>
    </row>
    <row r="150" spans="1:53" x14ac:dyDescent="0.35">
      <c r="A150" s="13" t="s">
        <v>115</v>
      </c>
      <c r="B150" s="8" t="s">
        <v>116</v>
      </c>
      <c r="C150" s="2"/>
      <c r="D150" s="2"/>
      <c r="E150" s="2"/>
      <c r="F150" s="2"/>
      <c r="G150" s="9"/>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row>
    <row r="151" spans="1:53" x14ac:dyDescent="0.35">
      <c r="A151" s="2"/>
      <c r="B151" s="8" t="s">
        <v>117</v>
      </c>
      <c r="C151" s="2"/>
      <c r="D151" s="2"/>
      <c r="E151" s="2"/>
      <c r="F151" s="2"/>
      <c r="G151" s="9"/>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row>
    <row r="152" spans="1:53" x14ac:dyDescent="0.35">
      <c r="A152" s="2"/>
      <c r="B152" s="8" t="s">
        <v>118</v>
      </c>
      <c r="C152" s="2"/>
      <c r="D152" s="2"/>
      <c r="E152" s="2"/>
      <c r="F152" s="2"/>
      <c r="G152" s="9"/>
      <c r="H152" s="118">
        <f>H150-H151</f>
        <v>0</v>
      </c>
      <c r="I152" s="118">
        <f t="shared" ref="I152:AF152" si="51">H152+I150-I151</f>
        <v>0</v>
      </c>
      <c r="J152" s="118">
        <f t="shared" si="51"/>
        <v>0</v>
      </c>
      <c r="K152" s="118">
        <f t="shared" si="51"/>
        <v>0</v>
      </c>
      <c r="L152" s="118">
        <f t="shared" si="51"/>
        <v>0</v>
      </c>
      <c r="M152" s="118">
        <f t="shared" si="51"/>
        <v>0</v>
      </c>
      <c r="N152" s="118">
        <f t="shared" si="51"/>
        <v>0</v>
      </c>
      <c r="O152" s="118">
        <f t="shared" si="51"/>
        <v>0</v>
      </c>
      <c r="P152" s="118">
        <f t="shared" si="51"/>
        <v>0</v>
      </c>
      <c r="Q152" s="118">
        <f t="shared" si="51"/>
        <v>0</v>
      </c>
      <c r="R152" s="118">
        <f t="shared" si="51"/>
        <v>0</v>
      </c>
      <c r="S152" s="118">
        <f t="shared" si="51"/>
        <v>0</v>
      </c>
      <c r="T152" s="118">
        <f t="shared" si="51"/>
        <v>0</v>
      </c>
      <c r="U152" s="118">
        <f t="shared" si="51"/>
        <v>0</v>
      </c>
      <c r="V152" s="118">
        <f t="shared" si="51"/>
        <v>0</v>
      </c>
      <c r="W152" s="118">
        <f t="shared" si="51"/>
        <v>0</v>
      </c>
      <c r="X152" s="118">
        <f t="shared" si="51"/>
        <v>0</v>
      </c>
      <c r="Y152" s="118">
        <f t="shared" si="51"/>
        <v>0</v>
      </c>
      <c r="Z152" s="118">
        <f t="shared" si="51"/>
        <v>0</v>
      </c>
      <c r="AA152" s="118">
        <f t="shared" si="51"/>
        <v>0</v>
      </c>
      <c r="AB152" s="118">
        <f t="shared" si="51"/>
        <v>0</v>
      </c>
      <c r="AC152" s="118">
        <f t="shared" si="51"/>
        <v>0</v>
      </c>
      <c r="AD152" s="118">
        <f t="shared" si="51"/>
        <v>0</v>
      </c>
      <c r="AE152" s="118">
        <f t="shared" si="51"/>
        <v>0</v>
      </c>
      <c r="AF152" s="118">
        <f t="shared" si="51"/>
        <v>0</v>
      </c>
      <c r="AG152" s="118">
        <f t="shared" ref="AG152:BA152" si="52">AF152+AG150-AG151</f>
        <v>0</v>
      </c>
      <c r="AH152" s="118">
        <f t="shared" si="52"/>
        <v>0</v>
      </c>
      <c r="AI152" s="118">
        <f t="shared" si="52"/>
        <v>0</v>
      </c>
      <c r="AJ152" s="118">
        <f t="shared" si="52"/>
        <v>0</v>
      </c>
      <c r="AK152" s="118">
        <f t="shared" si="52"/>
        <v>0</v>
      </c>
      <c r="AL152" s="118">
        <f t="shared" si="52"/>
        <v>0</v>
      </c>
      <c r="AM152" s="118">
        <f t="shared" si="52"/>
        <v>0</v>
      </c>
      <c r="AN152" s="118">
        <f t="shared" si="52"/>
        <v>0</v>
      </c>
      <c r="AO152" s="118">
        <f t="shared" si="52"/>
        <v>0</v>
      </c>
      <c r="AP152" s="118">
        <f t="shared" si="52"/>
        <v>0</v>
      </c>
      <c r="AQ152" s="118">
        <f t="shared" si="52"/>
        <v>0</v>
      </c>
      <c r="AR152" s="118">
        <f t="shared" si="52"/>
        <v>0</v>
      </c>
      <c r="AS152" s="118">
        <f t="shared" si="52"/>
        <v>0</v>
      </c>
      <c r="AT152" s="118">
        <f t="shared" si="52"/>
        <v>0</v>
      </c>
      <c r="AU152" s="118">
        <f t="shared" si="52"/>
        <v>0</v>
      </c>
      <c r="AV152" s="118">
        <f t="shared" si="52"/>
        <v>0</v>
      </c>
      <c r="AW152" s="118">
        <f t="shared" si="52"/>
        <v>0</v>
      </c>
      <c r="AX152" s="118">
        <f t="shared" si="52"/>
        <v>0</v>
      </c>
      <c r="AY152" s="118">
        <f t="shared" si="52"/>
        <v>0</v>
      </c>
      <c r="AZ152" s="118">
        <f t="shared" si="52"/>
        <v>0</v>
      </c>
      <c r="BA152" s="118">
        <f t="shared" si="52"/>
        <v>0</v>
      </c>
    </row>
    <row r="153" spans="1:53" x14ac:dyDescent="0.35">
      <c r="A153" s="2"/>
      <c r="B153" s="8" t="s">
        <v>119</v>
      </c>
      <c r="C153" s="2"/>
      <c r="D153" s="2"/>
      <c r="E153" s="2"/>
      <c r="F153" s="2"/>
      <c r="G153" s="9"/>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row>
    <row r="154" spans="1:53" x14ac:dyDescent="0.35">
      <c r="A154" s="2"/>
      <c r="B154" s="8" t="s">
        <v>120</v>
      </c>
      <c r="C154" s="2"/>
      <c r="D154" s="2"/>
      <c r="E154" s="2"/>
      <c r="F154" s="2"/>
      <c r="G154" s="9"/>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row>
    <row r="155" spans="1:53" x14ac:dyDescent="0.35">
      <c r="A155" s="2"/>
      <c r="B155" s="8" t="s">
        <v>121</v>
      </c>
      <c r="C155" s="8"/>
      <c r="D155" s="8"/>
      <c r="E155" s="8"/>
      <c r="F155" s="8"/>
      <c r="G155" s="97"/>
      <c r="H155" s="193">
        <f>H153+H154</f>
        <v>0</v>
      </c>
      <c r="I155" s="193">
        <f t="shared" ref="I155:AF155" si="53">I153+I154</f>
        <v>0</v>
      </c>
      <c r="J155" s="193">
        <f t="shared" si="53"/>
        <v>0</v>
      </c>
      <c r="K155" s="193">
        <f t="shared" si="53"/>
        <v>0</v>
      </c>
      <c r="L155" s="193">
        <f t="shared" si="53"/>
        <v>0</v>
      </c>
      <c r="M155" s="193">
        <f t="shared" si="53"/>
        <v>0</v>
      </c>
      <c r="N155" s="193">
        <f t="shared" si="53"/>
        <v>0</v>
      </c>
      <c r="O155" s="193">
        <f t="shared" si="53"/>
        <v>0</v>
      </c>
      <c r="P155" s="193">
        <f t="shared" si="53"/>
        <v>0</v>
      </c>
      <c r="Q155" s="193">
        <f t="shared" si="53"/>
        <v>0</v>
      </c>
      <c r="R155" s="193">
        <f t="shared" si="53"/>
        <v>0</v>
      </c>
      <c r="S155" s="193">
        <f t="shared" si="53"/>
        <v>0</v>
      </c>
      <c r="T155" s="193">
        <f t="shared" si="53"/>
        <v>0</v>
      </c>
      <c r="U155" s="193">
        <f t="shared" si="53"/>
        <v>0</v>
      </c>
      <c r="V155" s="193">
        <f t="shared" si="53"/>
        <v>0</v>
      </c>
      <c r="W155" s="193">
        <f t="shared" si="53"/>
        <v>0</v>
      </c>
      <c r="X155" s="193">
        <f t="shared" si="53"/>
        <v>0</v>
      </c>
      <c r="Y155" s="193">
        <f t="shared" si="53"/>
        <v>0</v>
      </c>
      <c r="Z155" s="193">
        <f t="shared" si="53"/>
        <v>0</v>
      </c>
      <c r="AA155" s="193">
        <f t="shared" si="53"/>
        <v>0</v>
      </c>
      <c r="AB155" s="193">
        <f t="shared" si="53"/>
        <v>0</v>
      </c>
      <c r="AC155" s="193">
        <f t="shared" si="53"/>
        <v>0</v>
      </c>
      <c r="AD155" s="193">
        <f t="shared" si="53"/>
        <v>0</v>
      </c>
      <c r="AE155" s="193">
        <f t="shared" si="53"/>
        <v>0</v>
      </c>
      <c r="AF155" s="193">
        <f t="shared" si="53"/>
        <v>0</v>
      </c>
      <c r="AG155" s="193">
        <f t="shared" ref="AG155" si="54">AG153+AG154</f>
        <v>0</v>
      </c>
      <c r="AH155" s="193">
        <f t="shared" ref="AH155" si="55">AH153+AH154</f>
        <v>0</v>
      </c>
      <c r="AI155" s="193">
        <f t="shared" ref="AI155" si="56">AI153+AI154</f>
        <v>0</v>
      </c>
      <c r="AJ155" s="193">
        <f t="shared" ref="AJ155" si="57">AJ153+AJ154</f>
        <v>0</v>
      </c>
      <c r="AK155" s="193">
        <f t="shared" ref="AK155" si="58">AK153+AK154</f>
        <v>0</v>
      </c>
      <c r="AL155" s="193">
        <f t="shared" ref="AL155" si="59">AL153+AL154</f>
        <v>0</v>
      </c>
      <c r="AM155" s="193">
        <f t="shared" ref="AM155" si="60">AM153+AM154</f>
        <v>0</v>
      </c>
      <c r="AN155" s="193">
        <f t="shared" ref="AN155" si="61">AN153+AN154</f>
        <v>0</v>
      </c>
      <c r="AO155" s="193">
        <f t="shared" ref="AO155" si="62">AO153+AO154</f>
        <v>0</v>
      </c>
      <c r="AP155" s="193">
        <f t="shared" ref="AP155" si="63">AP153+AP154</f>
        <v>0</v>
      </c>
      <c r="AQ155" s="193">
        <f t="shared" ref="AQ155" si="64">AQ153+AQ154</f>
        <v>0</v>
      </c>
      <c r="AR155" s="193">
        <f t="shared" ref="AR155" si="65">AR153+AR154</f>
        <v>0</v>
      </c>
      <c r="AS155" s="193">
        <f t="shared" ref="AS155" si="66">AS153+AS154</f>
        <v>0</v>
      </c>
      <c r="AT155" s="193">
        <f t="shared" ref="AT155" si="67">AT153+AT154</f>
        <v>0</v>
      </c>
      <c r="AU155" s="193">
        <f t="shared" ref="AU155" si="68">AU153+AU154</f>
        <v>0</v>
      </c>
      <c r="AV155" s="193">
        <f t="shared" ref="AV155" si="69">AV153+AV154</f>
        <v>0</v>
      </c>
      <c r="AW155" s="193">
        <f t="shared" ref="AW155" si="70">AW153+AW154</f>
        <v>0</v>
      </c>
      <c r="AX155" s="193">
        <f t="shared" ref="AX155" si="71">AX153+AX154</f>
        <v>0</v>
      </c>
      <c r="AY155" s="193">
        <f t="shared" ref="AY155" si="72">AY153+AY154</f>
        <v>0</v>
      </c>
      <c r="AZ155" s="193">
        <f t="shared" ref="AZ155:BA155" si="73">AZ153+AZ154</f>
        <v>0</v>
      </c>
      <c r="BA155" s="193">
        <f t="shared" si="73"/>
        <v>0</v>
      </c>
    </row>
    <row r="156" spans="1:53" x14ac:dyDescent="0.35">
      <c r="A156" s="2"/>
      <c r="B156" s="94" t="str">
        <f>"Costs of debt in "&amp;Analysis_year&amp;" dollars"</f>
        <v>Costs of debt in  dollars</v>
      </c>
      <c r="C156" s="94"/>
      <c r="D156" s="94"/>
      <c r="E156" s="94"/>
      <c r="F156" s="94"/>
      <c r="G156" s="26"/>
      <c r="H156" s="120">
        <f>IFERROR(H155/H11,0)</f>
        <v>0</v>
      </c>
      <c r="I156" s="120">
        <f t="shared" ref="I156:BA156" si="74">IFERROR(I155/I11,0)</f>
        <v>0</v>
      </c>
      <c r="J156" s="120">
        <f t="shared" si="74"/>
        <v>0</v>
      </c>
      <c r="K156" s="120">
        <f t="shared" si="74"/>
        <v>0</v>
      </c>
      <c r="L156" s="120">
        <f t="shared" si="74"/>
        <v>0</v>
      </c>
      <c r="M156" s="120">
        <f t="shared" si="74"/>
        <v>0</v>
      </c>
      <c r="N156" s="120">
        <f t="shared" si="74"/>
        <v>0</v>
      </c>
      <c r="O156" s="120">
        <f t="shared" si="74"/>
        <v>0</v>
      </c>
      <c r="P156" s="120">
        <f t="shared" si="74"/>
        <v>0</v>
      </c>
      <c r="Q156" s="120">
        <f t="shared" si="74"/>
        <v>0</v>
      </c>
      <c r="R156" s="120">
        <f t="shared" si="74"/>
        <v>0</v>
      </c>
      <c r="S156" s="120">
        <f t="shared" si="74"/>
        <v>0</v>
      </c>
      <c r="T156" s="120">
        <f t="shared" si="74"/>
        <v>0</v>
      </c>
      <c r="U156" s="120">
        <f t="shared" si="74"/>
        <v>0</v>
      </c>
      <c r="V156" s="120">
        <f t="shared" si="74"/>
        <v>0</v>
      </c>
      <c r="W156" s="120">
        <f t="shared" si="74"/>
        <v>0</v>
      </c>
      <c r="X156" s="120">
        <f t="shared" si="74"/>
        <v>0</v>
      </c>
      <c r="Y156" s="120">
        <f t="shared" si="74"/>
        <v>0</v>
      </c>
      <c r="Z156" s="120">
        <f t="shared" si="74"/>
        <v>0</v>
      </c>
      <c r="AA156" s="120">
        <f t="shared" si="74"/>
        <v>0</v>
      </c>
      <c r="AB156" s="120">
        <f t="shared" si="74"/>
        <v>0</v>
      </c>
      <c r="AC156" s="120">
        <f t="shared" si="74"/>
        <v>0</v>
      </c>
      <c r="AD156" s="120">
        <f t="shared" si="74"/>
        <v>0</v>
      </c>
      <c r="AE156" s="120">
        <f t="shared" si="74"/>
        <v>0</v>
      </c>
      <c r="AF156" s="120">
        <f t="shared" si="74"/>
        <v>0</v>
      </c>
      <c r="AG156" s="120">
        <f t="shared" si="74"/>
        <v>0</v>
      </c>
      <c r="AH156" s="120">
        <f t="shared" si="74"/>
        <v>0</v>
      </c>
      <c r="AI156" s="120">
        <f t="shared" si="74"/>
        <v>0</v>
      </c>
      <c r="AJ156" s="120">
        <f t="shared" si="74"/>
        <v>0</v>
      </c>
      <c r="AK156" s="120">
        <f t="shared" si="74"/>
        <v>0</v>
      </c>
      <c r="AL156" s="120">
        <f t="shared" si="74"/>
        <v>0</v>
      </c>
      <c r="AM156" s="120">
        <f t="shared" si="74"/>
        <v>0</v>
      </c>
      <c r="AN156" s="120">
        <f t="shared" si="74"/>
        <v>0</v>
      </c>
      <c r="AO156" s="120">
        <f t="shared" si="74"/>
        <v>0</v>
      </c>
      <c r="AP156" s="120">
        <f t="shared" si="74"/>
        <v>0</v>
      </c>
      <c r="AQ156" s="120">
        <f t="shared" si="74"/>
        <v>0</v>
      </c>
      <c r="AR156" s="120">
        <f t="shared" si="74"/>
        <v>0</v>
      </c>
      <c r="AS156" s="120">
        <f t="shared" si="74"/>
        <v>0</v>
      </c>
      <c r="AT156" s="120">
        <f t="shared" si="74"/>
        <v>0</v>
      </c>
      <c r="AU156" s="120">
        <f t="shared" si="74"/>
        <v>0</v>
      </c>
      <c r="AV156" s="120">
        <f t="shared" si="74"/>
        <v>0</v>
      </c>
      <c r="AW156" s="120">
        <f t="shared" si="74"/>
        <v>0</v>
      </c>
      <c r="AX156" s="120">
        <f t="shared" si="74"/>
        <v>0</v>
      </c>
      <c r="AY156" s="120">
        <f t="shared" si="74"/>
        <v>0</v>
      </c>
      <c r="AZ156" s="120">
        <f t="shared" si="74"/>
        <v>0</v>
      </c>
      <c r="BA156" s="120">
        <f t="shared" si="74"/>
        <v>0</v>
      </c>
    </row>
    <row r="157" spans="1:53" x14ac:dyDescent="0.35">
      <c r="A157" s="2"/>
      <c r="B157" s="8" t="s">
        <v>122</v>
      </c>
      <c r="C157" s="8"/>
      <c r="D157" s="8"/>
      <c r="E157" s="8"/>
      <c r="F157" s="8"/>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row>
    <row r="158" spans="1:53" x14ac:dyDescent="0.35">
      <c r="A158" s="2"/>
      <c r="B158" s="94" t="s">
        <v>117</v>
      </c>
      <c r="C158" s="94"/>
      <c r="D158" s="94"/>
      <c r="E158" s="94"/>
      <c r="F158" s="94"/>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row>
    <row r="159" spans="1:53" x14ac:dyDescent="0.35">
      <c r="A159" s="2"/>
      <c r="B159" s="2"/>
      <c r="C159" s="2"/>
      <c r="D159" s="2"/>
      <c r="E159" s="2"/>
      <c r="F159" s="2"/>
      <c r="G159" s="97"/>
      <c r="H159" s="191"/>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row>
    <row r="160" spans="1:53" x14ac:dyDescent="0.35">
      <c r="A160" s="27" t="s">
        <v>48</v>
      </c>
      <c r="B160" s="25" t="s">
        <v>114</v>
      </c>
      <c r="C160" s="29"/>
      <c r="D160" s="29"/>
      <c r="E160" s="29"/>
      <c r="F160" s="29"/>
      <c r="G160" s="101" t="s">
        <v>39</v>
      </c>
      <c r="H160" s="29">
        <v>2025</v>
      </c>
      <c r="I160" s="29">
        <v>2026</v>
      </c>
      <c r="J160" s="29">
        <v>2027</v>
      </c>
      <c r="K160" s="29">
        <v>2028</v>
      </c>
      <c r="L160" s="29">
        <v>2029</v>
      </c>
      <c r="M160" s="29">
        <v>2030</v>
      </c>
      <c r="N160" s="29">
        <v>2031</v>
      </c>
      <c r="O160" s="29">
        <v>2032</v>
      </c>
      <c r="P160" s="29">
        <v>2033</v>
      </c>
      <c r="Q160" s="29">
        <v>2034</v>
      </c>
      <c r="R160" s="29">
        <v>2035</v>
      </c>
      <c r="S160" s="29">
        <v>2036</v>
      </c>
      <c r="T160" s="29">
        <v>2037</v>
      </c>
      <c r="U160" s="29">
        <v>2038</v>
      </c>
      <c r="V160" s="29">
        <v>2039</v>
      </c>
      <c r="W160" s="29">
        <v>2040</v>
      </c>
      <c r="X160" s="29">
        <v>2041</v>
      </c>
      <c r="Y160" s="29">
        <v>2042</v>
      </c>
      <c r="Z160" s="29">
        <v>2043</v>
      </c>
      <c r="AA160" s="29">
        <v>2044</v>
      </c>
      <c r="AB160" s="29">
        <v>2045</v>
      </c>
      <c r="AC160" s="29">
        <v>2046</v>
      </c>
      <c r="AD160" s="29">
        <v>2047</v>
      </c>
      <c r="AE160" s="29">
        <v>2048</v>
      </c>
      <c r="AF160" s="29">
        <v>2049</v>
      </c>
      <c r="AG160" s="29">
        <v>2050</v>
      </c>
      <c r="AH160" s="29">
        <v>2051</v>
      </c>
      <c r="AI160" s="29">
        <v>2052</v>
      </c>
      <c r="AJ160" s="29">
        <v>2053</v>
      </c>
      <c r="AK160" s="29">
        <v>2054</v>
      </c>
      <c r="AL160" s="29">
        <v>2055</v>
      </c>
      <c r="AM160" s="29">
        <v>2056</v>
      </c>
      <c r="AN160" s="29">
        <v>2057</v>
      </c>
      <c r="AO160" s="29">
        <v>2058</v>
      </c>
      <c r="AP160" s="29">
        <v>2059</v>
      </c>
      <c r="AQ160" s="29">
        <v>2060</v>
      </c>
      <c r="AR160" s="29">
        <v>2061</v>
      </c>
      <c r="AS160" s="29">
        <v>2062</v>
      </c>
      <c r="AT160" s="29">
        <v>2063</v>
      </c>
      <c r="AU160" s="29">
        <v>2064</v>
      </c>
      <c r="AV160" s="29">
        <v>2065</v>
      </c>
      <c r="AW160" s="29">
        <v>2066</v>
      </c>
      <c r="AX160" s="29">
        <v>2067</v>
      </c>
      <c r="AY160" s="29">
        <v>2068</v>
      </c>
      <c r="AZ160" s="29">
        <v>2069</v>
      </c>
      <c r="BA160" s="29">
        <v>2070</v>
      </c>
    </row>
    <row r="161" spans="1:53" x14ac:dyDescent="0.35">
      <c r="A161" s="2"/>
      <c r="B161" s="4" t="s">
        <v>123</v>
      </c>
      <c r="C161" s="4"/>
      <c r="D161" s="4"/>
      <c r="E161" s="4"/>
      <c r="F161" s="4"/>
      <c r="G161" s="9"/>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row>
    <row r="162" spans="1:53" x14ac:dyDescent="0.35">
      <c r="A162" s="2"/>
      <c r="B162" s="4" t="s">
        <v>117</v>
      </c>
      <c r="C162" s="4"/>
      <c r="D162" s="4"/>
      <c r="E162" s="4"/>
      <c r="F162" s="4"/>
      <c r="G162" s="9"/>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row>
    <row r="163" spans="1:53" x14ac:dyDescent="0.35">
      <c r="A163" s="2"/>
      <c r="B163" s="4" t="s">
        <v>124</v>
      </c>
      <c r="C163" s="4"/>
      <c r="D163" s="4"/>
      <c r="E163" s="4"/>
      <c r="F163" s="4"/>
      <c r="G163" s="9"/>
      <c r="H163" s="122">
        <f>H161-H162</f>
        <v>0</v>
      </c>
      <c r="I163" s="122">
        <f>H163+I161-I162</f>
        <v>0</v>
      </c>
      <c r="J163" s="122">
        <f t="shared" ref="J163" si="75">I163+J161-J162</f>
        <v>0</v>
      </c>
      <c r="K163" s="122">
        <f t="shared" ref="K163" si="76">J163+K161-K162</f>
        <v>0</v>
      </c>
      <c r="L163" s="122">
        <f t="shared" ref="L163" si="77">K163+L161-L162</f>
        <v>0</v>
      </c>
      <c r="M163" s="122">
        <f t="shared" ref="M163" si="78">L163+M161-M162</f>
        <v>0</v>
      </c>
      <c r="N163" s="122">
        <f t="shared" ref="N163" si="79">M163+N161-N162</f>
        <v>0</v>
      </c>
      <c r="O163" s="122">
        <f t="shared" ref="O163" si="80">N163+O161-O162</f>
        <v>0</v>
      </c>
      <c r="P163" s="122">
        <f t="shared" ref="P163" si="81">O163+P161-P162</f>
        <v>0</v>
      </c>
      <c r="Q163" s="122">
        <f t="shared" ref="Q163" si="82">P163+Q161-Q162</f>
        <v>0</v>
      </c>
      <c r="R163" s="122">
        <f t="shared" ref="R163" si="83">Q163+R161-R162</f>
        <v>0</v>
      </c>
      <c r="S163" s="122">
        <f t="shared" ref="S163" si="84">R163+S161-S162</f>
        <v>0</v>
      </c>
      <c r="T163" s="122">
        <f t="shared" ref="T163" si="85">S163+T161-T162</f>
        <v>0</v>
      </c>
      <c r="U163" s="122">
        <f t="shared" ref="U163" si="86">T163+U161-U162</f>
        <v>0</v>
      </c>
      <c r="V163" s="122">
        <f t="shared" ref="V163" si="87">U163+V161-V162</f>
        <v>0</v>
      </c>
      <c r="W163" s="122">
        <f t="shared" ref="W163" si="88">V163+W161-W162</f>
        <v>0</v>
      </c>
      <c r="X163" s="122">
        <f t="shared" ref="X163" si="89">W163+X161-X162</f>
        <v>0</v>
      </c>
      <c r="Y163" s="122">
        <f t="shared" ref="Y163" si="90">X163+Y161-Y162</f>
        <v>0</v>
      </c>
      <c r="Z163" s="122">
        <f t="shared" ref="Z163" si="91">Y163+Z161-Z162</f>
        <v>0</v>
      </c>
      <c r="AA163" s="122">
        <f t="shared" ref="AA163" si="92">Z163+AA161-AA162</f>
        <v>0</v>
      </c>
      <c r="AB163" s="122">
        <f t="shared" ref="AB163" si="93">AA163+AB161-AB162</f>
        <v>0</v>
      </c>
      <c r="AC163" s="122">
        <f t="shared" ref="AC163" si="94">AB163+AC161-AC162</f>
        <v>0</v>
      </c>
      <c r="AD163" s="122">
        <f t="shared" ref="AD163" si="95">AC163+AD161-AD162</f>
        <v>0</v>
      </c>
      <c r="AE163" s="122">
        <f t="shared" ref="AE163" si="96">AD163+AE161-AE162</f>
        <v>0</v>
      </c>
      <c r="AF163" s="122">
        <f t="shared" ref="AF163" si="97">AE163+AF161-AF162</f>
        <v>0</v>
      </c>
      <c r="AG163" s="122">
        <f t="shared" ref="AG163" si="98">AF163+AG161-AG162</f>
        <v>0</v>
      </c>
      <c r="AH163" s="122">
        <f t="shared" ref="AH163" si="99">AG163+AH161-AH162</f>
        <v>0</v>
      </c>
      <c r="AI163" s="122">
        <f t="shared" ref="AI163" si="100">AH163+AI161-AI162</f>
        <v>0</v>
      </c>
      <c r="AJ163" s="122">
        <f t="shared" ref="AJ163" si="101">AI163+AJ161-AJ162</f>
        <v>0</v>
      </c>
      <c r="AK163" s="122">
        <f t="shared" ref="AK163" si="102">AJ163+AK161-AK162</f>
        <v>0</v>
      </c>
      <c r="AL163" s="122">
        <f t="shared" ref="AL163" si="103">AK163+AL161-AL162</f>
        <v>0</v>
      </c>
      <c r="AM163" s="122">
        <f t="shared" ref="AM163" si="104">AL163+AM161-AM162</f>
        <v>0</v>
      </c>
      <c r="AN163" s="122">
        <f t="shared" ref="AN163" si="105">AM163+AN161-AN162</f>
        <v>0</v>
      </c>
      <c r="AO163" s="122">
        <f t="shared" ref="AO163" si="106">AN163+AO161-AO162</f>
        <v>0</v>
      </c>
      <c r="AP163" s="122">
        <f t="shared" ref="AP163" si="107">AO163+AP161-AP162</f>
        <v>0</v>
      </c>
      <c r="AQ163" s="122">
        <f t="shared" ref="AQ163" si="108">AP163+AQ161-AQ162</f>
        <v>0</v>
      </c>
      <c r="AR163" s="122">
        <f t="shared" ref="AR163" si="109">AQ163+AR161-AR162</f>
        <v>0</v>
      </c>
      <c r="AS163" s="122">
        <f t="shared" ref="AS163" si="110">AR163+AS161-AS162</f>
        <v>0</v>
      </c>
      <c r="AT163" s="122">
        <f t="shared" ref="AT163" si="111">AS163+AT161-AT162</f>
        <v>0</v>
      </c>
      <c r="AU163" s="122">
        <f t="shared" ref="AU163" si="112">AT163+AU161-AU162</f>
        <v>0</v>
      </c>
      <c r="AV163" s="122">
        <f t="shared" ref="AV163" si="113">AU163+AV161-AV162</f>
        <v>0</v>
      </c>
      <c r="AW163" s="122">
        <f t="shared" ref="AW163" si="114">AV163+AW161-AW162</f>
        <v>0</v>
      </c>
      <c r="AX163" s="122">
        <f t="shared" ref="AX163" si="115">AW163+AX161-AX162</f>
        <v>0</v>
      </c>
      <c r="AY163" s="122">
        <f t="shared" ref="AY163" si="116">AX163+AY161-AY162</f>
        <v>0</v>
      </c>
      <c r="AZ163" s="122">
        <f t="shared" ref="AZ163:BA163" si="117">AY163+AZ161-AZ162</f>
        <v>0</v>
      </c>
      <c r="BA163" s="122">
        <f t="shared" si="117"/>
        <v>0</v>
      </c>
    </row>
    <row r="164" spans="1:53" x14ac:dyDescent="0.35">
      <c r="A164" s="2"/>
      <c r="B164" s="4" t="s">
        <v>119</v>
      </c>
      <c r="C164" s="4"/>
      <c r="D164" s="4"/>
      <c r="E164" s="4"/>
      <c r="F164" s="4"/>
      <c r="G164" s="9"/>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row>
    <row r="165" spans="1:53" x14ac:dyDescent="0.35">
      <c r="A165" s="2"/>
      <c r="B165" s="4" t="s">
        <v>120</v>
      </c>
      <c r="C165" s="4"/>
      <c r="D165" s="4"/>
      <c r="E165" s="4"/>
      <c r="F165" s="4"/>
      <c r="G165" s="9"/>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row>
    <row r="166" spans="1:53" x14ac:dyDescent="0.35">
      <c r="A166" s="2"/>
      <c r="B166" s="4" t="s">
        <v>121</v>
      </c>
      <c r="C166" s="4"/>
      <c r="D166" s="4"/>
      <c r="E166" s="4"/>
      <c r="F166" s="4"/>
      <c r="G166" s="189"/>
      <c r="H166" s="194">
        <f>H164+H165</f>
        <v>0</v>
      </c>
      <c r="I166" s="194">
        <f t="shared" ref="I166" si="118">I164+I165</f>
        <v>0</v>
      </c>
      <c r="J166" s="194">
        <f t="shared" ref="J166" si="119">J164+J165</f>
        <v>0</v>
      </c>
      <c r="K166" s="194">
        <f t="shared" ref="K166" si="120">K164+K165</f>
        <v>0</v>
      </c>
      <c r="L166" s="194">
        <f t="shared" ref="L166" si="121">L164+L165</f>
        <v>0</v>
      </c>
      <c r="M166" s="194">
        <f t="shared" ref="M166" si="122">M164+M165</f>
        <v>0</v>
      </c>
      <c r="N166" s="194">
        <f t="shared" ref="N166" si="123">N164+N165</f>
        <v>0</v>
      </c>
      <c r="O166" s="194">
        <f t="shared" ref="O166" si="124">O164+O165</f>
        <v>0</v>
      </c>
      <c r="P166" s="194">
        <f t="shared" ref="P166" si="125">P164+P165</f>
        <v>0</v>
      </c>
      <c r="Q166" s="194">
        <f t="shared" ref="Q166" si="126">Q164+Q165</f>
        <v>0</v>
      </c>
      <c r="R166" s="194">
        <f t="shared" ref="R166" si="127">R164+R165</f>
        <v>0</v>
      </c>
      <c r="S166" s="194">
        <f t="shared" ref="S166" si="128">S164+S165</f>
        <v>0</v>
      </c>
      <c r="T166" s="194">
        <f t="shared" ref="T166" si="129">T164+T165</f>
        <v>0</v>
      </c>
      <c r="U166" s="194">
        <f t="shared" ref="U166" si="130">U164+U165</f>
        <v>0</v>
      </c>
      <c r="V166" s="194">
        <f t="shared" ref="V166" si="131">V164+V165</f>
        <v>0</v>
      </c>
      <c r="W166" s="194">
        <f t="shared" ref="W166" si="132">W164+W165</f>
        <v>0</v>
      </c>
      <c r="X166" s="194">
        <f t="shared" ref="X166" si="133">X164+X165</f>
        <v>0</v>
      </c>
      <c r="Y166" s="194">
        <f t="shared" ref="Y166" si="134">Y164+Y165</f>
        <v>0</v>
      </c>
      <c r="Z166" s="194">
        <f t="shared" ref="Z166" si="135">Z164+Z165</f>
        <v>0</v>
      </c>
      <c r="AA166" s="194">
        <f t="shared" ref="AA166" si="136">AA164+AA165</f>
        <v>0</v>
      </c>
      <c r="AB166" s="194">
        <f t="shared" ref="AB166" si="137">AB164+AB165</f>
        <v>0</v>
      </c>
      <c r="AC166" s="194">
        <f t="shared" ref="AC166" si="138">AC164+AC165</f>
        <v>0</v>
      </c>
      <c r="AD166" s="194">
        <f t="shared" ref="AD166" si="139">AD164+AD165</f>
        <v>0</v>
      </c>
      <c r="AE166" s="194">
        <f t="shared" ref="AE166" si="140">AE164+AE165</f>
        <v>0</v>
      </c>
      <c r="AF166" s="194">
        <f t="shared" ref="AF166" si="141">AF164+AF165</f>
        <v>0</v>
      </c>
      <c r="AG166" s="194">
        <f t="shared" ref="AG166" si="142">AG164+AG165</f>
        <v>0</v>
      </c>
      <c r="AH166" s="194">
        <f t="shared" ref="AH166" si="143">AH164+AH165</f>
        <v>0</v>
      </c>
      <c r="AI166" s="194">
        <f t="shared" ref="AI166" si="144">AI164+AI165</f>
        <v>0</v>
      </c>
      <c r="AJ166" s="194">
        <f t="shared" ref="AJ166" si="145">AJ164+AJ165</f>
        <v>0</v>
      </c>
      <c r="AK166" s="194">
        <f t="shared" ref="AK166" si="146">AK164+AK165</f>
        <v>0</v>
      </c>
      <c r="AL166" s="194">
        <f t="shared" ref="AL166" si="147">AL164+AL165</f>
        <v>0</v>
      </c>
      <c r="AM166" s="194">
        <f t="shared" ref="AM166" si="148">AM164+AM165</f>
        <v>0</v>
      </c>
      <c r="AN166" s="194">
        <f t="shared" ref="AN166" si="149">AN164+AN165</f>
        <v>0</v>
      </c>
      <c r="AO166" s="194">
        <f t="shared" ref="AO166" si="150">AO164+AO165</f>
        <v>0</v>
      </c>
      <c r="AP166" s="194">
        <f t="shared" ref="AP166" si="151">AP164+AP165</f>
        <v>0</v>
      </c>
      <c r="AQ166" s="194">
        <f t="shared" ref="AQ166" si="152">AQ164+AQ165</f>
        <v>0</v>
      </c>
      <c r="AR166" s="194">
        <f t="shared" ref="AR166" si="153">AR164+AR165</f>
        <v>0</v>
      </c>
      <c r="AS166" s="194">
        <f t="shared" ref="AS166" si="154">AS164+AS165</f>
        <v>0</v>
      </c>
      <c r="AT166" s="194">
        <f t="shared" ref="AT166" si="155">AT164+AT165</f>
        <v>0</v>
      </c>
      <c r="AU166" s="194">
        <f t="shared" ref="AU166" si="156">AU164+AU165</f>
        <v>0</v>
      </c>
      <c r="AV166" s="194">
        <f t="shared" ref="AV166" si="157">AV164+AV165</f>
        <v>0</v>
      </c>
      <c r="AW166" s="194">
        <f t="shared" ref="AW166" si="158">AW164+AW165</f>
        <v>0</v>
      </c>
      <c r="AX166" s="194">
        <f t="shared" ref="AX166" si="159">AX164+AX165</f>
        <v>0</v>
      </c>
      <c r="AY166" s="194">
        <f t="shared" ref="AY166" si="160">AY164+AY165</f>
        <v>0</v>
      </c>
      <c r="AZ166" s="194">
        <f t="shared" ref="AZ166:BA166" si="161">AZ164+AZ165</f>
        <v>0</v>
      </c>
      <c r="BA166" s="194">
        <f t="shared" si="161"/>
        <v>0</v>
      </c>
    </row>
    <row r="167" spans="1:53" x14ac:dyDescent="0.35">
      <c r="A167" s="2"/>
      <c r="B167" s="29" t="str">
        <f>"Costs of debt in "&amp;Analysis_year&amp;" dollars"</f>
        <v>Costs of debt in  dollars</v>
      </c>
      <c r="C167" s="34"/>
      <c r="D167" s="34"/>
      <c r="E167" s="34"/>
      <c r="F167" s="34"/>
      <c r="G167" s="34"/>
      <c r="H167" s="124">
        <f>IFERROR(H166/H11,0)</f>
        <v>0</v>
      </c>
      <c r="I167" s="124">
        <f t="shared" ref="I167:BA167" si="162">IFERROR(I166/I11,0)</f>
        <v>0</v>
      </c>
      <c r="J167" s="124">
        <f t="shared" si="162"/>
        <v>0</v>
      </c>
      <c r="K167" s="124">
        <f t="shared" si="162"/>
        <v>0</v>
      </c>
      <c r="L167" s="124">
        <f t="shared" si="162"/>
        <v>0</v>
      </c>
      <c r="M167" s="124">
        <f t="shared" si="162"/>
        <v>0</v>
      </c>
      <c r="N167" s="124">
        <f t="shared" si="162"/>
        <v>0</v>
      </c>
      <c r="O167" s="124">
        <f t="shared" si="162"/>
        <v>0</v>
      </c>
      <c r="P167" s="124">
        <f t="shared" si="162"/>
        <v>0</v>
      </c>
      <c r="Q167" s="124">
        <f t="shared" si="162"/>
        <v>0</v>
      </c>
      <c r="R167" s="124">
        <f t="shared" si="162"/>
        <v>0</v>
      </c>
      <c r="S167" s="124">
        <f t="shared" si="162"/>
        <v>0</v>
      </c>
      <c r="T167" s="124">
        <f t="shared" si="162"/>
        <v>0</v>
      </c>
      <c r="U167" s="124">
        <f t="shared" si="162"/>
        <v>0</v>
      </c>
      <c r="V167" s="124">
        <f t="shared" si="162"/>
        <v>0</v>
      </c>
      <c r="W167" s="124">
        <f t="shared" si="162"/>
        <v>0</v>
      </c>
      <c r="X167" s="124">
        <f t="shared" si="162"/>
        <v>0</v>
      </c>
      <c r="Y167" s="124">
        <f t="shared" si="162"/>
        <v>0</v>
      </c>
      <c r="Z167" s="124">
        <f t="shared" si="162"/>
        <v>0</v>
      </c>
      <c r="AA167" s="124">
        <f t="shared" si="162"/>
        <v>0</v>
      </c>
      <c r="AB167" s="124">
        <f t="shared" si="162"/>
        <v>0</v>
      </c>
      <c r="AC167" s="124">
        <f t="shared" si="162"/>
        <v>0</v>
      </c>
      <c r="AD167" s="124">
        <f t="shared" si="162"/>
        <v>0</v>
      </c>
      <c r="AE167" s="124">
        <f t="shared" si="162"/>
        <v>0</v>
      </c>
      <c r="AF167" s="124">
        <f t="shared" si="162"/>
        <v>0</v>
      </c>
      <c r="AG167" s="124">
        <f t="shared" si="162"/>
        <v>0</v>
      </c>
      <c r="AH167" s="124">
        <f t="shared" si="162"/>
        <v>0</v>
      </c>
      <c r="AI167" s="124">
        <f t="shared" si="162"/>
        <v>0</v>
      </c>
      <c r="AJ167" s="124">
        <f t="shared" si="162"/>
        <v>0</v>
      </c>
      <c r="AK167" s="124">
        <f t="shared" si="162"/>
        <v>0</v>
      </c>
      <c r="AL167" s="124">
        <f t="shared" si="162"/>
        <v>0</v>
      </c>
      <c r="AM167" s="124">
        <f t="shared" si="162"/>
        <v>0</v>
      </c>
      <c r="AN167" s="124">
        <f t="shared" si="162"/>
        <v>0</v>
      </c>
      <c r="AO167" s="124">
        <f t="shared" si="162"/>
        <v>0</v>
      </c>
      <c r="AP167" s="124">
        <f t="shared" si="162"/>
        <v>0</v>
      </c>
      <c r="AQ167" s="124">
        <f t="shared" si="162"/>
        <v>0</v>
      </c>
      <c r="AR167" s="124">
        <f t="shared" si="162"/>
        <v>0</v>
      </c>
      <c r="AS167" s="124">
        <f t="shared" si="162"/>
        <v>0</v>
      </c>
      <c r="AT167" s="124">
        <f t="shared" si="162"/>
        <v>0</v>
      </c>
      <c r="AU167" s="124">
        <f t="shared" si="162"/>
        <v>0</v>
      </c>
      <c r="AV167" s="124">
        <f t="shared" si="162"/>
        <v>0</v>
      </c>
      <c r="AW167" s="124">
        <f t="shared" si="162"/>
        <v>0</v>
      </c>
      <c r="AX167" s="124">
        <f t="shared" si="162"/>
        <v>0</v>
      </c>
      <c r="AY167" s="124">
        <f t="shared" si="162"/>
        <v>0</v>
      </c>
      <c r="AZ167" s="124">
        <f t="shared" si="162"/>
        <v>0</v>
      </c>
      <c r="BA167" s="124">
        <f t="shared" si="162"/>
        <v>0</v>
      </c>
    </row>
    <row r="168" spans="1:53" x14ac:dyDescent="0.35">
      <c r="A168" s="2"/>
      <c r="B168" s="2"/>
      <c r="C168" s="3"/>
      <c r="D168" s="3"/>
      <c r="E168" s="3"/>
      <c r="F168" s="3"/>
      <c r="G168" s="3"/>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25"/>
      <c r="AI168" s="125"/>
      <c r="AJ168" s="125"/>
      <c r="AK168" s="125"/>
      <c r="AL168" s="125"/>
      <c r="AM168" s="125"/>
      <c r="AN168" s="125"/>
      <c r="AO168" s="125"/>
      <c r="AP168" s="125"/>
      <c r="AQ168" s="125"/>
      <c r="AR168" s="125"/>
      <c r="AS168" s="125"/>
      <c r="AT168" s="125"/>
      <c r="AU168" s="125"/>
      <c r="AV168" s="125"/>
      <c r="AW168" s="125"/>
      <c r="AX168" s="125"/>
      <c r="AY168" s="125"/>
      <c r="AZ168" s="125"/>
      <c r="BA168" s="125"/>
    </row>
    <row r="169" spans="1:53"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row>
    <row r="170" spans="1:53" ht="18.5" x14ac:dyDescent="0.45">
      <c r="A170" s="7" t="s">
        <v>125</v>
      </c>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row>
    <row r="171" spans="1:53" ht="109.4" customHeight="1" x14ac:dyDescent="0.45">
      <c r="A171" s="403" t="s">
        <v>126</v>
      </c>
      <c r="B171" s="403"/>
      <c r="C171" s="403"/>
      <c r="D171" s="403"/>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row>
    <row r="172" spans="1:53" ht="18.5" x14ac:dyDescent="0.45">
      <c r="A172" s="126"/>
      <c r="B172" s="2"/>
      <c r="C172" s="127"/>
      <c r="D172" s="127" t="s">
        <v>35</v>
      </c>
      <c r="E172" s="131" t="s">
        <v>109</v>
      </c>
      <c r="F172" s="7"/>
      <c r="G172" s="126"/>
      <c r="H172" s="126"/>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row>
    <row r="173" spans="1:53" x14ac:dyDescent="0.35">
      <c r="A173" s="28" t="s">
        <v>37</v>
      </c>
      <c r="B173" s="26"/>
      <c r="C173" s="25"/>
      <c r="D173" s="94" t="s">
        <v>127</v>
      </c>
      <c r="E173" s="94" t="s">
        <v>35</v>
      </c>
      <c r="F173" s="94"/>
      <c r="G173" s="106" t="s">
        <v>39</v>
      </c>
      <c r="H173" s="94">
        <v>2025</v>
      </c>
      <c r="I173" s="94">
        <v>2026</v>
      </c>
      <c r="J173" s="94">
        <v>2027</v>
      </c>
      <c r="K173" s="94">
        <v>2028</v>
      </c>
      <c r="L173" s="94">
        <v>2029</v>
      </c>
      <c r="M173" s="94">
        <v>2030</v>
      </c>
      <c r="N173" s="94">
        <v>2031</v>
      </c>
      <c r="O173" s="94">
        <v>2032</v>
      </c>
      <c r="P173" s="94">
        <v>2033</v>
      </c>
      <c r="Q173" s="94">
        <v>2034</v>
      </c>
      <c r="R173" s="94">
        <v>2035</v>
      </c>
      <c r="S173" s="94">
        <v>2036</v>
      </c>
      <c r="T173" s="94">
        <v>2037</v>
      </c>
      <c r="U173" s="94">
        <v>2038</v>
      </c>
      <c r="V173" s="94">
        <v>2039</v>
      </c>
      <c r="W173" s="94">
        <v>2040</v>
      </c>
      <c r="X173" s="94">
        <v>2041</v>
      </c>
      <c r="Y173" s="94">
        <v>2042</v>
      </c>
      <c r="Z173" s="94">
        <v>2043</v>
      </c>
      <c r="AA173" s="94">
        <v>2044</v>
      </c>
      <c r="AB173" s="94">
        <v>2045</v>
      </c>
      <c r="AC173" s="94">
        <v>2046</v>
      </c>
      <c r="AD173" s="94">
        <v>2047</v>
      </c>
      <c r="AE173" s="94">
        <v>2048</v>
      </c>
      <c r="AF173" s="94">
        <v>2049</v>
      </c>
      <c r="AG173" s="94">
        <v>2050</v>
      </c>
      <c r="AH173" s="94">
        <v>2051</v>
      </c>
      <c r="AI173" s="94">
        <v>2052</v>
      </c>
      <c r="AJ173" s="94">
        <v>2053</v>
      </c>
      <c r="AK173" s="94">
        <v>2054</v>
      </c>
      <c r="AL173" s="94">
        <v>2055</v>
      </c>
      <c r="AM173" s="94">
        <v>2056</v>
      </c>
      <c r="AN173" s="94">
        <v>2057</v>
      </c>
      <c r="AO173" s="94">
        <v>2058</v>
      </c>
      <c r="AP173" s="94">
        <v>2059</v>
      </c>
      <c r="AQ173" s="94">
        <v>2060</v>
      </c>
      <c r="AR173" s="94">
        <v>2061</v>
      </c>
      <c r="AS173" s="94">
        <v>2062</v>
      </c>
      <c r="AT173" s="94">
        <v>2063</v>
      </c>
      <c r="AU173" s="94">
        <v>2064</v>
      </c>
      <c r="AV173" s="94">
        <v>2065</v>
      </c>
      <c r="AW173" s="94">
        <v>2066</v>
      </c>
      <c r="AX173" s="94">
        <v>2067</v>
      </c>
      <c r="AY173" s="94">
        <v>2068</v>
      </c>
      <c r="AZ173" s="94">
        <v>2069</v>
      </c>
      <c r="BA173" s="94">
        <v>2070</v>
      </c>
    </row>
    <row r="174" spans="1:53" x14ac:dyDescent="0.35">
      <c r="A174" s="95" t="str">
        <f>"Please provide data through to "&amp;FinalYear_PP</f>
        <v>Please provide data through to 1900</v>
      </c>
      <c r="B174" s="2"/>
      <c r="C174" s="8"/>
      <c r="D174" s="8" t="s">
        <v>128</v>
      </c>
      <c r="E174" s="8" t="str">
        <f>E172</f>
        <v>Real</v>
      </c>
      <c r="F174" s="8" t="str">
        <f>IF(E174="Nominal","",Analysis_year&amp;" values")</f>
        <v xml:space="preserve"> values</v>
      </c>
      <c r="G174" s="9"/>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row>
    <row r="175" spans="1:53" x14ac:dyDescent="0.35">
      <c r="A175" s="2"/>
      <c r="B175" s="2"/>
      <c r="C175" s="2"/>
      <c r="D175" s="2"/>
      <c r="E175" s="2"/>
      <c r="F175" s="2"/>
      <c r="G175" s="97"/>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95"/>
      <c r="AM175" s="195"/>
      <c r="AN175" s="195"/>
      <c r="AO175" s="195"/>
      <c r="AP175" s="195"/>
      <c r="AQ175" s="195"/>
      <c r="AR175" s="195"/>
      <c r="AS175" s="195"/>
      <c r="AT175" s="195"/>
      <c r="AU175" s="195"/>
      <c r="AV175" s="195"/>
      <c r="AW175" s="195"/>
      <c r="AX175" s="195"/>
      <c r="AY175" s="195"/>
      <c r="AZ175" s="195"/>
      <c r="BA175" s="195"/>
    </row>
    <row r="176" spans="1:53" x14ac:dyDescent="0.35">
      <c r="A176" s="27" t="s">
        <v>48</v>
      </c>
      <c r="B176" s="26"/>
      <c r="C176" s="27"/>
      <c r="D176" s="29" t="s">
        <v>127</v>
      </c>
      <c r="E176" s="29" t="s">
        <v>35</v>
      </c>
      <c r="F176" s="29"/>
      <c r="G176" s="101" t="s">
        <v>39</v>
      </c>
      <c r="H176" s="29">
        <v>2025</v>
      </c>
      <c r="I176" s="29">
        <v>2026</v>
      </c>
      <c r="J176" s="29">
        <v>2027</v>
      </c>
      <c r="K176" s="29">
        <v>2028</v>
      </c>
      <c r="L176" s="29">
        <v>2029</v>
      </c>
      <c r="M176" s="29">
        <v>2030</v>
      </c>
      <c r="N176" s="29">
        <v>2031</v>
      </c>
      <c r="O176" s="29">
        <v>2032</v>
      </c>
      <c r="P176" s="29">
        <v>2033</v>
      </c>
      <c r="Q176" s="29">
        <v>2034</v>
      </c>
      <c r="R176" s="29">
        <v>2035</v>
      </c>
      <c r="S176" s="29">
        <v>2036</v>
      </c>
      <c r="T176" s="29">
        <v>2037</v>
      </c>
      <c r="U176" s="29">
        <v>2038</v>
      </c>
      <c r="V176" s="29">
        <v>2039</v>
      </c>
      <c r="W176" s="29">
        <v>2040</v>
      </c>
      <c r="X176" s="29">
        <v>2041</v>
      </c>
      <c r="Y176" s="29">
        <v>2042</v>
      </c>
      <c r="Z176" s="29">
        <v>2043</v>
      </c>
      <c r="AA176" s="29">
        <v>2044</v>
      </c>
      <c r="AB176" s="29">
        <v>2045</v>
      </c>
      <c r="AC176" s="29">
        <v>2046</v>
      </c>
      <c r="AD176" s="29">
        <v>2047</v>
      </c>
      <c r="AE176" s="29">
        <v>2048</v>
      </c>
      <c r="AF176" s="29">
        <v>2049</v>
      </c>
      <c r="AG176" s="29">
        <v>2050</v>
      </c>
      <c r="AH176" s="29">
        <v>2051</v>
      </c>
      <c r="AI176" s="29">
        <v>2052</v>
      </c>
      <c r="AJ176" s="29">
        <v>2053</v>
      </c>
      <c r="AK176" s="29">
        <v>2054</v>
      </c>
      <c r="AL176" s="29">
        <v>2055</v>
      </c>
      <c r="AM176" s="29">
        <v>2056</v>
      </c>
      <c r="AN176" s="29">
        <v>2057</v>
      </c>
      <c r="AO176" s="29">
        <v>2058</v>
      </c>
      <c r="AP176" s="29">
        <v>2059</v>
      </c>
      <c r="AQ176" s="29">
        <v>2060</v>
      </c>
      <c r="AR176" s="29">
        <v>2061</v>
      </c>
      <c r="AS176" s="29">
        <v>2062</v>
      </c>
      <c r="AT176" s="29">
        <v>2063</v>
      </c>
      <c r="AU176" s="29">
        <v>2064</v>
      </c>
      <c r="AV176" s="29">
        <v>2065</v>
      </c>
      <c r="AW176" s="29">
        <v>2066</v>
      </c>
      <c r="AX176" s="29">
        <v>2067</v>
      </c>
      <c r="AY176" s="29">
        <v>2068</v>
      </c>
      <c r="AZ176" s="29">
        <v>2069</v>
      </c>
      <c r="BA176" s="29">
        <v>2070</v>
      </c>
    </row>
    <row r="177" spans="1:53" x14ac:dyDescent="0.35">
      <c r="A177" s="95" t="str">
        <f>"Please provide data through to "&amp;FinalYear_BC</f>
        <v>Please provide data through to 1900</v>
      </c>
      <c r="B177" s="2"/>
      <c r="C177" s="4"/>
      <c r="D177" s="4" t="s">
        <v>128</v>
      </c>
      <c r="E177" s="129" t="str">
        <f>E172</f>
        <v>Real</v>
      </c>
      <c r="F177" s="4" t="str">
        <f>IF(E177="Nominal","",Analysis_year&amp;" values")</f>
        <v xml:space="preserve"> values</v>
      </c>
      <c r="G177" s="9"/>
      <c r="H177" s="134"/>
      <c r="I177" s="134"/>
      <c r="J177" s="134"/>
      <c r="K177" s="134"/>
      <c r="L177" s="134"/>
      <c r="M177" s="134"/>
      <c r="N177" s="134"/>
      <c r="O177" s="134"/>
      <c r="P177" s="134"/>
      <c r="Q177" s="134"/>
      <c r="R177" s="134"/>
      <c r="S177" s="134"/>
      <c r="T177" s="134"/>
      <c r="U177" s="134"/>
      <c r="V177" s="134"/>
      <c r="W177" s="134"/>
      <c r="X177" s="134"/>
      <c r="Y177" s="134"/>
      <c r="Z177" s="134"/>
      <c r="AA177" s="134"/>
      <c r="AB177" s="134"/>
      <c r="AC177" s="134"/>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row>
    <row r="178" spans="1:53" x14ac:dyDescent="0.35">
      <c r="A178" s="10"/>
      <c r="B178" s="2"/>
      <c r="C178" s="4"/>
      <c r="D178" s="4"/>
      <c r="E178" s="129"/>
      <c r="F178" s="129"/>
      <c r="G178" s="196"/>
      <c r="H178" s="196"/>
      <c r="I178" s="196"/>
      <c r="J178" s="196"/>
      <c r="K178" s="196"/>
      <c r="L178" s="196"/>
      <c r="M178" s="196"/>
      <c r="N178" s="196"/>
      <c r="O178" s="196"/>
      <c r="P178" s="196"/>
      <c r="Q178" s="196"/>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row>
    <row r="179" spans="1:53" ht="18.5" x14ac:dyDescent="0.45">
      <c r="A179" s="7" t="s">
        <v>129</v>
      </c>
      <c r="B179" s="2"/>
      <c r="C179" s="10"/>
      <c r="D179" s="4"/>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row>
    <row r="180" spans="1:53" x14ac:dyDescent="0.35">
      <c r="A180" s="28" t="s">
        <v>37</v>
      </c>
      <c r="B180" s="26"/>
      <c r="C180" s="25"/>
      <c r="D180" s="25"/>
      <c r="E180" s="106" t="s">
        <v>35</v>
      </c>
      <c r="F180" s="106"/>
      <c r="G180" s="106" t="s">
        <v>39</v>
      </c>
      <c r="H180" s="94">
        <v>2025</v>
      </c>
      <c r="I180" s="94">
        <v>2026</v>
      </c>
      <c r="J180" s="94">
        <v>2027</v>
      </c>
      <c r="K180" s="94">
        <v>2028</v>
      </c>
      <c r="L180" s="94">
        <v>2029</v>
      </c>
      <c r="M180" s="94">
        <v>2030</v>
      </c>
      <c r="N180" s="94">
        <v>2031</v>
      </c>
      <c r="O180" s="94">
        <v>2032</v>
      </c>
      <c r="P180" s="94">
        <v>2033</v>
      </c>
      <c r="Q180" s="94">
        <v>2034</v>
      </c>
      <c r="R180" s="94">
        <v>2035</v>
      </c>
      <c r="S180" s="94">
        <v>2036</v>
      </c>
      <c r="T180" s="94">
        <v>2037</v>
      </c>
      <c r="U180" s="94">
        <v>2038</v>
      </c>
      <c r="V180" s="94">
        <v>2039</v>
      </c>
      <c r="W180" s="94">
        <v>2040</v>
      </c>
      <c r="X180" s="94">
        <v>2041</v>
      </c>
      <c r="Y180" s="94">
        <v>2042</v>
      </c>
      <c r="Z180" s="94">
        <v>2043</v>
      </c>
      <c r="AA180" s="94">
        <v>2044</v>
      </c>
      <c r="AB180" s="94">
        <v>2045</v>
      </c>
      <c r="AC180" s="94">
        <v>2046</v>
      </c>
      <c r="AD180" s="94">
        <v>2047</v>
      </c>
      <c r="AE180" s="94">
        <v>2048</v>
      </c>
      <c r="AF180" s="94">
        <v>2049</v>
      </c>
      <c r="AG180" s="94">
        <v>2050</v>
      </c>
      <c r="AH180" s="94">
        <v>2051</v>
      </c>
      <c r="AI180" s="94">
        <v>2052</v>
      </c>
      <c r="AJ180" s="94">
        <v>2053</v>
      </c>
      <c r="AK180" s="94">
        <v>2054</v>
      </c>
      <c r="AL180" s="94">
        <v>2055</v>
      </c>
      <c r="AM180" s="94">
        <v>2056</v>
      </c>
      <c r="AN180" s="94">
        <v>2057</v>
      </c>
      <c r="AO180" s="94">
        <v>2058</v>
      </c>
      <c r="AP180" s="94">
        <v>2059</v>
      </c>
      <c r="AQ180" s="94">
        <v>2060</v>
      </c>
      <c r="AR180" s="94">
        <v>2061</v>
      </c>
      <c r="AS180" s="94">
        <v>2062</v>
      </c>
      <c r="AT180" s="94">
        <v>2063</v>
      </c>
      <c r="AU180" s="94">
        <v>2064</v>
      </c>
      <c r="AV180" s="94">
        <v>2065</v>
      </c>
      <c r="AW180" s="94">
        <v>2066</v>
      </c>
      <c r="AX180" s="94">
        <v>2067</v>
      </c>
      <c r="AY180" s="94">
        <v>2068</v>
      </c>
      <c r="AZ180" s="94">
        <v>2069</v>
      </c>
      <c r="BA180" s="94">
        <v>2070</v>
      </c>
    </row>
    <row r="181" spans="1:53" x14ac:dyDescent="0.35">
      <c r="A181" s="95" t="str">
        <f>"Please provide data through to "&amp;FinalYear_PP</f>
        <v>Please provide data through to 1900</v>
      </c>
      <c r="B181" s="2"/>
      <c r="C181" s="8" t="s">
        <v>130</v>
      </c>
      <c r="D181" s="4"/>
      <c r="E181" s="131" t="s">
        <v>36</v>
      </c>
      <c r="F181" s="8" t="str">
        <f>IF(E181="Nominal","",Analysis_year&amp;" values")</f>
        <v/>
      </c>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row>
    <row r="182" spans="1:53" x14ac:dyDescent="0.35">
      <c r="A182" s="10"/>
      <c r="B182" s="2"/>
      <c r="C182" s="10"/>
      <c r="D182" s="4"/>
      <c r="E182" s="129"/>
      <c r="F182" s="2"/>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row>
    <row r="183" spans="1:53" x14ac:dyDescent="0.35">
      <c r="A183" s="27" t="s">
        <v>48</v>
      </c>
      <c r="B183" s="26"/>
      <c r="C183" s="27"/>
      <c r="D183" s="29"/>
      <c r="E183" s="101" t="s">
        <v>35</v>
      </c>
      <c r="F183" s="29"/>
      <c r="G183" s="101" t="s">
        <v>39</v>
      </c>
      <c r="H183" s="29">
        <v>2025</v>
      </c>
      <c r="I183" s="29">
        <v>2026</v>
      </c>
      <c r="J183" s="29">
        <v>2027</v>
      </c>
      <c r="K183" s="29">
        <v>2028</v>
      </c>
      <c r="L183" s="29">
        <v>2029</v>
      </c>
      <c r="M183" s="29">
        <v>2030</v>
      </c>
      <c r="N183" s="29">
        <v>2031</v>
      </c>
      <c r="O183" s="29">
        <v>2032</v>
      </c>
      <c r="P183" s="29">
        <v>2033</v>
      </c>
      <c r="Q183" s="29">
        <v>2034</v>
      </c>
      <c r="R183" s="29">
        <v>2035</v>
      </c>
      <c r="S183" s="29">
        <v>2036</v>
      </c>
      <c r="T183" s="29">
        <v>2037</v>
      </c>
      <c r="U183" s="29">
        <v>2038</v>
      </c>
      <c r="V183" s="29">
        <v>2039</v>
      </c>
      <c r="W183" s="29">
        <v>2040</v>
      </c>
      <c r="X183" s="29">
        <v>2041</v>
      </c>
      <c r="Y183" s="29">
        <v>2042</v>
      </c>
      <c r="Z183" s="29">
        <v>2043</v>
      </c>
      <c r="AA183" s="29">
        <v>2044</v>
      </c>
      <c r="AB183" s="29">
        <v>2045</v>
      </c>
      <c r="AC183" s="29">
        <v>2046</v>
      </c>
      <c r="AD183" s="29">
        <v>2047</v>
      </c>
      <c r="AE183" s="29">
        <v>2048</v>
      </c>
      <c r="AF183" s="29">
        <v>2049</v>
      </c>
      <c r="AG183" s="29">
        <v>2050</v>
      </c>
      <c r="AH183" s="29">
        <v>2051</v>
      </c>
      <c r="AI183" s="29">
        <v>2052</v>
      </c>
      <c r="AJ183" s="29">
        <v>2053</v>
      </c>
      <c r="AK183" s="29">
        <v>2054</v>
      </c>
      <c r="AL183" s="29">
        <v>2055</v>
      </c>
      <c r="AM183" s="29">
        <v>2056</v>
      </c>
      <c r="AN183" s="29">
        <v>2057</v>
      </c>
      <c r="AO183" s="29">
        <v>2058</v>
      </c>
      <c r="AP183" s="29">
        <v>2059</v>
      </c>
      <c r="AQ183" s="29">
        <v>2060</v>
      </c>
      <c r="AR183" s="29">
        <v>2061</v>
      </c>
      <c r="AS183" s="29">
        <v>2062</v>
      </c>
      <c r="AT183" s="29">
        <v>2063</v>
      </c>
      <c r="AU183" s="29">
        <v>2064</v>
      </c>
      <c r="AV183" s="29">
        <v>2065</v>
      </c>
      <c r="AW183" s="29">
        <v>2066</v>
      </c>
      <c r="AX183" s="29">
        <v>2067</v>
      </c>
      <c r="AY183" s="29">
        <v>2068</v>
      </c>
      <c r="AZ183" s="29">
        <v>2069</v>
      </c>
      <c r="BA183" s="29">
        <v>2070</v>
      </c>
    </row>
    <row r="184" spans="1:53" x14ac:dyDescent="0.35">
      <c r="A184" s="95" t="str">
        <f>"Please provide data through to "&amp;FinalYear_BC</f>
        <v>Please provide data through to 1900</v>
      </c>
      <c r="B184" s="2"/>
      <c r="C184" s="4" t="s">
        <v>130</v>
      </c>
      <c r="D184" s="4"/>
      <c r="E184" s="129" t="s">
        <v>36</v>
      </c>
      <c r="F184" s="4" t="str">
        <f>IF(E184="Nominal","",Analysis_year&amp;" values")</f>
        <v/>
      </c>
      <c r="G184" s="9"/>
      <c r="H184" s="134"/>
      <c r="I184" s="134"/>
      <c r="J184" s="134"/>
      <c r="K184" s="134"/>
      <c r="L184" s="134"/>
      <c r="M184" s="134"/>
      <c r="N184" s="134"/>
      <c r="O184" s="134"/>
      <c r="P184" s="134"/>
      <c r="Q184" s="134"/>
      <c r="R184" s="134"/>
      <c r="S184" s="134"/>
      <c r="T184" s="134"/>
      <c r="U184" s="134"/>
      <c r="V184" s="134"/>
      <c r="W184" s="134"/>
      <c r="X184" s="134"/>
      <c r="Y184" s="134"/>
      <c r="Z184" s="134"/>
      <c r="AA184" s="134"/>
      <c r="AB184" s="134"/>
      <c r="AC184" s="134"/>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row>
    <row r="185" spans="1:53" x14ac:dyDescent="0.35">
      <c r="A185" s="10"/>
      <c r="B185" s="10"/>
      <c r="C185" s="4"/>
      <c r="D185" s="4"/>
      <c r="E185" s="129"/>
      <c r="F185" s="129"/>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row>
    <row r="186" spans="1:53" ht="18.5" x14ac:dyDescent="0.45">
      <c r="A186" s="7" t="s">
        <v>131</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row>
    <row r="187" spans="1:53" ht="18.5" x14ac:dyDescent="0.45">
      <c r="A187" s="7" t="s">
        <v>132</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row>
    <row r="188" spans="1:53" x14ac:dyDescent="0.35">
      <c r="A188" s="28" t="s">
        <v>37</v>
      </c>
      <c r="B188" s="25"/>
      <c r="C188" s="25"/>
      <c r="D188" s="25"/>
      <c r="E188" s="25"/>
      <c r="F188" s="25"/>
      <c r="G188" s="25"/>
      <c r="H188" s="94">
        <v>2025</v>
      </c>
      <c r="I188" s="94">
        <v>2026</v>
      </c>
      <c r="J188" s="94">
        <v>2027</v>
      </c>
      <c r="K188" s="94">
        <v>2028</v>
      </c>
      <c r="L188" s="94">
        <v>2029</v>
      </c>
      <c r="M188" s="94">
        <v>2030</v>
      </c>
      <c r="N188" s="94">
        <v>2031</v>
      </c>
      <c r="O188" s="94">
        <v>2032</v>
      </c>
      <c r="P188" s="94">
        <v>2033</v>
      </c>
      <c r="Q188" s="94">
        <v>2034</v>
      </c>
      <c r="R188" s="94">
        <v>2035</v>
      </c>
      <c r="S188" s="94">
        <v>2036</v>
      </c>
      <c r="T188" s="94">
        <v>2037</v>
      </c>
      <c r="U188" s="94">
        <v>2038</v>
      </c>
      <c r="V188" s="94">
        <v>2039</v>
      </c>
      <c r="W188" s="94">
        <v>2040</v>
      </c>
      <c r="X188" s="94">
        <v>2041</v>
      </c>
      <c r="Y188" s="94">
        <v>2042</v>
      </c>
      <c r="Z188" s="94">
        <v>2043</v>
      </c>
      <c r="AA188" s="94">
        <v>2044</v>
      </c>
      <c r="AB188" s="94">
        <v>2045</v>
      </c>
      <c r="AC188" s="94">
        <v>2046</v>
      </c>
      <c r="AD188" s="94">
        <v>2047</v>
      </c>
      <c r="AE188" s="94">
        <v>2048</v>
      </c>
      <c r="AF188" s="94">
        <v>2049</v>
      </c>
      <c r="AG188" s="94">
        <v>2050</v>
      </c>
      <c r="AH188" s="94">
        <v>2051</v>
      </c>
      <c r="AI188" s="94">
        <v>2052</v>
      </c>
      <c r="AJ188" s="94">
        <v>2053</v>
      </c>
      <c r="AK188" s="94">
        <v>2054</v>
      </c>
      <c r="AL188" s="94">
        <v>2055</v>
      </c>
      <c r="AM188" s="94">
        <v>2056</v>
      </c>
      <c r="AN188" s="94">
        <v>2057</v>
      </c>
      <c r="AO188" s="94">
        <v>2058</v>
      </c>
      <c r="AP188" s="94">
        <v>2059</v>
      </c>
      <c r="AQ188" s="94">
        <v>2060</v>
      </c>
      <c r="AR188" s="94">
        <v>2061</v>
      </c>
      <c r="AS188" s="94">
        <v>2062</v>
      </c>
      <c r="AT188" s="94">
        <v>2063</v>
      </c>
      <c r="AU188" s="94">
        <v>2064</v>
      </c>
      <c r="AV188" s="94">
        <v>2065</v>
      </c>
      <c r="AW188" s="94">
        <v>2066</v>
      </c>
      <c r="AX188" s="94">
        <v>2067</v>
      </c>
      <c r="AY188" s="94">
        <v>2068</v>
      </c>
      <c r="AZ188" s="94">
        <v>2069</v>
      </c>
      <c r="BA188" s="94">
        <v>2070</v>
      </c>
    </row>
    <row r="189" spans="1:53" x14ac:dyDescent="0.35">
      <c r="A189" s="2" t="s">
        <v>133</v>
      </c>
      <c r="B189" s="2"/>
      <c r="C189" s="2"/>
      <c r="D189" s="2"/>
      <c r="E189" s="8" t="s">
        <v>36</v>
      </c>
      <c r="F189" s="8" t="str">
        <f t="shared" ref="F189:F196" si="163">IF(E189="Nominal","",Analysis_year&amp;" values")</f>
        <v/>
      </c>
      <c r="G189" s="2"/>
      <c r="H189" s="49">
        <f t="shared" ref="H189:BA189" si="164">H49</f>
        <v>0</v>
      </c>
      <c r="I189" s="49">
        <f t="shared" si="164"/>
        <v>0</v>
      </c>
      <c r="J189" s="49">
        <f t="shared" si="164"/>
        <v>0</v>
      </c>
      <c r="K189" s="49">
        <f t="shared" si="164"/>
        <v>0</v>
      </c>
      <c r="L189" s="49">
        <f t="shared" si="164"/>
        <v>0</v>
      </c>
      <c r="M189" s="49">
        <f t="shared" si="164"/>
        <v>0</v>
      </c>
      <c r="N189" s="49">
        <f t="shared" si="164"/>
        <v>0</v>
      </c>
      <c r="O189" s="49">
        <f t="shared" si="164"/>
        <v>0</v>
      </c>
      <c r="P189" s="49">
        <f t="shared" si="164"/>
        <v>0</v>
      </c>
      <c r="Q189" s="49">
        <f t="shared" si="164"/>
        <v>0</v>
      </c>
      <c r="R189" s="49">
        <f t="shared" si="164"/>
        <v>0</v>
      </c>
      <c r="S189" s="49">
        <f t="shared" si="164"/>
        <v>0</v>
      </c>
      <c r="T189" s="49">
        <f t="shared" si="164"/>
        <v>0</v>
      </c>
      <c r="U189" s="49">
        <f t="shared" si="164"/>
        <v>0</v>
      </c>
      <c r="V189" s="49">
        <f t="shared" si="164"/>
        <v>0</v>
      </c>
      <c r="W189" s="49">
        <f t="shared" si="164"/>
        <v>0</v>
      </c>
      <c r="X189" s="49">
        <f t="shared" si="164"/>
        <v>0</v>
      </c>
      <c r="Y189" s="49">
        <f t="shared" si="164"/>
        <v>0</v>
      </c>
      <c r="Z189" s="49">
        <f t="shared" si="164"/>
        <v>0</v>
      </c>
      <c r="AA189" s="49">
        <f t="shared" si="164"/>
        <v>0</v>
      </c>
      <c r="AB189" s="49">
        <f t="shared" si="164"/>
        <v>0</v>
      </c>
      <c r="AC189" s="49">
        <f t="shared" si="164"/>
        <v>0</v>
      </c>
      <c r="AD189" s="49">
        <f t="shared" si="164"/>
        <v>0</v>
      </c>
      <c r="AE189" s="49">
        <f t="shared" si="164"/>
        <v>0</v>
      </c>
      <c r="AF189" s="49">
        <f t="shared" si="164"/>
        <v>0</v>
      </c>
      <c r="AG189" s="49">
        <f t="shared" si="164"/>
        <v>0</v>
      </c>
      <c r="AH189" s="49">
        <f t="shared" si="164"/>
        <v>0</v>
      </c>
      <c r="AI189" s="49">
        <f t="shared" si="164"/>
        <v>0</v>
      </c>
      <c r="AJ189" s="49">
        <f t="shared" si="164"/>
        <v>0</v>
      </c>
      <c r="AK189" s="49">
        <f t="shared" si="164"/>
        <v>0</v>
      </c>
      <c r="AL189" s="49">
        <f t="shared" si="164"/>
        <v>0</v>
      </c>
      <c r="AM189" s="49">
        <f t="shared" si="164"/>
        <v>0</v>
      </c>
      <c r="AN189" s="49">
        <f t="shared" si="164"/>
        <v>0</v>
      </c>
      <c r="AO189" s="49">
        <f t="shared" si="164"/>
        <v>0</v>
      </c>
      <c r="AP189" s="49">
        <f t="shared" si="164"/>
        <v>0</v>
      </c>
      <c r="AQ189" s="49">
        <f t="shared" si="164"/>
        <v>0</v>
      </c>
      <c r="AR189" s="49">
        <f t="shared" si="164"/>
        <v>0</v>
      </c>
      <c r="AS189" s="49">
        <f t="shared" si="164"/>
        <v>0</v>
      </c>
      <c r="AT189" s="49">
        <f t="shared" si="164"/>
        <v>0</v>
      </c>
      <c r="AU189" s="49">
        <f t="shared" si="164"/>
        <v>0</v>
      </c>
      <c r="AV189" s="49">
        <f t="shared" si="164"/>
        <v>0</v>
      </c>
      <c r="AW189" s="49">
        <f t="shared" si="164"/>
        <v>0</v>
      </c>
      <c r="AX189" s="49">
        <f t="shared" si="164"/>
        <v>0</v>
      </c>
      <c r="AY189" s="49">
        <f t="shared" si="164"/>
        <v>0</v>
      </c>
      <c r="AZ189" s="49">
        <f t="shared" si="164"/>
        <v>0</v>
      </c>
      <c r="BA189" s="49">
        <f t="shared" si="164"/>
        <v>0</v>
      </c>
    </row>
    <row r="190" spans="1:53" x14ac:dyDescent="0.35">
      <c r="A190" s="2" t="s">
        <v>134</v>
      </c>
      <c r="B190" s="2"/>
      <c r="C190" s="2"/>
      <c r="D190" s="2"/>
      <c r="E190" s="8" t="s">
        <v>36</v>
      </c>
      <c r="F190" s="8" t="str">
        <f t="shared" si="163"/>
        <v/>
      </c>
      <c r="G190" s="2"/>
      <c r="H190" s="49">
        <f>H130</f>
        <v>0</v>
      </c>
      <c r="I190" s="49">
        <f t="shared" ref="I190:AZ190" si="165">I130</f>
        <v>0</v>
      </c>
      <c r="J190" s="49">
        <f t="shared" si="165"/>
        <v>0</v>
      </c>
      <c r="K190" s="49">
        <f t="shared" si="165"/>
        <v>0</v>
      </c>
      <c r="L190" s="49">
        <f t="shared" si="165"/>
        <v>0</v>
      </c>
      <c r="M190" s="49">
        <f t="shared" si="165"/>
        <v>0</v>
      </c>
      <c r="N190" s="49">
        <f t="shared" si="165"/>
        <v>0</v>
      </c>
      <c r="O190" s="49">
        <f t="shared" si="165"/>
        <v>0</v>
      </c>
      <c r="P190" s="49">
        <f t="shared" si="165"/>
        <v>0</v>
      </c>
      <c r="Q190" s="49">
        <f t="shared" si="165"/>
        <v>0</v>
      </c>
      <c r="R190" s="49">
        <f t="shared" si="165"/>
        <v>0</v>
      </c>
      <c r="S190" s="49">
        <f t="shared" si="165"/>
        <v>0</v>
      </c>
      <c r="T190" s="49">
        <f t="shared" si="165"/>
        <v>0</v>
      </c>
      <c r="U190" s="49">
        <f t="shared" si="165"/>
        <v>0</v>
      </c>
      <c r="V190" s="49">
        <f t="shared" si="165"/>
        <v>0</v>
      </c>
      <c r="W190" s="49">
        <f t="shared" si="165"/>
        <v>0</v>
      </c>
      <c r="X190" s="49">
        <f t="shared" si="165"/>
        <v>0</v>
      </c>
      <c r="Y190" s="49">
        <f t="shared" si="165"/>
        <v>0</v>
      </c>
      <c r="Z190" s="49">
        <f t="shared" si="165"/>
        <v>0</v>
      </c>
      <c r="AA190" s="49">
        <f t="shared" si="165"/>
        <v>0</v>
      </c>
      <c r="AB190" s="49">
        <f t="shared" si="165"/>
        <v>0</v>
      </c>
      <c r="AC190" s="49">
        <f t="shared" si="165"/>
        <v>0</v>
      </c>
      <c r="AD190" s="49">
        <f t="shared" si="165"/>
        <v>0</v>
      </c>
      <c r="AE190" s="49">
        <f t="shared" si="165"/>
        <v>0</v>
      </c>
      <c r="AF190" s="49">
        <f t="shared" si="165"/>
        <v>0</v>
      </c>
      <c r="AG190" s="49">
        <f t="shared" si="165"/>
        <v>0</v>
      </c>
      <c r="AH190" s="49">
        <f t="shared" si="165"/>
        <v>0</v>
      </c>
      <c r="AI190" s="49">
        <f t="shared" si="165"/>
        <v>0</v>
      </c>
      <c r="AJ190" s="49">
        <f t="shared" si="165"/>
        <v>0</v>
      </c>
      <c r="AK190" s="49">
        <f t="shared" si="165"/>
        <v>0</v>
      </c>
      <c r="AL190" s="49">
        <f t="shared" si="165"/>
        <v>0</v>
      </c>
      <c r="AM190" s="49">
        <f t="shared" si="165"/>
        <v>0</v>
      </c>
      <c r="AN190" s="49">
        <f t="shared" si="165"/>
        <v>0</v>
      </c>
      <c r="AO190" s="49">
        <f t="shared" si="165"/>
        <v>0</v>
      </c>
      <c r="AP190" s="49">
        <f t="shared" si="165"/>
        <v>0</v>
      </c>
      <c r="AQ190" s="49">
        <f t="shared" si="165"/>
        <v>0</v>
      </c>
      <c r="AR190" s="49">
        <f t="shared" si="165"/>
        <v>0</v>
      </c>
      <c r="AS190" s="49">
        <f t="shared" si="165"/>
        <v>0</v>
      </c>
      <c r="AT190" s="49">
        <f t="shared" si="165"/>
        <v>0</v>
      </c>
      <c r="AU190" s="49">
        <f t="shared" si="165"/>
        <v>0</v>
      </c>
      <c r="AV190" s="49">
        <f t="shared" si="165"/>
        <v>0</v>
      </c>
      <c r="AW190" s="49">
        <f t="shared" si="165"/>
        <v>0</v>
      </c>
      <c r="AX190" s="49">
        <f t="shared" si="165"/>
        <v>0</v>
      </c>
      <c r="AY190" s="49">
        <f t="shared" si="165"/>
        <v>0</v>
      </c>
      <c r="AZ190" s="49">
        <f t="shared" si="165"/>
        <v>0</v>
      </c>
      <c r="BA190" s="49">
        <f t="shared" ref="BA190" si="166">BA130</f>
        <v>0</v>
      </c>
    </row>
    <row r="191" spans="1:53" x14ac:dyDescent="0.35">
      <c r="A191" s="2" t="s">
        <v>135</v>
      </c>
      <c r="B191" s="2"/>
      <c r="C191" s="2"/>
      <c r="D191" s="2"/>
      <c r="E191" s="8" t="s">
        <v>36</v>
      </c>
      <c r="F191" s="8" t="str">
        <f t="shared" si="163"/>
        <v/>
      </c>
      <c r="G191" s="2"/>
      <c r="H191" s="49">
        <f>H155</f>
        <v>0</v>
      </c>
      <c r="I191" s="49">
        <f t="shared" ref="I191:AZ191" si="167">I156</f>
        <v>0</v>
      </c>
      <c r="J191" s="49">
        <f t="shared" si="167"/>
        <v>0</v>
      </c>
      <c r="K191" s="49">
        <f t="shared" si="167"/>
        <v>0</v>
      </c>
      <c r="L191" s="49">
        <f t="shared" si="167"/>
        <v>0</v>
      </c>
      <c r="M191" s="49">
        <f t="shared" si="167"/>
        <v>0</v>
      </c>
      <c r="N191" s="49">
        <f t="shared" si="167"/>
        <v>0</v>
      </c>
      <c r="O191" s="49">
        <f t="shared" si="167"/>
        <v>0</v>
      </c>
      <c r="P191" s="49">
        <f t="shared" si="167"/>
        <v>0</v>
      </c>
      <c r="Q191" s="49">
        <f t="shared" si="167"/>
        <v>0</v>
      </c>
      <c r="R191" s="49">
        <f t="shared" si="167"/>
        <v>0</v>
      </c>
      <c r="S191" s="49">
        <f t="shared" si="167"/>
        <v>0</v>
      </c>
      <c r="T191" s="49">
        <f t="shared" si="167"/>
        <v>0</v>
      </c>
      <c r="U191" s="49">
        <f t="shared" si="167"/>
        <v>0</v>
      </c>
      <c r="V191" s="49">
        <f t="shared" si="167"/>
        <v>0</v>
      </c>
      <c r="W191" s="49">
        <f t="shared" si="167"/>
        <v>0</v>
      </c>
      <c r="X191" s="49">
        <f t="shared" si="167"/>
        <v>0</v>
      </c>
      <c r="Y191" s="49">
        <f t="shared" si="167"/>
        <v>0</v>
      </c>
      <c r="Z191" s="49">
        <f t="shared" si="167"/>
        <v>0</v>
      </c>
      <c r="AA191" s="49">
        <f t="shared" si="167"/>
        <v>0</v>
      </c>
      <c r="AB191" s="49">
        <f t="shared" si="167"/>
        <v>0</v>
      </c>
      <c r="AC191" s="49">
        <f t="shared" si="167"/>
        <v>0</v>
      </c>
      <c r="AD191" s="49">
        <f t="shared" si="167"/>
        <v>0</v>
      </c>
      <c r="AE191" s="49">
        <f t="shared" si="167"/>
        <v>0</v>
      </c>
      <c r="AF191" s="49">
        <f t="shared" si="167"/>
        <v>0</v>
      </c>
      <c r="AG191" s="49">
        <f t="shared" si="167"/>
        <v>0</v>
      </c>
      <c r="AH191" s="49">
        <f t="shared" si="167"/>
        <v>0</v>
      </c>
      <c r="AI191" s="49">
        <f t="shared" si="167"/>
        <v>0</v>
      </c>
      <c r="AJ191" s="49">
        <f t="shared" si="167"/>
        <v>0</v>
      </c>
      <c r="AK191" s="49">
        <f t="shared" si="167"/>
        <v>0</v>
      </c>
      <c r="AL191" s="49">
        <f t="shared" si="167"/>
        <v>0</v>
      </c>
      <c r="AM191" s="49">
        <f t="shared" si="167"/>
        <v>0</v>
      </c>
      <c r="AN191" s="49">
        <f t="shared" si="167"/>
        <v>0</v>
      </c>
      <c r="AO191" s="49">
        <f t="shared" si="167"/>
        <v>0</v>
      </c>
      <c r="AP191" s="49">
        <f t="shared" si="167"/>
        <v>0</v>
      </c>
      <c r="AQ191" s="49">
        <f t="shared" si="167"/>
        <v>0</v>
      </c>
      <c r="AR191" s="49">
        <f t="shared" si="167"/>
        <v>0</v>
      </c>
      <c r="AS191" s="49">
        <f t="shared" si="167"/>
        <v>0</v>
      </c>
      <c r="AT191" s="49">
        <f t="shared" si="167"/>
        <v>0</v>
      </c>
      <c r="AU191" s="49">
        <f t="shared" si="167"/>
        <v>0</v>
      </c>
      <c r="AV191" s="49">
        <f t="shared" si="167"/>
        <v>0</v>
      </c>
      <c r="AW191" s="49">
        <f t="shared" si="167"/>
        <v>0</v>
      </c>
      <c r="AX191" s="49">
        <f t="shared" si="167"/>
        <v>0</v>
      </c>
      <c r="AY191" s="49">
        <f t="shared" si="167"/>
        <v>0</v>
      </c>
      <c r="AZ191" s="49">
        <f t="shared" si="167"/>
        <v>0</v>
      </c>
      <c r="BA191" s="49">
        <f t="shared" ref="BA191" si="168">BA156</f>
        <v>0</v>
      </c>
    </row>
    <row r="192" spans="1:53" x14ac:dyDescent="0.35">
      <c r="A192" s="2" t="s">
        <v>310</v>
      </c>
      <c r="B192" s="2"/>
      <c r="C192" s="2"/>
      <c r="D192" s="2"/>
      <c r="E192" s="8" t="s">
        <v>36</v>
      </c>
      <c r="F192" s="8"/>
      <c r="G192" s="2"/>
      <c r="H192" s="49">
        <f>H24-H150-H157</f>
        <v>0</v>
      </c>
      <c r="I192" s="49">
        <f t="shared" ref="I192:BA192" si="169">I24-I150-I157</f>
        <v>0</v>
      </c>
      <c r="J192" s="49">
        <f t="shared" si="169"/>
        <v>0</v>
      </c>
      <c r="K192" s="49">
        <f t="shared" si="169"/>
        <v>0</v>
      </c>
      <c r="L192" s="49">
        <f t="shared" si="169"/>
        <v>0</v>
      </c>
      <c r="M192" s="49">
        <f t="shared" si="169"/>
        <v>0</v>
      </c>
      <c r="N192" s="49">
        <f t="shared" si="169"/>
        <v>0</v>
      </c>
      <c r="O192" s="49">
        <f t="shared" si="169"/>
        <v>0</v>
      </c>
      <c r="P192" s="49">
        <f t="shared" si="169"/>
        <v>0</v>
      </c>
      <c r="Q192" s="49">
        <f t="shared" si="169"/>
        <v>0</v>
      </c>
      <c r="R192" s="49">
        <f t="shared" si="169"/>
        <v>0</v>
      </c>
      <c r="S192" s="49">
        <f t="shared" si="169"/>
        <v>0</v>
      </c>
      <c r="T192" s="49">
        <f t="shared" si="169"/>
        <v>0</v>
      </c>
      <c r="U192" s="49">
        <f t="shared" si="169"/>
        <v>0</v>
      </c>
      <c r="V192" s="49">
        <f t="shared" si="169"/>
        <v>0</v>
      </c>
      <c r="W192" s="49">
        <f t="shared" si="169"/>
        <v>0</v>
      </c>
      <c r="X192" s="49">
        <f t="shared" si="169"/>
        <v>0</v>
      </c>
      <c r="Y192" s="49">
        <f t="shared" si="169"/>
        <v>0</v>
      </c>
      <c r="Z192" s="49">
        <f t="shared" si="169"/>
        <v>0</v>
      </c>
      <c r="AA192" s="49">
        <f t="shared" si="169"/>
        <v>0</v>
      </c>
      <c r="AB192" s="49">
        <f t="shared" si="169"/>
        <v>0</v>
      </c>
      <c r="AC192" s="49">
        <f t="shared" si="169"/>
        <v>0</v>
      </c>
      <c r="AD192" s="49">
        <f t="shared" si="169"/>
        <v>0</v>
      </c>
      <c r="AE192" s="49">
        <f t="shared" si="169"/>
        <v>0</v>
      </c>
      <c r="AF192" s="49">
        <f t="shared" si="169"/>
        <v>0</v>
      </c>
      <c r="AG192" s="49">
        <f t="shared" si="169"/>
        <v>0</v>
      </c>
      <c r="AH192" s="49">
        <f t="shared" si="169"/>
        <v>0</v>
      </c>
      <c r="AI192" s="49">
        <f t="shared" si="169"/>
        <v>0</v>
      </c>
      <c r="AJ192" s="49">
        <f t="shared" si="169"/>
        <v>0</v>
      </c>
      <c r="AK192" s="49">
        <f t="shared" si="169"/>
        <v>0</v>
      </c>
      <c r="AL192" s="49">
        <f t="shared" si="169"/>
        <v>0</v>
      </c>
      <c r="AM192" s="49">
        <f t="shared" si="169"/>
        <v>0</v>
      </c>
      <c r="AN192" s="49">
        <f t="shared" si="169"/>
        <v>0</v>
      </c>
      <c r="AO192" s="49">
        <f t="shared" si="169"/>
        <v>0</v>
      </c>
      <c r="AP192" s="49">
        <f t="shared" si="169"/>
        <v>0</v>
      </c>
      <c r="AQ192" s="49">
        <f t="shared" si="169"/>
        <v>0</v>
      </c>
      <c r="AR192" s="49">
        <f t="shared" si="169"/>
        <v>0</v>
      </c>
      <c r="AS192" s="49">
        <f t="shared" si="169"/>
        <v>0</v>
      </c>
      <c r="AT192" s="49">
        <f t="shared" si="169"/>
        <v>0</v>
      </c>
      <c r="AU192" s="49">
        <f t="shared" si="169"/>
        <v>0</v>
      </c>
      <c r="AV192" s="49">
        <f t="shared" si="169"/>
        <v>0</v>
      </c>
      <c r="AW192" s="49">
        <f t="shared" si="169"/>
        <v>0</v>
      </c>
      <c r="AX192" s="49">
        <f t="shared" si="169"/>
        <v>0</v>
      </c>
      <c r="AY192" s="49">
        <f t="shared" si="169"/>
        <v>0</v>
      </c>
      <c r="AZ192" s="49">
        <f t="shared" si="169"/>
        <v>0</v>
      </c>
      <c r="BA192" s="49">
        <f t="shared" si="169"/>
        <v>0</v>
      </c>
    </row>
    <row r="193" spans="1:53" x14ac:dyDescent="0.35">
      <c r="A193" s="2" t="s">
        <v>136</v>
      </c>
      <c r="B193" s="2"/>
      <c r="C193" s="2"/>
      <c r="D193" s="2"/>
      <c r="E193" s="8" t="s">
        <v>36</v>
      </c>
      <c r="F193" s="8" t="str">
        <f t="shared" si="163"/>
        <v/>
      </c>
      <c r="G193" s="2"/>
      <c r="H193" s="142">
        <f>SUM(H189:H192)</f>
        <v>0</v>
      </c>
      <c r="I193" s="142">
        <f t="shared" ref="I193:BA193" si="170">SUM(I189:I192)</f>
        <v>0</v>
      </c>
      <c r="J193" s="142">
        <f t="shared" si="170"/>
        <v>0</v>
      </c>
      <c r="K193" s="142">
        <f t="shared" si="170"/>
        <v>0</v>
      </c>
      <c r="L193" s="142">
        <f t="shared" si="170"/>
        <v>0</v>
      </c>
      <c r="M193" s="142">
        <f t="shared" si="170"/>
        <v>0</v>
      </c>
      <c r="N193" s="142">
        <f t="shared" si="170"/>
        <v>0</v>
      </c>
      <c r="O193" s="142">
        <f t="shared" si="170"/>
        <v>0</v>
      </c>
      <c r="P193" s="142">
        <f t="shared" si="170"/>
        <v>0</v>
      </c>
      <c r="Q193" s="142">
        <f t="shared" si="170"/>
        <v>0</v>
      </c>
      <c r="R193" s="142">
        <f t="shared" si="170"/>
        <v>0</v>
      </c>
      <c r="S193" s="142">
        <f t="shared" si="170"/>
        <v>0</v>
      </c>
      <c r="T193" s="142">
        <f t="shared" si="170"/>
        <v>0</v>
      </c>
      <c r="U193" s="142">
        <f t="shared" si="170"/>
        <v>0</v>
      </c>
      <c r="V193" s="142">
        <f t="shared" si="170"/>
        <v>0</v>
      </c>
      <c r="W193" s="142">
        <f t="shared" si="170"/>
        <v>0</v>
      </c>
      <c r="X193" s="142">
        <f t="shared" si="170"/>
        <v>0</v>
      </c>
      <c r="Y193" s="142">
        <f t="shared" si="170"/>
        <v>0</v>
      </c>
      <c r="Z193" s="142">
        <f t="shared" si="170"/>
        <v>0</v>
      </c>
      <c r="AA193" s="142">
        <f t="shared" si="170"/>
        <v>0</v>
      </c>
      <c r="AB193" s="142">
        <f t="shared" si="170"/>
        <v>0</v>
      </c>
      <c r="AC193" s="142">
        <f t="shared" si="170"/>
        <v>0</v>
      </c>
      <c r="AD193" s="142">
        <f t="shared" si="170"/>
        <v>0</v>
      </c>
      <c r="AE193" s="142">
        <f t="shared" si="170"/>
        <v>0</v>
      </c>
      <c r="AF193" s="142">
        <f t="shared" si="170"/>
        <v>0</v>
      </c>
      <c r="AG193" s="142">
        <f t="shared" si="170"/>
        <v>0</v>
      </c>
      <c r="AH193" s="142">
        <f t="shared" si="170"/>
        <v>0</v>
      </c>
      <c r="AI193" s="142">
        <f t="shared" si="170"/>
        <v>0</v>
      </c>
      <c r="AJ193" s="142">
        <f t="shared" si="170"/>
        <v>0</v>
      </c>
      <c r="AK193" s="142">
        <f t="shared" si="170"/>
        <v>0</v>
      </c>
      <c r="AL193" s="142">
        <f t="shared" si="170"/>
        <v>0</v>
      </c>
      <c r="AM193" s="142">
        <f t="shared" si="170"/>
        <v>0</v>
      </c>
      <c r="AN193" s="142">
        <f t="shared" si="170"/>
        <v>0</v>
      </c>
      <c r="AO193" s="142">
        <f t="shared" si="170"/>
        <v>0</v>
      </c>
      <c r="AP193" s="142">
        <f t="shared" si="170"/>
        <v>0</v>
      </c>
      <c r="AQ193" s="142">
        <f t="shared" si="170"/>
        <v>0</v>
      </c>
      <c r="AR193" s="142">
        <f t="shared" si="170"/>
        <v>0</v>
      </c>
      <c r="AS193" s="142">
        <f t="shared" si="170"/>
        <v>0</v>
      </c>
      <c r="AT193" s="142">
        <f t="shared" si="170"/>
        <v>0</v>
      </c>
      <c r="AU193" s="142">
        <f t="shared" si="170"/>
        <v>0</v>
      </c>
      <c r="AV193" s="142">
        <f t="shared" si="170"/>
        <v>0</v>
      </c>
      <c r="AW193" s="142">
        <f t="shared" si="170"/>
        <v>0</v>
      </c>
      <c r="AX193" s="142">
        <f t="shared" si="170"/>
        <v>0</v>
      </c>
      <c r="AY193" s="142">
        <f t="shared" si="170"/>
        <v>0</v>
      </c>
      <c r="AZ193" s="142">
        <f t="shared" si="170"/>
        <v>0</v>
      </c>
      <c r="BA193" s="142">
        <f t="shared" si="170"/>
        <v>0</v>
      </c>
    </row>
    <row r="194" spans="1:53" x14ac:dyDescent="0.35">
      <c r="A194" s="2" t="s">
        <v>127</v>
      </c>
      <c r="B194" s="2"/>
      <c r="C194" s="2"/>
      <c r="D194" s="2"/>
      <c r="E194" s="8" t="s">
        <v>36</v>
      </c>
      <c r="F194" s="8" t="str">
        <f t="shared" si="163"/>
        <v/>
      </c>
      <c r="G194" s="2"/>
      <c r="H194" s="49">
        <f t="shared" ref="H194:BA194" si="171">H174*IF($E$174="Real",I$10,1)</f>
        <v>0</v>
      </c>
      <c r="I194" s="49">
        <f t="shared" si="171"/>
        <v>0</v>
      </c>
      <c r="J194" s="49">
        <f t="shared" si="171"/>
        <v>0</v>
      </c>
      <c r="K194" s="49">
        <f t="shared" si="171"/>
        <v>0</v>
      </c>
      <c r="L194" s="49">
        <f t="shared" si="171"/>
        <v>0</v>
      </c>
      <c r="M194" s="49">
        <f t="shared" si="171"/>
        <v>0</v>
      </c>
      <c r="N194" s="49">
        <f t="shared" si="171"/>
        <v>0</v>
      </c>
      <c r="O194" s="49">
        <f t="shared" si="171"/>
        <v>0</v>
      </c>
      <c r="P194" s="49">
        <f t="shared" si="171"/>
        <v>0</v>
      </c>
      <c r="Q194" s="49">
        <f t="shared" si="171"/>
        <v>0</v>
      </c>
      <c r="R194" s="49">
        <f t="shared" si="171"/>
        <v>0</v>
      </c>
      <c r="S194" s="49">
        <f t="shared" si="171"/>
        <v>0</v>
      </c>
      <c r="T194" s="49">
        <f t="shared" si="171"/>
        <v>0</v>
      </c>
      <c r="U194" s="49">
        <f t="shared" si="171"/>
        <v>0</v>
      </c>
      <c r="V194" s="49">
        <f t="shared" si="171"/>
        <v>0</v>
      </c>
      <c r="W194" s="49">
        <f t="shared" si="171"/>
        <v>0</v>
      </c>
      <c r="X194" s="49">
        <f t="shared" si="171"/>
        <v>0</v>
      </c>
      <c r="Y194" s="49">
        <f t="shared" si="171"/>
        <v>0</v>
      </c>
      <c r="Z194" s="49">
        <f t="shared" si="171"/>
        <v>0</v>
      </c>
      <c r="AA194" s="49">
        <f t="shared" si="171"/>
        <v>0</v>
      </c>
      <c r="AB194" s="49">
        <f t="shared" si="171"/>
        <v>0</v>
      </c>
      <c r="AC194" s="49">
        <f t="shared" si="171"/>
        <v>0</v>
      </c>
      <c r="AD194" s="49">
        <f t="shared" si="171"/>
        <v>0</v>
      </c>
      <c r="AE194" s="49">
        <f t="shared" si="171"/>
        <v>0</v>
      </c>
      <c r="AF194" s="49">
        <f t="shared" si="171"/>
        <v>0</v>
      </c>
      <c r="AG194" s="49">
        <f t="shared" si="171"/>
        <v>0</v>
      </c>
      <c r="AH194" s="49">
        <f t="shared" si="171"/>
        <v>0</v>
      </c>
      <c r="AI194" s="49">
        <f t="shared" si="171"/>
        <v>0</v>
      </c>
      <c r="AJ194" s="49">
        <f t="shared" si="171"/>
        <v>0</v>
      </c>
      <c r="AK194" s="49">
        <f t="shared" si="171"/>
        <v>0</v>
      </c>
      <c r="AL194" s="49">
        <f t="shared" si="171"/>
        <v>0</v>
      </c>
      <c r="AM194" s="49">
        <f t="shared" si="171"/>
        <v>0</v>
      </c>
      <c r="AN194" s="49">
        <f t="shared" si="171"/>
        <v>0</v>
      </c>
      <c r="AO194" s="49">
        <f t="shared" si="171"/>
        <v>0</v>
      </c>
      <c r="AP194" s="49">
        <f t="shared" si="171"/>
        <v>0</v>
      </c>
      <c r="AQ194" s="49">
        <f t="shared" si="171"/>
        <v>0</v>
      </c>
      <c r="AR194" s="49">
        <f t="shared" si="171"/>
        <v>0</v>
      </c>
      <c r="AS194" s="49">
        <f t="shared" si="171"/>
        <v>0</v>
      </c>
      <c r="AT194" s="49">
        <f t="shared" si="171"/>
        <v>0</v>
      </c>
      <c r="AU194" s="49">
        <f t="shared" si="171"/>
        <v>0</v>
      </c>
      <c r="AV194" s="49">
        <f t="shared" si="171"/>
        <v>0</v>
      </c>
      <c r="AW194" s="49">
        <f t="shared" si="171"/>
        <v>0</v>
      </c>
      <c r="AX194" s="49">
        <f t="shared" si="171"/>
        <v>0</v>
      </c>
      <c r="AY194" s="49">
        <f t="shared" si="171"/>
        <v>0</v>
      </c>
      <c r="AZ194" s="49">
        <f t="shared" si="171"/>
        <v>0</v>
      </c>
      <c r="BA194" s="49">
        <f t="shared" si="171"/>
        <v>0</v>
      </c>
    </row>
    <row r="195" spans="1:53" x14ac:dyDescent="0.35">
      <c r="A195" s="2" t="s">
        <v>137</v>
      </c>
      <c r="B195" s="2"/>
      <c r="C195" s="2"/>
      <c r="D195" s="2"/>
      <c r="E195" s="8" t="s">
        <v>36</v>
      </c>
      <c r="F195" s="8" t="str">
        <f t="shared" si="163"/>
        <v/>
      </c>
      <c r="G195" s="2"/>
      <c r="H195" s="49">
        <f>H194-H193</f>
        <v>0</v>
      </c>
      <c r="I195" s="49">
        <f t="shared" ref="I195:AZ195" si="172">I194-I193</f>
        <v>0</v>
      </c>
      <c r="J195" s="49">
        <f t="shared" si="172"/>
        <v>0</v>
      </c>
      <c r="K195" s="49">
        <f t="shared" si="172"/>
        <v>0</v>
      </c>
      <c r="L195" s="49">
        <f t="shared" si="172"/>
        <v>0</v>
      </c>
      <c r="M195" s="49">
        <f t="shared" si="172"/>
        <v>0</v>
      </c>
      <c r="N195" s="49">
        <f t="shared" si="172"/>
        <v>0</v>
      </c>
      <c r="O195" s="49">
        <f t="shared" si="172"/>
        <v>0</v>
      </c>
      <c r="P195" s="49">
        <f t="shared" si="172"/>
        <v>0</v>
      </c>
      <c r="Q195" s="49">
        <f t="shared" si="172"/>
        <v>0</v>
      </c>
      <c r="R195" s="49">
        <f t="shared" si="172"/>
        <v>0</v>
      </c>
      <c r="S195" s="49">
        <f t="shared" si="172"/>
        <v>0</v>
      </c>
      <c r="T195" s="49">
        <f t="shared" si="172"/>
        <v>0</v>
      </c>
      <c r="U195" s="49">
        <f t="shared" si="172"/>
        <v>0</v>
      </c>
      <c r="V195" s="49">
        <f t="shared" si="172"/>
        <v>0</v>
      </c>
      <c r="W195" s="49">
        <f t="shared" si="172"/>
        <v>0</v>
      </c>
      <c r="X195" s="49">
        <f t="shared" si="172"/>
        <v>0</v>
      </c>
      <c r="Y195" s="49">
        <f t="shared" si="172"/>
        <v>0</v>
      </c>
      <c r="Z195" s="49">
        <f t="shared" si="172"/>
        <v>0</v>
      </c>
      <c r="AA195" s="49">
        <f t="shared" si="172"/>
        <v>0</v>
      </c>
      <c r="AB195" s="49">
        <f t="shared" si="172"/>
        <v>0</v>
      </c>
      <c r="AC195" s="49">
        <f t="shared" si="172"/>
        <v>0</v>
      </c>
      <c r="AD195" s="49">
        <f t="shared" si="172"/>
        <v>0</v>
      </c>
      <c r="AE195" s="49">
        <f t="shared" si="172"/>
        <v>0</v>
      </c>
      <c r="AF195" s="49">
        <f t="shared" si="172"/>
        <v>0</v>
      </c>
      <c r="AG195" s="49">
        <f t="shared" si="172"/>
        <v>0</v>
      </c>
      <c r="AH195" s="49">
        <f t="shared" si="172"/>
        <v>0</v>
      </c>
      <c r="AI195" s="49">
        <f t="shared" si="172"/>
        <v>0</v>
      </c>
      <c r="AJ195" s="49">
        <f t="shared" si="172"/>
        <v>0</v>
      </c>
      <c r="AK195" s="49">
        <f t="shared" si="172"/>
        <v>0</v>
      </c>
      <c r="AL195" s="49">
        <f t="shared" si="172"/>
        <v>0</v>
      </c>
      <c r="AM195" s="49">
        <f t="shared" si="172"/>
        <v>0</v>
      </c>
      <c r="AN195" s="49">
        <f t="shared" si="172"/>
        <v>0</v>
      </c>
      <c r="AO195" s="49">
        <f t="shared" si="172"/>
        <v>0</v>
      </c>
      <c r="AP195" s="49">
        <f t="shared" si="172"/>
        <v>0</v>
      </c>
      <c r="AQ195" s="49">
        <f t="shared" si="172"/>
        <v>0</v>
      </c>
      <c r="AR195" s="49">
        <f t="shared" si="172"/>
        <v>0</v>
      </c>
      <c r="AS195" s="49">
        <f t="shared" si="172"/>
        <v>0</v>
      </c>
      <c r="AT195" s="49">
        <f t="shared" si="172"/>
        <v>0</v>
      </c>
      <c r="AU195" s="49">
        <f t="shared" si="172"/>
        <v>0</v>
      </c>
      <c r="AV195" s="49">
        <f t="shared" si="172"/>
        <v>0</v>
      </c>
      <c r="AW195" s="49">
        <f t="shared" si="172"/>
        <v>0</v>
      </c>
      <c r="AX195" s="49">
        <f t="shared" si="172"/>
        <v>0</v>
      </c>
      <c r="AY195" s="49">
        <f t="shared" si="172"/>
        <v>0</v>
      </c>
      <c r="AZ195" s="49">
        <f t="shared" si="172"/>
        <v>0</v>
      </c>
      <c r="BA195" s="49">
        <f t="shared" ref="BA195" si="173">BA194-BA193</f>
        <v>0</v>
      </c>
    </row>
    <row r="196" spans="1:53" x14ac:dyDescent="0.35">
      <c r="A196" s="2" t="s">
        <v>138</v>
      </c>
      <c r="B196" s="2"/>
      <c r="C196" s="2"/>
      <c r="D196" s="2"/>
      <c r="E196" s="8" t="s">
        <v>36</v>
      </c>
      <c r="F196" s="8" t="str">
        <f t="shared" si="163"/>
        <v/>
      </c>
      <c r="G196" s="2"/>
      <c r="H196" s="49">
        <f>H195-H181</f>
        <v>0</v>
      </c>
      <c r="I196" s="49">
        <f t="shared" ref="I196:AZ196" si="174">I195-I181</f>
        <v>0</v>
      </c>
      <c r="J196" s="49">
        <f t="shared" si="174"/>
        <v>0</v>
      </c>
      <c r="K196" s="49">
        <f t="shared" si="174"/>
        <v>0</v>
      </c>
      <c r="L196" s="49">
        <f t="shared" si="174"/>
        <v>0</v>
      </c>
      <c r="M196" s="49">
        <f t="shared" si="174"/>
        <v>0</v>
      </c>
      <c r="N196" s="49">
        <f t="shared" si="174"/>
        <v>0</v>
      </c>
      <c r="O196" s="49">
        <f t="shared" si="174"/>
        <v>0</v>
      </c>
      <c r="P196" s="49">
        <f t="shared" si="174"/>
        <v>0</v>
      </c>
      <c r="Q196" s="49">
        <f t="shared" si="174"/>
        <v>0</v>
      </c>
      <c r="R196" s="49">
        <f t="shared" si="174"/>
        <v>0</v>
      </c>
      <c r="S196" s="49">
        <f t="shared" si="174"/>
        <v>0</v>
      </c>
      <c r="T196" s="49">
        <f t="shared" si="174"/>
        <v>0</v>
      </c>
      <c r="U196" s="49">
        <f t="shared" si="174"/>
        <v>0</v>
      </c>
      <c r="V196" s="49">
        <f t="shared" si="174"/>
        <v>0</v>
      </c>
      <c r="W196" s="49">
        <f t="shared" si="174"/>
        <v>0</v>
      </c>
      <c r="X196" s="49">
        <f t="shared" si="174"/>
        <v>0</v>
      </c>
      <c r="Y196" s="49">
        <f t="shared" si="174"/>
        <v>0</v>
      </c>
      <c r="Z196" s="49">
        <f t="shared" si="174"/>
        <v>0</v>
      </c>
      <c r="AA196" s="49">
        <f t="shared" si="174"/>
        <v>0</v>
      </c>
      <c r="AB196" s="49">
        <f t="shared" si="174"/>
        <v>0</v>
      </c>
      <c r="AC196" s="49">
        <f t="shared" si="174"/>
        <v>0</v>
      </c>
      <c r="AD196" s="49">
        <f t="shared" si="174"/>
        <v>0</v>
      </c>
      <c r="AE196" s="49">
        <f t="shared" si="174"/>
        <v>0</v>
      </c>
      <c r="AF196" s="49">
        <f t="shared" si="174"/>
        <v>0</v>
      </c>
      <c r="AG196" s="49">
        <f t="shared" si="174"/>
        <v>0</v>
      </c>
      <c r="AH196" s="49">
        <f t="shared" si="174"/>
        <v>0</v>
      </c>
      <c r="AI196" s="49">
        <f t="shared" si="174"/>
        <v>0</v>
      </c>
      <c r="AJ196" s="49">
        <f t="shared" si="174"/>
        <v>0</v>
      </c>
      <c r="AK196" s="49">
        <f t="shared" si="174"/>
        <v>0</v>
      </c>
      <c r="AL196" s="49">
        <f t="shared" si="174"/>
        <v>0</v>
      </c>
      <c r="AM196" s="49">
        <f t="shared" si="174"/>
        <v>0</v>
      </c>
      <c r="AN196" s="49">
        <f t="shared" si="174"/>
        <v>0</v>
      </c>
      <c r="AO196" s="49">
        <f t="shared" si="174"/>
        <v>0</v>
      </c>
      <c r="AP196" s="49">
        <f t="shared" si="174"/>
        <v>0</v>
      </c>
      <c r="AQ196" s="49">
        <f t="shared" si="174"/>
        <v>0</v>
      </c>
      <c r="AR196" s="49">
        <f t="shared" si="174"/>
        <v>0</v>
      </c>
      <c r="AS196" s="49">
        <f t="shared" si="174"/>
        <v>0</v>
      </c>
      <c r="AT196" s="49">
        <f t="shared" si="174"/>
        <v>0</v>
      </c>
      <c r="AU196" s="49">
        <f t="shared" si="174"/>
        <v>0</v>
      </c>
      <c r="AV196" s="49">
        <f t="shared" si="174"/>
        <v>0</v>
      </c>
      <c r="AW196" s="49">
        <f t="shared" si="174"/>
        <v>0</v>
      </c>
      <c r="AX196" s="49">
        <f t="shared" si="174"/>
        <v>0</v>
      </c>
      <c r="AY196" s="49">
        <f t="shared" si="174"/>
        <v>0</v>
      </c>
      <c r="AZ196" s="49">
        <f t="shared" si="174"/>
        <v>0</v>
      </c>
      <c r="BA196" s="49">
        <f t="shared" ref="BA196" si="175">BA195-BA181</f>
        <v>0</v>
      </c>
    </row>
    <row r="197" spans="1:53" x14ac:dyDescent="0.35">
      <c r="A197" s="2"/>
      <c r="B197" s="2"/>
      <c r="C197" s="2"/>
      <c r="D197" s="2"/>
      <c r="E197" s="8"/>
      <c r="F197" s="2"/>
      <c r="G197" s="2"/>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row>
    <row r="198" spans="1:53" x14ac:dyDescent="0.35">
      <c r="A198" s="27" t="s">
        <v>48</v>
      </c>
      <c r="B198" s="27"/>
      <c r="C198" s="29"/>
      <c r="D198" s="29"/>
      <c r="E198" s="29"/>
      <c r="F198" s="29"/>
      <c r="G198" s="29"/>
      <c r="H198" s="29">
        <v>2025</v>
      </c>
      <c r="I198" s="29">
        <v>2026</v>
      </c>
      <c r="J198" s="29">
        <v>2027</v>
      </c>
      <c r="K198" s="29">
        <v>2028</v>
      </c>
      <c r="L198" s="29">
        <v>2029</v>
      </c>
      <c r="M198" s="29">
        <v>2030</v>
      </c>
      <c r="N198" s="29">
        <v>2031</v>
      </c>
      <c r="O198" s="29">
        <v>2032</v>
      </c>
      <c r="P198" s="29">
        <v>2033</v>
      </c>
      <c r="Q198" s="29">
        <v>2034</v>
      </c>
      <c r="R198" s="29">
        <v>2035</v>
      </c>
      <c r="S198" s="29">
        <v>2036</v>
      </c>
      <c r="T198" s="29">
        <v>2037</v>
      </c>
      <c r="U198" s="29">
        <v>2038</v>
      </c>
      <c r="V198" s="29">
        <v>2039</v>
      </c>
      <c r="W198" s="29">
        <v>2040</v>
      </c>
      <c r="X198" s="29">
        <v>2041</v>
      </c>
      <c r="Y198" s="29">
        <v>2042</v>
      </c>
      <c r="Z198" s="29">
        <v>2043</v>
      </c>
      <c r="AA198" s="29">
        <v>2044</v>
      </c>
      <c r="AB198" s="29">
        <v>2045</v>
      </c>
      <c r="AC198" s="29">
        <v>2046</v>
      </c>
      <c r="AD198" s="29">
        <v>2047</v>
      </c>
      <c r="AE198" s="29">
        <v>2048</v>
      </c>
      <c r="AF198" s="29">
        <v>2049</v>
      </c>
      <c r="AG198" s="29">
        <v>2050</v>
      </c>
      <c r="AH198" s="29">
        <v>2051</v>
      </c>
      <c r="AI198" s="29">
        <v>2052</v>
      </c>
      <c r="AJ198" s="29">
        <v>2053</v>
      </c>
      <c r="AK198" s="29">
        <v>2054</v>
      </c>
      <c r="AL198" s="29">
        <v>2055</v>
      </c>
      <c r="AM198" s="29">
        <v>2056</v>
      </c>
      <c r="AN198" s="29">
        <v>2057</v>
      </c>
      <c r="AO198" s="29">
        <v>2058</v>
      </c>
      <c r="AP198" s="29">
        <v>2059</v>
      </c>
      <c r="AQ198" s="29">
        <v>2060</v>
      </c>
      <c r="AR198" s="29">
        <v>2061</v>
      </c>
      <c r="AS198" s="29">
        <v>2062</v>
      </c>
      <c r="AT198" s="29">
        <v>2063</v>
      </c>
      <c r="AU198" s="29">
        <v>2064</v>
      </c>
      <c r="AV198" s="29">
        <v>2065</v>
      </c>
      <c r="AW198" s="29">
        <v>2066</v>
      </c>
      <c r="AX198" s="29">
        <v>2067</v>
      </c>
      <c r="AY198" s="29">
        <v>2068</v>
      </c>
      <c r="AZ198" s="29">
        <v>2069</v>
      </c>
      <c r="BA198" s="29">
        <v>2070</v>
      </c>
    </row>
    <row r="199" spans="1:53" x14ac:dyDescent="0.35">
      <c r="A199" s="2" t="s">
        <v>133</v>
      </c>
      <c r="B199" s="2"/>
      <c r="C199" s="2"/>
      <c r="D199" s="2"/>
      <c r="E199" s="4" t="s">
        <v>36</v>
      </c>
      <c r="F199" s="4" t="str">
        <f t="shared" ref="F199:F206" si="176">IF(E199="Nominal","",Analysis_year&amp;" values")</f>
        <v/>
      </c>
      <c r="G199" s="2"/>
      <c r="H199" s="51">
        <f>H60</f>
        <v>0</v>
      </c>
      <c r="I199" s="51">
        <f t="shared" ref="I199:AC199" si="177">I60</f>
        <v>0</v>
      </c>
      <c r="J199" s="51">
        <f t="shared" si="177"/>
        <v>0</v>
      </c>
      <c r="K199" s="51">
        <f t="shared" si="177"/>
        <v>0</v>
      </c>
      <c r="L199" s="51">
        <f t="shared" si="177"/>
        <v>0</v>
      </c>
      <c r="M199" s="51">
        <f t="shared" si="177"/>
        <v>0</v>
      </c>
      <c r="N199" s="51">
        <f t="shared" si="177"/>
        <v>0</v>
      </c>
      <c r="O199" s="51">
        <f t="shared" si="177"/>
        <v>0</v>
      </c>
      <c r="P199" s="51">
        <f t="shared" si="177"/>
        <v>0</v>
      </c>
      <c r="Q199" s="51">
        <f t="shared" si="177"/>
        <v>0</v>
      </c>
      <c r="R199" s="51">
        <f t="shared" si="177"/>
        <v>0</v>
      </c>
      <c r="S199" s="51">
        <f t="shared" si="177"/>
        <v>0</v>
      </c>
      <c r="T199" s="51">
        <f t="shared" si="177"/>
        <v>0</v>
      </c>
      <c r="U199" s="51">
        <f t="shared" si="177"/>
        <v>0</v>
      </c>
      <c r="V199" s="51">
        <f t="shared" si="177"/>
        <v>0</v>
      </c>
      <c r="W199" s="51">
        <f t="shared" si="177"/>
        <v>0</v>
      </c>
      <c r="X199" s="51">
        <f t="shared" si="177"/>
        <v>0</v>
      </c>
      <c r="Y199" s="51">
        <f t="shared" si="177"/>
        <v>0</v>
      </c>
      <c r="Z199" s="51">
        <f t="shared" si="177"/>
        <v>0</v>
      </c>
      <c r="AA199" s="51">
        <f t="shared" si="177"/>
        <v>0</v>
      </c>
      <c r="AB199" s="51">
        <f t="shared" si="177"/>
        <v>0</v>
      </c>
      <c r="AC199" s="51">
        <f t="shared" si="177"/>
        <v>0</v>
      </c>
      <c r="AD199" s="51">
        <f t="shared" ref="AD199:AZ199" si="178">AD59</f>
        <v>0</v>
      </c>
      <c r="AE199" s="51">
        <f t="shared" si="178"/>
        <v>0</v>
      </c>
      <c r="AF199" s="51">
        <f t="shared" si="178"/>
        <v>0</v>
      </c>
      <c r="AG199" s="51">
        <f t="shared" si="178"/>
        <v>0</v>
      </c>
      <c r="AH199" s="51">
        <f t="shared" si="178"/>
        <v>0</v>
      </c>
      <c r="AI199" s="51">
        <f t="shared" si="178"/>
        <v>0</v>
      </c>
      <c r="AJ199" s="51">
        <f t="shared" si="178"/>
        <v>0</v>
      </c>
      <c r="AK199" s="51">
        <f t="shared" si="178"/>
        <v>0</v>
      </c>
      <c r="AL199" s="51">
        <f t="shared" si="178"/>
        <v>0</v>
      </c>
      <c r="AM199" s="51">
        <f t="shared" si="178"/>
        <v>0</v>
      </c>
      <c r="AN199" s="51">
        <f t="shared" si="178"/>
        <v>0</v>
      </c>
      <c r="AO199" s="51">
        <f t="shared" si="178"/>
        <v>0</v>
      </c>
      <c r="AP199" s="51">
        <f t="shared" si="178"/>
        <v>0</v>
      </c>
      <c r="AQ199" s="51">
        <f t="shared" si="178"/>
        <v>0</v>
      </c>
      <c r="AR199" s="51">
        <f t="shared" si="178"/>
        <v>0</v>
      </c>
      <c r="AS199" s="51">
        <f t="shared" si="178"/>
        <v>0</v>
      </c>
      <c r="AT199" s="51">
        <f t="shared" si="178"/>
        <v>0</v>
      </c>
      <c r="AU199" s="51">
        <f t="shared" si="178"/>
        <v>0</v>
      </c>
      <c r="AV199" s="51">
        <f t="shared" si="178"/>
        <v>0</v>
      </c>
      <c r="AW199" s="51">
        <f t="shared" si="178"/>
        <v>0</v>
      </c>
      <c r="AX199" s="51">
        <f t="shared" si="178"/>
        <v>0</v>
      </c>
      <c r="AY199" s="51">
        <f t="shared" si="178"/>
        <v>0</v>
      </c>
      <c r="AZ199" s="51">
        <f t="shared" si="178"/>
        <v>0</v>
      </c>
      <c r="BA199" s="51">
        <f t="shared" ref="BA199" si="179">BA59</f>
        <v>0</v>
      </c>
    </row>
    <row r="200" spans="1:53" x14ac:dyDescent="0.35">
      <c r="A200" s="2" t="s">
        <v>134</v>
      </c>
      <c r="B200" s="2"/>
      <c r="C200" s="2"/>
      <c r="D200" s="2"/>
      <c r="E200" s="4" t="s">
        <v>36</v>
      </c>
      <c r="F200" s="4" t="str">
        <f t="shared" si="176"/>
        <v/>
      </c>
      <c r="G200" s="2"/>
      <c r="H200" s="51">
        <f>H145</f>
        <v>0</v>
      </c>
      <c r="I200" s="51">
        <f t="shared" ref="I200:AC200" si="180">I145</f>
        <v>0</v>
      </c>
      <c r="J200" s="51">
        <f t="shared" si="180"/>
        <v>0</v>
      </c>
      <c r="K200" s="51">
        <f t="shared" si="180"/>
        <v>0</v>
      </c>
      <c r="L200" s="51">
        <f t="shared" si="180"/>
        <v>0</v>
      </c>
      <c r="M200" s="51">
        <f t="shared" si="180"/>
        <v>0</v>
      </c>
      <c r="N200" s="51">
        <f t="shared" si="180"/>
        <v>0</v>
      </c>
      <c r="O200" s="51">
        <f t="shared" si="180"/>
        <v>0</v>
      </c>
      <c r="P200" s="51">
        <f t="shared" si="180"/>
        <v>0</v>
      </c>
      <c r="Q200" s="51">
        <f t="shared" si="180"/>
        <v>0</v>
      </c>
      <c r="R200" s="51">
        <f t="shared" si="180"/>
        <v>0</v>
      </c>
      <c r="S200" s="51">
        <f t="shared" si="180"/>
        <v>0</v>
      </c>
      <c r="T200" s="51">
        <f t="shared" si="180"/>
        <v>0</v>
      </c>
      <c r="U200" s="51">
        <f t="shared" si="180"/>
        <v>0</v>
      </c>
      <c r="V200" s="51">
        <f t="shared" si="180"/>
        <v>0</v>
      </c>
      <c r="W200" s="51">
        <f t="shared" si="180"/>
        <v>0</v>
      </c>
      <c r="X200" s="51">
        <f t="shared" si="180"/>
        <v>0</v>
      </c>
      <c r="Y200" s="51">
        <f t="shared" si="180"/>
        <v>0</v>
      </c>
      <c r="Z200" s="51">
        <f t="shared" si="180"/>
        <v>0</v>
      </c>
      <c r="AA200" s="51">
        <f t="shared" si="180"/>
        <v>0</v>
      </c>
      <c r="AB200" s="51">
        <f t="shared" si="180"/>
        <v>0</v>
      </c>
      <c r="AC200" s="51">
        <f t="shared" si="180"/>
        <v>0</v>
      </c>
      <c r="AD200" s="51">
        <f t="shared" ref="AD200:AZ200" si="181">AD144</f>
        <v>0</v>
      </c>
      <c r="AE200" s="51">
        <f t="shared" si="181"/>
        <v>0</v>
      </c>
      <c r="AF200" s="51">
        <f t="shared" si="181"/>
        <v>0</v>
      </c>
      <c r="AG200" s="51">
        <f t="shared" si="181"/>
        <v>0</v>
      </c>
      <c r="AH200" s="51">
        <f t="shared" si="181"/>
        <v>0</v>
      </c>
      <c r="AI200" s="51">
        <f t="shared" si="181"/>
        <v>0</v>
      </c>
      <c r="AJ200" s="51">
        <f t="shared" si="181"/>
        <v>0</v>
      </c>
      <c r="AK200" s="51">
        <f t="shared" si="181"/>
        <v>0</v>
      </c>
      <c r="AL200" s="51">
        <f t="shared" si="181"/>
        <v>0</v>
      </c>
      <c r="AM200" s="51">
        <f t="shared" si="181"/>
        <v>0</v>
      </c>
      <c r="AN200" s="51">
        <f t="shared" si="181"/>
        <v>0</v>
      </c>
      <c r="AO200" s="51">
        <f t="shared" si="181"/>
        <v>0</v>
      </c>
      <c r="AP200" s="51">
        <f t="shared" si="181"/>
        <v>0</v>
      </c>
      <c r="AQ200" s="51">
        <f t="shared" si="181"/>
        <v>0</v>
      </c>
      <c r="AR200" s="51">
        <f t="shared" si="181"/>
        <v>0</v>
      </c>
      <c r="AS200" s="51">
        <f t="shared" si="181"/>
        <v>0</v>
      </c>
      <c r="AT200" s="51">
        <f t="shared" si="181"/>
        <v>0</v>
      </c>
      <c r="AU200" s="51">
        <f t="shared" si="181"/>
        <v>0</v>
      </c>
      <c r="AV200" s="51">
        <f t="shared" si="181"/>
        <v>0</v>
      </c>
      <c r="AW200" s="51">
        <f t="shared" si="181"/>
        <v>0</v>
      </c>
      <c r="AX200" s="51">
        <f t="shared" si="181"/>
        <v>0</v>
      </c>
      <c r="AY200" s="51">
        <f t="shared" si="181"/>
        <v>0</v>
      </c>
      <c r="AZ200" s="51">
        <f t="shared" si="181"/>
        <v>0</v>
      </c>
      <c r="BA200" s="51">
        <f t="shared" ref="BA200" si="182">BA144</f>
        <v>0</v>
      </c>
    </row>
    <row r="201" spans="1:53" x14ac:dyDescent="0.35">
      <c r="A201" s="2" t="s">
        <v>135</v>
      </c>
      <c r="B201" s="2"/>
      <c r="C201" s="2"/>
      <c r="D201" s="2"/>
      <c r="E201" s="4" t="s">
        <v>36</v>
      </c>
      <c r="F201" s="4" t="str">
        <f t="shared" si="176"/>
        <v/>
      </c>
      <c r="G201" s="2"/>
      <c r="H201" s="51">
        <f>H166</f>
        <v>0</v>
      </c>
      <c r="I201" s="51">
        <f t="shared" ref="I201:AZ201" si="183">I167</f>
        <v>0</v>
      </c>
      <c r="J201" s="51">
        <f t="shared" si="183"/>
        <v>0</v>
      </c>
      <c r="K201" s="51">
        <f t="shared" si="183"/>
        <v>0</v>
      </c>
      <c r="L201" s="51">
        <f t="shared" si="183"/>
        <v>0</v>
      </c>
      <c r="M201" s="51">
        <f t="shared" si="183"/>
        <v>0</v>
      </c>
      <c r="N201" s="51">
        <f t="shared" si="183"/>
        <v>0</v>
      </c>
      <c r="O201" s="51">
        <f t="shared" si="183"/>
        <v>0</v>
      </c>
      <c r="P201" s="51">
        <f t="shared" si="183"/>
        <v>0</v>
      </c>
      <c r="Q201" s="51">
        <f t="shared" si="183"/>
        <v>0</v>
      </c>
      <c r="R201" s="51">
        <f t="shared" si="183"/>
        <v>0</v>
      </c>
      <c r="S201" s="51">
        <f t="shared" si="183"/>
        <v>0</v>
      </c>
      <c r="T201" s="51">
        <f t="shared" si="183"/>
        <v>0</v>
      </c>
      <c r="U201" s="51">
        <f t="shared" si="183"/>
        <v>0</v>
      </c>
      <c r="V201" s="51">
        <f t="shared" si="183"/>
        <v>0</v>
      </c>
      <c r="W201" s="51">
        <f t="shared" si="183"/>
        <v>0</v>
      </c>
      <c r="X201" s="51">
        <f t="shared" si="183"/>
        <v>0</v>
      </c>
      <c r="Y201" s="51">
        <f t="shared" si="183"/>
        <v>0</v>
      </c>
      <c r="Z201" s="51">
        <f t="shared" si="183"/>
        <v>0</v>
      </c>
      <c r="AA201" s="51">
        <f t="shared" si="183"/>
        <v>0</v>
      </c>
      <c r="AB201" s="51">
        <f t="shared" si="183"/>
        <v>0</v>
      </c>
      <c r="AC201" s="51">
        <f t="shared" si="183"/>
        <v>0</v>
      </c>
      <c r="AD201" s="51">
        <f t="shared" si="183"/>
        <v>0</v>
      </c>
      <c r="AE201" s="51">
        <f t="shared" si="183"/>
        <v>0</v>
      </c>
      <c r="AF201" s="51">
        <f t="shared" si="183"/>
        <v>0</v>
      </c>
      <c r="AG201" s="51">
        <f t="shared" si="183"/>
        <v>0</v>
      </c>
      <c r="AH201" s="51">
        <f t="shared" si="183"/>
        <v>0</v>
      </c>
      <c r="AI201" s="51">
        <f t="shared" si="183"/>
        <v>0</v>
      </c>
      <c r="AJ201" s="51">
        <f t="shared" si="183"/>
        <v>0</v>
      </c>
      <c r="AK201" s="51">
        <f t="shared" si="183"/>
        <v>0</v>
      </c>
      <c r="AL201" s="51">
        <f t="shared" si="183"/>
        <v>0</v>
      </c>
      <c r="AM201" s="51">
        <f t="shared" si="183"/>
        <v>0</v>
      </c>
      <c r="AN201" s="51">
        <f t="shared" si="183"/>
        <v>0</v>
      </c>
      <c r="AO201" s="51">
        <f t="shared" si="183"/>
        <v>0</v>
      </c>
      <c r="AP201" s="51">
        <f t="shared" si="183"/>
        <v>0</v>
      </c>
      <c r="AQ201" s="51">
        <f t="shared" si="183"/>
        <v>0</v>
      </c>
      <c r="AR201" s="51">
        <f t="shared" si="183"/>
        <v>0</v>
      </c>
      <c r="AS201" s="51">
        <f t="shared" si="183"/>
        <v>0</v>
      </c>
      <c r="AT201" s="51">
        <f t="shared" si="183"/>
        <v>0</v>
      </c>
      <c r="AU201" s="51">
        <f t="shared" si="183"/>
        <v>0</v>
      </c>
      <c r="AV201" s="51">
        <f t="shared" si="183"/>
        <v>0</v>
      </c>
      <c r="AW201" s="51">
        <f t="shared" si="183"/>
        <v>0</v>
      </c>
      <c r="AX201" s="51">
        <f t="shared" si="183"/>
        <v>0</v>
      </c>
      <c r="AY201" s="51">
        <f t="shared" si="183"/>
        <v>0</v>
      </c>
      <c r="AZ201" s="51">
        <f t="shared" si="183"/>
        <v>0</v>
      </c>
      <c r="BA201" s="51">
        <f t="shared" ref="BA201" si="184">BA167</f>
        <v>0</v>
      </c>
    </row>
    <row r="202" spans="1:53" x14ac:dyDescent="0.35">
      <c r="A202" s="2" t="s">
        <v>311</v>
      </c>
      <c r="B202" s="2"/>
      <c r="C202" s="2"/>
      <c r="D202" s="2"/>
      <c r="E202" s="4" t="s">
        <v>36</v>
      </c>
      <c r="F202" s="4"/>
      <c r="G202" s="2"/>
      <c r="H202" s="51">
        <f>H36-H161</f>
        <v>0</v>
      </c>
      <c r="I202" s="51">
        <f t="shared" ref="I202:AZ202" si="185">I36-I161</f>
        <v>0</v>
      </c>
      <c r="J202" s="51">
        <f t="shared" si="185"/>
        <v>0</v>
      </c>
      <c r="K202" s="51">
        <f t="shared" si="185"/>
        <v>0</v>
      </c>
      <c r="L202" s="51">
        <f t="shared" si="185"/>
        <v>0</v>
      </c>
      <c r="M202" s="51">
        <f t="shared" si="185"/>
        <v>0</v>
      </c>
      <c r="N202" s="51">
        <f t="shared" si="185"/>
        <v>0</v>
      </c>
      <c r="O202" s="51">
        <f t="shared" si="185"/>
        <v>0</v>
      </c>
      <c r="P202" s="51">
        <f t="shared" si="185"/>
        <v>0</v>
      </c>
      <c r="Q202" s="51">
        <f t="shared" si="185"/>
        <v>0</v>
      </c>
      <c r="R202" s="51">
        <f t="shared" si="185"/>
        <v>0</v>
      </c>
      <c r="S202" s="51">
        <f t="shared" si="185"/>
        <v>0</v>
      </c>
      <c r="T202" s="51">
        <f t="shared" si="185"/>
        <v>0</v>
      </c>
      <c r="U202" s="51">
        <f t="shared" si="185"/>
        <v>0</v>
      </c>
      <c r="V202" s="51">
        <f t="shared" si="185"/>
        <v>0</v>
      </c>
      <c r="W202" s="51">
        <f t="shared" si="185"/>
        <v>0</v>
      </c>
      <c r="X202" s="51">
        <f t="shared" si="185"/>
        <v>0</v>
      </c>
      <c r="Y202" s="51">
        <f t="shared" si="185"/>
        <v>0</v>
      </c>
      <c r="Z202" s="51">
        <f t="shared" si="185"/>
        <v>0</v>
      </c>
      <c r="AA202" s="51">
        <f t="shared" si="185"/>
        <v>0</v>
      </c>
      <c r="AB202" s="51">
        <f t="shared" si="185"/>
        <v>0</v>
      </c>
      <c r="AC202" s="51">
        <f t="shared" si="185"/>
        <v>0</v>
      </c>
      <c r="AD202" s="51">
        <f t="shared" si="185"/>
        <v>0</v>
      </c>
      <c r="AE202" s="51">
        <f t="shared" si="185"/>
        <v>0</v>
      </c>
      <c r="AF202" s="51">
        <f t="shared" si="185"/>
        <v>0</v>
      </c>
      <c r="AG202" s="51">
        <f t="shared" si="185"/>
        <v>0</v>
      </c>
      <c r="AH202" s="51">
        <f t="shared" si="185"/>
        <v>0</v>
      </c>
      <c r="AI202" s="51">
        <f t="shared" si="185"/>
        <v>0</v>
      </c>
      <c r="AJ202" s="51">
        <f t="shared" si="185"/>
        <v>0</v>
      </c>
      <c r="AK202" s="51">
        <f t="shared" si="185"/>
        <v>0</v>
      </c>
      <c r="AL202" s="51">
        <f t="shared" si="185"/>
        <v>0</v>
      </c>
      <c r="AM202" s="51">
        <f t="shared" si="185"/>
        <v>0</v>
      </c>
      <c r="AN202" s="51">
        <f t="shared" si="185"/>
        <v>0</v>
      </c>
      <c r="AO202" s="51">
        <f t="shared" si="185"/>
        <v>0</v>
      </c>
      <c r="AP202" s="51">
        <f t="shared" si="185"/>
        <v>0</v>
      </c>
      <c r="AQ202" s="51">
        <f t="shared" si="185"/>
        <v>0</v>
      </c>
      <c r="AR202" s="51">
        <f t="shared" si="185"/>
        <v>0</v>
      </c>
      <c r="AS202" s="51">
        <f t="shared" si="185"/>
        <v>0</v>
      </c>
      <c r="AT202" s="51">
        <f t="shared" si="185"/>
        <v>0</v>
      </c>
      <c r="AU202" s="51">
        <f t="shared" si="185"/>
        <v>0</v>
      </c>
      <c r="AV202" s="51">
        <f t="shared" si="185"/>
        <v>0</v>
      </c>
      <c r="AW202" s="51">
        <f t="shared" si="185"/>
        <v>0</v>
      </c>
      <c r="AX202" s="51">
        <f t="shared" si="185"/>
        <v>0</v>
      </c>
      <c r="AY202" s="51">
        <f t="shared" si="185"/>
        <v>0</v>
      </c>
      <c r="AZ202" s="51">
        <f t="shared" si="185"/>
        <v>0</v>
      </c>
      <c r="BA202" s="51">
        <f t="shared" ref="BA202" si="186">BA36-BA161</f>
        <v>0</v>
      </c>
    </row>
    <row r="203" spans="1:53" x14ac:dyDescent="0.35">
      <c r="A203" s="2" t="s">
        <v>136</v>
      </c>
      <c r="B203" s="2"/>
      <c r="C203" s="2"/>
      <c r="D203" s="2"/>
      <c r="E203" s="4" t="s">
        <v>36</v>
      </c>
      <c r="F203" s="4" t="str">
        <f t="shared" si="176"/>
        <v/>
      </c>
      <c r="G203" s="2"/>
      <c r="H203" s="143">
        <f>SUM(H199:H202)</f>
        <v>0</v>
      </c>
      <c r="I203" s="143">
        <f t="shared" ref="I203:BA203" si="187">SUM(I199:I202)</f>
        <v>0</v>
      </c>
      <c r="J203" s="143">
        <f t="shared" si="187"/>
        <v>0</v>
      </c>
      <c r="K203" s="143">
        <f t="shared" si="187"/>
        <v>0</v>
      </c>
      <c r="L203" s="143">
        <f t="shared" si="187"/>
        <v>0</v>
      </c>
      <c r="M203" s="143">
        <f t="shared" si="187"/>
        <v>0</v>
      </c>
      <c r="N203" s="143">
        <f t="shared" si="187"/>
        <v>0</v>
      </c>
      <c r="O203" s="143">
        <f t="shared" si="187"/>
        <v>0</v>
      </c>
      <c r="P203" s="143">
        <f t="shared" si="187"/>
        <v>0</v>
      </c>
      <c r="Q203" s="143">
        <f t="shared" si="187"/>
        <v>0</v>
      </c>
      <c r="R203" s="143">
        <f t="shared" si="187"/>
        <v>0</v>
      </c>
      <c r="S203" s="143">
        <f t="shared" si="187"/>
        <v>0</v>
      </c>
      <c r="T203" s="143">
        <f t="shared" si="187"/>
        <v>0</v>
      </c>
      <c r="U203" s="143">
        <f t="shared" si="187"/>
        <v>0</v>
      </c>
      <c r="V203" s="143">
        <f t="shared" si="187"/>
        <v>0</v>
      </c>
      <c r="W203" s="143">
        <f t="shared" si="187"/>
        <v>0</v>
      </c>
      <c r="X203" s="143">
        <f t="shared" si="187"/>
        <v>0</v>
      </c>
      <c r="Y203" s="143">
        <f t="shared" si="187"/>
        <v>0</v>
      </c>
      <c r="Z203" s="143">
        <f t="shared" si="187"/>
        <v>0</v>
      </c>
      <c r="AA203" s="143">
        <f t="shared" si="187"/>
        <v>0</v>
      </c>
      <c r="AB203" s="143">
        <f t="shared" si="187"/>
        <v>0</v>
      </c>
      <c r="AC203" s="143">
        <f t="shared" si="187"/>
        <v>0</v>
      </c>
      <c r="AD203" s="143">
        <f t="shared" si="187"/>
        <v>0</v>
      </c>
      <c r="AE203" s="143">
        <f t="shared" si="187"/>
        <v>0</v>
      </c>
      <c r="AF203" s="143">
        <f t="shared" si="187"/>
        <v>0</v>
      </c>
      <c r="AG203" s="143">
        <f t="shared" si="187"/>
        <v>0</v>
      </c>
      <c r="AH203" s="143">
        <f t="shared" si="187"/>
        <v>0</v>
      </c>
      <c r="AI203" s="143">
        <f t="shared" si="187"/>
        <v>0</v>
      </c>
      <c r="AJ203" s="143">
        <f t="shared" si="187"/>
        <v>0</v>
      </c>
      <c r="AK203" s="143">
        <f t="shared" si="187"/>
        <v>0</v>
      </c>
      <c r="AL203" s="143">
        <f t="shared" si="187"/>
        <v>0</v>
      </c>
      <c r="AM203" s="143">
        <f t="shared" si="187"/>
        <v>0</v>
      </c>
      <c r="AN203" s="143">
        <f t="shared" si="187"/>
        <v>0</v>
      </c>
      <c r="AO203" s="143">
        <f t="shared" si="187"/>
        <v>0</v>
      </c>
      <c r="AP203" s="143">
        <f t="shared" si="187"/>
        <v>0</v>
      </c>
      <c r="AQ203" s="143">
        <f t="shared" si="187"/>
        <v>0</v>
      </c>
      <c r="AR203" s="143">
        <f t="shared" si="187"/>
        <v>0</v>
      </c>
      <c r="AS203" s="143">
        <f t="shared" si="187"/>
        <v>0</v>
      </c>
      <c r="AT203" s="143">
        <f t="shared" si="187"/>
        <v>0</v>
      </c>
      <c r="AU203" s="143">
        <f t="shared" si="187"/>
        <v>0</v>
      </c>
      <c r="AV203" s="143">
        <f t="shared" si="187"/>
        <v>0</v>
      </c>
      <c r="AW203" s="143">
        <f t="shared" si="187"/>
        <v>0</v>
      </c>
      <c r="AX203" s="143">
        <f t="shared" si="187"/>
        <v>0</v>
      </c>
      <c r="AY203" s="143">
        <f t="shared" si="187"/>
        <v>0</v>
      </c>
      <c r="AZ203" s="143">
        <f t="shared" si="187"/>
        <v>0</v>
      </c>
      <c r="BA203" s="143">
        <f t="shared" si="187"/>
        <v>0</v>
      </c>
    </row>
    <row r="204" spans="1:53" x14ac:dyDescent="0.35">
      <c r="A204" s="2" t="s">
        <v>127</v>
      </c>
      <c r="B204" s="2"/>
      <c r="C204" s="2"/>
      <c r="D204" s="2"/>
      <c r="E204" s="4" t="s">
        <v>36</v>
      </c>
      <c r="F204" s="4" t="str">
        <f t="shared" si="176"/>
        <v/>
      </c>
      <c r="G204" s="2"/>
      <c r="H204" s="51">
        <f t="shared" ref="H204:BA204" si="188">H177*IF($E$177="Real",I$10,1)</f>
        <v>0</v>
      </c>
      <c r="I204" s="51">
        <f t="shared" si="188"/>
        <v>0</v>
      </c>
      <c r="J204" s="51">
        <f t="shared" si="188"/>
        <v>0</v>
      </c>
      <c r="K204" s="51">
        <f t="shared" si="188"/>
        <v>0</v>
      </c>
      <c r="L204" s="51">
        <f t="shared" si="188"/>
        <v>0</v>
      </c>
      <c r="M204" s="51">
        <f t="shared" si="188"/>
        <v>0</v>
      </c>
      <c r="N204" s="51">
        <f t="shared" si="188"/>
        <v>0</v>
      </c>
      <c r="O204" s="51">
        <f t="shared" si="188"/>
        <v>0</v>
      </c>
      <c r="P204" s="51">
        <f t="shared" si="188"/>
        <v>0</v>
      </c>
      <c r="Q204" s="51">
        <f t="shared" si="188"/>
        <v>0</v>
      </c>
      <c r="R204" s="51">
        <f t="shared" si="188"/>
        <v>0</v>
      </c>
      <c r="S204" s="51">
        <f t="shared" si="188"/>
        <v>0</v>
      </c>
      <c r="T204" s="51">
        <f t="shared" si="188"/>
        <v>0</v>
      </c>
      <c r="U204" s="51">
        <f t="shared" si="188"/>
        <v>0</v>
      </c>
      <c r="V204" s="51">
        <f t="shared" si="188"/>
        <v>0</v>
      </c>
      <c r="W204" s="51">
        <f t="shared" si="188"/>
        <v>0</v>
      </c>
      <c r="X204" s="51">
        <f t="shared" si="188"/>
        <v>0</v>
      </c>
      <c r="Y204" s="51">
        <f t="shared" si="188"/>
        <v>0</v>
      </c>
      <c r="Z204" s="51">
        <f t="shared" si="188"/>
        <v>0</v>
      </c>
      <c r="AA204" s="51">
        <f t="shared" si="188"/>
        <v>0</v>
      </c>
      <c r="AB204" s="51">
        <f t="shared" si="188"/>
        <v>0</v>
      </c>
      <c r="AC204" s="51">
        <f t="shared" si="188"/>
        <v>0</v>
      </c>
      <c r="AD204" s="51">
        <f t="shared" si="188"/>
        <v>0</v>
      </c>
      <c r="AE204" s="51">
        <f t="shared" si="188"/>
        <v>0</v>
      </c>
      <c r="AF204" s="51">
        <f t="shared" si="188"/>
        <v>0</v>
      </c>
      <c r="AG204" s="51">
        <f t="shared" si="188"/>
        <v>0</v>
      </c>
      <c r="AH204" s="51">
        <f t="shared" si="188"/>
        <v>0</v>
      </c>
      <c r="AI204" s="51">
        <f t="shared" si="188"/>
        <v>0</v>
      </c>
      <c r="AJ204" s="51">
        <f t="shared" si="188"/>
        <v>0</v>
      </c>
      <c r="AK204" s="51">
        <f t="shared" si="188"/>
        <v>0</v>
      </c>
      <c r="AL204" s="51">
        <f t="shared" si="188"/>
        <v>0</v>
      </c>
      <c r="AM204" s="51">
        <f t="shared" si="188"/>
        <v>0</v>
      </c>
      <c r="AN204" s="51">
        <f t="shared" si="188"/>
        <v>0</v>
      </c>
      <c r="AO204" s="51">
        <f t="shared" si="188"/>
        <v>0</v>
      </c>
      <c r="AP204" s="51">
        <f t="shared" si="188"/>
        <v>0</v>
      </c>
      <c r="AQ204" s="51">
        <f t="shared" si="188"/>
        <v>0</v>
      </c>
      <c r="AR204" s="51">
        <f t="shared" si="188"/>
        <v>0</v>
      </c>
      <c r="AS204" s="51">
        <f t="shared" si="188"/>
        <v>0</v>
      </c>
      <c r="AT204" s="51">
        <f t="shared" si="188"/>
        <v>0</v>
      </c>
      <c r="AU204" s="51">
        <f t="shared" si="188"/>
        <v>0</v>
      </c>
      <c r="AV204" s="51">
        <f t="shared" si="188"/>
        <v>0</v>
      </c>
      <c r="AW204" s="51">
        <f t="shared" si="188"/>
        <v>0</v>
      </c>
      <c r="AX204" s="51">
        <f t="shared" si="188"/>
        <v>0</v>
      </c>
      <c r="AY204" s="51">
        <f t="shared" si="188"/>
        <v>0</v>
      </c>
      <c r="AZ204" s="51">
        <f t="shared" si="188"/>
        <v>0</v>
      </c>
      <c r="BA204" s="51">
        <f t="shared" si="188"/>
        <v>0</v>
      </c>
    </row>
    <row r="205" spans="1:53" x14ac:dyDescent="0.35">
      <c r="A205" s="2" t="s">
        <v>137</v>
      </c>
      <c r="B205" s="2"/>
      <c r="C205" s="2"/>
      <c r="D205" s="2"/>
      <c r="E205" s="4" t="s">
        <v>36</v>
      </c>
      <c r="F205" s="4" t="str">
        <f t="shared" si="176"/>
        <v/>
      </c>
      <c r="G205" s="2"/>
      <c r="H205" s="51">
        <f>H204-H203</f>
        <v>0</v>
      </c>
      <c r="I205" s="51">
        <f t="shared" ref="I205:AZ205" si="189">I204-I203</f>
        <v>0</v>
      </c>
      <c r="J205" s="51">
        <f t="shared" si="189"/>
        <v>0</v>
      </c>
      <c r="K205" s="51">
        <f t="shared" si="189"/>
        <v>0</v>
      </c>
      <c r="L205" s="51">
        <f t="shared" si="189"/>
        <v>0</v>
      </c>
      <c r="M205" s="51">
        <f t="shared" si="189"/>
        <v>0</v>
      </c>
      <c r="N205" s="51">
        <f t="shared" si="189"/>
        <v>0</v>
      </c>
      <c r="O205" s="51">
        <f t="shared" si="189"/>
        <v>0</v>
      </c>
      <c r="P205" s="51">
        <f t="shared" si="189"/>
        <v>0</v>
      </c>
      <c r="Q205" s="51">
        <f t="shared" si="189"/>
        <v>0</v>
      </c>
      <c r="R205" s="51">
        <f t="shared" si="189"/>
        <v>0</v>
      </c>
      <c r="S205" s="51">
        <f t="shared" si="189"/>
        <v>0</v>
      </c>
      <c r="T205" s="51">
        <f t="shared" si="189"/>
        <v>0</v>
      </c>
      <c r="U205" s="51">
        <f t="shared" si="189"/>
        <v>0</v>
      </c>
      <c r="V205" s="51">
        <f t="shared" si="189"/>
        <v>0</v>
      </c>
      <c r="W205" s="51">
        <f t="shared" si="189"/>
        <v>0</v>
      </c>
      <c r="X205" s="51">
        <f t="shared" si="189"/>
        <v>0</v>
      </c>
      <c r="Y205" s="51">
        <f t="shared" si="189"/>
        <v>0</v>
      </c>
      <c r="Z205" s="51">
        <f t="shared" si="189"/>
        <v>0</v>
      </c>
      <c r="AA205" s="51">
        <f t="shared" si="189"/>
        <v>0</v>
      </c>
      <c r="AB205" s="51">
        <f t="shared" si="189"/>
        <v>0</v>
      </c>
      <c r="AC205" s="51">
        <f t="shared" si="189"/>
        <v>0</v>
      </c>
      <c r="AD205" s="51">
        <f t="shared" si="189"/>
        <v>0</v>
      </c>
      <c r="AE205" s="51">
        <f t="shared" si="189"/>
        <v>0</v>
      </c>
      <c r="AF205" s="51">
        <f t="shared" si="189"/>
        <v>0</v>
      </c>
      <c r="AG205" s="51">
        <f t="shared" si="189"/>
        <v>0</v>
      </c>
      <c r="AH205" s="51">
        <f t="shared" si="189"/>
        <v>0</v>
      </c>
      <c r="AI205" s="51">
        <f t="shared" si="189"/>
        <v>0</v>
      </c>
      <c r="AJ205" s="51">
        <f t="shared" si="189"/>
        <v>0</v>
      </c>
      <c r="AK205" s="51">
        <f t="shared" si="189"/>
        <v>0</v>
      </c>
      <c r="AL205" s="51">
        <f t="shared" si="189"/>
        <v>0</v>
      </c>
      <c r="AM205" s="51">
        <f t="shared" si="189"/>
        <v>0</v>
      </c>
      <c r="AN205" s="51">
        <f t="shared" si="189"/>
        <v>0</v>
      </c>
      <c r="AO205" s="51">
        <f t="shared" si="189"/>
        <v>0</v>
      </c>
      <c r="AP205" s="51">
        <f t="shared" si="189"/>
        <v>0</v>
      </c>
      <c r="AQ205" s="51">
        <f t="shared" si="189"/>
        <v>0</v>
      </c>
      <c r="AR205" s="51">
        <f t="shared" si="189"/>
        <v>0</v>
      </c>
      <c r="AS205" s="51">
        <f t="shared" si="189"/>
        <v>0</v>
      </c>
      <c r="AT205" s="51">
        <f t="shared" si="189"/>
        <v>0</v>
      </c>
      <c r="AU205" s="51">
        <f t="shared" si="189"/>
        <v>0</v>
      </c>
      <c r="AV205" s="51">
        <f t="shared" si="189"/>
        <v>0</v>
      </c>
      <c r="AW205" s="51">
        <f t="shared" si="189"/>
        <v>0</v>
      </c>
      <c r="AX205" s="51">
        <f t="shared" si="189"/>
        <v>0</v>
      </c>
      <c r="AY205" s="51">
        <f t="shared" si="189"/>
        <v>0</v>
      </c>
      <c r="AZ205" s="51">
        <f t="shared" si="189"/>
        <v>0</v>
      </c>
      <c r="BA205" s="51">
        <f t="shared" ref="BA205" si="190">BA204-BA203</f>
        <v>0</v>
      </c>
    </row>
    <row r="206" spans="1:53" x14ac:dyDescent="0.35">
      <c r="A206" s="2" t="s">
        <v>138</v>
      </c>
      <c r="B206" s="2"/>
      <c r="C206" s="2"/>
      <c r="D206" s="2"/>
      <c r="E206" s="4" t="s">
        <v>36</v>
      </c>
      <c r="F206" s="4" t="str">
        <f t="shared" si="176"/>
        <v/>
      </c>
      <c r="G206" s="2"/>
      <c r="H206" s="51">
        <f>H205-H184</f>
        <v>0</v>
      </c>
      <c r="I206" s="51">
        <f t="shared" ref="I206:AZ206" si="191">I205-I184</f>
        <v>0</v>
      </c>
      <c r="J206" s="51">
        <f t="shared" si="191"/>
        <v>0</v>
      </c>
      <c r="K206" s="51">
        <f t="shared" si="191"/>
        <v>0</v>
      </c>
      <c r="L206" s="51">
        <f t="shared" si="191"/>
        <v>0</v>
      </c>
      <c r="M206" s="51">
        <f t="shared" si="191"/>
        <v>0</v>
      </c>
      <c r="N206" s="51">
        <f t="shared" si="191"/>
        <v>0</v>
      </c>
      <c r="O206" s="51">
        <f t="shared" si="191"/>
        <v>0</v>
      </c>
      <c r="P206" s="51">
        <f t="shared" si="191"/>
        <v>0</v>
      </c>
      <c r="Q206" s="51">
        <f t="shared" si="191"/>
        <v>0</v>
      </c>
      <c r="R206" s="51">
        <f t="shared" si="191"/>
        <v>0</v>
      </c>
      <c r="S206" s="51">
        <f t="shared" si="191"/>
        <v>0</v>
      </c>
      <c r="T206" s="51">
        <f t="shared" si="191"/>
        <v>0</v>
      </c>
      <c r="U206" s="51">
        <f t="shared" si="191"/>
        <v>0</v>
      </c>
      <c r="V206" s="51">
        <f t="shared" si="191"/>
        <v>0</v>
      </c>
      <c r="W206" s="51">
        <f t="shared" si="191"/>
        <v>0</v>
      </c>
      <c r="X206" s="51">
        <f t="shared" si="191"/>
        <v>0</v>
      </c>
      <c r="Y206" s="51">
        <f t="shared" si="191"/>
        <v>0</v>
      </c>
      <c r="Z206" s="51">
        <f t="shared" si="191"/>
        <v>0</v>
      </c>
      <c r="AA206" s="51">
        <f t="shared" si="191"/>
        <v>0</v>
      </c>
      <c r="AB206" s="51">
        <f t="shared" si="191"/>
        <v>0</v>
      </c>
      <c r="AC206" s="51">
        <f t="shared" si="191"/>
        <v>0</v>
      </c>
      <c r="AD206" s="51">
        <f t="shared" si="191"/>
        <v>0</v>
      </c>
      <c r="AE206" s="51">
        <f t="shared" si="191"/>
        <v>0</v>
      </c>
      <c r="AF206" s="51">
        <f t="shared" si="191"/>
        <v>0</v>
      </c>
      <c r="AG206" s="51">
        <f t="shared" si="191"/>
        <v>0</v>
      </c>
      <c r="AH206" s="51">
        <f t="shared" si="191"/>
        <v>0</v>
      </c>
      <c r="AI206" s="51">
        <f t="shared" si="191"/>
        <v>0</v>
      </c>
      <c r="AJ206" s="51">
        <f t="shared" si="191"/>
        <v>0</v>
      </c>
      <c r="AK206" s="51">
        <f t="shared" si="191"/>
        <v>0</v>
      </c>
      <c r="AL206" s="51">
        <f t="shared" si="191"/>
        <v>0</v>
      </c>
      <c r="AM206" s="51">
        <f t="shared" si="191"/>
        <v>0</v>
      </c>
      <c r="AN206" s="51">
        <f t="shared" si="191"/>
        <v>0</v>
      </c>
      <c r="AO206" s="51">
        <f t="shared" si="191"/>
        <v>0</v>
      </c>
      <c r="AP206" s="51">
        <f t="shared" si="191"/>
        <v>0</v>
      </c>
      <c r="AQ206" s="51">
        <f t="shared" si="191"/>
        <v>0</v>
      </c>
      <c r="AR206" s="51">
        <f t="shared" si="191"/>
        <v>0</v>
      </c>
      <c r="AS206" s="51">
        <f t="shared" si="191"/>
        <v>0</v>
      </c>
      <c r="AT206" s="51">
        <f t="shared" si="191"/>
        <v>0</v>
      </c>
      <c r="AU206" s="51">
        <f t="shared" si="191"/>
        <v>0</v>
      </c>
      <c r="AV206" s="51">
        <f t="shared" si="191"/>
        <v>0</v>
      </c>
      <c r="AW206" s="51">
        <f t="shared" si="191"/>
        <v>0</v>
      </c>
      <c r="AX206" s="51">
        <f t="shared" si="191"/>
        <v>0</v>
      </c>
      <c r="AY206" s="51">
        <f t="shared" si="191"/>
        <v>0</v>
      </c>
      <c r="AZ206" s="51">
        <f t="shared" si="191"/>
        <v>0</v>
      </c>
      <c r="BA206" s="51">
        <f t="shared" ref="BA206" si="192">BA205-BA184</f>
        <v>0</v>
      </c>
    </row>
    <row r="207" spans="1:53"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row>
    <row r="208" spans="1:53" ht="18.5" x14ac:dyDescent="0.45">
      <c r="A208" s="7" t="s">
        <v>139</v>
      </c>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row>
    <row r="209" spans="1:53" x14ac:dyDescent="0.35">
      <c r="A209" s="28" t="s">
        <v>37</v>
      </c>
      <c r="B209" s="25"/>
      <c r="C209" s="25"/>
      <c r="D209" s="25"/>
      <c r="E209" s="25"/>
      <c r="F209" s="25"/>
      <c r="G209" s="25"/>
      <c r="H209" s="94">
        <v>2025</v>
      </c>
      <c r="I209" s="94">
        <v>2026</v>
      </c>
      <c r="J209" s="94">
        <v>2027</v>
      </c>
      <c r="K209" s="94">
        <v>2028</v>
      </c>
      <c r="L209" s="94">
        <v>2029</v>
      </c>
      <c r="M209" s="94">
        <v>2030</v>
      </c>
      <c r="N209" s="94">
        <v>2031</v>
      </c>
      <c r="O209" s="94">
        <v>2032</v>
      </c>
      <c r="P209" s="94">
        <v>2033</v>
      </c>
      <c r="Q209" s="94">
        <v>2034</v>
      </c>
      <c r="R209" s="94">
        <v>2035</v>
      </c>
      <c r="S209" s="94">
        <v>2036</v>
      </c>
      <c r="T209" s="94">
        <v>2037</v>
      </c>
      <c r="U209" s="94">
        <v>2038</v>
      </c>
      <c r="V209" s="94">
        <v>2039</v>
      </c>
      <c r="W209" s="94">
        <v>2040</v>
      </c>
      <c r="X209" s="94">
        <v>2041</v>
      </c>
      <c r="Y209" s="94">
        <v>2042</v>
      </c>
      <c r="Z209" s="94">
        <v>2043</v>
      </c>
      <c r="AA209" s="94">
        <v>2044</v>
      </c>
      <c r="AB209" s="94">
        <v>2045</v>
      </c>
      <c r="AC209" s="94">
        <v>2046</v>
      </c>
      <c r="AD209" s="94">
        <v>2047</v>
      </c>
      <c r="AE209" s="94">
        <v>2048</v>
      </c>
      <c r="AF209" s="94">
        <v>2049</v>
      </c>
      <c r="AG209" s="94">
        <v>2050</v>
      </c>
      <c r="AH209" s="94">
        <v>2051</v>
      </c>
      <c r="AI209" s="94">
        <v>2052</v>
      </c>
      <c r="AJ209" s="94">
        <v>2053</v>
      </c>
      <c r="AK209" s="94">
        <v>2054</v>
      </c>
      <c r="AL209" s="94">
        <v>2055</v>
      </c>
      <c r="AM209" s="94">
        <v>2056</v>
      </c>
      <c r="AN209" s="94">
        <v>2057</v>
      </c>
      <c r="AO209" s="94">
        <v>2058</v>
      </c>
      <c r="AP209" s="94">
        <v>2059</v>
      </c>
      <c r="AQ209" s="94">
        <v>2060</v>
      </c>
      <c r="AR209" s="94">
        <v>2061</v>
      </c>
      <c r="AS209" s="94">
        <v>2062</v>
      </c>
      <c r="AT209" s="94">
        <v>2063</v>
      </c>
      <c r="AU209" s="94">
        <v>2064</v>
      </c>
      <c r="AV209" s="94">
        <v>2065</v>
      </c>
      <c r="AW209" s="94">
        <v>2066</v>
      </c>
      <c r="AX209" s="94">
        <v>2067</v>
      </c>
      <c r="AY209" s="94">
        <v>2068</v>
      </c>
      <c r="AZ209" s="94">
        <v>2069</v>
      </c>
      <c r="BA209" s="94">
        <v>2070</v>
      </c>
    </row>
    <row r="210" spans="1:53" x14ac:dyDescent="0.35">
      <c r="A210" s="2" t="s">
        <v>133</v>
      </c>
      <c r="B210" s="2"/>
      <c r="C210" s="2"/>
      <c r="D210" s="2"/>
      <c r="E210" s="8" t="s">
        <v>109</v>
      </c>
      <c r="F210" s="8" t="str">
        <f t="shared" ref="F210:F217" si="193">IF(E210="Nominal","",Analysis_year&amp;" values")</f>
        <v xml:space="preserve"> values</v>
      </c>
      <c r="G210" s="2"/>
      <c r="H210" s="49">
        <f t="shared" ref="H210:BA210" si="194">H48</f>
        <v>0</v>
      </c>
      <c r="I210" s="49">
        <f t="shared" si="194"/>
        <v>0</v>
      </c>
      <c r="J210" s="49">
        <f t="shared" si="194"/>
        <v>0</v>
      </c>
      <c r="K210" s="49">
        <f t="shared" si="194"/>
        <v>0</v>
      </c>
      <c r="L210" s="49">
        <f t="shared" si="194"/>
        <v>0</v>
      </c>
      <c r="M210" s="49">
        <f t="shared" si="194"/>
        <v>0</v>
      </c>
      <c r="N210" s="49">
        <f t="shared" si="194"/>
        <v>0</v>
      </c>
      <c r="O210" s="49">
        <f t="shared" si="194"/>
        <v>0</v>
      </c>
      <c r="P210" s="49">
        <f t="shared" si="194"/>
        <v>0</v>
      </c>
      <c r="Q210" s="49">
        <f t="shared" si="194"/>
        <v>0</v>
      </c>
      <c r="R210" s="49">
        <f t="shared" si="194"/>
        <v>0</v>
      </c>
      <c r="S210" s="49">
        <f t="shared" si="194"/>
        <v>0</v>
      </c>
      <c r="T210" s="49">
        <f t="shared" si="194"/>
        <v>0</v>
      </c>
      <c r="U210" s="49">
        <f t="shared" si="194"/>
        <v>0</v>
      </c>
      <c r="V210" s="49">
        <f t="shared" si="194"/>
        <v>0</v>
      </c>
      <c r="W210" s="49">
        <f t="shared" si="194"/>
        <v>0</v>
      </c>
      <c r="X210" s="49">
        <f t="shared" si="194"/>
        <v>0</v>
      </c>
      <c r="Y210" s="49">
        <f t="shared" si="194"/>
        <v>0</v>
      </c>
      <c r="Z210" s="49">
        <f t="shared" si="194"/>
        <v>0</v>
      </c>
      <c r="AA210" s="49">
        <f t="shared" si="194"/>
        <v>0</v>
      </c>
      <c r="AB210" s="49">
        <f t="shared" si="194"/>
        <v>0</v>
      </c>
      <c r="AC210" s="49">
        <f t="shared" si="194"/>
        <v>0</v>
      </c>
      <c r="AD210" s="49">
        <f t="shared" si="194"/>
        <v>0</v>
      </c>
      <c r="AE210" s="49">
        <f t="shared" si="194"/>
        <v>0</v>
      </c>
      <c r="AF210" s="49">
        <f t="shared" si="194"/>
        <v>0</v>
      </c>
      <c r="AG210" s="49">
        <f t="shared" si="194"/>
        <v>0</v>
      </c>
      <c r="AH210" s="49">
        <f t="shared" si="194"/>
        <v>0</v>
      </c>
      <c r="AI210" s="49">
        <f t="shared" si="194"/>
        <v>0</v>
      </c>
      <c r="AJ210" s="49">
        <f t="shared" si="194"/>
        <v>0</v>
      </c>
      <c r="AK210" s="49">
        <f t="shared" si="194"/>
        <v>0</v>
      </c>
      <c r="AL210" s="49">
        <f t="shared" si="194"/>
        <v>0</v>
      </c>
      <c r="AM210" s="49">
        <f t="shared" si="194"/>
        <v>0</v>
      </c>
      <c r="AN210" s="49">
        <f t="shared" si="194"/>
        <v>0</v>
      </c>
      <c r="AO210" s="49">
        <f t="shared" si="194"/>
        <v>0</v>
      </c>
      <c r="AP210" s="49">
        <f t="shared" si="194"/>
        <v>0</v>
      </c>
      <c r="AQ210" s="49">
        <f t="shared" si="194"/>
        <v>0</v>
      </c>
      <c r="AR210" s="49">
        <f t="shared" si="194"/>
        <v>0</v>
      </c>
      <c r="AS210" s="49">
        <f t="shared" si="194"/>
        <v>0</v>
      </c>
      <c r="AT210" s="49">
        <f t="shared" si="194"/>
        <v>0</v>
      </c>
      <c r="AU210" s="49">
        <f t="shared" si="194"/>
        <v>0</v>
      </c>
      <c r="AV210" s="49">
        <f t="shared" si="194"/>
        <v>0</v>
      </c>
      <c r="AW210" s="49">
        <f t="shared" si="194"/>
        <v>0</v>
      </c>
      <c r="AX210" s="49">
        <f t="shared" si="194"/>
        <v>0</v>
      </c>
      <c r="AY210" s="49">
        <f t="shared" si="194"/>
        <v>0</v>
      </c>
      <c r="AZ210" s="49">
        <f t="shared" si="194"/>
        <v>0</v>
      </c>
      <c r="BA210" s="49">
        <f t="shared" si="194"/>
        <v>0</v>
      </c>
    </row>
    <row r="211" spans="1:53" x14ac:dyDescent="0.35">
      <c r="A211" s="2" t="s">
        <v>134</v>
      </c>
      <c r="B211" s="2"/>
      <c r="C211" s="2"/>
      <c r="D211" s="2"/>
      <c r="E211" s="8" t="s">
        <v>109</v>
      </c>
      <c r="F211" s="8" t="str">
        <f t="shared" si="193"/>
        <v xml:space="preserve"> values</v>
      </c>
      <c r="G211" s="2"/>
      <c r="H211" s="49">
        <f>H129</f>
        <v>0</v>
      </c>
      <c r="I211" s="49">
        <f t="shared" ref="I211:AZ211" si="195">I129</f>
        <v>0</v>
      </c>
      <c r="J211" s="49">
        <f t="shared" si="195"/>
        <v>0</v>
      </c>
      <c r="K211" s="49">
        <f t="shared" si="195"/>
        <v>0</v>
      </c>
      <c r="L211" s="49">
        <f t="shared" si="195"/>
        <v>0</v>
      </c>
      <c r="M211" s="49">
        <f t="shared" si="195"/>
        <v>0</v>
      </c>
      <c r="N211" s="49">
        <f t="shared" si="195"/>
        <v>0</v>
      </c>
      <c r="O211" s="49">
        <f t="shared" si="195"/>
        <v>0</v>
      </c>
      <c r="P211" s="49">
        <f t="shared" si="195"/>
        <v>0</v>
      </c>
      <c r="Q211" s="49">
        <f t="shared" si="195"/>
        <v>0</v>
      </c>
      <c r="R211" s="49">
        <f t="shared" si="195"/>
        <v>0</v>
      </c>
      <c r="S211" s="49">
        <f t="shared" si="195"/>
        <v>0</v>
      </c>
      <c r="T211" s="49">
        <f t="shared" si="195"/>
        <v>0</v>
      </c>
      <c r="U211" s="49">
        <f t="shared" si="195"/>
        <v>0</v>
      </c>
      <c r="V211" s="49">
        <f t="shared" si="195"/>
        <v>0</v>
      </c>
      <c r="W211" s="49">
        <f t="shared" si="195"/>
        <v>0</v>
      </c>
      <c r="X211" s="49">
        <f t="shared" si="195"/>
        <v>0</v>
      </c>
      <c r="Y211" s="49">
        <f t="shared" si="195"/>
        <v>0</v>
      </c>
      <c r="Z211" s="49">
        <f t="shared" si="195"/>
        <v>0</v>
      </c>
      <c r="AA211" s="49">
        <f t="shared" si="195"/>
        <v>0</v>
      </c>
      <c r="AB211" s="49">
        <f t="shared" si="195"/>
        <v>0</v>
      </c>
      <c r="AC211" s="49">
        <f t="shared" si="195"/>
        <v>0</v>
      </c>
      <c r="AD211" s="49">
        <f t="shared" si="195"/>
        <v>0</v>
      </c>
      <c r="AE211" s="49">
        <f t="shared" si="195"/>
        <v>0</v>
      </c>
      <c r="AF211" s="49">
        <f t="shared" si="195"/>
        <v>0</v>
      </c>
      <c r="AG211" s="49">
        <f t="shared" si="195"/>
        <v>0</v>
      </c>
      <c r="AH211" s="49">
        <f t="shared" si="195"/>
        <v>0</v>
      </c>
      <c r="AI211" s="49">
        <f t="shared" si="195"/>
        <v>0</v>
      </c>
      <c r="AJ211" s="49">
        <f t="shared" si="195"/>
        <v>0</v>
      </c>
      <c r="AK211" s="49">
        <f t="shared" si="195"/>
        <v>0</v>
      </c>
      <c r="AL211" s="49">
        <f t="shared" si="195"/>
        <v>0</v>
      </c>
      <c r="AM211" s="49">
        <f t="shared" si="195"/>
        <v>0</v>
      </c>
      <c r="AN211" s="49">
        <f t="shared" si="195"/>
        <v>0</v>
      </c>
      <c r="AO211" s="49">
        <f t="shared" si="195"/>
        <v>0</v>
      </c>
      <c r="AP211" s="49">
        <f t="shared" si="195"/>
        <v>0</v>
      </c>
      <c r="AQ211" s="49">
        <f t="shared" si="195"/>
        <v>0</v>
      </c>
      <c r="AR211" s="49">
        <f t="shared" si="195"/>
        <v>0</v>
      </c>
      <c r="AS211" s="49">
        <f t="shared" si="195"/>
        <v>0</v>
      </c>
      <c r="AT211" s="49">
        <f t="shared" si="195"/>
        <v>0</v>
      </c>
      <c r="AU211" s="49">
        <f t="shared" si="195"/>
        <v>0</v>
      </c>
      <c r="AV211" s="49">
        <f t="shared" si="195"/>
        <v>0</v>
      </c>
      <c r="AW211" s="49">
        <f t="shared" si="195"/>
        <v>0</v>
      </c>
      <c r="AX211" s="49">
        <f t="shared" si="195"/>
        <v>0</v>
      </c>
      <c r="AY211" s="49">
        <f t="shared" si="195"/>
        <v>0</v>
      </c>
      <c r="AZ211" s="49">
        <f t="shared" si="195"/>
        <v>0</v>
      </c>
      <c r="BA211" s="49">
        <f t="shared" ref="BA211" si="196">BA129</f>
        <v>0</v>
      </c>
    </row>
    <row r="212" spans="1:53" x14ac:dyDescent="0.35">
      <c r="A212" s="2" t="s">
        <v>135</v>
      </c>
      <c r="B212" s="2"/>
      <c r="C212" s="2"/>
      <c r="D212" s="2"/>
      <c r="E212" s="8" t="s">
        <v>109</v>
      </c>
      <c r="F212" s="8" t="str">
        <f t="shared" si="193"/>
        <v xml:space="preserve"> values</v>
      </c>
      <c r="G212" s="2"/>
      <c r="H212" s="49">
        <f>H156</f>
        <v>0</v>
      </c>
      <c r="I212" s="49">
        <f t="shared" ref="I212:AZ212" si="197">I156</f>
        <v>0</v>
      </c>
      <c r="J212" s="49">
        <f t="shared" si="197"/>
        <v>0</v>
      </c>
      <c r="K212" s="49">
        <f t="shared" si="197"/>
        <v>0</v>
      </c>
      <c r="L212" s="49">
        <f t="shared" si="197"/>
        <v>0</v>
      </c>
      <c r="M212" s="49">
        <f t="shared" si="197"/>
        <v>0</v>
      </c>
      <c r="N212" s="49">
        <f t="shared" si="197"/>
        <v>0</v>
      </c>
      <c r="O212" s="49">
        <f t="shared" si="197"/>
        <v>0</v>
      </c>
      <c r="P212" s="49">
        <f t="shared" si="197"/>
        <v>0</v>
      </c>
      <c r="Q212" s="49">
        <f t="shared" si="197"/>
        <v>0</v>
      </c>
      <c r="R212" s="49">
        <f t="shared" si="197"/>
        <v>0</v>
      </c>
      <c r="S212" s="49">
        <f t="shared" si="197"/>
        <v>0</v>
      </c>
      <c r="T212" s="49">
        <f t="shared" si="197"/>
        <v>0</v>
      </c>
      <c r="U212" s="49">
        <f t="shared" si="197"/>
        <v>0</v>
      </c>
      <c r="V212" s="49">
        <f t="shared" si="197"/>
        <v>0</v>
      </c>
      <c r="W212" s="49">
        <f t="shared" si="197"/>
        <v>0</v>
      </c>
      <c r="X212" s="49">
        <f t="shared" si="197"/>
        <v>0</v>
      </c>
      <c r="Y212" s="49">
        <f t="shared" si="197"/>
        <v>0</v>
      </c>
      <c r="Z212" s="49">
        <f t="shared" si="197"/>
        <v>0</v>
      </c>
      <c r="AA212" s="49">
        <f t="shared" si="197"/>
        <v>0</v>
      </c>
      <c r="AB212" s="49">
        <f t="shared" si="197"/>
        <v>0</v>
      </c>
      <c r="AC212" s="49">
        <f t="shared" si="197"/>
        <v>0</v>
      </c>
      <c r="AD212" s="49">
        <f t="shared" si="197"/>
        <v>0</v>
      </c>
      <c r="AE212" s="49">
        <f t="shared" si="197"/>
        <v>0</v>
      </c>
      <c r="AF212" s="49">
        <f t="shared" si="197"/>
        <v>0</v>
      </c>
      <c r="AG212" s="49">
        <f t="shared" si="197"/>
        <v>0</v>
      </c>
      <c r="AH212" s="49">
        <f t="shared" si="197"/>
        <v>0</v>
      </c>
      <c r="AI212" s="49">
        <f t="shared" si="197"/>
        <v>0</v>
      </c>
      <c r="AJ212" s="49">
        <f t="shared" si="197"/>
        <v>0</v>
      </c>
      <c r="AK212" s="49">
        <f t="shared" si="197"/>
        <v>0</v>
      </c>
      <c r="AL212" s="49">
        <f t="shared" si="197"/>
        <v>0</v>
      </c>
      <c r="AM212" s="49">
        <f t="shared" si="197"/>
        <v>0</v>
      </c>
      <c r="AN212" s="49">
        <f t="shared" si="197"/>
        <v>0</v>
      </c>
      <c r="AO212" s="49">
        <f t="shared" si="197"/>
        <v>0</v>
      </c>
      <c r="AP212" s="49">
        <f t="shared" si="197"/>
        <v>0</v>
      </c>
      <c r="AQ212" s="49">
        <f t="shared" si="197"/>
        <v>0</v>
      </c>
      <c r="AR212" s="49">
        <f t="shared" si="197"/>
        <v>0</v>
      </c>
      <c r="AS212" s="49">
        <f t="shared" si="197"/>
        <v>0</v>
      </c>
      <c r="AT212" s="49">
        <f t="shared" si="197"/>
        <v>0</v>
      </c>
      <c r="AU212" s="49">
        <f t="shared" si="197"/>
        <v>0</v>
      </c>
      <c r="AV212" s="49">
        <f t="shared" si="197"/>
        <v>0</v>
      </c>
      <c r="AW212" s="49">
        <f t="shared" si="197"/>
        <v>0</v>
      </c>
      <c r="AX212" s="49">
        <f t="shared" si="197"/>
        <v>0</v>
      </c>
      <c r="AY212" s="49">
        <f t="shared" si="197"/>
        <v>0</v>
      </c>
      <c r="AZ212" s="49">
        <f t="shared" si="197"/>
        <v>0</v>
      </c>
      <c r="BA212" s="49">
        <f t="shared" ref="BA212" si="198">BA156</f>
        <v>0</v>
      </c>
    </row>
    <row r="213" spans="1:53" x14ac:dyDescent="0.35">
      <c r="A213" s="2" t="s">
        <v>310</v>
      </c>
      <c r="B213" s="2"/>
      <c r="C213" s="2"/>
      <c r="D213" s="2"/>
      <c r="E213" s="8" t="s">
        <v>109</v>
      </c>
      <c r="F213" s="8" t="str">
        <f t="shared" ref="F213" si="199">IF(E213="Nominal","",Analysis_year&amp;" values")</f>
        <v xml:space="preserve"> values</v>
      </c>
      <c r="G213" s="2"/>
      <c r="H213" s="49">
        <f>H23-(H150+H157)*H11</f>
        <v>0</v>
      </c>
      <c r="I213" s="49">
        <f t="shared" ref="I213:BA213" si="200">I23-(I150+I157)*I11</f>
        <v>0</v>
      </c>
      <c r="J213" s="49">
        <f t="shared" si="200"/>
        <v>0</v>
      </c>
      <c r="K213" s="49">
        <f t="shared" si="200"/>
        <v>0</v>
      </c>
      <c r="L213" s="49">
        <f t="shared" si="200"/>
        <v>0</v>
      </c>
      <c r="M213" s="49">
        <f t="shared" si="200"/>
        <v>0</v>
      </c>
      <c r="N213" s="49">
        <f t="shared" si="200"/>
        <v>0</v>
      </c>
      <c r="O213" s="49">
        <f t="shared" si="200"/>
        <v>0</v>
      </c>
      <c r="P213" s="49">
        <f t="shared" si="200"/>
        <v>0</v>
      </c>
      <c r="Q213" s="49">
        <f t="shared" si="200"/>
        <v>0</v>
      </c>
      <c r="R213" s="49">
        <f t="shared" si="200"/>
        <v>0</v>
      </c>
      <c r="S213" s="49">
        <f t="shared" si="200"/>
        <v>0</v>
      </c>
      <c r="T213" s="49">
        <f t="shared" si="200"/>
        <v>0</v>
      </c>
      <c r="U213" s="49">
        <f t="shared" si="200"/>
        <v>0</v>
      </c>
      <c r="V213" s="49">
        <f t="shared" si="200"/>
        <v>0</v>
      </c>
      <c r="W213" s="49">
        <f t="shared" si="200"/>
        <v>0</v>
      </c>
      <c r="X213" s="49">
        <f t="shared" si="200"/>
        <v>0</v>
      </c>
      <c r="Y213" s="49">
        <f t="shared" si="200"/>
        <v>0</v>
      </c>
      <c r="Z213" s="49">
        <f t="shared" si="200"/>
        <v>0</v>
      </c>
      <c r="AA213" s="49">
        <f t="shared" si="200"/>
        <v>0</v>
      </c>
      <c r="AB213" s="49">
        <f t="shared" si="200"/>
        <v>0</v>
      </c>
      <c r="AC213" s="49">
        <f t="shared" si="200"/>
        <v>0</v>
      </c>
      <c r="AD213" s="49">
        <f t="shared" si="200"/>
        <v>0</v>
      </c>
      <c r="AE213" s="49">
        <f t="shared" si="200"/>
        <v>0</v>
      </c>
      <c r="AF213" s="49">
        <f t="shared" si="200"/>
        <v>0</v>
      </c>
      <c r="AG213" s="49">
        <f t="shared" si="200"/>
        <v>0</v>
      </c>
      <c r="AH213" s="49">
        <f t="shared" si="200"/>
        <v>0</v>
      </c>
      <c r="AI213" s="49">
        <f t="shared" si="200"/>
        <v>0</v>
      </c>
      <c r="AJ213" s="49">
        <f t="shared" si="200"/>
        <v>0</v>
      </c>
      <c r="AK213" s="49">
        <f t="shared" si="200"/>
        <v>0</v>
      </c>
      <c r="AL213" s="49">
        <f t="shared" si="200"/>
        <v>0</v>
      </c>
      <c r="AM213" s="49">
        <f t="shared" si="200"/>
        <v>0</v>
      </c>
      <c r="AN213" s="49">
        <f t="shared" si="200"/>
        <v>0</v>
      </c>
      <c r="AO213" s="49">
        <f t="shared" si="200"/>
        <v>0</v>
      </c>
      <c r="AP213" s="49">
        <f t="shared" si="200"/>
        <v>0</v>
      </c>
      <c r="AQ213" s="49">
        <f t="shared" si="200"/>
        <v>0</v>
      </c>
      <c r="AR213" s="49">
        <f t="shared" si="200"/>
        <v>0</v>
      </c>
      <c r="AS213" s="49">
        <f t="shared" si="200"/>
        <v>0</v>
      </c>
      <c r="AT213" s="49">
        <f t="shared" si="200"/>
        <v>0</v>
      </c>
      <c r="AU213" s="49">
        <f t="shared" si="200"/>
        <v>0</v>
      </c>
      <c r="AV213" s="49">
        <f t="shared" si="200"/>
        <v>0</v>
      </c>
      <c r="AW213" s="49">
        <f t="shared" si="200"/>
        <v>0</v>
      </c>
      <c r="AX213" s="49">
        <f t="shared" si="200"/>
        <v>0</v>
      </c>
      <c r="AY213" s="49">
        <f t="shared" si="200"/>
        <v>0</v>
      </c>
      <c r="AZ213" s="49">
        <f t="shared" si="200"/>
        <v>0</v>
      </c>
      <c r="BA213" s="49">
        <f t="shared" si="200"/>
        <v>0</v>
      </c>
    </row>
    <row r="214" spans="1:53" x14ac:dyDescent="0.35">
      <c r="A214" s="2" t="s">
        <v>136</v>
      </c>
      <c r="B214" s="2"/>
      <c r="C214" s="2"/>
      <c r="D214" s="2"/>
      <c r="E214" s="8" t="s">
        <v>109</v>
      </c>
      <c r="F214" s="8" t="str">
        <f t="shared" si="193"/>
        <v xml:space="preserve"> values</v>
      </c>
      <c r="G214" s="2"/>
      <c r="H214" s="142">
        <f>SUM(H210:H213)</f>
        <v>0</v>
      </c>
      <c r="I214" s="142">
        <f t="shared" ref="I214:BA214" si="201">SUM(I210:I213)</f>
        <v>0</v>
      </c>
      <c r="J214" s="142">
        <f t="shared" si="201"/>
        <v>0</v>
      </c>
      <c r="K214" s="142">
        <f t="shared" si="201"/>
        <v>0</v>
      </c>
      <c r="L214" s="142">
        <f t="shared" si="201"/>
        <v>0</v>
      </c>
      <c r="M214" s="142">
        <f t="shared" si="201"/>
        <v>0</v>
      </c>
      <c r="N214" s="142">
        <f t="shared" si="201"/>
        <v>0</v>
      </c>
      <c r="O214" s="142">
        <f t="shared" si="201"/>
        <v>0</v>
      </c>
      <c r="P214" s="142">
        <f t="shared" si="201"/>
        <v>0</v>
      </c>
      <c r="Q214" s="142">
        <f t="shared" si="201"/>
        <v>0</v>
      </c>
      <c r="R214" s="142">
        <f t="shared" si="201"/>
        <v>0</v>
      </c>
      <c r="S214" s="142">
        <f t="shared" si="201"/>
        <v>0</v>
      </c>
      <c r="T214" s="142">
        <f t="shared" si="201"/>
        <v>0</v>
      </c>
      <c r="U214" s="142">
        <f t="shared" si="201"/>
        <v>0</v>
      </c>
      <c r="V214" s="142">
        <f t="shared" si="201"/>
        <v>0</v>
      </c>
      <c r="W214" s="142">
        <f t="shared" si="201"/>
        <v>0</v>
      </c>
      <c r="X214" s="142">
        <f t="shared" si="201"/>
        <v>0</v>
      </c>
      <c r="Y214" s="142">
        <f t="shared" si="201"/>
        <v>0</v>
      </c>
      <c r="Z214" s="142">
        <f t="shared" si="201"/>
        <v>0</v>
      </c>
      <c r="AA214" s="142">
        <f t="shared" si="201"/>
        <v>0</v>
      </c>
      <c r="AB214" s="142">
        <f t="shared" si="201"/>
        <v>0</v>
      </c>
      <c r="AC214" s="142">
        <f t="shared" si="201"/>
        <v>0</v>
      </c>
      <c r="AD214" s="142">
        <f t="shared" si="201"/>
        <v>0</v>
      </c>
      <c r="AE214" s="142">
        <f t="shared" si="201"/>
        <v>0</v>
      </c>
      <c r="AF214" s="142">
        <f t="shared" si="201"/>
        <v>0</v>
      </c>
      <c r="AG214" s="142">
        <f t="shared" si="201"/>
        <v>0</v>
      </c>
      <c r="AH214" s="142">
        <f t="shared" si="201"/>
        <v>0</v>
      </c>
      <c r="AI214" s="142">
        <f t="shared" si="201"/>
        <v>0</v>
      </c>
      <c r="AJ214" s="142">
        <f t="shared" si="201"/>
        <v>0</v>
      </c>
      <c r="AK214" s="142">
        <f t="shared" si="201"/>
        <v>0</v>
      </c>
      <c r="AL214" s="142">
        <f t="shared" si="201"/>
        <v>0</v>
      </c>
      <c r="AM214" s="142">
        <f t="shared" si="201"/>
        <v>0</v>
      </c>
      <c r="AN214" s="142">
        <f t="shared" si="201"/>
        <v>0</v>
      </c>
      <c r="AO214" s="142">
        <f t="shared" si="201"/>
        <v>0</v>
      </c>
      <c r="AP214" s="142">
        <f t="shared" si="201"/>
        <v>0</v>
      </c>
      <c r="AQ214" s="142">
        <f t="shared" si="201"/>
        <v>0</v>
      </c>
      <c r="AR214" s="142">
        <f t="shared" si="201"/>
        <v>0</v>
      </c>
      <c r="AS214" s="142">
        <f t="shared" si="201"/>
        <v>0</v>
      </c>
      <c r="AT214" s="142">
        <f t="shared" si="201"/>
        <v>0</v>
      </c>
      <c r="AU214" s="142">
        <f t="shared" si="201"/>
        <v>0</v>
      </c>
      <c r="AV214" s="142">
        <f t="shared" si="201"/>
        <v>0</v>
      </c>
      <c r="AW214" s="142">
        <f t="shared" si="201"/>
        <v>0</v>
      </c>
      <c r="AX214" s="142">
        <f t="shared" si="201"/>
        <v>0</v>
      </c>
      <c r="AY214" s="142">
        <f t="shared" si="201"/>
        <v>0</v>
      </c>
      <c r="AZ214" s="142">
        <f t="shared" si="201"/>
        <v>0</v>
      </c>
      <c r="BA214" s="142">
        <f t="shared" si="201"/>
        <v>0</v>
      </c>
    </row>
    <row r="215" spans="1:53" x14ac:dyDescent="0.35">
      <c r="A215" s="2" t="s">
        <v>127</v>
      </c>
      <c r="B215" s="2"/>
      <c r="C215" s="2"/>
      <c r="D215" s="2"/>
      <c r="E215" s="8" t="s">
        <v>109</v>
      </c>
      <c r="F215" s="8" t="str">
        <f t="shared" si="193"/>
        <v xml:space="preserve"> values</v>
      </c>
      <c r="G215" s="2"/>
      <c r="H215" s="49">
        <f t="shared" ref="H215:BA215" si="202">H174*IF($E$174="Real",1,I$11)</f>
        <v>0</v>
      </c>
      <c r="I215" s="49">
        <f t="shared" si="202"/>
        <v>0</v>
      </c>
      <c r="J215" s="49">
        <f t="shared" si="202"/>
        <v>0</v>
      </c>
      <c r="K215" s="49">
        <f t="shared" si="202"/>
        <v>0</v>
      </c>
      <c r="L215" s="49">
        <f t="shared" si="202"/>
        <v>0</v>
      </c>
      <c r="M215" s="49">
        <f t="shared" si="202"/>
        <v>0</v>
      </c>
      <c r="N215" s="49">
        <f t="shared" si="202"/>
        <v>0</v>
      </c>
      <c r="O215" s="49">
        <f t="shared" si="202"/>
        <v>0</v>
      </c>
      <c r="P215" s="49">
        <f t="shared" si="202"/>
        <v>0</v>
      </c>
      <c r="Q215" s="49">
        <f t="shared" si="202"/>
        <v>0</v>
      </c>
      <c r="R215" s="49">
        <f t="shared" si="202"/>
        <v>0</v>
      </c>
      <c r="S215" s="49">
        <f t="shared" si="202"/>
        <v>0</v>
      </c>
      <c r="T215" s="49">
        <f t="shared" si="202"/>
        <v>0</v>
      </c>
      <c r="U215" s="49">
        <f t="shared" si="202"/>
        <v>0</v>
      </c>
      <c r="V215" s="49">
        <f t="shared" si="202"/>
        <v>0</v>
      </c>
      <c r="W215" s="49">
        <f t="shared" si="202"/>
        <v>0</v>
      </c>
      <c r="X215" s="49">
        <f t="shared" si="202"/>
        <v>0</v>
      </c>
      <c r="Y215" s="49">
        <f t="shared" si="202"/>
        <v>0</v>
      </c>
      <c r="Z215" s="49">
        <f t="shared" si="202"/>
        <v>0</v>
      </c>
      <c r="AA215" s="49">
        <f t="shared" si="202"/>
        <v>0</v>
      </c>
      <c r="AB215" s="49">
        <f t="shared" si="202"/>
        <v>0</v>
      </c>
      <c r="AC215" s="49">
        <f t="shared" si="202"/>
        <v>0</v>
      </c>
      <c r="AD215" s="49">
        <f t="shared" si="202"/>
        <v>0</v>
      </c>
      <c r="AE215" s="49">
        <f t="shared" si="202"/>
        <v>0</v>
      </c>
      <c r="AF215" s="49">
        <f t="shared" si="202"/>
        <v>0</v>
      </c>
      <c r="AG215" s="49">
        <f t="shared" si="202"/>
        <v>0</v>
      </c>
      <c r="AH215" s="49">
        <f t="shared" si="202"/>
        <v>0</v>
      </c>
      <c r="AI215" s="49">
        <f t="shared" si="202"/>
        <v>0</v>
      </c>
      <c r="AJ215" s="49">
        <f t="shared" si="202"/>
        <v>0</v>
      </c>
      <c r="AK215" s="49">
        <f t="shared" si="202"/>
        <v>0</v>
      </c>
      <c r="AL215" s="49">
        <f t="shared" si="202"/>
        <v>0</v>
      </c>
      <c r="AM215" s="49">
        <f t="shared" si="202"/>
        <v>0</v>
      </c>
      <c r="AN215" s="49">
        <f t="shared" si="202"/>
        <v>0</v>
      </c>
      <c r="AO215" s="49">
        <f t="shared" si="202"/>
        <v>0</v>
      </c>
      <c r="AP215" s="49">
        <f t="shared" si="202"/>
        <v>0</v>
      </c>
      <c r="AQ215" s="49">
        <f t="shared" si="202"/>
        <v>0</v>
      </c>
      <c r="AR215" s="49">
        <f t="shared" si="202"/>
        <v>0</v>
      </c>
      <c r="AS215" s="49">
        <f t="shared" si="202"/>
        <v>0</v>
      </c>
      <c r="AT215" s="49">
        <f t="shared" si="202"/>
        <v>0</v>
      </c>
      <c r="AU215" s="49">
        <f t="shared" si="202"/>
        <v>0</v>
      </c>
      <c r="AV215" s="49">
        <f t="shared" si="202"/>
        <v>0</v>
      </c>
      <c r="AW215" s="49">
        <f t="shared" si="202"/>
        <v>0</v>
      </c>
      <c r="AX215" s="49">
        <f t="shared" si="202"/>
        <v>0</v>
      </c>
      <c r="AY215" s="49">
        <f t="shared" si="202"/>
        <v>0</v>
      </c>
      <c r="AZ215" s="49">
        <f t="shared" si="202"/>
        <v>0</v>
      </c>
      <c r="BA215" s="49">
        <f t="shared" si="202"/>
        <v>0</v>
      </c>
    </row>
    <row r="216" spans="1:53" x14ac:dyDescent="0.35">
      <c r="A216" s="2" t="s">
        <v>137</v>
      </c>
      <c r="B216" s="2"/>
      <c r="C216" s="2"/>
      <c r="D216" s="2"/>
      <c r="E216" s="8" t="s">
        <v>109</v>
      </c>
      <c r="F216" s="8" t="str">
        <f t="shared" si="193"/>
        <v xml:space="preserve"> values</v>
      </c>
      <c r="G216" s="2"/>
      <c r="H216" s="49">
        <f>H215-H214</f>
        <v>0</v>
      </c>
      <c r="I216" s="49">
        <f t="shared" ref="I216:AZ216" si="203">I215-I214</f>
        <v>0</v>
      </c>
      <c r="J216" s="49">
        <f t="shared" si="203"/>
        <v>0</v>
      </c>
      <c r="K216" s="49">
        <f t="shared" si="203"/>
        <v>0</v>
      </c>
      <c r="L216" s="49">
        <f t="shared" si="203"/>
        <v>0</v>
      </c>
      <c r="M216" s="49">
        <f t="shared" si="203"/>
        <v>0</v>
      </c>
      <c r="N216" s="49">
        <f t="shared" si="203"/>
        <v>0</v>
      </c>
      <c r="O216" s="49">
        <f t="shared" si="203"/>
        <v>0</v>
      </c>
      <c r="P216" s="49">
        <f t="shared" si="203"/>
        <v>0</v>
      </c>
      <c r="Q216" s="49">
        <f t="shared" si="203"/>
        <v>0</v>
      </c>
      <c r="R216" s="49">
        <f t="shared" si="203"/>
        <v>0</v>
      </c>
      <c r="S216" s="49">
        <f t="shared" si="203"/>
        <v>0</v>
      </c>
      <c r="T216" s="49">
        <f t="shared" si="203"/>
        <v>0</v>
      </c>
      <c r="U216" s="49">
        <f t="shared" si="203"/>
        <v>0</v>
      </c>
      <c r="V216" s="49">
        <f t="shared" si="203"/>
        <v>0</v>
      </c>
      <c r="W216" s="49">
        <f t="shared" si="203"/>
        <v>0</v>
      </c>
      <c r="X216" s="49">
        <f t="shared" si="203"/>
        <v>0</v>
      </c>
      <c r="Y216" s="49">
        <f t="shared" si="203"/>
        <v>0</v>
      </c>
      <c r="Z216" s="49">
        <f t="shared" si="203"/>
        <v>0</v>
      </c>
      <c r="AA216" s="49">
        <f t="shared" si="203"/>
        <v>0</v>
      </c>
      <c r="AB216" s="49">
        <f t="shared" si="203"/>
        <v>0</v>
      </c>
      <c r="AC216" s="49">
        <f t="shared" si="203"/>
        <v>0</v>
      </c>
      <c r="AD216" s="49">
        <f t="shared" si="203"/>
        <v>0</v>
      </c>
      <c r="AE216" s="49">
        <f t="shared" si="203"/>
        <v>0</v>
      </c>
      <c r="AF216" s="49">
        <f t="shared" si="203"/>
        <v>0</v>
      </c>
      <c r="AG216" s="49">
        <f t="shared" si="203"/>
        <v>0</v>
      </c>
      <c r="AH216" s="49">
        <f t="shared" si="203"/>
        <v>0</v>
      </c>
      <c r="AI216" s="49">
        <f t="shared" si="203"/>
        <v>0</v>
      </c>
      <c r="AJ216" s="49">
        <f t="shared" si="203"/>
        <v>0</v>
      </c>
      <c r="AK216" s="49">
        <f t="shared" si="203"/>
        <v>0</v>
      </c>
      <c r="AL216" s="49">
        <f t="shared" si="203"/>
        <v>0</v>
      </c>
      <c r="AM216" s="49">
        <f t="shared" si="203"/>
        <v>0</v>
      </c>
      <c r="AN216" s="49">
        <f t="shared" si="203"/>
        <v>0</v>
      </c>
      <c r="AO216" s="49">
        <f t="shared" si="203"/>
        <v>0</v>
      </c>
      <c r="AP216" s="49">
        <f t="shared" si="203"/>
        <v>0</v>
      </c>
      <c r="AQ216" s="49">
        <f t="shared" si="203"/>
        <v>0</v>
      </c>
      <c r="AR216" s="49">
        <f t="shared" si="203"/>
        <v>0</v>
      </c>
      <c r="AS216" s="49">
        <f t="shared" si="203"/>
        <v>0</v>
      </c>
      <c r="AT216" s="49">
        <f t="shared" si="203"/>
        <v>0</v>
      </c>
      <c r="AU216" s="49">
        <f t="shared" si="203"/>
        <v>0</v>
      </c>
      <c r="AV216" s="49">
        <f t="shared" si="203"/>
        <v>0</v>
      </c>
      <c r="AW216" s="49">
        <f t="shared" si="203"/>
        <v>0</v>
      </c>
      <c r="AX216" s="49">
        <f t="shared" si="203"/>
        <v>0</v>
      </c>
      <c r="AY216" s="49">
        <f t="shared" si="203"/>
        <v>0</v>
      </c>
      <c r="AZ216" s="49">
        <f t="shared" si="203"/>
        <v>0</v>
      </c>
      <c r="BA216" s="49">
        <f t="shared" ref="BA216" si="204">BA215-BA214</f>
        <v>0</v>
      </c>
    </row>
    <row r="217" spans="1:53" x14ac:dyDescent="0.35">
      <c r="A217" s="2" t="s">
        <v>138</v>
      </c>
      <c r="B217" s="2"/>
      <c r="C217" s="2"/>
      <c r="D217" s="2"/>
      <c r="E217" s="8" t="s">
        <v>109</v>
      </c>
      <c r="F217" s="8" t="str">
        <f t="shared" si="193"/>
        <v xml:space="preserve"> values</v>
      </c>
      <c r="G217" s="2"/>
      <c r="H217" s="49">
        <f t="shared" ref="H217:BA217" si="205">H216-H181*I11</f>
        <v>0</v>
      </c>
      <c r="I217" s="49">
        <f t="shared" si="205"/>
        <v>0</v>
      </c>
      <c r="J217" s="49">
        <f t="shared" si="205"/>
        <v>0</v>
      </c>
      <c r="K217" s="49">
        <f t="shared" si="205"/>
        <v>0</v>
      </c>
      <c r="L217" s="49">
        <f t="shared" si="205"/>
        <v>0</v>
      </c>
      <c r="M217" s="49">
        <f t="shared" si="205"/>
        <v>0</v>
      </c>
      <c r="N217" s="49">
        <f t="shared" si="205"/>
        <v>0</v>
      </c>
      <c r="O217" s="49">
        <f t="shared" si="205"/>
        <v>0</v>
      </c>
      <c r="P217" s="49">
        <f t="shared" si="205"/>
        <v>0</v>
      </c>
      <c r="Q217" s="49">
        <f t="shared" si="205"/>
        <v>0</v>
      </c>
      <c r="R217" s="49">
        <f t="shared" si="205"/>
        <v>0</v>
      </c>
      <c r="S217" s="49">
        <f t="shared" si="205"/>
        <v>0</v>
      </c>
      <c r="T217" s="49">
        <f t="shared" si="205"/>
        <v>0</v>
      </c>
      <c r="U217" s="49">
        <f t="shared" si="205"/>
        <v>0</v>
      </c>
      <c r="V217" s="49">
        <f t="shared" si="205"/>
        <v>0</v>
      </c>
      <c r="W217" s="49">
        <f t="shared" si="205"/>
        <v>0</v>
      </c>
      <c r="X217" s="49">
        <f t="shared" si="205"/>
        <v>0</v>
      </c>
      <c r="Y217" s="49">
        <f t="shared" si="205"/>
        <v>0</v>
      </c>
      <c r="Z217" s="49">
        <f t="shared" si="205"/>
        <v>0</v>
      </c>
      <c r="AA217" s="49">
        <f t="shared" si="205"/>
        <v>0</v>
      </c>
      <c r="AB217" s="49">
        <f t="shared" si="205"/>
        <v>0</v>
      </c>
      <c r="AC217" s="49">
        <f t="shared" si="205"/>
        <v>0</v>
      </c>
      <c r="AD217" s="49">
        <f t="shared" si="205"/>
        <v>0</v>
      </c>
      <c r="AE217" s="49">
        <f t="shared" si="205"/>
        <v>0</v>
      </c>
      <c r="AF217" s="49">
        <f t="shared" si="205"/>
        <v>0</v>
      </c>
      <c r="AG217" s="49">
        <f t="shared" si="205"/>
        <v>0</v>
      </c>
      <c r="AH217" s="49">
        <f t="shared" si="205"/>
        <v>0</v>
      </c>
      <c r="AI217" s="49">
        <f t="shared" si="205"/>
        <v>0</v>
      </c>
      <c r="AJ217" s="49">
        <f t="shared" si="205"/>
        <v>0</v>
      </c>
      <c r="AK217" s="49">
        <f t="shared" si="205"/>
        <v>0</v>
      </c>
      <c r="AL217" s="49">
        <f t="shared" si="205"/>
        <v>0</v>
      </c>
      <c r="AM217" s="49">
        <f t="shared" si="205"/>
        <v>0</v>
      </c>
      <c r="AN217" s="49">
        <f t="shared" si="205"/>
        <v>0</v>
      </c>
      <c r="AO217" s="49">
        <f t="shared" si="205"/>
        <v>0</v>
      </c>
      <c r="AP217" s="49">
        <f t="shared" si="205"/>
        <v>0</v>
      </c>
      <c r="AQ217" s="49">
        <f t="shared" si="205"/>
        <v>0</v>
      </c>
      <c r="AR217" s="49">
        <f t="shared" si="205"/>
        <v>0</v>
      </c>
      <c r="AS217" s="49">
        <f t="shared" si="205"/>
        <v>0</v>
      </c>
      <c r="AT217" s="49">
        <f t="shared" si="205"/>
        <v>0</v>
      </c>
      <c r="AU217" s="49">
        <f t="shared" si="205"/>
        <v>0</v>
      </c>
      <c r="AV217" s="49">
        <f t="shared" si="205"/>
        <v>0</v>
      </c>
      <c r="AW217" s="49">
        <f t="shared" si="205"/>
        <v>0</v>
      </c>
      <c r="AX217" s="49">
        <f t="shared" si="205"/>
        <v>0</v>
      </c>
      <c r="AY217" s="49">
        <f t="shared" si="205"/>
        <v>0</v>
      </c>
      <c r="AZ217" s="49">
        <f t="shared" si="205"/>
        <v>0</v>
      </c>
      <c r="BA217" s="49">
        <f t="shared" si="205"/>
        <v>0</v>
      </c>
    </row>
    <row r="218" spans="1:53" x14ac:dyDescent="0.35">
      <c r="A218" s="2"/>
      <c r="B218" s="2"/>
      <c r="C218" s="2"/>
      <c r="D218" s="2"/>
      <c r="E218" s="8"/>
      <c r="F218" s="2"/>
      <c r="G218" s="2"/>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row>
    <row r="219" spans="1:53" x14ac:dyDescent="0.35">
      <c r="A219" s="27" t="s">
        <v>48</v>
      </c>
      <c r="B219" s="27"/>
      <c r="C219" s="29"/>
      <c r="D219" s="29"/>
      <c r="E219" s="29"/>
      <c r="F219" s="29"/>
      <c r="G219" s="29"/>
      <c r="H219" s="29">
        <v>2025</v>
      </c>
      <c r="I219" s="29">
        <v>2026</v>
      </c>
      <c r="J219" s="29">
        <v>2027</v>
      </c>
      <c r="K219" s="29">
        <v>2028</v>
      </c>
      <c r="L219" s="29">
        <v>2029</v>
      </c>
      <c r="M219" s="29">
        <v>2030</v>
      </c>
      <c r="N219" s="29">
        <v>2031</v>
      </c>
      <c r="O219" s="29">
        <v>2032</v>
      </c>
      <c r="P219" s="29">
        <v>2033</v>
      </c>
      <c r="Q219" s="29">
        <v>2034</v>
      </c>
      <c r="R219" s="29">
        <v>2035</v>
      </c>
      <c r="S219" s="29">
        <v>2036</v>
      </c>
      <c r="T219" s="29">
        <v>2037</v>
      </c>
      <c r="U219" s="29">
        <v>2038</v>
      </c>
      <c r="V219" s="29">
        <v>2039</v>
      </c>
      <c r="W219" s="29">
        <v>2040</v>
      </c>
      <c r="X219" s="29">
        <v>2041</v>
      </c>
      <c r="Y219" s="29">
        <v>2042</v>
      </c>
      <c r="Z219" s="29">
        <v>2043</v>
      </c>
      <c r="AA219" s="29">
        <v>2044</v>
      </c>
      <c r="AB219" s="29">
        <v>2045</v>
      </c>
      <c r="AC219" s="29">
        <v>2046</v>
      </c>
      <c r="AD219" s="29">
        <v>2047</v>
      </c>
      <c r="AE219" s="29">
        <v>2048</v>
      </c>
      <c r="AF219" s="29">
        <v>2049</v>
      </c>
      <c r="AG219" s="29">
        <v>2050</v>
      </c>
      <c r="AH219" s="29">
        <v>2051</v>
      </c>
      <c r="AI219" s="29">
        <v>2052</v>
      </c>
      <c r="AJ219" s="29">
        <v>2053</v>
      </c>
      <c r="AK219" s="29">
        <v>2054</v>
      </c>
      <c r="AL219" s="29">
        <v>2055</v>
      </c>
      <c r="AM219" s="29">
        <v>2056</v>
      </c>
      <c r="AN219" s="29">
        <v>2057</v>
      </c>
      <c r="AO219" s="29">
        <v>2058</v>
      </c>
      <c r="AP219" s="29">
        <v>2059</v>
      </c>
      <c r="AQ219" s="29">
        <v>2060</v>
      </c>
      <c r="AR219" s="29">
        <v>2061</v>
      </c>
      <c r="AS219" s="29">
        <v>2062</v>
      </c>
      <c r="AT219" s="29">
        <v>2063</v>
      </c>
      <c r="AU219" s="29">
        <v>2064</v>
      </c>
      <c r="AV219" s="29">
        <v>2065</v>
      </c>
      <c r="AW219" s="29">
        <v>2066</v>
      </c>
      <c r="AX219" s="29">
        <v>2067</v>
      </c>
      <c r="AY219" s="29">
        <v>2068</v>
      </c>
      <c r="AZ219" s="29">
        <v>2069</v>
      </c>
      <c r="BA219" s="29">
        <v>2070</v>
      </c>
    </row>
    <row r="220" spans="1:53" x14ac:dyDescent="0.35">
      <c r="A220" s="2" t="s">
        <v>133</v>
      </c>
      <c r="B220" s="2"/>
      <c r="C220" s="2"/>
      <c r="D220" s="2"/>
      <c r="E220" s="4" t="s">
        <v>109</v>
      </c>
      <c r="F220" s="4" t="str">
        <f t="shared" ref="F220:F227" si="206">IF(E220="Nominal","",Analysis_year&amp;" values")</f>
        <v xml:space="preserve"> values</v>
      </c>
      <c r="G220" s="2"/>
      <c r="H220" s="51">
        <f>H59</f>
        <v>0</v>
      </c>
      <c r="I220" s="51">
        <f t="shared" ref="I220:AC220" si="207">I59</f>
        <v>0</v>
      </c>
      <c r="J220" s="51">
        <f t="shared" si="207"/>
        <v>0</v>
      </c>
      <c r="K220" s="51">
        <f t="shared" si="207"/>
        <v>0</v>
      </c>
      <c r="L220" s="51">
        <f t="shared" si="207"/>
        <v>0</v>
      </c>
      <c r="M220" s="51">
        <f t="shared" si="207"/>
        <v>0</v>
      </c>
      <c r="N220" s="51">
        <f t="shared" si="207"/>
        <v>0</v>
      </c>
      <c r="O220" s="51">
        <f t="shared" si="207"/>
        <v>0</v>
      </c>
      <c r="P220" s="51">
        <f t="shared" si="207"/>
        <v>0</v>
      </c>
      <c r="Q220" s="51">
        <f t="shared" si="207"/>
        <v>0</v>
      </c>
      <c r="R220" s="51">
        <f t="shared" si="207"/>
        <v>0</v>
      </c>
      <c r="S220" s="51">
        <f t="shared" si="207"/>
        <v>0</v>
      </c>
      <c r="T220" s="51">
        <f t="shared" si="207"/>
        <v>0</v>
      </c>
      <c r="U220" s="51">
        <f t="shared" si="207"/>
        <v>0</v>
      </c>
      <c r="V220" s="51">
        <f t="shared" si="207"/>
        <v>0</v>
      </c>
      <c r="W220" s="51">
        <f t="shared" si="207"/>
        <v>0</v>
      </c>
      <c r="X220" s="51">
        <f t="shared" si="207"/>
        <v>0</v>
      </c>
      <c r="Y220" s="51">
        <f t="shared" si="207"/>
        <v>0</v>
      </c>
      <c r="Z220" s="51">
        <f t="shared" si="207"/>
        <v>0</v>
      </c>
      <c r="AA220" s="51">
        <f t="shared" si="207"/>
        <v>0</v>
      </c>
      <c r="AB220" s="51">
        <f t="shared" si="207"/>
        <v>0</v>
      </c>
      <c r="AC220" s="51">
        <f t="shared" si="207"/>
        <v>0</v>
      </c>
      <c r="AD220" s="51">
        <f t="shared" ref="AD220:AZ220" si="208">AD59</f>
        <v>0</v>
      </c>
      <c r="AE220" s="51">
        <f t="shared" si="208"/>
        <v>0</v>
      </c>
      <c r="AF220" s="51">
        <f t="shared" si="208"/>
        <v>0</v>
      </c>
      <c r="AG220" s="51">
        <f t="shared" si="208"/>
        <v>0</v>
      </c>
      <c r="AH220" s="51">
        <f t="shared" si="208"/>
        <v>0</v>
      </c>
      <c r="AI220" s="51">
        <f t="shared" si="208"/>
        <v>0</v>
      </c>
      <c r="AJ220" s="51">
        <f t="shared" si="208"/>
        <v>0</v>
      </c>
      <c r="AK220" s="51">
        <f t="shared" si="208"/>
        <v>0</v>
      </c>
      <c r="AL220" s="51">
        <f t="shared" si="208"/>
        <v>0</v>
      </c>
      <c r="AM220" s="51">
        <f t="shared" si="208"/>
        <v>0</v>
      </c>
      <c r="AN220" s="51">
        <f t="shared" si="208"/>
        <v>0</v>
      </c>
      <c r="AO220" s="51">
        <f t="shared" si="208"/>
        <v>0</v>
      </c>
      <c r="AP220" s="51">
        <f t="shared" si="208"/>
        <v>0</v>
      </c>
      <c r="AQ220" s="51">
        <f t="shared" si="208"/>
        <v>0</v>
      </c>
      <c r="AR220" s="51">
        <f t="shared" si="208"/>
        <v>0</v>
      </c>
      <c r="AS220" s="51">
        <f t="shared" si="208"/>
        <v>0</v>
      </c>
      <c r="AT220" s="51">
        <f t="shared" si="208"/>
        <v>0</v>
      </c>
      <c r="AU220" s="51">
        <f t="shared" si="208"/>
        <v>0</v>
      </c>
      <c r="AV220" s="51">
        <f t="shared" si="208"/>
        <v>0</v>
      </c>
      <c r="AW220" s="51">
        <f t="shared" si="208"/>
        <v>0</v>
      </c>
      <c r="AX220" s="51">
        <f t="shared" si="208"/>
        <v>0</v>
      </c>
      <c r="AY220" s="51">
        <f t="shared" si="208"/>
        <v>0</v>
      </c>
      <c r="AZ220" s="51">
        <f t="shared" si="208"/>
        <v>0</v>
      </c>
      <c r="BA220" s="51">
        <f t="shared" ref="BA220" si="209">BA59</f>
        <v>0</v>
      </c>
    </row>
    <row r="221" spans="1:53" x14ac:dyDescent="0.35">
      <c r="A221" s="2" t="s">
        <v>134</v>
      </c>
      <c r="B221" s="2"/>
      <c r="C221" s="2"/>
      <c r="D221" s="2"/>
      <c r="E221" s="4" t="s">
        <v>109</v>
      </c>
      <c r="F221" s="4" t="str">
        <f t="shared" si="206"/>
        <v xml:space="preserve"> values</v>
      </c>
      <c r="G221" s="2"/>
      <c r="H221" s="51">
        <f>H144</f>
        <v>0</v>
      </c>
      <c r="I221" s="51">
        <f t="shared" ref="I221:AZ221" si="210">I144</f>
        <v>0</v>
      </c>
      <c r="J221" s="51">
        <f t="shared" si="210"/>
        <v>0</v>
      </c>
      <c r="K221" s="51">
        <f t="shared" si="210"/>
        <v>0</v>
      </c>
      <c r="L221" s="51">
        <f t="shared" si="210"/>
        <v>0</v>
      </c>
      <c r="M221" s="51">
        <f t="shared" si="210"/>
        <v>0</v>
      </c>
      <c r="N221" s="51">
        <f t="shared" si="210"/>
        <v>0</v>
      </c>
      <c r="O221" s="51">
        <f t="shared" si="210"/>
        <v>0</v>
      </c>
      <c r="P221" s="51">
        <f t="shared" si="210"/>
        <v>0</v>
      </c>
      <c r="Q221" s="51">
        <f t="shared" si="210"/>
        <v>0</v>
      </c>
      <c r="R221" s="51">
        <f t="shared" si="210"/>
        <v>0</v>
      </c>
      <c r="S221" s="51">
        <f t="shared" si="210"/>
        <v>0</v>
      </c>
      <c r="T221" s="51">
        <f t="shared" si="210"/>
        <v>0</v>
      </c>
      <c r="U221" s="51">
        <f t="shared" si="210"/>
        <v>0</v>
      </c>
      <c r="V221" s="51">
        <f t="shared" si="210"/>
        <v>0</v>
      </c>
      <c r="W221" s="51">
        <f t="shared" si="210"/>
        <v>0</v>
      </c>
      <c r="X221" s="51">
        <f t="shared" si="210"/>
        <v>0</v>
      </c>
      <c r="Y221" s="51">
        <f t="shared" si="210"/>
        <v>0</v>
      </c>
      <c r="Z221" s="51">
        <f t="shared" si="210"/>
        <v>0</v>
      </c>
      <c r="AA221" s="51">
        <f t="shared" si="210"/>
        <v>0</v>
      </c>
      <c r="AB221" s="51">
        <f t="shared" si="210"/>
        <v>0</v>
      </c>
      <c r="AC221" s="51">
        <f t="shared" si="210"/>
        <v>0</v>
      </c>
      <c r="AD221" s="51">
        <f t="shared" si="210"/>
        <v>0</v>
      </c>
      <c r="AE221" s="51">
        <f t="shared" si="210"/>
        <v>0</v>
      </c>
      <c r="AF221" s="51">
        <f t="shared" si="210"/>
        <v>0</v>
      </c>
      <c r="AG221" s="51">
        <f t="shared" si="210"/>
        <v>0</v>
      </c>
      <c r="AH221" s="51">
        <f t="shared" si="210"/>
        <v>0</v>
      </c>
      <c r="AI221" s="51">
        <f t="shared" si="210"/>
        <v>0</v>
      </c>
      <c r="AJ221" s="51">
        <f t="shared" si="210"/>
        <v>0</v>
      </c>
      <c r="AK221" s="51">
        <f t="shared" si="210"/>
        <v>0</v>
      </c>
      <c r="AL221" s="51">
        <f t="shared" si="210"/>
        <v>0</v>
      </c>
      <c r="AM221" s="51">
        <f t="shared" si="210"/>
        <v>0</v>
      </c>
      <c r="AN221" s="51">
        <f t="shared" si="210"/>
        <v>0</v>
      </c>
      <c r="AO221" s="51">
        <f t="shared" si="210"/>
        <v>0</v>
      </c>
      <c r="AP221" s="51">
        <f t="shared" si="210"/>
        <v>0</v>
      </c>
      <c r="AQ221" s="51">
        <f t="shared" si="210"/>
        <v>0</v>
      </c>
      <c r="AR221" s="51">
        <f t="shared" si="210"/>
        <v>0</v>
      </c>
      <c r="AS221" s="51">
        <f t="shared" si="210"/>
        <v>0</v>
      </c>
      <c r="AT221" s="51">
        <f t="shared" si="210"/>
        <v>0</v>
      </c>
      <c r="AU221" s="51">
        <f t="shared" si="210"/>
        <v>0</v>
      </c>
      <c r="AV221" s="51">
        <f t="shared" si="210"/>
        <v>0</v>
      </c>
      <c r="AW221" s="51">
        <f t="shared" si="210"/>
        <v>0</v>
      </c>
      <c r="AX221" s="51">
        <f t="shared" si="210"/>
        <v>0</v>
      </c>
      <c r="AY221" s="51">
        <f t="shared" si="210"/>
        <v>0</v>
      </c>
      <c r="AZ221" s="51">
        <f t="shared" si="210"/>
        <v>0</v>
      </c>
      <c r="BA221" s="51">
        <f t="shared" ref="BA221" si="211">BA144</f>
        <v>0</v>
      </c>
    </row>
    <row r="222" spans="1:53" x14ac:dyDescent="0.35">
      <c r="A222" s="2" t="s">
        <v>135</v>
      </c>
      <c r="B222" s="2"/>
      <c r="C222" s="2"/>
      <c r="D222" s="2"/>
      <c r="E222" s="4" t="s">
        <v>109</v>
      </c>
      <c r="F222" s="4" t="str">
        <f t="shared" si="206"/>
        <v xml:space="preserve"> values</v>
      </c>
      <c r="G222" s="2"/>
      <c r="H222" s="51">
        <f>H186</f>
        <v>0</v>
      </c>
      <c r="I222" s="51">
        <f t="shared" ref="I222:AZ222" si="212">I186</f>
        <v>0</v>
      </c>
      <c r="J222" s="51">
        <f t="shared" si="212"/>
        <v>0</v>
      </c>
      <c r="K222" s="51">
        <f t="shared" si="212"/>
        <v>0</v>
      </c>
      <c r="L222" s="51">
        <f t="shared" si="212"/>
        <v>0</v>
      </c>
      <c r="M222" s="51">
        <f t="shared" si="212"/>
        <v>0</v>
      </c>
      <c r="N222" s="51">
        <f t="shared" si="212"/>
        <v>0</v>
      </c>
      <c r="O222" s="51">
        <f t="shared" si="212"/>
        <v>0</v>
      </c>
      <c r="P222" s="51">
        <f t="shared" si="212"/>
        <v>0</v>
      </c>
      <c r="Q222" s="51">
        <f t="shared" si="212"/>
        <v>0</v>
      </c>
      <c r="R222" s="51">
        <f t="shared" si="212"/>
        <v>0</v>
      </c>
      <c r="S222" s="51">
        <f t="shared" si="212"/>
        <v>0</v>
      </c>
      <c r="T222" s="51">
        <f t="shared" si="212"/>
        <v>0</v>
      </c>
      <c r="U222" s="51">
        <f t="shared" si="212"/>
        <v>0</v>
      </c>
      <c r="V222" s="51">
        <f t="shared" si="212"/>
        <v>0</v>
      </c>
      <c r="W222" s="51">
        <f t="shared" si="212"/>
        <v>0</v>
      </c>
      <c r="X222" s="51">
        <f t="shared" si="212"/>
        <v>0</v>
      </c>
      <c r="Y222" s="51">
        <f t="shared" si="212"/>
        <v>0</v>
      </c>
      <c r="Z222" s="51">
        <f t="shared" si="212"/>
        <v>0</v>
      </c>
      <c r="AA222" s="51">
        <f t="shared" si="212"/>
        <v>0</v>
      </c>
      <c r="AB222" s="51">
        <f t="shared" si="212"/>
        <v>0</v>
      </c>
      <c r="AC222" s="51">
        <f t="shared" si="212"/>
        <v>0</v>
      </c>
      <c r="AD222" s="51">
        <f t="shared" si="212"/>
        <v>0</v>
      </c>
      <c r="AE222" s="51">
        <f t="shared" si="212"/>
        <v>0</v>
      </c>
      <c r="AF222" s="51">
        <f t="shared" si="212"/>
        <v>0</v>
      </c>
      <c r="AG222" s="51">
        <f t="shared" si="212"/>
        <v>0</v>
      </c>
      <c r="AH222" s="51">
        <f t="shared" si="212"/>
        <v>0</v>
      </c>
      <c r="AI222" s="51">
        <f t="shared" si="212"/>
        <v>0</v>
      </c>
      <c r="AJ222" s="51">
        <f t="shared" si="212"/>
        <v>0</v>
      </c>
      <c r="AK222" s="51">
        <f t="shared" si="212"/>
        <v>0</v>
      </c>
      <c r="AL222" s="51">
        <f t="shared" si="212"/>
        <v>0</v>
      </c>
      <c r="AM222" s="51">
        <f t="shared" si="212"/>
        <v>0</v>
      </c>
      <c r="AN222" s="51">
        <f t="shared" si="212"/>
        <v>0</v>
      </c>
      <c r="AO222" s="51">
        <f t="shared" si="212"/>
        <v>0</v>
      </c>
      <c r="AP222" s="51">
        <f t="shared" si="212"/>
        <v>0</v>
      </c>
      <c r="AQ222" s="51">
        <f t="shared" si="212"/>
        <v>0</v>
      </c>
      <c r="AR222" s="51">
        <f t="shared" si="212"/>
        <v>0</v>
      </c>
      <c r="AS222" s="51">
        <f t="shared" si="212"/>
        <v>0</v>
      </c>
      <c r="AT222" s="51">
        <f t="shared" si="212"/>
        <v>0</v>
      </c>
      <c r="AU222" s="51">
        <f t="shared" si="212"/>
        <v>0</v>
      </c>
      <c r="AV222" s="51">
        <f t="shared" si="212"/>
        <v>0</v>
      </c>
      <c r="AW222" s="51">
        <f t="shared" si="212"/>
        <v>0</v>
      </c>
      <c r="AX222" s="51">
        <f t="shared" si="212"/>
        <v>0</v>
      </c>
      <c r="AY222" s="51">
        <f t="shared" si="212"/>
        <v>0</v>
      </c>
      <c r="AZ222" s="51">
        <f t="shared" si="212"/>
        <v>0</v>
      </c>
      <c r="BA222" s="51">
        <f t="shared" ref="BA222" si="213">BA186</f>
        <v>0</v>
      </c>
    </row>
    <row r="223" spans="1:53" x14ac:dyDescent="0.35">
      <c r="A223" s="2" t="s">
        <v>311</v>
      </c>
      <c r="B223" s="2"/>
      <c r="C223" s="2"/>
      <c r="D223" s="2"/>
      <c r="E223" s="4" t="s">
        <v>109</v>
      </c>
      <c r="F223" s="4" t="str">
        <f t="shared" ref="F223" si="214">IF(E223="Nominal","",Analysis_year&amp;" values")</f>
        <v xml:space="preserve"> values</v>
      </c>
      <c r="G223" s="2"/>
      <c r="H223" s="51">
        <f>H35-H161*H11</f>
        <v>0</v>
      </c>
      <c r="I223" s="51">
        <f t="shared" ref="I223:BA223" si="215">I35-I161*I11</f>
        <v>0</v>
      </c>
      <c r="J223" s="51">
        <f t="shared" si="215"/>
        <v>0</v>
      </c>
      <c r="K223" s="51">
        <f t="shared" si="215"/>
        <v>0</v>
      </c>
      <c r="L223" s="51">
        <f t="shared" si="215"/>
        <v>0</v>
      </c>
      <c r="M223" s="51">
        <f t="shared" si="215"/>
        <v>0</v>
      </c>
      <c r="N223" s="51">
        <f t="shared" si="215"/>
        <v>0</v>
      </c>
      <c r="O223" s="51">
        <f t="shared" si="215"/>
        <v>0</v>
      </c>
      <c r="P223" s="51">
        <f t="shared" si="215"/>
        <v>0</v>
      </c>
      <c r="Q223" s="51">
        <f t="shared" si="215"/>
        <v>0</v>
      </c>
      <c r="R223" s="51">
        <f t="shared" si="215"/>
        <v>0</v>
      </c>
      <c r="S223" s="51">
        <f t="shared" si="215"/>
        <v>0</v>
      </c>
      <c r="T223" s="51">
        <f t="shared" si="215"/>
        <v>0</v>
      </c>
      <c r="U223" s="51">
        <f t="shared" si="215"/>
        <v>0</v>
      </c>
      <c r="V223" s="51">
        <f t="shared" si="215"/>
        <v>0</v>
      </c>
      <c r="W223" s="51">
        <f t="shared" si="215"/>
        <v>0</v>
      </c>
      <c r="X223" s="51">
        <f t="shared" si="215"/>
        <v>0</v>
      </c>
      <c r="Y223" s="51">
        <f t="shared" si="215"/>
        <v>0</v>
      </c>
      <c r="Z223" s="51">
        <f t="shared" si="215"/>
        <v>0</v>
      </c>
      <c r="AA223" s="51">
        <f t="shared" si="215"/>
        <v>0</v>
      </c>
      <c r="AB223" s="51">
        <f t="shared" si="215"/>
        <v>0</v>
      </c>
      <c r="AC223" s="51">
        <f t="shared" si="215"/>
        <v>0</v>
      </c>
      <c r="AD223" s="51">
        <f t="shared" si="215"/>
        <v>0</v>
      </c>
      <c r="AE223" s="51">
        <f t="shared" si="215"/>
        <v>0</v>
      </c>
      <c r="AF223" s="51">
        <f t="shared" si="215"/>
        <v>0</v>
      </c>
      <c r="AG223" s="51">
        <f t="shared" si="215"/>
        <v>0</v>
      </c>
      <c r="AH223" s="51">
        <f t="shared" si="215"/>
        <v>0</v>
      </c>
      <c r="AI223" s="51">
        <f t="shared" si="215"/>
        <v>0</v>
      </c>
      <c r="AJ223" s="51">
        <f t="shared" si="215"/>
        <v>0</v>
      </c>
      <c r="AK223" s="51">
        <f t="shared" si="215"/>
        <v>0</v>
      </c>
      <c r="AL223" s="51">
        <f t="shared" si="215"/>
        <v>0</v>
      </c>
      <c r="AM223" s="51">
        <f t="shared" si="215"/>
        <v>0</v>
      </c>
      <c r="AN223" s="51">
        <f t="shared" si="215"/>
        <v>0</v>
      </c>
      <c r="AO223" s="51">
        <f t="shared" si="215"/>
        <v>0</v>
      </c>
      <c r="AP223" s="51">
        <f t="shared" si="215"/>
        <v>0</v>
      </c>
      <c r="AQ223" s="51">
        <f t="shared" si="215"/>
        <v>0</v>
      </c>
      <c r="AR223" s="51">
        <f t="shared" si="215"/>
        <v>0</v>
      </c>
      <c r="AS223" s="51">
        <f t="shared" si="215"/>
        <v>0</v>
      </c>
      <c r="AT223" s="51">
        <f t="shared" si="215"/>
        <v>0</v>
      </c>
      <c r="AU223" s="51">
        <f t="shared" si="215"/>
        <v>0</v>
      </c>
      <c r="AV223" s="51">
        <f t="shared" si="215"/>
        <v>0</v>
      </c>
      <c r="AW223" s="51">
        <f t="shared" si="215"/>
        <v>0</v>
      </c>
      <c r="AX223" s="51">
        <f t="shared" si="215"/>
        <v>0</v>
      </c>
      <c r="AY223" s="51">
        <f t="shared" si="215"/>
        <v>0</v>
      </c>
      <c r="AZ223" s="51">
        <f t="shared" si="215"/>
        <v>0</v>
      </c>
      <c r="BA223" s="51">
        <f t="shared" si="215"/>
        <v>0</v>
      </c>
    </row>
    <row r="224" spans="1:53" x14ac:dyDescent="0.35">
      <c r="A224" s="2" t="s">
        <v>136</v>
      </c>
      <c r="B224" s="2"/>
      <c r="C224" s="2"/>
      <c r="D224" s="2"/>
      <c r="E224" s="4" t="s">
        <v>109</v>
      </c>
      <c r="F224" s="4" t="str">
        <f t="shared" si="206"/>
        <v xml:space="preserve"> values</v>
      </c>
      <c r="G224" s="2"/>
      <c r="H224" s="143">
        <f>SUM(H220:H223)</f>
        <v>0</v>
      </c>
      <c r="I224" s="143">
        <f t="shared" ref="I224:BA224" si="216">SUM(I220:I223)</f>
        <v>0</v>
      </c>
      <c r="J224" s="143">
        <f t="shared" si="216"/>
        <v>0</v>
      </c>
      <c r="K224" s="143">
        <f t="shared" si="216"/>
        <v>0</v>
      </c>
      <c r="L224" s="143">
        <f t="shared" si="216"/>
        <v>0</v>
      </c>
      <c r="M224" s="143">
        <f t="shared" si="216"/>
        <v>0</v>
      </c>
      <c r="N224" s="143">
        <f t="shared" si="216"/>
        <v>0</v>
      </c>
      <c r="O224" s="143">
        <f t="shared" si="216"/>
        <v>0</v>
      </c>
      <c r="P224" s="143">
        <f t="shared" si="216"/>
        <v>0</v>
      </c>
      <c r="Q224" s="143">
        <f t="shared" si="216"/>
        <v>0</v>
      </c>
      <c r="R224" s="143">
        <f t="shared" si="216"/>
        <v>0</v>
      </c>
      <c r="S224" s="143">
        <f t="shared" si="216"/>
        <v>0</v>
      </c>
      <c r="T224" s="143">
        <f t="shared" si="216"/>
        <v>0</v>
      </c>
      <c r="U224" s="143">
        <f t="shared" si="216"/>
        <v>0</v>
      </c>
      <c r="V224" s="143">
        <f t="shared" si="216"/>
        <v>0</v>
      </c>
      <c r="W224" s="143">
        <f t="shared" si="216"/>
        <v>0</v>
      </c>
      <c r="X224" s="143">
        <f t="shared" si="216"/>
        <v>0</v>
      </c>
      <c r="Y224" s="143">
        <f t="shared" si="216"/>
        <v>0</v>
      </c>
      <c r="Z224" s="143">
        <f t="shared" si="216"/>
        <v>0</v>
      </c>
      <c r="AA224" s="143">
        <f t="shared" si="216"/>
        <v>0</v>
      </c>
      <c r="AB224" s="143">
        <f t="shared" si="216"/>
        <v>0</v>
      </c>
      <c r="AC224" s="143">
        <f t="shared" si="216"/>
        <v>0</v>
      </c>
      <c r="AD224" s="143">
        <f t="shared" si="216"/>
        <v>0</v>
      </c>
      <c r="AE224" s="143">
        <f t="shared" si="216"/>
        <v>0</v>
      </c>
      <c r="AF224" s="143">
        <f t="shared" si="216"/>
        <v>0</v>
      </c>
      <c r="AG224" s="143">
        <f t="shared" si="216"/>
        <v>0</v>
      </c>
      <c r="AH224" s="143">
        <f t="shared" si="216"/>
        <v>0</v>
      </c>
      <c r="AI224" s="143">
        <f t="shared" si="216"/>
        <v>0</v>
      </c>
      <c r="AJ224" s="143">
        <f t="shared" si="216"/>
        <v>0</v>
      </c>
      <c r="AK224" s="143">
        <f t="shared" si="216"/>
        <v>0</v>
      </c>
      <c r="AL224" s="143">
        <f t="shared" si="216"/>
        <v>0</v>
      </c>
      <c r="AM224" s="143">
        <f t="shared" si="216"/>
        <v>0</v>
      </c>
      <c r="AN224" s="143">
        <f t="shared" si="216"/>
        <v>0</v>
      </c>
      <c r="AO224" s="143">
        <f t="shared" si="216"/>
        <v>0</v>
      </c>
      <c r="AP224" s="143">
        <f t="shared" si="216"/>
        <v>0</v>
      </c>
      <c r="AQ224" s="143">
        <f t="shared" si="216"/>
        <v>0</v>
      </c>
      <c r="AR224" s="143">
        <f t="shared" si="216"/>
        <v>0</v>
      </c>
      <c r="AS224" s="143">
        <f t="shared" si="216"/>
        <v>0</v>
      </c>
      <c r="AT224" s="143">
        <f t="shared" si="216"/>
        <v>0</v>
      </c>
      <c r="AU224" s="143">
        <f t="shared" si="216"/>
        <v>0</v>
      </c>
      <c r="AV224" s="143">
        <f t="shared" si="216"/>
        <v>0</v>
      </c>
      <c r="AW224" s="143">
        <f t="shared" si="216"/>
        <v>0</v>
      </c>
      <c r="AX224" s="143">
        <f t="shared" si="216"/>
        <v>0</v>
      </c>
      <c r="AY224" s="143">
        <f t="shared" si="216"/>
        <v>0</v>
      </c>
      <c r="AZ224" s="143">
        <f t="shared" si="216"/>
        <v>0</v>
      </c>
      <c r="BA224" s="143">
        <f t="shared" si="216"/>
        <v>0</v>
      </c>
    </row>
    <row r="225" spans="1:53" x14ac:dyDescent="0.35">
      <c r="A225" s="2" t="s">
        <v>127</v>
      </c>
      <c r="B225" s="2"/>
      <c r="C225" s="2"/>
      <c r="D225" s="2"/>
      <c r="E225" s="4" t="s">
        <v>109</v>
      </c>
      <c r="F225" s="4" t="str">
        <f t="shared" si="206"/>
        <v xml:space="preserve"> values</v>
      </c>
      <c r="G225" s="2"/>
      <c r="H225" s="51">
        <f t="shared" ref="H225:AC225" si="217">H177*IF($E$177="Real",1,I$10)</f>
        <v>0</v>
      </c>
      <c r="I225" s="51">
        <f t="shared" si="217"/>
        <v>0</v>
      </c>
      <c r="J225" s="51">
        <f t="shared" si="217"/>
        <v>0</v>
      </c>
      <c r="K225" s="51">
        <f t="shared" si="217"/>
        <v>0</v>
      </c>
      <c r="L225" s="51">
        <f t="shared" si="217"/>
        <v>0</v>
      </c>
      <c r="M225" s="51">
        <f t="shared" si="217"/>
        <v>0</v>
      </c>
      <c r="N225" s="51">
        <f t="shared" si="217"/>
        <v>0</v>
      </c>
      <c r="O225" s="51">
        <f t="shared" si="217"/>
        <v>0</v>
      </c>
      <c r="P225" s="51">
        <f t="shared" si="217"/>
        <v>0</v>
      </c>
      <c r="Q225" s="51">
        <f t="shared" si="217"/>
        <v>0</v>
      </c>
      <c r="R225" s="51">
        <f t="shared" si="217"/>
        <v>0</v>
      </c>
      <c r="S225" s="51">
        <f t="shared" si="217"/>
        <v>0</v>
      </c>
      <c r="T225" s="51">
        <f t="shared" si="217"/>
        <v>0</v>
      </c>
      <c r="U225" s="51">
        <f t="shared" si="217"/>
        <v>0</v>
      </c>
      <c r="V225" s="51">
        <f t="shared" si="217"/>
        <v>0</v>
      </c>
      <c r="W225" s="51">
        <f t="shared" si="217"/>
        <v>0</v>
      </c>
      <c r="X225" s="51">
        <f t="shared" si="217"/>
        <v>0</v>
      </c>
      <c r="Y225" s="51">
        <f t="shared" si="217"/>
        <v>0</v>
      </c>
      <c r="Z225" s="51">
        <f t="shared" si="217"/>
        <v>0</v>
      </c>
      <c r="AA225" s="51">
        <f t="shared" si="217"/>
        <v>0</v>
      </c>
      <c r="AB225" s="51">
        <f t="shared" si="217"/>
        <v>0</v>
      </c>
      <c r="AC225" s="51">
        <f t="shared" si="217"/>
        <v>0</v>
      </c>
      <c r="AD225" s="51">
        <f t="shared" ref="AD225:BA225" si="218">AD177*IF($E$177="Real",AE$10,1)</f>
        <v>0</v>
      </c>
      <c r="AE225" s="51">
        <f t="shared" si="218"/>
        <v>0</v>
      </c>
      <c r="AF225" s="51">
        <f t="shared" si="218"/>
        <v>0</v>
      </c>
      <c r="AG225" s="51">
        <f t="shared" si="218"/>
        <v>0</v>
      </c>
      <c r="AH225" s="51">
        <f t="shared" si="218"/>
        <v>0</v>
      </c>
      <c r="AI225" s="51">
        <f t="shared" si="218"/>
        <v>0</v>
      </c>
      <c r="AJ225" s="51">
        <f t="shared" si="218"/>
        <v>0</v>
      </c>
      <c r="AK225" s="51">
        <f t="shared" si="218"/>
        <v>0</v>
      </c>
      <c r="AL225" s="51">
        <f t="shared" si="218"/>
        <v>0</v>
      </c>
      <c r="AM225" s="51">
        <f t="shared" si="218"/>
        <v>0</v>
      </c>
      <c r="AN225" s="51">
        <f t="shared" si="218"/>
        <v>0</v>
      </c>
      <c r="AO225" s="51">
        <f t="shared" si="218"/>
        <v>0</v>
      </c>
      <c r="AP225" s="51">
        <f t="shared" si="218"/>
        <v>0</v>
      </c>
      <c r="AQ225" s="51">
        <f t="shared" si="218"/>
        <v>0</v>
      </c>
      <c r="AR225" s="51">
        <f t="shared" si="218"/>
        <v>0</v>
      </c>
      <c r="AS225" s="51">
        <f t="shared" si="218"/>
        <v>0</v>
      </c>
      <c r="AT225" s="51">
        <f t="shared" si="218"/>
        <v>0</v>
      </c>
      <c r="AU225" s="51">
        <f t="shared" si="218"/>
        <v>0</v>
      </c>
      <c r="AV225" s="51">
        <f t="shared" si="218"/>
        <v>0</v>
      </c>
      <c r="AW225" s="51">
        <f t="shared" si="218"/>
        <v>0</v>
      </c>
      <c r="AX225" s="51">
        <f t="shared" si="218"/>
        <v>0</v>
      </c>
      <c r="AY225" s="51">
        <f t="shared" si="218"/>
        <v>0</v>
      </c>
      <c r="AZ225" s="51">
        <f t="shared" si="218"/>
        <v>0</v>
      </c>
      <c r="BA225" s="51">
        <f t="shared" si="218"/>
        <v>0</v>
      </c>
    </row>
    <row r="226" spans="1:53" x14ac:dyDescent="0.35">
      <c r="A226" s="2" t="s">
        <v>137</v>
      </c>
      <c r="B226" s="2"/>
      <c r="C226" s="2"/>
      <c r="D226" s="2"/>
      <c r="E226" s="4" t="s">
        <v>109</v>
      </c>
      <c r="F226" s="4" t="str">
        <f t="shared" si="206"/>
        <v xml:space="preserve"> values</v>
      </c>
      <c r="G226" s="2"/>
      <c r="H226" s="51">
        <f>H225-H224</f>
        <v>0</v>
      </c>
      <c r="I226" s="51">
        <f t="shared" ref="I226:AZ226" si="219">I225-I224</f>
        <v>0</v>
      </c>
      <c r="J226" s="51">
        <f t="shared" si="219"/>
        <v>0</v>
      </c>
      <c r="K226" s="51">
        <f t="shared" si="219"/>
        <v>0</v>
      </c>
      <c r="L226" s="51">
        <f t="shared" si="219"/>
        <v>0</v>
      </c>
      <c r="M226" s="51">
        <f t="shared" si="219"/>
        <v>0</v>
      </c>
      <c r="N226" s="51">
        <f t="shared" si="219"/>
        <v>0</v>
      </c>
      <c r="O226" s="51">
        <f t="shared" si="219"/>
        <v>0</v>
      </c>
      <c r="P226" s="51">
        <f t="shared" si="219"/>
        <v>0</v>
      </c>
      <c r="Q226" s="51">
        <f t="shared" si="219"/>
        <v>0</v>
      </c>
      <c r="R226" s="51">
        <f t="shared" si="219"/>
        <v>0</v>
      </c>
      <c r="S226" s="51">
        <f t="shared" si="219"/>
        <v>0</v>
      </c>
      <c r="T226" s="51">
        <f t="shared" si="219"/>
        <v>0</v>
      </c>
      <c r="U226" s="51">
        <f t="shared" si="219"/>
        <v>0</v>
      </c>
      <c r="V226" s="51">
        <f t="shared" si="219"/>
        <v>0</v>
      </c>
      <c r="W226" s="51">
        <f t="shared" si="219"/>
        <v>0</v>
      </c>
      <c r="X226" s="51">
        <f t="shared" si="219"/>
        <v>0</v>
      </c>
      <c r="Y226" s="51">
        <f t="shared" si="219"/>
        <v>0</v>
      </c>
      <c r="Z226" s="51">
        <f t="shared" si="219"/>
        <v>0</v>
      </c>
      <c r="AA226" s="51">
        <f t="shared" si="219"/>
        <v>0</v>
      </c>
      <c r="AB226" s="51">
        <f t="shared" si="219"/>
        <v>0</v>
      </c>
      <c r="AC226" s="51">
        <f t="shared" si="219"/>
        <v>0</v>
      </c>
      <c r="AD226" s="51">
        <f t="shared" si="219"/>
        <v>0</v>
      </c>
      <c r="AE226" s="51">
        <f t="shared" si="219"/>
        <v>0</v>
      </c>
      <c r="AF226" s="51">
        <f t="shared" si="219"/>
        <v>0</v>
      </c>
      <c r="AG226" s="51">
        <f t="shared" si="219"/>
        <v>0</v>
      </c>
      <c r="AH226" s="51">
        <f t="shared" si="219"/>
        <v>0</v>
      </c>
      <c r="AI226" s="51">
        <f t="shared" si="219"/>
        <v>0</v>
      </c>
      <c r="AJ226" s="51">
        <f t="shared" si="219"/>
        <v>0</v>
      </c>
      <c r="AK226" s="51">
        <f t="shared" si="219"/>
        <v>0</v>
      </c>
      <c r="AL226" s="51">
        <f t="shared" si="219"/>
        <v>0</v>
      </c>
      <c r="AM226" s="51">
        <f t="shared" si="219"/>
        <v>0</v>
      </c>
      <c r="AN226" s="51">
        <f t="shared" si="219"/>
        <v>0</v>
      </c>
      <c r="AO226" s="51">
        <f t="shared" si="219"/>
        <v>0</v>
      </c>
      <c r="AP226" s="51">
        <f t="shared" si="219"/>
        <v>0</v>
      </c>
      <c r="AQ226" s="51">
        <f t="shared" si="219"/>
        <v>0</v>
      </c>
      <c r="AR226" s="51">
        <f t="shared" si="219"/>
        <v>0</v>
      </c>
      <c r="AS226" s="51">
        <f t="shared" si="219"/>
        <v>0</v>
      </c>
      <c r="AT226" s="51">
        <f t="shared" si="219"/>
        <v>0</v>
      </c>
      <c r="AU226" s="51">
        <f t="shared" si="219"/>
        <v>0</v>
      </c>
      <c r="AV226" s="51">
        <f t="shared" si="219"/>
        <v>0</v>
      </c>
      <c r="AW226" s="51">
        <f t="shared" si="219"/>
        <v>0</v>
      </c>
      <c r="AX226" s="51">
        <f t="shared" si="219"/>
        <v>0</v>
      </c>
      <c r="AY226" s="51">
        <f t="shared" si="219"/>
        <v>0</v>
      </c>
      <c r="AZ226" s="51">
        <f t="shared" si="219"/>
        <v>0</v>
      </c>
      <c r="BA226" s="51">
        <f t="shared" ref="BA226" si="220">BA225-BA224</f>
        <v>0</v>
      </c>
    </row>
    <row r="227" spans="1:53" x14ac:dyDescent="0.35">
      <c r="A227" s="2" t="s">
        <v>138</v>
      </c>
      <c r="B227" s="2"/>
      <c r="C227" s="2"/>
      <c r="D227" s="2"/>
      <c r="E227" s="4" t="s">
        <v>109</v>
      </c>
      <c r="F227" s="4" t="str">
        <f t="shared" si="206"/>
        <v xml:space="preserve"> values</v>
      </c>
      <c r="G227" s="2"/>
      <c r="H227" s="51">
        <f t="shared" ref="H227:BA227" si="221">H226-H184*I11</f>
        <v>0</v>
      </c>
      <c r="I227" s="51">
        <f t="shared" si="221"/>
        <v>0</v>
      </c>
      <c r="J227" s="51">
        <f t="shared" si="221"/>
        <v>0</v>
      </c>
      <c r="K227" s="51">
        <f t="shared" si="221"/>
        <v>0</v>
      </c>
      <c r="L227" s="51">
        <f t="shared" si="221"/>
        <v>0</v>
      </c>
      <c r="M227" s="51">
        <f t="shared" si="221"/>
        <v>0</v>
      </c>
      <c r="N227" s="51">
        <f t="shared" si="221"/>
        <v>0</v>
      </c>
      <c r="O227" s="51">
        <f t="shared" si="221"/>
        <v>0</v>
      </c>
      <c r="P227" s="51">
        <f t="shared" si="221"/>
        <v>0</v>
      </c>
      <c r="Q227" s="51">
        <f t="shared" si="221"/>
        <v>0</v>
      </c>
      <c r="R227" s="51">
        <f t="shared" si="221"/>
        <v>0</v>
      </c>
      <c r="S227" s="51">
        <f t="shared" si="221"/>
        <v>0</v>
      </c>
      <c r="T227" s="51">
        <f t="shared" si="221"/>
        <v>0</v>
      </c>
      <c r="U227" s="51">
        <f t="shared" si="221"/>
        <v>0</v>
      </c>
      <c r="V227" s="51">
        <f t="shared" si="221"/>
        <v>0</v>
      </c>
      <c r="W227" s="51">
        <f t="shared" si="221"/>
        <v>0</v>
      </c>
      <c r="X227" s="51">
        <f t="shared" si="221"/>
        <v>0</v>
      </c>
      <c r="Y227" s="51">
        <f t="shared" si="221"/>
        <v>0</v>
      </c>
      <c r="Z227" s="51">
        <f t="shared" si="221"/>
        <v>0</v>
      </c>
      <c r="AA227" s="51">
        <f t="shared" si="221"/>
        <v>0</v>
      </c>
      <c r="AB227" s="51">
        <f t="shared" si="221"/>
        <v>0</v>
      </c>
      <c r="AC227" s="51">
        <f t="shared" si="221"/>
        <v>0</v>
      </c>
      <c r="AD227" s="51">
        <f t="shared" si="221"/>
        <v>0</v>
      </c>
      <c r="AE227" s="51">
        <f t="shared" si="221"/>
        <v>0</v>
      </c>
      <c r="AF227" s="51">
        <f t="shared" si="221"/>
        <v>0</v>
      </c>
      <c r="AG227" s="51">
        <f t="shared" si="221"/>
        <v>0</v>
      </c>
      <c r="AH227" s="51">
        <f t="shared" si="221"/>
        <v>0</v>
      </c>
      <c r="AI227" s="51">
        <f t="shared" si="221"/>
        <v>0</v>
      </c>
      <c r="AJ227" s="51">
        <f t="shared" si="221"/>
        <v>0</v>
      </c>
      <c r="AK227" s="51">
        <f t="shared" si="221"/>
        <v>0</v>
      </c>
      <c r="AL227" s="51">
        <f t="shared" si="221"/>
        <v>0</v>
      </c>
      <c r="AM227" s="51">
        <f t="shared" si="221"/>
        <v>0</v>
      </c>
      <c r="AN227" s="51">
        <f t="shared" si="221"/>
        <v>0</v>
      </c>
      <c r="AO227" s="51">
        <f t="shared" si="221"/>
        <v>0</v>
      </c>
      <c r="AP227" s="51">
        <f t="shared" si="221"/>
        <v>0</v>
      </c>
      <c r="AQ227" s="51">
        <f t="shared" si="221"/>
        <v>0</v>
      </c>
      <c r="AR227" s="51">
        <f t="shared" si="221"/>
        <v>0</v>
      </c>
      <c r="AS227" s="51">
        <f t="shared" si="221"/>
        <v>0</v>
      </c>
      <c r="AT227" s="51">
        <f t="shared" si="221"/>
        <v>0</v>
      </c>
      <c r="AU227" s="51">
        <f t="shared" si="221"/>
        <v>0</v>
      </c>
      <c r="AV227" s="51">
        <f t="shared" si="221"/>
        <v>0</v>
      </c>
      <c r="AW227" s="51">
        <f t="shared" si="221"/>
        <v>0</v>
      </c>
      <c r="AX227" s="51">
        <f t="shared" si="221"/>
        <v>0</v>
      </c>
      <c r="AY227" s="51">
        <f t="shared" si="221"/>
        <v>0</v>
      </c>
      <c r="AZ227" s="51">
        <f t="shared" si="221"/>
        <v>0</v>
      </c>
      <c r="BA227" s="51">
        <f t="shared" si="221"/>
        <v>0</v>
      </c>
    </row>
    <row r="228" spans="1:53"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row>
  </sheetData>
  <sheetProtection algorithmName="SHA-512" hashValue="6MdAJl8hyxfRHOmW7UhLLtbkXg/L94llZdW/+XiouS/11EYsp/hQ2iqisFhvzp/KeRnV79YW+b9Hk4Il8Q/b1w==" saltValue="yv/9EPb5H6kikMWU2nMdVg==" spinCount="100000" sheet="1" objects="1" scenarios="1"/>
  <mergeCells count="1">
    <mergeCell ref="A171:D171"/>
  </mergeCells>
  <phoneticPr fontId="20" type="noConversion"/>
  <conditionalFormatting sqref="D91:D101">
    <cfRule type="expression" dxfId="7" priority="24">
      <formula>SUM($H64:$AZ64)&gt;0</formula>
    </cfRule>
  </conditionalFormatting>
  <conditionalFormatting sqref="E91:E101 G91:G101">
    <cfRule type="expression" dxfId="6" priority="19">
      <formula>SUM($H64:$AZ64)&gt;0</formula>
    </cfRule>
  </conditionalFormatting>
  <conditionalFormatting sqref="E104:E114">
    <cfRule type="expression" dxfId="5" priority="2">
      <formula>SUM($H77:$AZ77)&gt;0</formula>
    </cfRule>
  </conditionalFormatting>
  <conditionalFormatting sqref="E172">
    <cfRule type="expression" dxfId="4" priority="1">
      <formula>SUM($H145:$AZ145)&gt;0</formula>
    </cfRule>
  </conditionalFormatting>
  <conditionalFormatting sqref="G104:BA106 D104:D114 G107:G108 G109:BA109 G110:G114">
    <cfRule type="expression" dxfId="3" priority="10">
      <formula>SUM($H77:$AZ77)&gt;0</formula>
    </cfRule>
  </conditionalFormatting>
  <conditionalFormatting sqref="G118:BA128">
    <cfRule type="expression" dxfId="2" priority="5">
      <formula>SUM($H64:$AZ64)&gt;0</formula>
    </cfRule>
  </conditionalFormatting>
  <conditionalFormatting sqref="G133:BA143">
    <cfRule type="expression" dxfId="1" priority="3">
      <formula>SUM($H77:$AZ77)&gt;0</formula>
    </cfRule>
  </conditionalFormatting>
  <conditionalFormatting sqref="H91:BA93 H96:BA96">
    <cfRule type="expression" dxfId="0" priority="21">
      <formula>SUM($H77:$AZ77)&gt;0</formula>
    </cfRule>
  </conditionalFormatting>
  <dataValidations count="5">
    <dataValidation type="list" allowBlank="1" showInputMessage="1" showErrorMessage="1" sqref="D91:D101 D104:D114" xr:uid="{36EA1D3A-A304-4673-A319-C64F01A3F2CC}">
      <formula1>"Yes,No"</formula1>
    </dataValidation>
    <dataValidation type="list" allowBlank="1" showInputMessage="1" showErrorMessage="1" sqref="E172 E14 E40 E51 E104:E114 E91:E101 E26" xr:uid="{5DACEAA4-0AA3-48D1-B22C-2C75CAEF34A3}">
      <formula1>"Real,Nominal"</formula1>
    </dataValidation>
    <dataValidation type="list" allowBlank="1" showInputMessage="1" showErrorMessage="1" sqref="B5" xr:uid="{B565E6E8-2E4F-451D-BB2A-4970B770FCCD}">
      <formula1>"&lt;Select&gt;,Yes,No"</formula1>
    </dataValidation>
    <dataValidation type="decimal" allowBlank="1" showInputMessage="1" showErrorMessage="1" errorTitle="Invalid Entry" error="Please enter a numerical value only. Letters and special characters are not allowed" sqref="I28:BA34 H28:H32 H53:H57" xr:uid="{071B3EC9-BF67-4A4F-905F-647DCED49C25}">
      <formula1>0</formula1>
      <formula2>10000000</formula2>
    </dataValidation>
    <dataValidation type="decimal" allowBlank="1" showInputMessage="1" showErrorMessage="1" errorTitle="Invalid Entry" error="Please enter a numerical value only. Letters and special characters are not allowed" sqref="H7:BA7" xr:uid="{E19EB0E8-A87F-49F6-8C44-79E5477FDDB1}">
      <formula1>0</formula1>
      <formula2>1</formula2>
    </dataValidation>
  </dataValidations>
  <pageMargins left="0.7" right="0.7" top="0.75" bottom="0.75" header="0.3" footer="0.3"/>
  <ignoredErrors>
    <ignoredError sqref="N23:X23" formulaRange="1"/>
  </ignoredErrors>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9960824D-0E32-489B-B8EB-35DCF99871A6}">
          <x14:formula1>
            <xm:f>Data!$D$2:$D$15</xm:f>
          </x14:formula1>
          <xm:sqref>E64:F74</xm:sqref>
        </x14:dataValidation>
        <x14:dataValidation type="decimal" allowBlank="1" showInputMessage="1" showErrorMessage="1" errorTitle="Invalid Entry" error="Please enter a numerical value only. Letters and special characters are not allowed" xr:uid="{596C1CB3-8269-4CCD-9907-4A2DD8158AE8}">
          <x14:formula1>
            <xm:f>Lists!D21</xm:f>
          </x14:formula1>
          <x14:formula2>
            <xm:f>Lists!D22</xm:f>
          </x14:formula2>
          <xm:sqref>I42:BA47</xm:sqref>
        </x14:dataValidation>
        <x14:dataValidation type="decimal" allowBlank="1" showInputMessage="1" showErrorMessage="1" errorTitle="Invalid Entry" error="Please enter a numerical value only. Letters and special characters are not allowed" xr:uid="{24A15285-C8BE-4D6E-8534-D9F44F3A03E3}">
          <x14:formula1>
            <xm:f>Lists!D21</xm:f>
          </x14:formula1>
          <x14:formula2>
            <xm:f>Lists!D22</xm:f>
          </x14:formula2>
          <xm:sqref>I53:BA58</xm:sqref>
        </x14:dataValidation>
        <x14:dataValidation type="decimal" allowBlank="1" showInputMessage="1" showErrorMessage="1" errorTitle="Invalid Entry" error="Please enter a numerical value only. Letters and special characters are not allowed" xr:uid="{027E53E1-3319-45F5-AEE5-6B5688CF232D}">
          <x14:formula1>
            <xm:f>Lists!C21</xm:f>
          </x14:formula1>
          <x14:formula2>
            <xm:f>Lists!C22</xm:f>
          </x14:formula2>
          <xm:sqref>H16:BA22 H64:H74 H58 H42:H47 H33:H34</xm:sqref>
        </x14:dataValidation>
        <x14:dataValidation type="decimal" allowBlank="1" showInputMessage="1" showErrorMessage="1" errorTitle="Invalid Entry" error="Please enter a numerical value only. Letters and special characters are not allowed" xr:uid="{83CDACB8-1E2E-425D-A0BA-25D07C704AC9}">
          <x14:formula1>
            <xm:f>Lists!D21</xm:f>
          </x14:formula1>
          <x14:formula2>
            <xm:f>Lists!D22</xm:f>
          </x14:formula2>
          <xm:sqref>I64:BA74</xm:sqref>
        </x14:dataValidation>
        <x14:dataValidation type="decimal" allowBlank="1" showInputMessage="1" showErrorMessage="1" errorTitle="Invalid Entry" error="Please enter a numerical value only. Letters and special characters are not allowed" xr:uid="{3DE2008E-FF45-4767-AD4E-DEDF21D1E181}">
          <x14:formula1>
            <xm:f>Lists!C21</xm:f>
          </x14:formula1>
          <x14:formula2>
            <xm:f>Lists!C22</xm:f>
          </x14:formula2>
          <xm:sqref>H77:BA87</xm:sqref>
        </x14:dataValidation>
        <x14:dataValidation type="decimal" allowBlank="1" showInputMessage="1" showErrorMessage="1" errorTitle="Invalid Entry" error="Please enter a numerical value only. Letters and special characters are not allowed" xr:uid="{64BD2B96-FEBE-4461-AD85-A08E4FA3802A}">
          <x14:formula1>
            <xm:f>Lists!C21</xm:f>
          </x14:formula1>
          <x14:formula2>
            <xm:f>Lists!C22</xm:f>
          </x14:formula2>
          <xm:sqref>H94:BA95</xm:sqref>
        </x14:dataValidation>
        <x14:dataValidation type="decimal" allowBlank="1" showInputMessage="1" showErrorMessage="1" errorTitle="Invalid Entry" error="Please enter a numerical value only. Letters and special characters are not allowed" xr:uid="{AD35F2F5-A651-4B5B-8439-BAED4DD3749A}">
          <x14:formula1>
            <xm:f>Lists!C21</xm:f>
          </x14:formula1>
          <x14:formula2>
            <xm:f>Lists!C22</xm:f>
          </x14:formula2>
          <xm:sqref>H97:BA101</xm:sqref>
        </x14:dataValidation>
        <x14:dataValidation type="decimal" allowBlank="1" showInputMessage="1" showErrorMessage="1" errorTitle="Invalid Entry" error="Please enter a numerical value only. Letters and special characters are not allowed" xr:uid="{BDE7A623-6E9F-4F32-B0FD-6EEDE0753647}">
          <x14:formula1>
            <xm:f>Lists!C21</xm:f>
          </x14:formula1>
          <x14:formula2>
            <xm:f>Lists!C22</xm:f>
          </x14:formula2>
          <xm:sqref>H107:BA108</xm:sqref>
        </x14:dataValidation>
        <x14:dataValidation type="decimal" allowBlank="1" showInputMessage="1" showErrorMessage="1" errorTitle="Invalid Entry" error="Please enter a numerical value only. Letters and special characters are not allowed" xr:uid="{14CAAF29-1B17-43B1-93E8-B1E7644ED41E}">
          <x14:formula1>
            <xm:f>Lists!C21</xm:f>
          </x14:formula1>
          <x14:formula2>
            <xm:f>Lists!C22</xm:f>
          </x14:formula2>
          <xm:sqref>H110:BA114</xm:sqref>
        </x14:dataValidation>
        <x14:dataValidation type="decimal" allowBlank="1" showInputMessage="1" showErrorMessage="1" errorTitle="Invalid Entry" error="Please enter a numerical value only. Letters and special characters are not allowed" xr:uid="{AC2503A6-FA2B-41AB-B8AC-E78340963FE5}">
          <x14:formula1>
            <xm:f>Lists!C21</xm:f>
          </x14:formula1>
          <x14:formula2>
            <xm:f>Lists!C22</xm:f>
          </x14:formula2>
          <xm:sqref>H150:BA151</xm:sqref>
        </x14:dataValidation>
        <x14:dataValidation type="decimal" allowBlank="1" showInputMessage="1" showErrorMessage="1" errorTitle="Invalid Entry" error="Please enter a numerical value only. Letters and special characters are not allowed" xr:uid="{E9C6ECA3-C3E3-4346-AE6A-8F9E141D550B}">
          <x14:formula1>
            <xm:f>Lists!C21</xm:f>
          </x14:formula1>
          <x14:formula2>
            <xm:f>Lists!C22</xm:f>
          </x14:formula2>
          <xm:sqref>H153:BA154</xm:sqref>
        </x14:dataValidation>
        <x14:dataValidation type="decimal" allowBlank="1" showInputMessage="1" showErrorMessage="1" errorTitle="Invalid Entry" error="Please enter a numerical value only. Letters and special characters are not allowed" xr:uid="{C9C7AC64-57DF-461F-BE3D-96405267F393}">
          <x14:formula1>
            <xm:f>Lists!C21</xm:f>
          </x14:formula1>
          <x14:formula2>
            <xm:f>Lists!C22</xm:f>
          </x14:formula2>
          <xm:sqref>H157:BA158</xm:sqref>
        </x14:dataValidation>
        <x14:dataValidation type="decimal" allowBlank="1" showInputMessage="1" showErrorMessage="1" errorTitle="Invalid Data" error="Please enter a numerical value only. Letters and special characters are not allowed" xr:uid="{FEE3BCAA-A13F-4C94-A41D-28B84E45F422}">
          <x14:formula1>
            <xm:f>Lists!C21</xm:f>
          </x14:formula1>
          <x14:formula2>
            <xm:f>Lists!C22</xm:f>
          </x14:formula2>
          <xm:sqref>H161:BA162</xm:sqref>
        </x14:dataValidation>
        <x14:dataValidation type="decimal" allowBlank="1" showInputMessage="1" showErrorMessage="1" errorTitle="Invalid Data" error="Please enter a numerical value only. Letters and special characters are not allowed" xr:uid="{F4CDD64B-0FA4-4FBD-B915-CCAEDA215F2F}">
          <x14:formula1>
            <xm:f>Lists!C21</xm:f>
          </x14:formula1>
          <x14:formula2>
            <xm:f>Lists!C22</xm:f>
          </x14:formula2>
          <xm:sqref>H164:BA165</xm:sqref>
        </x14:dataValidation>
        <x14:dataValidation type="decimal" allowBlank="1" showInputMessage="1" showErrorMessage="1" errorTitle="Invalid Entry" error="Please enter a numerical value only. Letters and special characters are not allowed" xr:uid="{7DD60FAC-12D1-456E-8224-F62E90544075}">
          <x14:formula1>
            <xm:f>Lists!XDN11</xm:f>
          </x14:formula1>
          <x14:formula2>
            <xm:f>Lists!XDN12</xm:f>
          </x14:formula2>
          <xm:sqref>H174:BA174 H177:BA177 H181:BA181 H184:BA184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6A28-0E28-44E3-B337-39809CA67940}">
  <sheetPr>
    <tabColor rgb="FFFFC000"/>
  </sheetPr>
  <dimension ref="A1"/>
  <sheetViews>
    <sheetView workbookViewId="0">
      <selection activeCell="L26" sqref="L26"/>
    </sheetView>
  </sheetViews>
  <sheetFormatPr defaultRowHeight="14.5" x14ac:dyDescent="0.35"/>
  <cols>
    <col min="1" max="1" width="21.90625" bestFit="1" customWidth="1"/>
    <col min="11" max="11" width="35" bestFit="1" customWidth="1"/>
    <col min="12" max="12" width="19"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39AB-58B8-42F1-81AF-D97BC6EDEC49}">
  <dimension ref="A2:BE168"/>
  <sheetViews>
    <sheetView zoomScale="90" zoomScaleNormal="90" workbookViewId="0">
      <selection activeCell="E33" sqref="E33"/>
    </sheetView>
  </sheetViews>
  <sheetFormatPr defaultRowHeight="14.5" x14ac:dyDescent="0.35"/>
  <cols>
    <col min="1" max="3" width="30.90625" customWidth="1"/>
    <col min="4" max="4" width="17.36328125" customWidth="1"/>
    <col min="5" max="5" width="18.1796875" bestFit="1" customWidth="1"/>
    <col min="6" max="6" width="19.6328125" bestFit="1" customWidth="1"/>
    <col min="7" max="7" width="17.6328125" customWidth="1"/>
    <col min="8" max="8" width="31.81640625" bestFit="1" customWidth="1"/>
    <col min="9" max="9" width="19.6328125" bestFit="1" customWidth="1"/>
    <col min="10" max="10" width="11.90625" bestFit="1" customWidth="1"/>
    <col min="11" max="11" width="19.54296875" customWidth="1"/>
  </cols>
  <sheetData>
    <row r="2" spans="1:57" ht="18.5" x14ac:dyDescent="0.45">
      <c r="A2" s="7" t="s">
        <v>140</v>
      </c>
      <c r="B2" s="7"/>
      <c r="C2" s="7"/>
      <c r="D2" s="7"/>
      <c r="E2" s="7"/>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row>
    <row r="3" spans="1:57" x14ac:dyDescent="0.35">
      <c r="A3" s="179"/>
      <c r="B3" s="179"/>
      <c r="C3" s="179"/>
      <c r="D3" s="179"/>
      <c r="E3" s="179"/>
      <c r="F3" s="26"/>
      <c r="G3" s="26"/>
      <c r="H3" s="26"/>
      <c r="I3" s="26"/>
      <c r="J3" s="26"/>
      <c r="K3" s="26"/>
      <c r="L3" s="89">
        <f>Inputs!H6</f>
        <v>2025</v>
      </c>
      <c r="M3" s="89">
        <f>Inputs!I6</f>
        <v>2026</v>
      </c>
      <c r="N3" s="89">
        <f>Inputs!J6</f>
        <v>2027</v>
      </c>
      <c r="O3" s="89">
        <f>Inputs!K6</f>
        <v>2028</v>
      </c>
      <c r="P3" s="89">
        <f>Inputs!L6</f>
        <v>2029</v>
      </c>
      <c r="Q3" s="89">
        <f>Inputs!M6</f>
        <v>2030</v>
      </c>
      <c r="R3" s="89">
        <f>Inputs!N6</f>
        <v>2031</v>
      </c>
      <c r="S3" s="89">
        <f>Inputs!O6</f>
        <v>2032</v>
      </c>
      <c r="T3" s="89">
        <f>Inputs!P6</f>
        <v>2033</v>
      </c>
      <c r="U3" s="89">
        <f>Inputs!Q6</f>
        <v>2034</v>
      </c>
      <c r="V3" s="89">
        <f>Inputs!R6</f>
        <v>2035</v>
      </c>
      <c r="W3" s="89">
        <f>Inputs!S6</f>
        <v>2036</v>
      </c>
      <c r="X3" s="89">
        <f>Inputs!T6</f>
        <v>2037</v>
      </c>
      <c r="Y3" s="89">
        <f>Inputs!U6</f>
        <v>2038</v>
      </c>
      <c r="Z3" s="89">
        <f>Inputs!V6</f>
        <v>2039</v>
      </c>
      <c r="AA3" s="89">
        <f>Inputs!W6</f>
        <v>2040</v>
      </c>
      <c r="AB3" s="89">
        <f>Inputs!X6</f>
        <v>2041</v>
      </c>
      <c r="AC3" s="89">
        <f>Inputs!Y6</f>
        <v>2042</v>
      </c>
      <c r="AD3" s="89">
        <f>Inputs!Z6</f>
        <v>2043</v>
      </c>
      <c r="AE3" s="89">
        <f>Inputs!AA6</f>
        <v>2044</v>
      </c>
      <c r="AF3" s="89">
        <f>Inputs!AB6</f>
        <v>2045</v>
      </c>
      <c r="AG3" s="89">
        <f>Inputs!AC6</f>
        <v>2046</v>
      </c>
      <c r="AH3" s="89">
        <f>Inputs!AD6</f>
        <v>2047</v>
      </c>
      <c r="AI3" s="89">
        <f>Inputs!AE6</f>
        <v>2048</v>
      </c>
      <c r="AJ3" s="89">
        <f>Inputs!AF6</f>
        <v>2049</v>
      </c>
      <c r="AK3" s="89">
        <f>Inputs!AG6</f>
        <v>2050</v>
      </c>
      <c r="AL3" s="89">
        <f>Inputs!AH6</f>
        <v>2051</v>
      </c>
      <c r="AM3" s="89">
        <f>Inputs!AI6</f>
        <v>2052</v>
      </c>
      <c r="AN3" s="89">
        <f>Inputs!AJ6</f>
        <v>2053</v>
      </c>
      <c r="AO3" s="89">
        <f>Inputs!AK6</f>
        <v>2054</v>
      </c>
      <c r="AP3" s="89">
        <f>Inputs!AL6</f>
        <v>2055</v>
      </c>
      <c r="AQ3" s="89">
        <f>Inputs!AM6</f>
        <v>2056</v>
      </c>
      <c r="AR3" s="89">
        <f>Inputs!AN6</f>
        <v>2057</v>
      </c>
      <c r="AS3" s="89">
        <f>Inputs!AO6</f>
        <v>2058</v>
      </c>
      <c r="AT3" s="89">
        <f>Inputs!AP6</f>
        <v>2059</v>
      </c>
      <c r="AU3" s="89">
        <f>Inputs!AQ6</f>
        <v>2060</v>
      </c>
      <c r="AV3" s="89">
        <f>Inputs!AR6</f>
        <v>2061</v>
      </c>
      <c r="AW3" s="89">
        <f>Inputs!AS6</f>
        <v>2062</v>
      </c>
      <c r="AX3" s="89">
        <f>Inputs!AT6</f>
        <v>2063</v>
      </c>
      <c r="AY3" s="89">
        <f>Inputs!AU6</f>
        <v>2064</v>
      </c>
      <c r="AZ3" s="89">
        <f>Inputs!AV6</f>
        <v>2065</v>
      </c>
      <c r="BA3" s="89">
        <f>Inputs!AW6</f>
        <v>2066</v>
      </c>
      <c r="BB3" s="89">
        <f>Inputs!AX6</f>
        <v>2067</v>
      </c>
      <c r="BC3" s="89">
        <f>Inputs!AY6</f>
        <v>2068</v>
      </c>
      <c r="BD3" s="89">
        <f>Inputs!AZ6</f>
        <v>2069</v>
      </c>
      <c r="BE3" s="89">
        <f>Inputs!BA6</f>
        <v>2070</v>
      </c>
    </row>
    <row r="4" spans="1:57" x14ac:dyDescent="0.35">
      <c r="A4" s="3" t="s">
        <v>32</v>
      </c>
      <c r="B4" s="3"/>
      <c r="C4" s="3"/>
      <c r="D4" s="3"/>
      <c r="E4" s="3"/>
      <c r="F4" s="2"/>
      <c r="G4" s="2"/>
      <c r="H4" s="2"/>
      <c r="I4" s="2"/>
      <c r="J4" s="2"/>
      <c r="K4" s="2"/>
      <c r="L4" s="90">
        <f>Inputs!H10</f>
        <v>0</v>
      </c>
      <c r="M4" s="90">
        <f>Inputs!I10</f>
        <v>0</v>
      </c>
      <c r="N4" s="90">
        <f>Inputs!J10</f>
        <v>0</v>
      </c>
      <c r="O4" s="90">
        <f>Inputs!K10</f>
        <v>0</v>
      </c>
      <c r="P4" s="90">
        <f>Inputs!L10</f>
        <v>0</v>
      </c>
      <c r="Q4" s="90">
        <f>Inputs!M10</f>
        <v>0</v>
      </c>
      <c r="R4" s="91">
        <f>Inputs!N10</f>
        <v>0</v>
      </c>
      <c r="S4" s="91">
        <f>Inputs!O10</f>
        <v>0</v>
      </c>
      <c r="T4" s="91">
        <f>Inputs!P10</f>
        <v>0</v>
      </c>
      <c r="U4" s="91">
        <f>Inputs!Q10</f>
        <v>0</v>
      </c>
      <c r="V4" s="91">
        <f>Inputs!R10</f>
        <v>0</v>
      </c>
      <c r="W4" s="91">
        <f>Inputs!S10</f>
        <v>0</v>
      </c>
      <c r="X4" s="91">
        <f>Inputs!T10</f>
        <v>0</v>
      </c>
      <c r="Y4" s="91">
        <f>Inputs!U10</f>
        <v>0</v>
      </c>
      <c r="Z4" s="91">
        <f>Inputs!V10</f>
        <v>0</v>
      </c>
      <c r="AA4" s="91">
        <f>Inputs!W10</f>
        <v>0</v>
      </c>
      <c r="AB4" s="91">
        <f>Inputs!X10</f>
        <v>0</v>
      </c>
      <c r="AC4" s="91">
        <f>Inputs!Y10</f>
        <v>0</v>
      </c>
      <c r="AD4" s="91">
        <f>Inputs!Z10</f>
        <v>0</v>
      </c>
      <c r="AE4" s="91">
        <f>Inputs!AA10</f>
        <v>0</v>
      </c>
      <c r="AF4" s="91">
        <f>Inputs!AB10</f>
        <v>0</v>
      </c>
      <c r="AG4" s="91">
        <f>Inputs!AC10</f>
        <v>0</v>
      </c>
      <c r="AH4" s="91">
        <f>Inputs!AD10</f>
        <v>0</v>
      </c>
      <c r="AI4" s="91">
        <f>Inputs!AE10</f>
        <v>0</v>
      </c>
      <c r="AJ4" s="91">
        <f>Inputs!AF10</f>
        <v>0</v>
      </c>
      <c r="AK4" s="91">
        <f>Inputs!AG10</f>
        <v>0</v>
      </c>
      <c r="AL4" s="91">
        <f>Inputs!AH10</f>
        <v>0</v>
      </c>
      <c r="AM4" s="91">
        <f>Inputs!AI10</f>
        <v>0</v>
      </c>
      <c r="AN4" s="91">
        <f>Inputs!AJ10</f>
        <v>0</v>
      </c>
      <c r="AO4" s="91">
        <f>Inputs!AK10</f>
        <v>0</v>
      </c>
      <c r="AP4" s="91">
        <f>Inputs!AL10</f>
        <v>0</v>
      </c>
      <c r="AQ4" s="91">
        <f>Inputs!AM10</f>
        <v>0</v>
      </c>
      <c r="AR4" s="91">
        <f>Inputs!AN10</f>
        <v>0</v>
      </c>
      <c r="AS4" s="91">
        <f>Inputs!AO10</f>
        <v>0</v>
      </c>
      <c r="AT4" s="91">
        <f>Inputs!AP10</f>
        <v>0</v>
      </c>
      <c r="AU4" s="91">
        <f>Inputs!AQ10</f>
        <v>0</v>
      </c>
      <c r="AV4" s="91">
        <f>Inputs!AR10</f>
        <v>0</v>
      </c>
      <c r="AW4" s="91">
        <f>Inputs!AS10</f>
        <v>0</v>
      </c>
      <c r="AX4" s="91">
        <f>Inputs!AT10</f>
        <v>0</v>
      </c>
      <c r="AY4" s="91">
        <f>Inputs!AU10</f>
        <v>0</v>
      </c>
      <c r="AZ4" s="91">
        <f>Inputs!AV10</f>
        <v>0</v>
      </c>
      <c r="BA4" s="91">
        <f>Inputs!AW10</f>
        <v>0</v>
      </c>
      <c r="BB4" s="91">
        <f>Inputs!AX10</f>
        <v>0</v>
      </c>
      <c r="BC4" s="91">
        <f>Inputs!AY10</f>
        <v>0</v>
      </c>
      <c r="BD4" s="91">
        <f>Inputs!AZ10</f>
        <v>0</v>
      </c>
      <c r="BE4" s="91">
        <f>Inputs!BA10</f>
        <v>0</v>
      </c>
    </row>
    <row r="5" spans="1:57" x14ac:dyDescent="0.35">
      <c r="A5" s="34" t="s">
        <v>33</v>
      </c>
      <c r="B5" s="34"/>
      <c r="C5" s="34"/>
      <c r="D5" s="34"/>
      <c r="E5" s="34"/>
      <c r="F5" s="26"/>
      <c r="G5" s="26"/>
      <c r="H5" s="26"/>
      <c r="I5" s="26"/>
      <c r="J5" s="26"/>
      <c r="K5" s="26"/>
      <c r="L5" s="180">
        <f>Inputs!H11</f>
        <v>0</v>
      </c>
      <c r="M5" s="180">
        <f>Inputs!I11</f>
        <v>0</v>
      </c>
      <c r="N5" s="180">
        <f>Inputs!J11</f>
        <v>0</v>
      </c>
      <c r="O5" s="180">
        <f>Inputs!K11</f>
        <v>0</v>
      </c>
      <c r="P5" s="180">
        <f>Inputs!L11</f>
        <v>0</v>
      </c>
      <c r="Q5" s="180">
        <f>Inputs!M11</f>
        <v>0</v>
      </c>
      <c r="R5" s="181">
        <f>Inputs!N11</f>
        <v>0</v>
      </c>
      <c r="S5" s="181">
        <f>Inputs!O11</f>
        <v>0</v>
      </c>
      <c r="T5" s="181">
        <f>Inputs!P11</f>
        <v>0</v>
      </c>
      <c r="U5" s="181">
        <f>Inputs!Q11</f>
        <v>0</v>
      </c>
      <c r="V5" s="181">
        <f>Inputs!R11</f>
        <v>0</v>
      </c>
      <c r="W5" s="181">
        <f>Inputs!S11</f>
        <v>0</v>
      </c>
      <c r="X5" s="181">
        <f>Inputs!T11</f>
        <v>0</v>
      </c>
      <c r="Y5" s="181">
        <f>Inputs!U11</f>
        <v>0</v>
      </c>
      <c r="Z5" s="181">
        <f>Inputs!V11</f>
        <v>0</v>
      </c>
      <c r="AA5" s="181">
        <f>Inputs!W11</f>
        <v>0</v>
      </c>
      <c r="AB5" s="181">
        <f>Inputs!X11</f>
        <v>0</v>
      </c>
      <c r="AC5" s="181">
        <f>Inputs!Y11</f>
        <v>0</v>
      </c>
      <c r="AD5" s="181">
        <f>Inputs!Z11</f>
        <v>0</v>
      </c>
      <c r="AE5" s="181">
        <f>Inputs!AA11</f>
        <v>0</v>
      </c>
      <c r="AF5" s="181">
        <f>Inputs!AB11</f>
        <v>0</v>
      </c>
      <c r="AG5" s="181">
        <f>Inputs!AC11</f>
        <v>0</v>
      </c>
      <c r="AH5" s="181">
        <f>Inputs!AD11</f>
        <v>0</v>
      </c>
      <c r="AI5" s="181">
        <f>Inputs!AE11</f>
        <v>0</v>
      </c>
      <c r="AJ5" s="181">
        <f>Inputs!AF11</f>
        <v>0</v>
      </c>
      <c r="AK5" s="181">
        <f>Inputs!AG11</f>
        <v>0</v>
      </c>
      <c r="AL5" s="181">
        <f>Inputs!AH11</f>
        <v>0</v>
      </c>
      <c r="AM5" s="181">
        <f>Inputs!AI11</f>
        <v>0</v>
      </c>
      <c r="AN5" s="181">
        <f>Inputs!AJ11</f>
        <v>0</v>
      </c>
      <c r="AO5" s="181">
        <f>Inputs!AK11</f>
        <v>0</v>
      </c>
      <c r="AP5" s="181">
        <f>Inputs!AL11</f>
        <v>0</v>
      </c>
      <c r="AQ5" s="181">
        <f>Inputs!AM11</f>
        <v>0</v>
      </c>
      <c r="AR5" s="181">
        <f>Inputs!AN11</f>
        <v>0</v>
      </c>
      <c r="AS5" s="181">
        <f>Inputs!AO11</f>
        <v>0</v>
      </c>
      <c r="AT5" s="181">
        <f>Inputs!AP11</f>
        <v>0</v>
      </c>
      <c r="AU5" s="181">
        <f>Inputs!AQ11</f>
        <v>0</v>
      </c>
      <c r="AV5" s="181">
        <f>Inputs!AR11</f>
        <v>0</v>
      </c>
      <c r="AW5" s="181">
        <f>Inputs!AS11</f>
        <v>0</v>
      </c>
      <c r="AX5" s="181">
        <f>Inputs!AT11</f>
        <v>0</v>
      </c>
      <c r="AY5" s="181">
        <f>Inputs!AU11</f>
        <v>0</v>
      </c>
      <c r="AZ5" s="181">
        <f>Inputs!AV11</f>
        <v>0</v>
      </c>
      <c r="BA5" s="181">
        <f>Inputs!AW11</f>
        <v>0</v>
      </c>
      <c r="BB5" s="181">
        <f>Inputs!AX11</f>
        <v>0</v>
      </c>
      <c r="BC5" s="181">
        <f>Inputs!AY11</f>
        <v>0</v>
      </c>
      <c r="BD5" s="181">
        <f>Inputs!AZ11</f>
        <v>0</v>
      </c>
      <c r="BE5" s="181">
        <f>Inputs!BA11</f>
        <v>0</v>
      </c>
    </row>
    <row r="6" spans="1:57" x14ac:dyDescent="0.35">
      <c r="A6" s="2"/>
      <c r="B6" s="2"/>
      <c r="C6" s="2"/>
      <c r="D6" s="2"/>
      <c r="E6" s="2"/>
      <c r="F6" s="2"/>
      <c r="G6" s="2"/>
      <c r="H6" s="2"/>
      <c r="I6" s="2"/>
      <c r="J6" s="2"/>
      <c r="K6" s="2"/>
      <c r="L6" s="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row>
    <row r="7" spans="1:57" ht="18.5" x14ac:dyDescent="0.45">
      <c r="A7" s="7" t="s">
        <v>34</v>
      </c>
      <c r="B7" s="7"/>
      <c r="C7" s="7"/>
      <c r="D7" s="7"/>
      <c r="E7" s="7"/>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row>
    <row r="8" spans="1:57" ht="18.5" x14ac:dyDescent="0.45">
      <c r="A8" s="7"/>
      <c r="B8" s="7"/>
      <c r="C8" s="7"/>
      <c r="D8" s="7"/>
      <c r="E8" s="7"/>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row>
    <row r="9" spans="1:57" x14ac:dyDescent="0.35">
      <c r="A9" s="28" t="s">
        <v>37</v>
      </c>
      <c r="B9" s="28"/>
      <c r="C9" s="28"/>
      <c r="D9" s="234" t="s">
        <v>329</v>
      </c>
      <c r="E9" s="234" t="s">
        <v>330</v>
      </c>
      <c r="F9" s="234" t="s">
        <v>328</v>
      </c>
      <c r="G9" s="234" t="s">
        <v>331</v>
      </c>
      <c r="H9" s="234" t="s">
        <v>38</v>
      </c>
      <c r="I9" s="234" t="s">
        <v>35</v>
      </c>
      <c r="J9" s="234" t="s">
        <v>283</v>
      </c>
      <c r="K9" s="234" t="s">
        <v>39</v>
      </c>
      <c r="L9" s="127" t="s">
        <v>303</v>
      </c>
      <c r="M9" s="127" t="s">
        <v>62</v>
      </c>
      <c r="N9" s="127" t="s">
        <v>63</v>
      </c>
      <c r="O9" s="127" t="s">
        <v>64</v>
      </c>
      <c r="P9" s="127" t="s">
        <v>65</v>
      </c>
      <c r="Q9" s="127" t="s">
        <v>66</v>
      </c>
      <c r="R9" s="127" t="s">
        <v>67</v>
      </c>
      <c r="S9" s="127" t="s">
        <v>68</v>
      </c>
      <c r="T9" s="127" t="s">
        <v>69</v>
      </c>
      <c r="U9" s="127" t="s">
        <v>70</v>
      </c>
      <c r="V9" s="127" t="s">
        <v>71</v>
      </c>
      <c r="W9" s="127" t="s">
        <v>72</v>
      </c>
      <c r="X9" s="127" t="s">
        <v>73</v>
      </c>
      <c r="Y9" s="127" t="s">
        <v>74</v>
      </c>
      <c r="Z9" s="127" t="s">
        <v>75</v>
      </c>
      <c r="AA9" s="127" t="s">
        <v>76</v>
      </c>
      <c r="AB9" s="127" t="s">
        <v>77</v>
      </c>
      <c r="AC9" s="127" t="s">
        <v>78</v>
      </c>
      <c r="AD9" s="127" t="s">
        <v>79</v>
      </c>
      <c r="AE9" s="127" t="s">
        <v>80</v>
      </c>
      <c r="AF9" s="127" t="s">
        <v>81</v>
      </c>
      <c r="AG9" s="127" t="s">
        <v>82</v>
      </c>
      <c r="AH9" s="127" t="s">
        <v>83</v>
      </c>
      <c r="AI9" s="127" t="s">
        <v>84</v>
      </c>
      <c r="AJ9" s="127" t="s">
        <v>85</v>
      </c>
      <c r="AK9" s="127" t="s">
        <v>86</v>
      </c>
      <c r="AL9" s="127" t="s">
        <v>87</v>
      </c>
      <c r="AM9" s="127" t="s">
        <v>88</v>
      </c>
      <c r="AN9" s="127" t="s">
        <v>89</v>
      </c>
      <c r="AO9" s="127" t="s">
        <v>90</v>
      </c>
      <c r="AP9" s="127" t="s">
        <v>91</v>
      </c>
      <c r="AQ9" s="127" t="s">
        <v>92</v>
      </c>
      <c r="AR9" s="127" t="s">
        <v>93</v>
      </c>
      <c r="AS9" s="127" t="s">
        <v>94</v>
      </c>
      <c r="AT9" s="127" t="s">
        <v>95</v>
      </c>
      <c r="AU9" s="127" t="s">
        <v>96</v>
      </c>
      <c r="AV9" s="127" t="s">
        <v>97</v>
      </c>
      <c r="AW9" s="127" t="s">
        <v>98</v>
      </c>
      <c r="AX9" s="127" t="s">
        <v>99</v>
      </c>
      <c r="AY9" s="127" t="s">
        <v>100</v>
      </c>
      <c r="AZ9" s="127" t="s">
        <v>101</v>
      </c>
      <c r="BA9" s="127" t="s">
        <v>102</v>
      </c>
      <c r="BB9" s="127" t="s">
        <v>103</v>
      </c>
      <c r="BC9" s="127" t="s">
        <v>104</v>
      </c>
      <c r="BD9" s="127" t="s">
        <v>105</v>
      </c>
      <c r="BE9" s="127" t="s">
        <v>106</v>
      </c>
    </row>
    <row r="10" spans="1:57" x14ac:dyDescent="0.35">
      <c r="A10" s="95"/>
      <c r="B10" s="95"/>
      <c r="C10" s="95"/>
      <c r="D10" s="231">
        <f>'Project description'!$B$5</f>
        <v>0</v>
      </c>
      <c r="E10" s="214" t="str">
        <f>Lists!$B$34</f>
        <v/>
      </c>
      <c r="F10" s="214" t="s">
        <v>148</v>
      </c>
      <c r="G10" s="214" t="s">
        <v>332</v>
      </c>
      <c r="H10" s="214" t="s">
        <v>40</v>
      </c>
      <c r="I10" s="214" t="s">
        <v>109</v>
      </c>
      <c r="J10" s="215">
        <f t="shared" ref="J10:J16" si="0">Analysis_year</f>
        <v>0</v>
      </c>
      <c r="K10" s="216" t="str">
        <f>IF(Inputs!G16="","",Inputs!G16)</f>
        <v/>
      </c>
      <c r="L10" s="217">
        <f>Inputs!H16*IF(Inputs!$E16="Real",1,L$5)</f>
        <v>0</v>
      </c>
      <c r="M10" s="217">
        <f>Inputs!I16*IF(Inputs!$E16="Real",1,M$5)</f>
        <v>0</v>
      </c>
      <c r="N10" s="217">
        <f>Inputs!J16*IF(Inputs!$E16="Real",1,N$5)</f>
        <v>0</v>
      </c>
      <c r="O10" s="217">
        <f>Inputs!K16*IF(Inputs!$E16="Real",1,O$5)</f>
        <v>0</v>
      </c>
      <c r="P10" s="217">
        <f>Inputs!L16*IF(Inputs!$E16="Real",1,P$5)</f>
        <v>0</v>
      </c>
      <c r="Q10" s="217">
        <f>Inputs!M16*IF(Inputs!$E16="Real",1,Q$5)</f>
        <v>0</v>
      </c>
      <c r="R10" s="217">
        <f>Inputs!N16*IF(Inputs!$E16="Real",1,R$5)</f>
        <v>0</v>
      </c>
      <c r="S10" s="217">
        <f>Inputs!O16*IF(Inputs!$E16="Real",1,S$5)</f>
        <v>0</v>
      </c>
      <c r="T10" s="217">
        <f>Inputs!P16*IF(Inputs!$E16="Real",1,T$5)</f>
        <v>0</v>
      </c>
      <c r="U10" s="217">
        <f>Inputs!Q16*IF(Inputs!$E16="Real",1,U$5)</f>
        <v>0</v>
      </c>
      <c r="V10" s="217">
        <f>Inputs!R16*IF(Inputs!$E16="Real",1,V$5)</f>
        <v>0</v>
      </c>
      <c r="W10" s="217">
        <f>Inputs!S16*IF(Inputs!$E16="Real",1,W$5)</f>
        <v>0</v>
      </c>
      <c r="X10" s="217">
        <f>Inputs!T16*IF(Inputs!$E16="Real",1,X$5)</f>
        <v>0</v>
      </c>
      <c r="Y10" s="217">
        <f>Inputs!U16*IF(Inputs!$E16="Real",1,Y$5)</f>
        <v>0</v>
      </c>
      <c r="Z10" s="217">
        <f>Inputs!V16*IF(Inputs!$E16="Real",1,Z$5)</f>
        <v>0</v>
      </c>
      <c r="AA10" s="217">
        <f>Inputs!W16*IF(Inputs!$E16="Real",1,AA$5)</f>
        <v>0</v>
      </c>
      <c r="AB10" s="217">
        <f>Inputs!X16*IF(Inputs!$E16="Real",1,AB$5)</f>
        <v>0</v>
      </c>
      <c r="AC10" s="217">
        <f>Inputs!Y16*IF(Inputs!$E16="Real",1,AC$5)</f>
        <v>0</v>
      </c>
      <c r="AD10" s="217">
        <f>Inputs!Z16*IF(Inputs!$E16="Real",1,AD$5)</f>
        <v>0</v>
      </c>
      <c r="AE10" s="217">
        <f>Inputs!AA16*IF(Inputs!$E16="Real",1,AE$5)</f>
        <v>0</v>
      </c>
      <c r="AF10" s="217">
        <f>Inputs!AB16*IF(Inputs!$E16="Real",1,AF$5)</f>
        <v>0</v>
      </c>
      <c r="AG10" s="217">
        <f>Inputs!AC16*IF(Inputs!$E16="Real",1,AG$5)</f>
        <v>0</v>
      </c>
      <c r="AH10" s="217">
        <f>Inputs!AD16*IF(Inputs!$E16="Real",1,AH$5)</f>
        <v>0</v>
      </c>
      <c r="AI10" s="217">
        <f>Inputs!AE16*IF(Inputs!$E16="Real",1,AI$5)</f>
        <v>0</v>
      </c>
      <c r="AJ10" s="217">
        <f>Inputs!AF16*IF(Inputs!$E16="Real",1,AJ$5)</f>
        <v>0</v>
      </c>
      <c r="AK10" s="217">
        <f>Inputs!AG16*IF(Inputs!$E16="Real",1,AK$5)</f>
        <v>0</v>
      </c>
      <c r="AL10" s="217">
        <f>Inputs!AH16*IF(Inputs!$E16="Real",1,AL$5)</f>
        <v>0</v>
      </c>
      <c r="AM10" s="217">
        <f>Inputs!AI16*IF(Inputs!$E16="Real",1,AM$5)</f>
        <v>0</v>
      </c>
      <c r="AN10" s="217">
        <f>Inputs!AJ16*IF(Inputs!$E16="Real",1,AN$5)</f>
        <v>0</v>
      </c>
      <c r="AO10" s="217">
        <f>Inputs!AK16*IF(Inputs!$E16="Real",1,AO$5)</f>
        <v>0</v>
      </c>
      <c r="AP10" s="217">
        <f>Inputs!AL16*IF(Inputs!$E16="Real",1,AP$5)</f>
        <v>0</v>
      </c>
      <c r="AQ10" s="217">
        <f>Inputs!AM16*IF(Inputs!$E16="Real",1,AQ$5)</f>
        <v>0</v>
      </c>
      <c r="AR10" s="217">
        <f>Inputs!AN16*IF(Inputs!$E16="Real",1,AR$5)</f>
        <v>0</v>
      </c>
      <c r="AS10" s="217">
        <f>Inputs!AO16*IF(Inputs!$E16="Real",1,AS$5)</f>
        <v>0</v>
      </c>
      <c r="AT10" s="217">
        <f>Inputs!AP16*IF(Inputs!$E16="Real",1,AT$5)</f>
        <v>0</v>
      </c>
      <c r="AU10" s="217">
        <f>Inputs!AQ16*IF(Inputs!$E16="Real",1,AU$5)</f>
        <v>0</v>
      </c>
      <c r="AV10" s="217">
        <f>Inputs!AR16*IF(Inputs!$E16="Real",1,AV$5)</f>
        <v>0</v>
      </c>
      <c r="AW10" s="217">
        <f>Inputs!AS16*IF(Inputs!$E16="Real",1,AW$5)</f>
        <v>0</v>
      </c>
      <c r="AX10" s="217">
        <f>Inputs!AT16*IF(Inputs!$E16="Real",1,AX$5)</f>
        <v>0</v>
      </c>
      <c r="AY10" s="217">
        <f>Inputs!AU16*IF(Inputs!$E16="Real",1,AY$5)</f>
        <v>0</v>
      </c>
      <c r="AZ10" s="217">
        <f>Inputs!AV16*IF(Inputs!$E16="Real",1,AZ$5)</f>
        <v>0</v>
      </c>
      <c r="BA10" s="217">
        <f>Inputs!AW16*IF(Inputs!$E16="Real",1,BA$5)</f>
        <v>0</v>
      </c>
      <c r="BB10" s="217">
        <f>Inputs!AX16*IF(Inputs!$E16="Real",1,BB$5)</f>
        <v>0</v>
      </c>
      <c r="BC10" s="217">
        <f>Inputs!AY16*IF(Inputs!$E16="Real",1,BC$5)</f>
        <v>0</v>
      </c>
      <c r="BD10" s="217">
        <f>Inputs!AZ16*IF(Inputs!$E16="Real",1,BD$5)</f>
        <v>0</v>
      </c>
      <c r="BE10" s="217">
        <f>Inputs!BA16*IF(Inputs!$E16="Real",1,BE$5)</f>
        <v>0</v>
      </c>
    </row>
    <row r="11" spans="1:57" x14ac:dyDescent="0.35">
      <c r="A11" s="95"/>
      <c r="B11" s="95"/>
      <c r="C11" s="95"/>
      <c r="D11" s="232">
        <f>'Project description'!$B$5</f>
        <v>0</v>
      </c>
      <c r="E11" s="218" t="str">
        <f>Lists!$B$34</f>
        <v/>
      </c>
      <c r="F11" s="218" t="s">
        <v>148</v>
      </c>
      <c r="G11" s="218" t="s">
        <v>332</v>
      </c>
      <c r="H11" s="218" t="s">
        <v>41</v>
      </c>
      <c r="I11" s="218" t="s">
        <v>109</v>
      </c>
      <c r="J11" s="219">
        <f t="shared" si="0"/>
        <v>0</v>
      </c>
      <c r="K11" s="220" t="str">
        <f>IF(Inputs!G17="","",Inputs!G17)</f>
        <v/>
      </c>
      <c r="L11" s="221">
        <f>Inputs!H17*IF(Inputs!$E17="Real",1,L$5)</f>
        <v>0</v>
      </c>
      <c r="M11" s="221">
        <f>Inputs!I17*IF(Inputs!$E17="Real",1,M$5)</f>
        <v>0</v>
      </c>
      <c r="N11" s="221">
        <f>Inputs!J17*IF(Inputs!$E17="Real",1,N$5)</f>
        <v>0</v>
      </c>
      <c r="O11" s="221">
        <f>Inputs!K17*IF(Inputs!$E17="Real",1,O$5)</f>
        <v>0</v>
      </c>
      <c r="P11" s="221">
        <f>Inputs!L17*IF(Inputs!$E17="Real",1,P$5)</f>
        <v>0</v>
      </c>
      <c r="Q11" s="221">
        <f>Inputs!M17*IF(Inputs!$E17="Real",1,Q$5)</f>
        <v>0</v>
      </c>
      <c r="R11" s="221">
        <f>Inputs!N17*IF(Inputs!$E17="Real",1,R$5)</f>
        <v>0</v>
      </c>
      <c r="S11" s="221">
        <f>Inputs!O17*IF(Inputs!$E17="Real",1,S$5)</f>
        <v>0</v>
      </c>
      <c r="T11" s="221">
        <f>Inputs!P17*IF(Inputs!$E17="Real",1,T$5)</f>
        <v>0</v>
      </c>
      <c r="U11" s="221">
        <f>Inputs!Q17*IF(Inputs!$E17="Real",1,U$5)</f>
        <v>0</v>
      </c>
      <c r="V11" s="221">
        <f>Inputs!R17*IF(Inputs!$E17="Real",1,V$5)</f>
        <v>0</v>
      </c>
      <c r="W11" s="221">
        <f>Inputs!S17*IF(Inputs!$E17="Real",1,W$5)</f>
        <v>0</v>
      </c>
      <c r="X11" s="221">
        <f>Inputs!T17*IF(Inputs!$E17="Real",1,X$5)</f>
        <v>0</v>
      </c>
      <c r="Y11" s="221">
        <f>Inputs!U17*IF(Inputs!$E17="Real",1,Y$5)</f>
        <v>0</v>
      </c>
      <c r="Z11" s="221">
        <f>Inputs!V17*IF(Inputs!$E17="Real",1,Z$5)</f>
        <v>0</v>
      </c>
      <c r="AA11" s="221">
        <f>Inputs!W17*IF(Inputs!$E17="Real",1,AA$5)</f>
        <v>0</v>
      </c>
      <c r="AB11" s="221">
        <f>Inputs!X17*IF(Inputs!$E17="Real",1,AB$5)</f>
        <v>0</v>
      </c>
      <c r="AC11" s="221">
        <f>Inputs!Y17*IF(Inputs!$E17="Real",1,AC$5)</f>
        <v>0</v>
      </c>
      <c r="AD11" s="221">
        <f>Inputs!Z17*IF(Inputs!$E17="Real",1,AD$5)</f>
        <v>0</v>
      </c>
      <c r="AE11" s="221">
        <f>Inputs!AA17*IF(Inputs!$E17="Real",1,AE$5)</f>
        <v>0</v>
      </c>
      <c r="AF11" s="221">
        <f>Inputs!AB17*IF(Inputs!$E17="Real",1,AF$5)</f>
        <v>0</v>
      </c>
      <c r="AG11" s="221">
        <f>Inputs!AC17*IF(Inputs!$E17="Real",1,AG$5)</f>
        <v>0</v>
      </c>
      <c r="AH11" s="221">
        <f>Inputs!AD17*IF(Inputs!$E17="Real",1,AH$5)</f>
        <v>0</v>
      </c>
      <c r="AI11" s="221">
        <f>Inputs!AE17*IF(Inputs!$E17="Real",1,AI$5)</f>
        <v>0</v>
      </c>
      <c r="AJ11" s="221">
        <f>Inputs!AF17*IF(Inputs!$E17="Real",1,AJ$5)</f>
        <v>0</v>
      </c>
      <c r="AK11" s="221">
        <f>Inputs!AG17*IF(Inputs!$E17="Real",1,AK$5)</f>
        <v>0</v>
      </c>
      <c r="AL11" s="221">
        <f>Inputs!AH17*IF(Inputs!$E17="Real",1,AL$5)</f>
        <v>0</v>
      </c>
      <c r="AM11" s="221">
        <f>Inputs!AI17*IF(Inputs!$E17="Real",1,AM$5)</f>
        <v>0</v>
      </c>
      <c r="AN11" s="221">
        <f>Inputs!AJ17*IF(Inputs!$E17="Real",1,AN$5)</f>
        <v>0</v>
      </c>
      <c r="AO11" s="221">
        <f>Inputs!AK17*IF(Inputs!$E17="Real",1,AO$5)</f>
        <v>0</v>
      </c>
      <c r="AP11" s="221">
        <f>Inputs!AL17*IF(Inputs!$E17="Real",1,AP$5)</f>
        <v>0</v>
      </c>
      <c r="AQ11" s="221">
        <f>Inputs!AM17*IF(Inputs!$E17="Real",1,AQ$5)</f>
        <v>0</v>
      </c>
      <c r="AR11" s="221">
        <f>Inputs!AN17*IF(Inputs!$E17="Real",1,AR$5)</f>
        <v>0</v>
      </c>
      <c r="AS11" s="221">
        <f>Inputs!AO17*IF(Inputs!$E17="Real",1,AS$5)</f>
        <v>0</v>
      </c>
      <c r="AT11" s="221">
        <f>Inputs!AP17*IF(Inputs!$E17="Real",1,AT$5)</f>
        <v>0</v>
      </c>
      <c r="AU11" s="221">
        <f>Inputs!AQ17*IF(Inputs!$E17="Real",1,AU$5)</f>
        <v>0</v>
      </c>
      <c r="AV11" s="221">
        <f>Inputs!AR17*IF(Inputs!$E17="Real",1,AV$5)</f>
        <v>0</v>
      </c>
      <c r="AW11" s="221">
        <f>Inputs!AS17*IF(Inputs!$E17="Real",1,AW$5)</f>
        <v>0</v>
      </c>
      <c r="AX11" s="221">
        <f>Inputs!AT17*IF(Inputs!$E17="Real",1,AX$5)</f>
        <v>0</v>
      </c>
      <c r="AY11" s="221">
        <f>Inputs!AU17*IF(Inputs!$E17="Real",1,AY$5)</f>
        <v>0</v>
      </c>
      <c r="AZ11" s="221">
        <f>Inputs!AV17*IF(Inputs!$E17="Real",1,AZ$5)</f>
        <v>0</v>
      </c>
      <c r="BA11" s="221">
        <f>Inputs!AW17*IF(Inputs!$E17="Real",1,BA$5)</f>
        <v>0</v>
      </c>
      <c r="BB11" s="221">
        <f>Inputs!AX17*IF(Inputs!$E17="Real",1,BB$5)</f>
        <v>0</v>
      </c>
      <c r="BC11" s="221">
        <f>Inputs!AY17*IF(Inputs!$E17="Real",1,BC$5)</f>
        <v>0</v>
      </c>
      <c r="BD11" s="221">
        <f>Inputs!AZ17*IF(Inputs!$E17="Real",1,BD$5)</f>
        <v>0</v>
      </c>
      <c r="BE11" s="221">
        <f>Inputs!BA17*IF(Inputs!$E17="Real",1,BE$5)</f>
        <v>0</v>
      </c>
    </row>
    <row r="12" spans="1:57" x14ac:dyDescent="0.35">
      <c r="A12" s="95"/>
      <c r="B12" s="95"/>
      <c r="C12" s="95"/>
      <c r="D12" s="233">
        <f>'Project description'!$B$5</f>
        <v>0</v>
      </c>
      <c r="E12" s="222" t="str">
        <f>Lists!$B$34</f>
        <v/>
      </c>
      <c r="F12" s="222" t="s">
        <v>148</v>
      </c>
      <c r="G12" s="222" t="s">
        <v>332</v>
      </c>
      <c r="H12" s="222" t="s">
        <v>42</v>
      </c>
      <c r="I12" s="222" t="s">
        <v>109</v>
      </c>
      <c r="J12" s="223">
        <f t="shared" si="0"/>
        <v>0</v>
      </c>
      <c r="K12" s="224" t="str">
        <f>IF(Inputs!G18="","",Inputs!G18)</f>
        <v/>
      </c>
      <c r="L12" s="225">
        <f>Inputs!H18*IF(Inputs!$E18="Real",1,L$5)</f>
        <v>0</v>
      </c>
      <c r="M12" s="225">
        <f>Inputs!I18*IF(Inputs!$E18="Real",1,M$5)</f>
        <v>0</v>
      </c>
      <c r="N12" s="225">
        <f>Inputs!J18*IF(Inputs!$E18="Real",1,N$5)</f>
        <v>0</v>
      </c>
      <c r="O12" s="225">
        <f>Inputs!K18*IF(Inputs!$E18="Real",1,O$5)</f>
        <v>0</v>
      </c>
      <c r="P12" s="225">
        <f>Inputs!L18*IF(Inputs!$E18="Real",1,P$5)</f>
        <v>0</v>
      </c>
      <c r="Q12" s="225">
        <f>Inputs!M18*IF(Inputs!$E18="Real",1,Q$5)</f>
        <v>0</v>
      </c>
      <c r="R12" s="225">
        <f>Inputs!N18*IF(Inputs!$E18="Real",1,R$5)</f>
        <v>0</v>
      </c>
      <c r="S12" s="225">
        <f>Inputs!O18*IF(Inputs!$E18="Real",1,S$5)</f>
        <v>0</v>
      </c>
      <c r="T12" s="225">
        <f>Inputs!P18*IF(Inputs!$E18="Real",1,T$5)</f>
        <v>0</v>
      </c>
      <c r="U12" s="225">
        <f>Inputs!Q18*IF(Inputs!$E18="Real",1,U$5)</f>
        <v>0</v>
      </c>
      <c r="V12" s="225">
        <f>Inputs!R18*IF(Inputs!$E18="Real",1,V$5)</f>
        <v>0</v>
      </c>
      <c r="W12" s="225">
        <f>Inputs!S18*IF(Inputs!$E18="Real",1,W$5)</f>
        <v>0</v>
      </c>
      <c r="X12" s="225">
        <f>Inputs!T18*IF(Inputs!$E18="Real",1,X$5)</f>
        <v>0</v>
      </c>
      <c r="Y12" s="225">
        <f>Inputs!U18*IF(Inputs!$E18="Real",1,Y$5)</f>
        <v>0</v>
      </c>
      <c r="Z12" s="225">
        <f>Inputs!V18*IF(Inputs!$E18="Real",1,Z$5)</f>
        <v>0</v>
      </c>
      <c r="AA12" s="225">
        <f>Inputs!W18*IF(Inputs!$E18="Real",1,AA$5)</f>
        <v>0</v>
      </c>
      <c r="AB12" s="225">
        <f>Inputs!X18*IF(Inputs!$E18="Real",1,AB$5)</f>
        <v>0</v>
      </c>
      <c r="AC12" s="225">
        <f>Inputs!Y18*IF(Inputs!$E18="Real",1,AC$5)</f>
        <v>0</v>
      </c>
      <c r="AD12" s="225">
        <f>Inputs!Z18*IF(Inputs!$E18="Real",1,AD$5)</f>
        <v>0</v>
      </c>
      <c r="AE12" s="225">
        <f>Inputs!AA18*IF(Inputs!$E18="Real",1,AE$5)</f>
        <v>0</v>
      </c>
      <c r="AF12" s="225">
        <f>Inputs!AB18*IF(Inputs!$E18="Real",1,AF$5)</f>
        <v>0</v>
      </c>
      <c r="AG12" s="225">
        <f>Inputs!AC18*IF(Inputs!$E18="Real",1,AG$5)</f>
        <v>0</v>
      </c>
      <c r="AH12" s="225">
        <f>Inputs!AD18*IF(Inputs!$E18="Real",1,AH$5)</f>
        <v>0</v>
      </c>
      <c r="AI12" s="225">
        <f>Inputs!AE18*IF(Inputs!$E18="Real",1,AI$5)</f>
        <v>0</v>
      </c>
      <c r="AJ12" s="225">
        <f>Inputs!AF18*IF(Inputs!$E18="Real",1,AJ$5)</f>
        <v>0</v>
      </c>
      <c r="AK12" s="225">
        <f>Inputs!AG18*IF(Inputs!$E18="Real",1,AK$5)</f>
        <v>0</v>
      </c>
      <c r="AL12" s="225">
        <f>Inputs!AH18*IF(Inputs!$E18="Real",1,AL$5)</f>
        <v>0</v>
      </c>
      <c r="AM12" s="225">
        <f>Inputs!AI18*IF(Inputs!$E18="Real",1,AM$5)</f>
        <v>0</v>
      </c>
      <c r="AN12" s="225">
        <f>Inputs!AJ18*IF(Inputs!$E18="Real",1,AN$5)</f>
        <v>0</v>
      </c>
      <c r="AO12" s="225">
        <f>Inputs!AK18*IF(Inputs!$E18="Real",1,AO$5)</f>
        <v>0</v>
      </c>
      <c r="AP12" s="225">
        <f>Inputs!AL18*IF(Inputs!$E18="Real",1,AP$5)</f>
        <v>0</v>
      </c>
      <c r="AQ12" s="225">
        <f>Inputs!AM18*IF(Inputs!$E18="Real",1,AQ$5)</f>
        <v>0</v>
      </c>
      <c r="AR12" s="225">
        <f>Inputs!AN18*IF(Inputs!$E18="Real",1,AR$5)</f>
        <v>0</v>
      </c>
      <c r="AS12" s="225">
        <f>Inputs!AO18*IF(Inputs!$E18="Real",1,AS$5)</f>
        <v>0</v>
      </c>
      <c r="AT12" s="225">
        <f>Inputs!AP18*IF(Inputs!$E18="Real",1,AT$5)</f>
        <v>0</v>
      </c>
      <c r="AU12" s="225">
        <f>Inputs!AQ18*IF(Inputs!$E18="Real",1,AU$5)</f>
        <v>0</v>
      </c>
      <c r="AV12" s="225">
        <f>Inputs!AR18*IF(Inputs!$E18="Real",1,AV$5)</f>
        <v>0</v>
      </c>
      <c r="AW12" s="225">
        <f>Inputs!AS18*IF(Inputs!$E18="Real",1,AW$5)</f>
        <v>0</v>
      </c>
      <c r="AX12" s="225">
        <f>Inputs!AT18*IF(Inputs!$E18="Real",1,AX$5)</f>
        <v>0</v>
      </c>
      <c r="AY12" s="225">
        <f>Inputs!AU18*IF(Inputs!$E18="Real",1,AY$5)</f>
        <v>0</v>
      </c>
      <c r="AZ12" s="225">
        <f>Inputs!AV18*IF(Inputs!$E18="Real",1,AZ$5)</f>
        <v>0</v>
      </c>
      <c r="BA12" s="225">
        <f>Inputs!AW18*IF(Inputs!$E18="Real",1,BA$5)</f>
        <v>0</v>
      </c>
      <c r="BB12" s="225">
        <f>Inputs!AX18*IF(Inputs!$E18="Real",1,BB$5)</f>
        <v>0</v>
      </c>
      <c r="BC12" s="225">
        <f>Inputs!AY18*IF(Inputs!$E18="Real",1,BC$5)</f>
        <v>0</v>
      </c>
      <c r="BD12" s="225">
        <f>Inputs!AZ18*IF(Inputs!$E18="Real",1,BD$5)</f>
        <v>0</v>
      </c>
      <c r="BE12" s="225">
        <f>Inputs!BA18*IF(Inputs!$E18="Real",1,BE$5)</f>
        <v>0</v>
      </c>
    </row>
    <row r="13" spans="1:57" x14ac:dyDescent="0.35">
      <c r="A13" s="95"/>
      <c r="B13" s="95"/>
      <c r="C13" s="95"/>
      <c r="D13" s="232">
        <f>'Project description'!$B$5</f>
        <v>0</v>
      </c>
      <c r="E13" s="218" t="str">
        <f>Lists!$B$34</f>
        <v/>
      </c>
      <c r="F13" s="218" t="s">
        <v>148</v>
      </c>
      <c r="G13" s="218" t="s">
        <v>332</v>
      </c>
      <c r="H13" s="218" t="s">
        <v>43</v>
      </c>
      <c r="I13" s="218" t="s">
        <v>109</v>
      </c>
      <c r="J13" s="219">
        <f t="shared" si="0"/>
        <v>0</v>
      </c>
      <c r="K13" s="220" t="str">
        <f>IF(Inputs!G19="","",Inputs!G19)</f>
        <v/>
      </c>
      <c r="L13" s="221">
        <f>Inputs!H19*IF(Inputs!$E19="Real",1,L$5)</f>
        <v>0</v>
      </c>
      <c r="M13" s="221">
        <f>Inputs!I19*IF(Inputs!$E19="Real",1,M$5)</f>
        <v>0</v>
      </c>
      <c r="N13" s="221">
        <f>Inputs!J19*IF(Inputs!$E19="Real",1,N$5)</f>
        <v>0</v>
      </c>
      <c r="O13" s="221">
        <f>Inputs!K19*IF(Inputs!$E19="Real",1,O$5)</f>
        <v>0</v>
      </c>
      <c r="P13" s="221">
        <f>Inputs!L19*IF(Inputs!$E19="Real",1,P$5)</f>
        <v>0</v>
      </c>
      <c r="Q13" s="221">
        <f>Inputs!M19*IF(Inputs!$E19="Real",1,Q$5)</f>
        <v>0</v>
      </c>
      <c r="R13" s="221">
        <f>Inputs!N19*IF(Inputs!$E19="Real",1,R$5)</f>
        <v>0</v>
      </c>
      <c r="S13" s="221">
        <f>Inputs!O19*IF(Inputs!$E19="Real",1,S$5)</f>
        <v>0</v>
      </c>
      <c r="T13" s="221">
        <f>Inputs!P19*IF(Inputs!$E19="Real",1,T$5)</f>
        <v>0</v>
      </c>
      <c r="U13" s="221">
        <f>Inputs!Q19*IF(Inputs!$E19="Real",1,U$5)</f>
        <v>0</v>
      </c>
      <c r="V13" s="221">
        <f>Inputs!R19*IF(Inputs!$E19="Real",1,V$5)</f>
        <v>0</v>
      </c>
      <c r="W13" s="221">
        <f>Inputs!S19*IF(Inputs!$E19="Real",1,W$5)</f>
        <v>0</v>
      </c>
      <c r="X13" s="221">
        <f>Inputs!T19*IF(Inputs!$E19="Real",1,X$5)</f>
        <v>0</v>
      </c>
      <c r="Y13" s="221">
        <f>Inputs!U19*IF(Inputs!$E19="Real",1,Y$5)</f>
        <v>0</v>
      </c>
      <c r="Z13" s="221">
        <f>Inputs!V19*IF(Inputs!$E19="Real",1,Z$5)</f>
        <v>0</v>
      </c>
      <c r="AA13" s="221">
        <f>Inputs!W19*IF(Inputs!$E19="Real",1,AA$5)</f>
        <v>0</v>
      </c>
      <c r="AB13" s="221">
        <f>Inputs!X19*IF(Inputs!$E19="Real",1,AB$5)</f>
        <v>0</v>
      </c>
      <c r="AC13" s="221">
        <f>Inputs!Y19*IF(Inputs!$E19="Real",1,AC$5)</f>
        <v>0</v>
      </c>
      <c r="AD13" s="221">
        <f>Inputs!Z19*IF(Inputs!$E19="Real",1,AD$5)</f>
        <v>0</v>
      </c>
      <c r="AE13" s="221">
        <f>Inputs!AA19*IF(Inputs!$E19="Real",1,AE$5)</f>
        <v>0</v>
      </c>
      <c r="AF13" s="221">
        <f>Inputs!AB19*IF(Inputs!$E19="Real",1,AF$5)</f>
        <v>0</v>
      </c>
      <c r="AG13" s="221">
        <f>Inputs!AC19*IF(Inputs!$E19="Real",1,AG$5)</f>
        <v>0</v>
      </c>
      <c r="AH13" s="221">
        <f>Inputs!AD19*IF(Inputs!$E19="Real",1,AH$5)</f>
        <v>0</v>
      </c>
      <c r="AI13" s="221">
        <f>Inputs!AE19*IF(Inputs!$E19="Real",1,AI$5)</f>
        <v>0</v>
      </c>
      <c r="AJ13" s="221">
        <f>Inputs!AF19*IF(Inputs!$E19="Real",1,AJ$5)</f>
        <v>0</v>
      </c>
      <c r="AK13" s="221">
        <f>Inputs!AG19*IF(Inputs!$E19="Real",1,AK$5)</f>
        <v>0</v>
      </c>
      <c r="AL13" s="221">
        <f>Inputs!AH19*IF(Inputs!$E19="Real",1,AL$5)</f>
        <v>0</v>
      </c>
      <c r="AM13" s="221">
        <f>Inputs!AI19*IF(Inputs!$E19="Real",1,AM$5)</f>
        <v>0</v>
      </c>
      <c r="AN13" s="221">
        <f>Inputs!AJ19*IF(Inputs!$E19="Real",1,AN$5)</f>
        <v>0</v>
      </c>
      <c r="AO13" s="221">
        <f>Inputs!AK19*IF(Inputs!$E19="Real",1,AO$5)</f>
        <v>0</v>
      </c>
      <c r="AP13" s="221">
        <f>Inputs!AL19*IF(Inputs!$E19="Real",1,AP$5)</f>
        <v>0</v>
      </c>
      <c r="AQ13" s="221">
        <f>Inputs!AM19*IF(Inputs!$E19="Real",1,AQ$5)</f>
        <v>0</v>
      </c>
      <c r="AR13" s="221">
        <f>Inputs!AN19*IF(Inputs!$E19="Real",1,AR$5)</f>
        <v>0</v>
      </c>
      <c r="AS13" s="221">
        <f>Inputs!AO19*IF(Inputs!$E19="Real",1,AS$5)</f>
        <v>0</v>
      </c>
      <c r="AT13" s="221">
        <f>Inputs!AP19*IF(Inputs!$E19="Real",1,AT$5)</f>
        <v>0</v>
      </c>
      <c r="AU13" s="221">
        <f>Inputs!AQ19*IF(Inputs!$E19="Real",1,AU$5)</f>
        <v>0</v>
      </c>
      <c r="AV13" s="221">
        <f>Inputs!AR19*IF(Inputs!$E19="Real",1,AV$5)</f>
        <v>0</v>
      </c>
      <c r="AW13" s="221">
        <f>Inputs!AS19*IF(Inputs!$E19="Real",1,AW$5)</f>
        <v>0</v>
      </c>
      <c r="AX13" s="221">
        <f>Inputs!AT19*IF(Inputs!$E19="Real",1,AX$5)</f>
        <v>0</v>
      </c>
      <c r="AY13" s="221">
        <f>Inputs!AU19*IF(Inputs!$E19="Real",1,AY$5)</f>
        <v>0</v>
      </c>
      <c r="AZ13" s="221">
        <f>Inputs!AV19*IF(Inputs!$E19="Real",1,AZ$5)</f>
        <v>0</v>
      </c>
      <c r="BA13" s="221">
        <f>Inputs!AW19*IF(Inputs!$E19="Real",1,BA$5)</f>
        <v>0</v>
      </c>
      <c r="BB13" s="221">
        <f>Inputs!AX19*IF(Inputs!$E19="Real",1,BB$5)</f>
        <v>0</v>
      </c>
      <c r="BC13" s="221">
        <f>Inputs!AY19*IF(Inputs!$E19="Real",1,BC$5)</f>
        <v>0</v>
      </c>
      <c r="BD13" s="221">
        <f>Inputs!AZ19*IF(Inputs!$E19="Real",1,BD$5)</f>
        <v>0</v>
      </c>
      <c r="BE13" s="221">
        <f>Inputs!BA19*IF(Inputs!$E19="Real",1,BE$5)</f>
        <v>0</v>
      </c>
    </row>
    <row r="14" spans="1:57" x14ac:dyDescent="0.35">
      <c r="A14" s="95"/>
      <c r="B14" s="95"/>
      <c r="C14" s="95"/>
      <c r="D14" s="233">
        <f>'Project description'!$B$5</f>
        <v>0</v>
      </c>
      <c r="E14" s="222" t="str">
        <f>Lists!$B$34</f>
        <v/>
      </c>
      <c r="F14" s="222" t="s">
        <v>148</v>
      </c>
      <c r="G14" s="222" t="s">
        <v>332</v>
      </c>
      <c r="H14" s="222" t="s">
        <v>44</v>
      </c>
      <c r="I14" s="222" t="s">
        <v>109</v>
      </c>
      <c r="J14" s="223">
        <f t="shared" si="0"/>
        <v>0</v>
      </c>
      <c r="K14" s="224" t="str">
        <f>IF(Inputs!G20="","",Inputs!G20)</f>
        <v/>
      </c>
      <c r="L14" s="225">
        <f>Inputs!H20*IF(Inputs!$E20="Real",1,L$5)</f>
        <v>0</v>
      </c>
      <c r="M14" s="225">
        <f>Inputs!I20*IF(Inputs!$E20="Real",1,M$5)</f>
        <v>0</v>
      </c>
      <c r="N14" s="225">
        <f>Inputs!J20*IF(Inputs!$E20="Real",1,N$5)</f>
        <v>0</v>
      </c>
      <c r="O14" s="225">
        <f>Inputs!K20*IF(Inputs!$E20="Real",1,O$5)</f>
        <v>0</v>
      </c>
      <c r="P14" s="225">
        <f>Inputs!L20*IF(Inputs!$E20="Real",1,P$5)</f>
        <v>0</v>
      </c>
      <c r="Q14" s="225">
        <f>Inputs!M20*IF(Inputs!$E20="Real",1,Q$5)</f>
        <v>0</v>
      </c>
      <c r="R14" s="225">
        <f>Inputs!N20*IF(Inputs!$E20="Real",1,R$5)</f>
        <v>0</v>
      </c>
      <c r="S14" s="225">
        <f>Inputs!O20*IF(Inputs!$E20="Real",1,S$5)</f>
        <v>0</v>
      </c>
      <c r="T14" s="225">
        <f>Inputs!P20*IF(Inputs!$E20="Real",1,T$5)</f>
        <v>0</v>
      </c>
      <c r="U14" s="225">
        <f>Inputs!Q20*IF(Inputs!$E20="Real",1,U$5)</f>
        <v>0</v>
      </c>
      <c r="V14" s="225">
        <f>Inputs!R20*IF(Inputs!$E20="Real",1,V$5)</f>
        <v>0</v>
      </c>
      <c r="W14" s="225">
        <f>Inputs!S20*IF(Inputs!$E20="Real",1,W$5)</f>
        <v>0</v>
      </c>
      <c r="X14" s="225">
        <f>Inputs!T20*IF(Inputs!$E20="Real",1,X$5)</f>
        <v>0</v>
      </c>
      <c r="Y14" s="225">
        <f>Inputs!U20*IF(Inputs!$E20="Real",1,Y$5)</f>
        <v>0</v>
      </c>
      <c r="Z14" s="225">
        <f>Inputs!V20*IF(Inputs!$E20="Real",1,Z$5)</f>
        <v>0</v>
      </c>
      <c r="AA14" s="225">
        <f>Inputs!W20*IF(Inputs!$E20="Real",1,AA$5)</f>
        <v>0</v>
      </c>
      <c r="AB14" s="225">
        <f>Inputs!X20*IF(Inputs!$E20="Real",1,AB$5)</f>
        <v>0</v>
      </c>
      <c r="AC14" s="225">
        <f>Inputs!Y20*IF(Inputs!$E20="Real",1,AC$5)</f>
        <v>0</v>
      </c>
      <c r="AD14" s="225">
        <f>Inputs!Z20*IF(Inputs!$E20="Real",1,AD$5)</f>
        <v>0</v>
      </c>
      <c r="AE14" s="225">
        <f>Inputs!AA20*IF(Inputs!$E20="Real",1,AE$5)</f>
        <v>0</v>
      </c>
      <c r="AF14" s="225">
        <f>Inputs!AB20*IF(Inputs!$E20="Real",1,AF$5)</f>
        <v>0</v>
      </c>
      <c r="AG14" s="225">
        <f>Inputs!AC20*IF(Inputs!$E20="Real",1,AG$5)</f>
        <v>0</v>
      </c>
      <c r="AH14" s="225">
        <f>Inputs!AD20*IF(Inputs!$E20="Real",1,AH$5)</f>
        <v>0</v>
      </c>
      <c r="AI14" s="225">
        <f>Inputs!AE20*IF(Inputs!$E20="Real",1,AI$5)</f>
        <v>0</v>
      </c>
      <c r="AJ14" s="225">
        <f>Inputs!AF20*IF(Inputs!$E20="Real",1,AJ$5)</f>
        <v>0</v>
      </c>
      <c r="AK14" s="225">
        <f>Inputs!AG20*IF(Inputs!$E20="Real",1,AK$5)</f>
        <v>0</v>
      </c>
      <c r="AL14" s="225">
        <f>Inputs!AH20*IF(Inputs!$E20="Real",1,AL$5)</f>
        <v>0</v>
      </c>
      <c r="AM14" s="225">
        <f>Inputs!AI20*IF(Inputs!$E20="Real",1,AM$5)</f>
        <v>0</v>
      </c>
      <c r="AN14" s="225">
        <f>Inputs!AJ20*IF(Inputs!$E20="Real",1,AN$5)</f>
        <v>0</v>
      </c>
      <c r="AO14" s="225">
        <f>Inputs!AK20*IF(Inputs!$E20="Real",1,AO$5)</f>
        <v>0</v>
      </c>
      <c r="AP14" s="225">
        <f>Inputs!AL20*IF(Inputs!$E20="Real",1,AP$5)</f>
        <v>0</v>
      </c>
      <c r="AQ14" s="225">
        <f>Inputs!AM20*IF(Inputs!$E20="Real",1,AQ$5)</f>
        <v>0</v>
      </c>
      <c r="AR14" s="225">
        <f>Inputs!AN20*IF(Inputs!$E20="Real",1,AR$5)</f>
        <v>0</v>
      </c>
      <c r="AS14" s="225">
        <f>Inputs!AO20*IF(Inputs!$E20="Real",1,AS$5)</f>
        <v>0</v>
      </c>
      <c r="AT14" s="225">
        <f>Inputs!AP20*IF(Inputs!$E20="Real",1,AT$5)</f>
        <v>0</v>
      </c>
      <c r="AU14" s="225">
        <f>Inputs!AQ20*IF(Inputs!$E20="Real",1,AU$5)</f>
        <v>0</v>
      </c>
      <c r="AV14" s="225">
        <f>Inputs!AR20*IF(Inputs!$E20="Real",1,AV$5)</f>
        <v>0</v>
      </c>
      <c r="AW14" s="225">
        <f>Inputs!AS20*IF(Inputs!$E20="Real",1,AW$5)</f>
        <v>0</v>
      </c>
      <c r="AX14" s="225">
        <f>Inputs!AT20*IF(Inputs!$E20="Real",1,AX$5)</f>
        <v>0</v>
      </c>
      <c r="AY14" s="225">
        <f>Inputs!AU20*IF(Inputs!$E20="Real",1,AY$5)</f>
        <v>0</v>
      </c>
      <c r="AZ14" s="225">
        <f>Inputs!AV20*IF(Inputs!$E20="Real",1,AZ$5)</f>
        <v>0</v>
      </c>
      <c r="BA14" s="225">
        <f>Inputs!AW20*IF(Inputs!$E20="Real",1,BA$5)</f>
        <v>0</v>
      </c>
      <c r="BB14" s="225">
        <f>Inputs!AX20*IF(Inputs!$E20="Real",1,BB$5)</f>
        <v>0</v>
      </c>
      <c r="BC14" s="225">
        <f>Inputs!AY20*IF(Inputs!$E20="Real",1,BC$5)</f>
        <v>0</v>
      </c>
      <c r="BD14" s="225">
        <f>Inputs!AZ20*IF(Inputs!$E20="Real",1,BD$5)</f>
        <v>0</v>
      </c>
      <c r="BE14" s="225">
        <f>Inputs!BA20*IF(Inputs!$E20="Real",1,BE$5)</f>
        <v>0</v>
      </c>
    </row>
    <row r="15" spans="1:57" x14ac:dyDescent="0.35">
      <c r="A15" s="95"/>
      <c r="B15" s="95"/>
      <c r="C15" s="95"/>
      <c r="D15" s="232">
        <f>'Project description'!$B$5</f>
        <v>0</v>
      </c>
      <c r="E15" s="218" t="str">
        <f>Lists!$B$34</f>
        <v/>
      </c>
      <c r="F15" s="218" t="s">
        <v>148</v>
      </c>
      <c r="G15" s="218" t="s">
        <v>332</v>
      </c>
      <c r="H15" s="218" t="s">
        <v>45</v>
      </c>
      <c r="I15" s="218" t="s">
        <v>109</v>
      </c>
      <c r="J15" s="219">
        <f t="shared" si="0"/>
        <v>0</v>
      </c>
      <c r="K15" s="220" t="str">
        <f>IF(Inputs!G21="","",Inputs!G21)</f>
        <v/>
      </c>
      <c r="L15" s="221">
        <f>Inputs!H21*IF(Inputs!$E21="Real",1,L$5)</f>
        <v>0</v>
      </c>
      <c r="M15" s="221">
        <f>Inputs!I21*IF(Inputs!$E21="Real",1,M$5)</f>
        <v>0</v>
      </c>
      <c r="N15" s="221">
        <f>Inputs!J21*IF(Inputs!$E21="Real",1,N$5)</f>
        <v>0</v>
      </c>
      <c r="O15" s="221">
        <f>Inputs!K21*IF(Inputs!$E21="Real",1,O$5)</f>
        <v>0</v>
      </c>
      <c r="P15" s="221">
        <f>Inputs!L21*IF(Inputs!$E21="Real",1,P$5)</f>
        <v>0</v>
      </c>
      <c r="Q15" s="221">
        <f>Inputs!M21*IF(Inputs!$E21="Real",1,Q$5)</f>
        <v>0</v>
      </c>
      <c r="R15" s="221">
        <f>Inputs!N21*IF(Inputs!$E21="Real",1,R$5)</f>
        <v>0</v>
      </c>
      <c r="S15" s="221">
        <f>Inputs!O21*IF(Inputs!$E21="Real",1,S$5)</f>
        <v>0</v>
      </c>
      <c r="T15" s="221">
        <f>Inputs!P21*IF(Inputs!$E21="Real",1,T$5)</f>
        <v>0</v>
      </c>
      <c r="U15" s="221">
        <f>Inputs!Q21*IF(Inputs!$E21="Real",1,U$5)</f>
        <v>0</v>
      </c>
      <c r="V15" s="221">
        <f>Inputs!R21*IF(Inputs!$E21="Real",1,V$5)</f>
        <v>0</v>
      </c>
      <c r="W15" s="221">
        <f>Inputs!S21*IF(Inputs!$E21="Real",1,W$5)</f>
        <v>0</v>
      </c>
      <c r="X15" s="221">
        <f>Inputs!T21*IF(Inputs!$E21="Real",1,X$5)</f>
        <v>0</v>
      </c>
      <c r="Y15" s="221">
        <f>Inputs!U21*IF(Inputs!$E21="Real",1,Y$5)</f>
        <v>0</v>
      </c>
      <c r="Z15" s="221">
        <f>Inputs!V21*IF(Inputs!$E21="Real",1,Z$5)</f>
        <v>0</v>
      </c>
      <c r="AA15" s="221">
        <f>Inputs!W21*IF(Inputs!$E21="Real",1,AA$5)</f>
        <v>0</v>
      </c>
      <c r="AB15" s="221">
        <f>Inputs!X21*IF(Inputs!$E21="Real",1,AB$5)</f>
        <v>0</v>
      </c>
      <c r="AC15" s="221">
        <f>Inputs!Y21*IF(Inputs!$E21="Real",1,AC$5)</f>
        <v>0</v>
      </c>
      <c r="AD15" s="221">
        <f>Inputs!Z21*IF(Inputs!$E21="Real",1,AD$5)</f>
        <v>0</v>
      </c>
      <c r="AE15" s="221">
        <f>Inputs!AA21*IF(Inputs!$E21="Real",1,AE$5)</f>
        <v>0</v>
      </c>
      <c r="AF15" s="221">
        <f>Inputs!AB21*IF(Inputs!$E21="Real",1,AF$5)</f>
        <v>0</v>
      </c>
      <c r="AG15" s="221">
        <f>Inputs!AC21*IF(Inputs!$E21="Real",1,AG$5)</f>
        <v>0</v>
      </c>
      <c r="AH15" s="221">
        <f>Inputs!AD21*IF(Inputs!$E21="Real",1,AH$5)</f>
        <v>0</v>
      </c>
      <c r="AI15" s="221">
        <f>Inputs!AE21*IF(Inputs!$E21="Real",1,AI$5)</f>
        <v>0</v>
      </c>
      <c r="AJ15" s="221">
        <f>Inputs!AF21*IF(Inputs!$E21="Real",1,AJ$5)</f>
        <v>0</v>
      </c>
      <c r="AK15" s="221">
        <f>Inputs!AG21*IF(Inputs!$E21="Real",1,AK$5)</f>
        <v>0</v>
      </c>
      <c r="AL15" s="221">
        <f>Inputs!AH21*IF(Inputs!$E21="Real",1,AL$5)</f>
        <v>0</v>
      </c>
      <c r="AM15" s="221">
        <f>Inputs!AI21*IF(Inputs!$E21="Real",1,AM$5)</f>
        <v>0</v>
      </c>
      <c r="AN15" s="221">
        <f>Inputs!AJ21*IF(Inputs!$E21="Real",1,AN$5)</f>
        <v>0</v>
      </c>
      <c r="AO15" s="221">
        <f>Inputs!AK21*IF(Inputs!$E21="Real",1,AO$5)</f>
        <v>0</v>
      </c>
      <c r="AP15" s="221">
        <f>Inputs!AL21*IF(Inputs!$E21="Real",1,AP$5)</f>
        <v>0</v>
      </c>
      <c r="AQ15" s="221">
        <f>Inputs!AM21*IF(Inputs!$E21="Real",1,AQ$5)</f>
        <v>0</v>
      </c>
      <c r="AR15" s="221">
        <f>Inputs!AN21*IF(Inputs!$E21="Real",1,AR$5)</f>
        <v>0</v>
      </c>
      <c r="AS15" s="221">
        <f>Inputs!AO21*IF(Inputs!$E21="Real",1,AS$5)</f>
        <v>0</v>
      </c>
      <c r="AT15" s="221">
        <f>Inputs!AP21*IF(Inputs!$E21="Real",1,AT$5)</f>
        <v>0</v>
      </c>
      <c r="AU15" s="221">
        <f>Inputs!AQ21*IF(Inputs!$E21="Real",1,AU$5)</f>
        <v>0</v>
      </c>
      <c r="AV15" s="221">
        <f>Inputs!AR21*IF(Inputs!$E21="Real",1,AV$5)</f>
        <v>0</v>
      </c>
      <c r="AW15" s="221">
        <f>Inputs!AS21*IF(Inputs!$E21="Real",1,AW$5)</f>
        <v>0</v>
      </c>
      <c r="AX15" s="221">
        <f>Inputs!AT21*IF(Inputs!$E21="Real",1,AX$5)</f>
        <v>0</v>
      </c>
      <c r="AY15" s="221">
        <f>Inputs!AU21*IF(Inputs!$E21="Real",1,AY$5)</f>
        <v>0</v>
      </c>
      <c r="AZ15" s="221">
        <f>Inputs!AV21*IF(Inputs!$E21="Real",1,AZ$5)</f>
        <v>0</v>
      </c>
      <c r="BA15" s="221">
        <f>Inputs!AW21*IF(Inputs!$E21="Real",1,BA$5)</f>
        <v>0</v>
      </c>
      <c r="BB15" s="221">
        <f>Inputs!AX21*IF(Inputs!$E21="Real",1,BB$5)</f>
        <v>0</v>
      </c>
      <c r="BC15" s="221">
        <f>Inputs!AY21*IF(Inputs!$E21="Real",1,BC$5)</f>
        <v>0</v>
      </c>
      <c r="BD15" s="221">
        <f>Inputs!AZ21*IF(Inputs!$E21="Real",1,BD$5)</f>
        <v>0</v>
      </c>
      <c r="BE15" s="221">
        <f>Inputs!BA21*IF(Inputs!$E21="Real",1,BE$5)</f>
        <v>0</v>
      </c>
    </row>
    <row r="16" spans="1:57" x14ac:dyDescent="0.35">
      <c r="A16" s="95"/>
      <c r="B16" s="95"/>
      <c r="C16" s="95"/>
      <c r="D16" s="226">
        <f>'Project description'!$B$5</f>
        <v>0</v>
      </c>
      <c r="E16" s="226" t="str">
        <f>Lists!$B$34</f>
        <v/>
      </c>
      <c r="F16" s="226" t="s">
        <v>148</v>
      </c>
      <c r="G16" s="226" t="s">
        <v>332</v>
      </c>
      <c r="H16" s="226" t="s">
        <v>46</v>
      </c>
      <c r="I16" s="226" t="s">
        <v>109</v>
      </c>
      <c r="J16" s="227">
        <f t="shared" si="0"/>
        <v>0</v>
      </c>
      <c r="K16" s="228" t="str">
        <f>IF(Inputs!G22="","",Inputs!G22)</f>
        <v/>
      </c>
      <c r="L16" s="229">
        <f>Inputs!H22*IF(Inputs!$E22="Real",1,L$5)</f>
        <v>0</v>
      </c>
      <c r="M16" s="229">
        <f>Inputs!I22*IF(Inputs!$E22="Real",1,M$5)</f>
        <v>0</v>
      </c>
      <c r="N16" s="229">
        <f>Inputs!J22*IF(Inputs!$E22="Real",1,N$5)</f>
        <v>0</v>
      </c>
      <c r="O16" s="229">
        <f>Inputs!K22*IF(Inputs!$E22="Real",1,O$5)</f>
        <v>0</v>
      </c>
      <c r="P16" s="229">
        <f>Inputs!L22*IF(Inputs!$E22="Real",1,P$5)</f>
        <v>0</v>
      </c>
      <c r="Q16" s="229">
        <f>Inputs!M22*IF(Inputs!$E22="Real",1,Q$5)</f>
        <v>0</v>
      </c>
      <c r="R16" s="229">
        <f>Inputs!N22*IF(Inputs!$E22="Real",1,R$5)</f>
        <v>0</v>
      </c>
      <c r="S16" s="229">
        <f>Inputs!O22*IF(Inputs!$E22="Real",1,S$5)</f>
        <v>0</v>
      </c>
      <c r="T16" s="229">
        <f>Inputs!P22*IF(Inputs!$E22="Real",1,T$5)</f>
        <v>0</v>
      </c>
      <c r="U16" s="229">
        <f>Inputs!Q22*IF(Inputs!$E22="Real",1,U$5)</f>
        <v>0</v>
      </c>
      <c r="V16" s="229">
        <f>Inputs!R22*IF(Inputs!$E22="Real",1,V$5)</f>
        <v>0</v>
      </c>
      <c r="W16" s="229">
        <f>Inputs!S22*IF(Inputs!$E22="Real",1,W$5)</f>
        <v>0</v>
      </c>
      <c r="X16" s="229">
        <f>Inputs!T22*IF(Inputs!$E22="Real",1,X$5)</f>
        <v>0</v>
      </c>
      <c r="Y16" s="229">
        <f>Inputs!U22*IF(Inputs!$E22="Real",1,Y$5)</f>
        <v>0</v>
      </c>
      <c r="Z16" s="229">
        <f>Inputs!V22*IF(Inputs!$E22="Real",1,Z$5)</f>
        <v>0</v>
      </c>
      <c r="AA16" s="229">
        <f>Inputs!W22*IF(Inputs!$E22="Real",1,AA$5)</f>
        <v>0</v>
      </c>
      <c r="AB16" s="229">
        <f>Inputs!X22*IF(Inputs!$E22="Real",1,AB$5)</f>
        <v>0</v>
      </c>
      <c r="AC16" s="229">
        <f>Inputs!Y22*IF(Inputs!$E22="Real",1,AC$5)</f>
        <v>0</v>
      </c>
      <c r="AD16" s="229">
        <f>Inputs!Z22*IF(Inputs!$E22="Real",1,AD$5)</f>
        <v>0</v>
      </c>
      <c r="AE16" s="229">
        <f>Inputs!AA22*IF(Inputs!$E22="Real",1,AE$5)</f>
        <v>0</v>
      </c>
      <c r="AF16" s="229">
        <f>Inputs!AB22*IF(Inputs!$E22="Real",1,AF$5)</f>
        <v>0</v>
      </c>
      <c r="AG16" s="229">
        <f>Inputs!AC22*IF(Inputs!$E22="Real",1,AG$5)</f>
        <v>0</v>
      </c>
      <c r="AH16" s="229">
        <f>Inputs!AD22*IF(Inputs!$E22="Real",1,AH$5)</f>
        <v>0</v>
      </c>
      <c r="AI16" s="229">
        <f>Inputs!AE22*IF(Inputs!$E22="Real",1,AI$5)</f>
        <v>0</v>
      </c>
      <c r="AJ16" s="229">
        <f>Inputs!AF22*IF(Inputs!$E22="Real",1,AJ$5)</f>
        <v>0</v>
      </c>
      <c r="AK16" s="229">
        <f>Inputs!AG22*IF(Inputs!$E22="Real",1,AK$5)</f>
        <v>0</v>
      </c>
      <c r="AL16" s="229">
        <f>Inputs!AH22*IF(Inputs!$E22="Real",1,AL$5)</f>
        <v>0</v>
      </c>
      <c r="AM16" s="229">
        <f>Inputs!AI22*IF(Inputs!$E22="Real",1,AM$5)</f>
        <v>0</v>
      </c>
      <c r="AN16" s="229">
        <f>Inputs!AJ22*IF(Inputs!$E22="Real",1,AN$5)</f>
        <v>0</v>
      </c>
      <c r="AO16" s="229">
        <f>Inputs!AK22*IF(Inputs!$E22="Real",1,AO$5)</f>
        <v>0</v>
      </c>
      <c r="AP16" s="229">
        <f>Inputs!AL22*IF(Inputs!$E22="Real",1,AP$5)</f>
        <v>0</v>
      </c>
      <c r="AQ16" s="229">
        <f>Inputs!AM22*IF(Inputs!$E22="Real",1,AQ$5)</f>
        <v>0</v>
      </c>
      <c r="AR16" s="229">
        <f>Inputs!AN22*IF(Inputs!$E22="Real",1,AR$5)</f>
        <v>0</v>
      </c>
      <c r="AS16" s="229">
        <f>Inputs!AO22*IF(Inputs!$E22="Real",1,AS$5)</f>
        <v>0</v>
      </c>
      <c r="AT16" s="229">
        <f>Inputs!AP22*IF(Inputs!$E22="Real",1,AT$5)</f>
        <v>0</v>
      </c>
      <c r="AU16" s="229">
        <f>Inputs!AQ22*IF(Inputs!$E22="Real",1,AU$5)</f>
        <v>0</v>
      </c>
      <c r="AV16" s="229">
        <f>Inputs!AR22*IF(Inputs!$E22="Real",1,AV$5)</f>
        <v>0</v>
      </c>
      <c r="AW16" s="229">
        <f>Inputs!AS22*IF(Inputs!$E22="Real",1,AW$5)</f>
        <v>0</v>
      </c>
      <c r="AX16" s="229">
        <f>Inputs!AT22*IF(Inputs!$E22="Real",1,AX$5)</f>
        <v>0</v>
      </c>
      <c r="AY16" s="229">
        <f>Inputs!AU22*IF(Inputs!$E22="Real",1,AY$5)</f>
        <v>0</v>
      </c>
      <c r="AZ16" s="229">
        <f>Inputs!AV22*IF(Inputs!$E22="Real",1,AZ$5)</f>
        <v>0</v>
      </c>
      <c r="BA16" s="229">
        <f>Inputs!AW22*IF(Inputs!$E22="Real",1,BA$5)</f>
        <v>0</v>
      </c>
      <c r="BB16" s="229">
        <f>Inputs!AX22*IF(Inputs!$E22="Real",1,BB$5)</f>
        <v>0</v>
      </c>
      <c r="BC16" s="229">
        <f>Inputs!AY22*IF(Inputs!$E22="Real",1,BC$5)</f>
        <v>0</v>
      </c>
      <c r="BD16" s="229">
        <f>Inputs!AZ22*IF(Inputs!$E22="Real",1,BD$5)</f>
        <v>0</v>
      </c>
      <c r="BE16" s="229">
        <f>Inputs!BA22*IF(Inputs!$E22="Real",1,BE$5)</f>
        <v>0</v>
      </c>
    </row>
    <row r="17" spans="1:57" x14ac:dyDescent="0.35">
      <c r="A17" s="95"/>
      <c r="B17" s="95"/>
      <c r="C17" s="95"/>
      <c r="D17" s="95"/>
      <c r="E17" s="95"/>
      <c r="F17" s="2"/>
      <c r="G17" s="2"/>
      <c r="H17" s="96" t="str">
        <f>"Total capex in "&amp;Analysis_year&amp;" dollars"</f>
        <v>Total capex in  dollars</v>
      </c>
      <c r="I17" s="2"/>
      <c r="J17" s="97"/>
      <c r="K17" s="97"/>
      <c r="L17" s="98">
        <f>SUBTOTAL(109,'Real values'!$L$10:$L$16)</f>
        <v>0</v>
      </c>
      <c r="M17" s="98">
        <f t="shared" ref="M17:R17" si="1">SUM(M10:M16)*IF($I$8="Real",1,N$5)</f>
        <v>0</v>
      </c>
      <c r="N17" s="98">
        <f t="shared" si="1"/>
        <v>0</v>
      </c>
      <c r="O17" s="98">
        <f t="shared" si="1"/>
        <v>0</v>
      </c>
      <c r="P17" s="98">
        <f t="shared" si="1"/>
        <v>0</v>
      </c>
      <c r="Q17" s="98">
        <f t="shared" si="1"/>
        <v>0</v>
      </c>
      <c r="R17" s="98">
        <f t="shared" si="1"/>
        <v>0</v>
      </c>
      <c r="S17" s="98">
        <f t="shared" ref="S17:BD17" si="2">SUM(S10:S16)*IF($I$8="Real",1,T$5)</f>
        <v>0</v>
      </c>
      <c r="T17" s="98">
        <f t="shared" si="2"/>
        <v>0</v>
      </c>
      <c r="U17" s="98">
        <f t="shared" si="2"/>
        <v>0</v>
      </c>
      <c r="V17" s="98">
        <f t="shared" si="2"/>
        <v>0</v>
      </c>
      <c r="W17" s="98">
        <f t="shared" si="2"/>
        <v>0</v>
      </c>
      <c r="X17" s="98">
        <f t="shared" si="2"/>
        <v>0</v>
      </c>
      <c r="Y17" s="98">
        <f t="shared" si="2"/>
        <v>0</v>
      </c>
      <c r="Z17" s="98">
        <f t="shared" si="2"/>
        <v>0</v>
      </c>
      <c r="AA17" s="98">
        <f t="shared" si="2"/>
        <v>0</v>
      </c>
      <c r="AB17" s="98">
        <f t="shared" si="2"/>
        <v>0</v>
      </c>
      <c r="AC17" s="98">
        <f t="shared" si="2"/>
        <v>0</v>
      </c>
      <c r="AD17" s="98">
        <f t="shared" si="2"/>
        <v>0</v>
      </c>
      <c r="AE17" s="98">
        <f t="shared" si="2"/>
        <v>0</v>
      </c>
      <c r="AF17" s="98">
        <f t="shared" si="2"/>
        <v>0</v>
      </c>
      <c r="AG17" s="98">
        <f t="shared" si="2"/>
        <v>0</v>
      </c>
      <c r="AH17" s="98">
        <f t="shared" si="2"/>
        <v>0</v>
      </c>
      <c r="AI17" s="98">
        <f t="shared" si="2"/>
        <v>0</v>
      </c>
      <c r="AJ17" s="98">
        <f t="shared" si="2"/>
        <v>0</v>
      </c>
      <c r="AK17" s="98">
        <f t="shared" si="2"/>
        <v>0</v>
      </c>
      <c r="AL17" s="98">
        <f t="shared" si="2"/>
        <v>0</v>
      </c>
      <c r="AM17" s="98">
        <f t="shared" si="2"/>
        <v>0</v>
      </c>
      <c r="AN17" s="98">
        <f t="shared" si="2"/>
        <v>0</v>
      </c>
      <c r="AO17" s="98">
        <f t="shared" si="2"/>
        <v>0</v>
      </c>
      <c r="AP17" s="98">
        <f t="shared" si="2"/>
        <v>0</v>
      </c>
      <c r="AQ17" s="98">
        <f t="shared" si="2"/>
        <v>0</v>
      </c>
      <c r="AR17" s="98">
        <f t="shared" si="2"/>
        <v>0</v>
      </c>
      <c r="AS17" s="98">
        <f t="shared" si="2"/>
        <v>0</v>
      </c>
      <c r="AT17" s="98">
        <f t="shared" si="2"/>
        <v>0</v>
      </c>
      <c r="AU17" s="98">
        <f t="shared" si="2"/>
        <v>0</v>
      </c>
      <c r="AV17" s="98">
        <f t="shared" si="2"/>
        <v>0</v>
      </c>
      <c r="AW17" s="98">
        <f t="shared" si="2"/>
        <v>0</v>
      </c>
      <c r="AX17" s="98">
        <f t="shared" si="2"/>
        <v>0</v>
      </c>
      <c r="AY17" s="98">
        <f t="shared" si="2"/>
        <v>0</v>
      </c>
      <c r="AZ17" s="98">
        <f t="shared" si="2"/>
        <v>0</v>
      </c>
      <c r="BA17" s="98">
        <f t="shared" si="2"/>
        <v>0</v>
      </c>
      <c r="BB17" s="98">
        <f t="shared" si="2"/>
        <v>0</v>
      </c>
      <c r="BC17" s="98">
        <f t="shared" si="2"/>
        <v>0</v>
      </c>
      <c r="BD17" s="98">
        <f t="shared" si="2"/>
        <v>0</v>
      </c>
      <c r="BE17" s="98">
        <f>SUM(BE10:BE16)*IF($I$8="Real",1,BF$5)</f>
        <v>0</v>
      </c>
    </row>
    <row r="18" spans="1:57" x14ac:dyDescent="0.35">
      <c r="A18" s="95"/>
      <c r="B18" s="95"/>
      <c r="C18" s="95"/>
      <c r="D18" s="95"/>
      <c r="E18" s="95"/>
      <c r="F18" s="2"/>
      <c r="G18" s="2"/>
      <c r="H18" s="8"/>
      <c r="I18" s="2"/>
      <c r="J18" s="2"/>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5"/>
      <c r="BE18" s="95"/>
    </row>
    <row r="19" spans="1:57" x14ac:dyDescent="0.35">
      <c r="A19" s="27" t="s">
        <v>48</v>
      </c>
      <c r="B19" s="27"/>
      <c r="C19" s="27"/>
      <c r="D19" s="27" t="s">
        <v>329</v>
      </c>
      <c r="E19" s="100" t="s">
        <v>330</v>
      </c>
      <c r="F19" s="100" t="s">
        <v>328</v>
      </c>
      <c r="G19" s="256" t="s">
        <v>331</v>
      </c>
      <c r="H19" s="256" t="s">
        <v>38</v>
      </c>
      <c r="I19" s="256" t="s">
        <v>35</v>
      </c>
      <c r="J19" s="256" t="s">
        <v>283</v>
      </c>
      <c r="K19" s="256" t="s">
        <v>39</v>
      </c>
      <c r="L19" s="10" t="s">
        <v>303</v>
      </c>
      <c r="M19" s="10" t="s">
        <v>62</v>
      </c>
      <c r="N19" s="10" t="s">
        <v>63</v>
      </c>
      <c r="O19" s="10" t="s">
        <v>64</v>
      </c>
      <c r="P19" s="10" t="s">
        <v>65</v>
      </c>
      <c r="Q19" s="10" t="s">
        <v>66</v>
      </c>
      <c r="R19" s="10" t="s">
        <v>67</v>
      </c>
      <c r="S19" s="10" t="s">
        <v>68</v>
      </c>
      <c r="T19" s="10" t="s">
        <v>69</v>
      </c>
      <c r="U19" s="10" t="s">
        <v>70</v>
      </c>
      <c r="V19" s="10" t="s">
        <v>71</v>
      </c>
      <c r="W19" s="10" t="s">
        <v>72</v>
      </c>
      <c r="X19" s="10" t="s">
        <v>73</v>
      </c>
      <c r="Y19" s="10" t="s">
        <v>74</v>
      </c>
      <c r="Z19" s="10" t="s">
        <v>75</v>
      </c>
      <c r="AA19" s="10" t="s">
        <v>76</v>
      </c>
      <c r="AB19" s="10" t="s">
        <v>77</v>
      </c>
      <c r="AC19" s="10" t="s">
        <v>78</v>
      </c>
      <c r="AD19" s="10" t="s">
        <v>79</v>
      </c>
      <c r="AE19" s="10" t="s">
        <v>80</v>
      </c>
      <c r="AF19" s="10" t="s">
        <v>81</v>
      </c>
      <c r="AG19" s="10" t="s">
        <v>82</v>
      </c>
      <c r="AH19" s="10" t="s">
        <v>83</v>
      </c>
      <c r="AI19" s="10" t="s">
        <v>84</v>
      </c>
      <c r="AJ19" s="10" t="s">
        <v>85</v>
      </c>
      <c r="AK19" s="10" t="s">
        <v>86</v>
      </c>
      <c r="AL19" s="10" t="s">
        <v>87</v>
      </c>
      <c r="AM19" s="10" t="s">
        <v>88</v>
      </c>
      <c r="AN19" s="10" t="s">
        <v>89</v>
      </c>
      <c r="AO19" s="10" t="s">
        <v>90</v>
      </c>
      <c r="AP19" s="10" t="s">
        <v>91</v>
      </c>
      <c r="AQ19" s="10" t="s">
        <v>92</v>
      </c>
      <c r="AR19" s="10" t="s">
        <v>93</v>
      </c>
      <c r="AS19" s="10" t="s">
        <v>94</v>
      </c>
      <c r="AT19" s="10" t="s">
        <v>95</v>
      </c>
      <c r="AU19" s="10" t="s">
        <v>96</v>
      </c>
      <c r="AV19" s="10" t="s">
        <v>97</v>
      </c>
      <c r="AW19" s="10" t="s">
        <v>98</v>
      </c>
      <c r="AX19" s="10" t="s">
        <v>99</v>
      </c>
      <c r="AY19" s="10" t="s">
        <v>100</v>
      </c>
      <c r="AZ19" s="10" t="s">
        <v>101</v>
      </c>
      <c r="BA19" s="10" t="s">
        <v>102</v>
      </c>
      <c r="BB19" s="10" t="s">
        <v>103</v>
      </c>
      <c r="BC19" s="10" t="s">
        <v>104</v>
      </c>
      <c r="BD19" s="10" t="s">
        <v>105</v>
      </c>
      <c r="BE19" s="10" t="s">
        <v>106</v>
      </c>
    </row>
    <row r="20" spans="1:57" x14ac:dyDescent="0.35">
      <c r="A20" s="95" t="s">
        <v>49</v>
      </c>
      <c r="B20" s="95"/>
      <c r="C20" s="95"/>
      <c r="D20" s="254">
        <f>'Project description'!$B$5</f>
        <v>0</v>
      </c>
      <c r="E20" s="293" t="str">
        <f>Lists!$B$34</f>
        <v/>
      </c>
      <c r="F20" s="238" t="s">
        <v>160</v>
      </c>
      <c r="G20" s="243" t="s">
        <v>332</v>
      </c>
      <c r="H20" s="243" t="s">
        <v>40</v>
      </c>
      <c r="I20" s="242" t="s">
        <v>109</v>
      </c>
      <c r="J20" s="243">
        <f t="shared" ref="J20:J26" si="3">Analysis_year</f>
        <v>0</v>
      </c>
      <c r="K20" s="244" t="str">
        <f>IF(Inputs!G28="","",Inputs!G28)</f>
        <v/>
      </c>
      <c r="L20" s="245">
        <f>Inputs!H28*IF(Inputs!$E28="Real",1,L$5)</f>
        <v>0</v>
      </c>
      <c r="M20" s="245">
        <f>Inputs!I28*IF(Inputs!$E28="Real",1,M$5)</f>
        <v>0</v>
      </c>
      <c r="N20" s="245">
        <f>Inputs!J28*IF(Inputs!$E28="Real",1,N$5)</f>
        <v>0</v>
      </c>
      <c r="O20" s="245">
        <f>Inputs!K28*IF(Inputs!$E28="Real",1,O$5)</f>
        <v>0</v>
      </c>
      <c r="P20" s="245">
        <f>Inputs!L28*IF(Inputs!$E28="Real",1,P$5)</f>
        <v>0</v>
      </c>
      <c r="Q20" s="245">
        <f>Inputs!M28*IF(Inputs!$E28="Real",1,Q$5)</f>
        <v>0</v>
      </c>
      <c r="R20" s="245">
        <f>Inputs!N28*IF(Inputs!$E28="Real",1,R$5)</f>
        <v>0</v>
      </c>
      <c r="S20" s="245">
        <f>Inputs!O28*IF(Inputs!$E28="Real",1,S$5)</f>
        <v>0</v>
      </c>
      <c r="T20" s="245">
        <f>Inputs!P28*IF(Inputs!$E28="Real",1,T$5)</f>
        <v>0</v>
      </c>
      <c r="U20" s="245">
        <f>Inputs!Q28*IF(Inputs!$E28="Real",1,U$5)</f>
        <v>0</v>
      </c>
      <c r="V20" s="245">
        <f>Inputs!R28*IF(Inputs!$E28="Real",1,V$5)</f>
        <v>0</v>
      </c>
      <c r="W20" s="245">
        <f>Inputs!S28*IF(Inputs!$E28="Real",1,W$5)</f>
        <v>0</v>
      </c>
      <c r="X20" s="245">
        <f>Inputs!T28*IF(Inputs!$E28="Real",1,X$5)</f>
        <v>0</v>
      </c>
      <c r="Y20" s="245">
        <f>Inputs!U28*IF(Inputs!$E28="Real",1,Y$5)</f>
        <v>0</v>
      </c>
      <c r="Z20" s="245">
        <f>Inputs!V28*IF(Inputs!$E28="Real",1,Z$5)</f>
        <v>0</v>
      </c>
      <c r="AA20" s="245">
        <f>Inputs!W28*IF(Inputs!$E28="Real",1,AA$5)</f>
        <v>0</v>
      </c>
      <c r="AB20" s="245">
        <f>Inputs!X28*IF(Inputs!$E28="Real",1,AB$5)</f>
        <v>0</v>
      </c>
      <c r="AC20" s="245">
        <f>Inputs!Y28*IF(Inputs!$E28="Real",1,AC$5)</f>
        <v>0</v>
      </c>
      <c r="AD20" s="245">
        <f>Inputs!Z28*IF(Inputs!$E28="Real",1,AD$5)</f>
        <v>0</v>
      </c>
      <c r="AE20" s="245">
        <f>Inputs!AA28*IF(Inputs!$E28="Real",1,AE$5)</f>
        <v>0</v>
      </c>
      <c r="AF20" s="245">
        <f>Inputs!AB28*IF(Inputs!$E28="Real",1,AF$5)</f>
        <v>0</v>
      </c>
      <c r="AG20" s="245">
        <f>Inputs!AC28*IF(Inputs!$E28="Real",1,AG$5)</f>
        <v>0</v>
      </c>
      <c r="AH20" s="245">
        <f>Inputs!AD28*IF(Inputs!$E28="Real",1,AH$5)</f>
        <v>0</v>
      </c>
      <c r="AI20" s="245">
        <f>Inputs!AE28*IF(Inputs!$E28="Real",1,AI$5)</f>
        <v>0</v>
      </c>
      <c r="AJ20" s="245">
        <f>Inputs!AF28*IF(Inputs!$E28="Real",1,AJ$5)</f>
        <v>0</v>
      </c>
      <c r="AK20" s="245">
        <f>Inputs!AG28*IF(Inputs!$E28="Real",1,AK$5)</f>
        <v>0</v>
      </c>
      <c r="AL20" s="245">
        <f>Inputs!AH28*IF(Inputs!$E28="Real",1,AL$5)</f>
        <v>0</v>
      </c>
      <c r="AM20" s="245">
        <f>Inputs!AI28*IF(Inputs!$E28="Real",1,AM$5)</f>
        <v>0</v>
      </c>
      <c r="AN20" s="245">
        <f>Inputs!AJ28*IF(Inputs!$E28="Real",1,AN$5)</f>
        <v>0</v>
      </c>
      <c r="AO20" s="245">
        <f>Inputs!AK28*IF(Inputs!$E28="Real",1,AO$5)</f>
        <v>0</v>
      </c>
      <c r="AP20" s="245">
        <f>Inputs!AL28*IF(Inputs!$E28="Real",1,AP$5)</f>
        <v>0</v>
      </c>
      <c r="AQ20" s="245">
        <f>Inputs!AM28*IF(Inputs!$E28="Real",1,AQ$5)</f>
        <v>0</v>
      </c>
      <c r="AR20" s="245">
        <f>Inputs!AN28*IF(Inputs!$E28="Real",1,AR$5)</f>
        <v>0</v>
      </c>
      <c r="AS20" s="245">
        <f>Inputs!AO28*IF(Inputs!$E28="Real",1,AS$5)</f>
        <v>0</v>
      </c>
      <c r="AT20" s="245">
        <f>Inputs!AP28*IF(Inputs!$E28="Real",1,AT$5)</f>
        <v>0</v>
      </c>
      <c r="AU20" s="245">
        <f>Inputs!AQ28*IF(Inputs!$E28="Real",1,AU$5)</f>
        <v>0</v>
      </c>
      <c r="AV20" s="245">
        <f>Inputs!AR28*IF(Inputs!$E28="Real",1,AV$5)</f>
        <v>0</v>
      </c>
      <c r="AW20" s="245">
        <f>Inputs!AS28*IF(Inputs!$E28="Real",1,AW$5)</f>
        <v>0</v>
      </c>
      <c r="AX20" s="245">
        <f>Inputs!AT28*IF(Inputs!$E28="Real",1,AX$5)</f>
        <v>0</v>
      </c>
      <c r="AY20" s="245">
        <f>Inputs!AU28*IF(Inputs!$E28="Real",1,AY$5)</f>
        <v>0</v>
      </c>
      <c r="AZ20" s="245">
        <f>Inputs!AV28*IF(Inputs!$E28="Real",1,AZ$5)</f>
        <v>0</v>
      </c>
      <c r="BA20" s="245">
        <f>Inputs!AW28*IF(Inputs!$E28="Real",1,BA$5)</f>
        <v>0</v>
      </c>
      <c r="BB20" s="245">
        <f>Inputs!AX28*IF(Inputs!$E28="Real",1,BB$5)</f>
        <v>0</v>
      </c>
      <c r="BC20" s="245">
        <f>Inputs!AY28*IF(Inputs!$E28="Real",1,BC$5)</f>
        <v>0</v>
      </c>
      <c r="BD20" s="245">
        <f>Inputs!AZ28*IF(Inputs!$E28="Real",1,BD$5)</f>
        <v>0</v>
      </c>
      <c r="BE20" s="245">
        <f>Inputs!BA28*IF(Inputs!$E28="Real",1,BE$5)</f>
        <v>0</v>
      </c>
    </row>
    <row r="21" spans="1:57" x14ac:dyDescent="0.35">
      <c r="A21" s="95"/>
      <c r="B21" s="95"/>
      <c r="C21" s="95"/>
      <c r="D21" s="255">
        <f>'Project description'!$B$5</f>
        <v>0</v>
      </c>
      <c r="E21" s="294" t="str">
        <f>Lists!$B$34</f>
        <v/>
      </c>
      <c r="F21" s="239" t="s">
        <v>160</v>
      </c>
      <c r="G21" s="247" t="s">
        <v>332</v>
      </c>
      <c r="H21" s="247" t="s">
        <v>41</v>
      </c>
      <c r="I21" s="246" t="s">
        <v>109</v>
      </c>
      <c r="J21" s="247">
        <f t="shared" si="3"/>
        <v>0</v>
      </c>
      <c r="K21" s="248" t="str">
        <f>IF(Inputs!G29="","",Inputs!G29)</f>
        <v/>
      </c>
      <c r="L21" s="249">
        <f>Inputs!H29*IF(Inputs!$E29="Real",1,L$5)</f>
        <v>0</v>
      </c>
      <c r="M21" s="249">
        <f>Inputs!I29*IF(Inputs!$E29="Real",1,M$5)</f>
        <v>0</v>
      </c>
      <c r="N21" s="249">
        <f>Inputs!J29*IF(Inputs!$E29="Real",1,N$5)</f>
        <v>0</v>
      </c>
      <c r="O21" s="249">
        <f>Inputs!K29*IF(Inputs!$E29="Real",1,O$5)</f>
        <v>0</v>
      </c>
      <c r="P21" s="249">
        <f>Inputs!L29*IF(Inputs!$E29="Real",1,P$5)</f>
        <v>0</v>
      </c>
      <c r="Q21" s="249">
        <f>Inputs!M29*IF(Inputs!$E29="Real",1,Q$5)</f>
        <v>0</v>
      </c>
      <c r="R21" s="249">
        <f>Inputs!N29*IF(Inputs!$E29="Real",1,R$5)</f>
        <v>0</v>
      </c>
      <c r="S21" s="249">
        <f>Inputs!O29*IF(Inputs!$E29="Real",1,S$5)</f>
        <v>0</v>
      </c>
      <c r="T21" s="249">
        <f>Inputs!P29*IF(Inputs!$E29="Real",1,T$5)</f>
        <v>0</v>
      </c>
      <c r="U21" s="249">
        <f>Inputs!Q29*IF(Inputs!$E29="Real",1,U$5)</f>
        <v>0</v>
      </c>
      <c r="V21" s="249">
        <f>Inputs!R29*IF(Inputs!$E29="Real",1,V$5)</f>
        <v>0</v>
      </c>
      <c r="W21" s="249">
        <f>Inputs!S29*IF(Inputs!$E29="Real",1,W$5)</f>
        <v>0</v>
      </c>
      <c r="X21" s="249">
        <f>Inputs!T29*IF(Inputs!$E29="Real",1,X$5)</f>
        <v>0</v>
      </c>
      <c r="Y21" s="249">
        <f>Inputs!U29*IF(Inputs!$E29="Real",1,Y$5)</f>
        <v>0</v>
      </c>
      <c r="Z21" s="249">
        <f>Inputs!V29*IF(Inputs!$E29="Real",1,Z$5)</f>
        <v>0</v>
      </c>
      <c r="AA21" s="249">
        <f>Inputs!W29*IF(Inputs!$E29="Real",1,AA$5)</f>
        <v>0</v>
      </c>
      <c r="AB21" s="249">
        <f>Inputs!X29*IF(Inputs!$E29="Real",1,AB$5)</f>
        <v>0</v>
      </c>
      <c r="AC21" s="249">
        <f>Inputs!Y29*IF(Inputs!$E29="Real",1,AC$5)</f>
        <v>0</v>
      </c>
      <c r="AD21" s="249">
        <f>Inputs!Z29*IF(Inputs!$E29="Real",1,AD$5)</f>
        <v>0</v>
      </c>
      <c r="AE21" s="249">
        <f>Inputs!AA29*IF(Inputs!$E29="Real",1,AE$5)</f>
        <v>0</v>
      </c>
      <c r="AF21" s="249">
        <f>Inputs!AB29*IF(Inputs!$E29="Real",1,AF$5)</f>
        <v>0</v>
      </c>
      <c r="AG21" s="249">
        <f>Inputs!AC29*IF(Inputs!$E29="Real",1,AG$5)</f>
        <v>0</v>
      </c>
      <c r="AH21" s="249">
        <f>Inputs!AD29*IF(Inputs!$E29="Real",1,AH$5)</f>
        <v>0</v>
      </c>
      <c r="AI21" s="249">
        <f>Inputs!AE29*IF(Inputs!$E29="Real",1,AI$5)</f>
        <v>0</v>
      </c>
      <c r="AJ21" s="249">
        <f>Inputs!AF29*IF(Inputs!$E29="Real",1,AJ$5)</f>
        <v>0</v>
      </c>
      <c r="AK21" s="249">
        <f>Inputs!AG29*IF(Inputs!$E29="Real",1,AK$5)</f>
        <v>0</v>
      </c>
      <c r="AL21" s="249">
        <f>Inputs!AH29*IF(Inputs!$E29="Real",1,AL$5)</f>
        <v>0</v>
      </c>
      <c r="AM21" s="249">
        <f>Inputs!AI29*IF(Inputs!$E29="Real",1,AM$5)</f>
        <v>0</v>
      </c>
      <c r="AN21" s="249">
        <f>Inputs!AJ29*IF(Inputs!$E29="Real",1,AN$5)</f>
        <v>0</v>
      </c>
      <c r="AO21" s="249">
        <f>Inputs!AK29*IF(Inputs!$E29="Real",1,AO$5)</f>
        <v>0</v>
      </c>
      <c r="AP21" s="249">
        <f>Inputs!AL29*IF(Inputs!$E29="Real",1,AP$5)</f>
        <v>0</v>
      </c>
      <c r="AQ21" s="249">
        <f>Inputs!AM29*IF(Inputs!$E29="Real",1,AQ$5)</f>
        <v>0</v>
      </c>
      <c r="AR21" s="249">
        <f>Inputs!AN29*IF(Inputs!$E29="Real",1,AR$5)</f>
        <v>0</v>
      </c>
      <c r="AS21" s="249">
        <f>Inputs!AO29*IF(Inputs!$E29="Real",1,AS$5)</f>
        <v>0</v>
      </c>
      <c r="AT21" s="249">
        <f>Inputs!AP29*IF(Inputs!$E29="Real",1,AT$5)</f>
        <v>0</v>
      </c>
      <c r="AU21" s="249">
        <f>Inputs!AQ29*IF(Inputs!$E29="Real",1,AU$5)</f>
        <v>0</v>
      </c>
      <c r="AV21" s="249">
        <f>Inputs!AR29*IF(Inputs!$E29="Real",1,AV$5)</f>
        <v>0</v>
      </c>
      <c r="AW21" s="249">
        <f>Inputs!AS29*IF(Inputs!$E29="Real",1,AW$5)</f>
        <v>0</v>
      </c>
      <c r="AX21" s="249">
        <f>Inputs!AT29*IF(Inputs!$E29="Real",1,AX$5)</f>
        <v>0</v>
      </c>
      <c r="AY21" s="249">
        <f>Inputs!AU29*IF(Inputs!$E29="Real",1,AY$5)</f>
        <v>0</v>
      </c>
      <c r="AZ21" s="249">
        <f>Inputs!AV29*IF(Inputs!$E29="Real",1,AZ$5)</f>
        <v>0</v>
      </c>
      <c r="BA21" s="249">
        <f>Inputs!AW29*IF(Inputs!$E29="Real",1,BA$5)</f>
        <v>0</v>
      </c>
      <c r="BB21" s="249">
        <f>Inputs!AX29*IF(Inputs!$E29="Real",1,BB$5)</f>
        <v>0</v>
      </c>
      <c r="BC21" s="249">
        <f>Inputs!AY29*IF(Inputs!$E29="Real",1,BC$5)</f>
        <v>0</v>
      </c>
      <c r="BD21" s="249">
        <f>Inputs!AZ29*IF(Inputs!$E29="Real",1,BD$5)</f>
        <v>0</v>
      </c>
      <c r="BE21" s="249">
        <f>Inputs!BA29*IF(Inputs!$E29="Real",1,BE$5)</f>
        <v>0</v>
      </c>
    </row>
    <row r="22" spans="1:57" x14ac:dyDescent="0.35">
      <c r="A22" s="95"/>
      <c r="B22" s="95"/>
      <c r="C22" s="95"/>
      <c r="D22" s="254">
        <f>'Project description'!$B$5</f>
        <v>0</v>
      </c>
      <c r="E22" s="293" t="str">
        <f>Lists!$B$34</f>
        <v/>
      </c>
      <c r="F22" s="238" t="s">
        <v>160</v>
      </c>
      <c r="G22" s="251" t="s">
        <v>332</v>
      </c>
      <c r="H22" s="251" t="s">
        <v>42</v>
      </c>
      <c r="I22" s="250" t="s">
        <v>109</v>
      </c>
      <c r="J22" s="251">
        <f t="shared" si="3"/>
        <v>0</v>
      </c>
      <c r="K22" s="252" t="str">
        <f>IF(Inputs!G30="","",Inputs!G30)</f>
        <v/>
      </c>
      <c r="L22" s="253">
        <f>Inputs!H30*IF(Inputs!$E30="Real",1,L$5)</f>
        <v>0</v>
      </c>
      <c r="M22" s="253">
        <f>Inputs!I30*IF(Inputs!$E30="Real",1,M$5)</f>
        <v>0</v>
      </c>
      <c r="N22" s="253">
        <f>Inputs!J30*IF(Inputs!$E30="Real",1,N$5)</f>
        <v>0</v>
      </c>
      <c r="O22" s="253">
        <f>Inputs!K30*IF(Inputs!$E30="Real",1,O$5)</f>
        <v>0</v>
      </c>
      <c r="P22" s="253">
        <f>Inputs!L30*IF(Inputs!$E30="Real",1,P$5)</f>
        <v>0</v>
      </c>
      <c r="Q22" s="253">
        <f>Inputs!M30*IF(Inputs!$E30="Real",1,Q$5)</f>
        <v>0</v>
      </c>
      <c r="R22" s="253">
        <f>Inputs!N30*IF(Inputs!$E30="Real",1,R$5)</f>
        <v>0</v>
      </c>
      <c r="S22" s="253">
        <f>Inputs!O30*IF(Inputs!$E30="Real",1,S$5)</f>
        <v>0</v>
      </c>
      <c r="T22" s="253">
        <f>Inputs!P30*IF(Inputs!$E30="Real",1,T$5)</f>
        <v>0</v>
      </c>
      <c r="U22" s="253">
        <f>Inputs!Q30*IF(Inputs!$E30="Real",1,U$5)</f>
        <v>0</v>
      </c>
      <c r="V22" s="253">
        <f>Inputs!R30*IF(Inputs!$E30="Real",1,V$5)</f>
        <v>0</v>
      </c>
      <c r="W22" s="253">
        <f>Inputs!S30*IF(Inputs!$E30="Real",1,W$5)</f>
        <v>0</v>
      </c>
      <c r="X22" s="253">
        <f>Inputs!T30*IF(Inputs!$E30="Real",1,X$5)</f>
        <v>0</v>
      </c>
      <c r="Y22" s="253">
        <f>Inputs!U30*IF(Inputs!$E30="Real",1,Y$5)</f>
        <v>0</v>
      </c>
      <c r="Z22" s="253">
        <f>Inputs!V30*IF(Inputs!$E30="Real",1,Z$5)</f>
        <v>0</v>
      </c>
      <c r="AA22" s="253">
        <f>Inputs!W30*IF(Inputs!$E30="Real",1,AA$5)</f>
        <v>0</v>
      </c>
      <c r="AB22" s="253">
        <f>Inputs!X30*IF(Inputs!$E30="Real",1,AB$5)</f>
        <v>0</v>
      </c>
      <c r="AC22" s="253">
        <f>Inputs!Y30*IF(Inputs!$E30="Real",1,AC$5)</f>
        <v>0</v>
      </c>
      <c r="AD22" s="253">
        <f>Inputs!Z30*IF(Inputs!$E30="Real",1,AD$5)</f>
        <v>0</v>
      </c>
      <c r="AE22" s="253">
        <f>Inputs!AA30*IF(Inputs!$E30="Real",1,AE$5)</f>
        <v>0</v>
      </c>
      <c r="AF22" s="253">
        <f>Inputs!AB30*IF(Inputs!$E30="Real",1,AF$5)</f>
        <v>0</v>
      </c>
      <c r="AG22" s="253">
        <f>Inputs!AC30*IF(Inputs!$E30="Real",1,AG$5)</f>
        <v>0</v>
      </c>
      <c r="AH22" s="253">
        <f>Inputs!AD30*IF(Inputs!$E30="Real",1,AH$5)</f>
        <v>0</v>
      </c>
      <c r="AI22" s="253">
        <f>Inputs!AE30*IF(Inputs!$E30="Real",1,AI$5)</f>
        <v>0</v>
      </c>
      <c r="AJ22" s="253">
        <f>Inputs!AF30*IF(Inputs!$E30="Real",1,AJ$5)</f>
        <v>0</v>
      </c>
      <c r="AK22" s="253">
        <f>Inputs!AG30*IF(Inputs!$E30="Real",1,AK$5)</f>
        <v>0</v>
      </c>
      <c r="AL22" s="253">
        <f>Inputs!AH30*IF(Inputs!$E30="Real",1,AL$5)</f>
        <v>0</v>
      </c>
      <c r="AM22" s="253">
        <f>Inputs!AI30*IF(Inputs!$E30="Real",1,AM$5)</f>
        <v>0</v>
      </c>
      <c r="AN22" s="253">
        <f>Inputs!AJ30*IF(Inputs!$E30="Real",1,AN$5)</f>
        <v>0</v>
      </c>
      <c r="AO22" s="253">
        <f>Inputs!AK30*IF(Inputs!$E30="Real",1,AO$5)</f>
        <v>0</v>
      </c>
      <c r="AP22" s="253">
        <f>Inputs!AL30*IF(Inputs!$E30="Real",1,AP$5)</f>
        <v>0</v>
      </c>
      <c r="AQ22" s="253">
        <f>Inputs!AM30*IF(Inputs!$E30="Real",1,AQ$5)</f>
        <v>0</v>
      </c>
      <c r="AR22" s="253">
        <f>Inputs!AN30*IF(Inputs!$E30="Real",1,AR$5)</f>
        <v>0</v>
      </c>
      <c r="AS22" s="253">
        <f>Inputs!AO30*IF(Inputs!$E30="Real",1,AS$5)</f>
        <v>0</v>
      </c>
      <c r="AT22" s="253">
        <f>Inputs!AP30*IF(Inputs!$E30="Real",1,AT$5)</f>
        <v>0</v>
      </c>
      <c r="AU22" s="253">
        <f>Inputs!AQ30*IF(Inputs!$E30="Real",1,AU$5)</f>
        <v>0</v>
      </c>
      <c r="AV22" s="253">
        <f>Inputs!AR30*IF(Inputs!$E30="Real",1,AV$5)</f>
        <v>0</v>
      </c>
      <c r="AW22" s="253">
        <f>Inputs!AS30*IF(Inputs!$E30="Real",1,AW$5)</f>
        <v>0</v>
      </c>
      <c r="AX22" s="253">
        <f>Inputs!AT30*IF(Inputs!$E30="Real",1,AX$5)</f>
        <v>0</v>
      </c>
      <c r="AY22" s="253">
        <f>Inputs!AU30*IF(Inputs!$E30="Real",1,AY$5)</f>
        <v>0</v>
      </c>
      <c r="AZ22" s="253">
        <f>Inputs!AV30*IF(Inputs!$E30="Real",1,AZ$5)</f>
        <v>0</v>
      </c>
      <c r="BA22" s="253">
        <f>Inputs!AW30*IF(Inputs!$E30="Real",1,BA$5)</f>
        <v>0</v>
      </c>
      <c r="BB22" s="253">
        <f>Inputs!AX30*IF(Inputs!$E30="Real",1,BB$5)</f>
        <v>0</v>
      </c>
      <c r="BC22" s="253">
        <f>Inputs!AY30*IF(Inputs!$E30="Real",1,BC$5)</f>
        <v>0</v>
      </c>
      <c r="BD22" s="253">
        <f>Inputs!AZ30*IF(Inputs!$E30="Real",1,BD$5)</f>
        <v>0</v>
      </c>
      <c r="BE22" s="253">
        <f>Inputs!BA30*IF(Inputs!$E30="Real",1,BE$5)</f>
        <v>0</v>
      </c>
    </row>
    <row r="23" spans="1:57" x14ac:dyDescent="0.35">
      <c r="A23" s="95"/>
      <c r="B23" s="95"/>
      <c r="C23" s="95"/>
      <c r="D23" s="255">
        <f>'Project description'!$B$5</f>
        <v>0</v>
      </c>
      <c r="E23" s="294" t="str">
        <f>Lists!$B$34</f>
        <v/>
      </c>
      <c r="F23" s="239" t="s">
        <v>160</v>
      </c>
      <c r="G23" s="247" t="s">
        <v>332</v>
      </c>
      <c r="H23" s="247" t="s">
        <v>43</v>
      </c>
      <c r="I23" s="246" t="s">
        <v>109</v>
      </c>
      <c r="J23" s="247">
        <f t="shared" si="3"/>
        <v>0</v>
      </c>
      <c r="K23" s="248" t="str">
        <f>IF(Inputs!G31="","",Inputs!G31)</f>
        <v/>
      </c>
      <c r="L23" s="249">
        <f>Inputs!H31*IF(Inputs!$E31="Real",1,L$5)</f>
        <v>0</v>
      </c>
      <c r="M23" s="249">
        <f>Inputs!I31*IF(Inputs!$E31="Real",1,M$5)</f>
        <v>0</v>
      </c>
      <c r="N23" s="249">
        <f>Inputs!J31*IF(Inputs!$E31="Real",1,N$5)</f>
        <v>0</v>
      </c>
      <c r="O23" s="249">
        <f>Inputs!K31*IF(Inputs!$E31="Real",1,O$5)</f>
        <v>0</v>
      </c>
      <c r="P23" s="249">
        <f>Inputs!L31*IF(Inputs!$E31="Real",1,P$5)</f>
        <v>0</v>
      </c>
      <c r="Q23" s="249">
        <f>Inputs!M31*IF(Inputs!$E31="Real",1,Q$5)</f>
        <v>0</v>
      </c>
      <c r="R23" s="249">
        <f>Inputs!N31*IF(Inputs!$E31="Real",1,R$5)</f>
        <v>0</v>
      </c>
      <c r="S23" s="249">
        <f>Inputs!O31*IF(Inputs!$E31="Real",1,S$5)</f>
        <v>0</v>
      </c>
      <c r="T23" s="249">
        <f>Inputs!P31*IF(Inputs!$E31="Real",1,T$5)</f>
        <v>0</v>
      </c>
      <c r="U23" s="249">
        <f>Inputs!Q31*IF(Inputs!$E31="Real",1,U$5)</f>
        <v>0</v>
      </c>
      <c r="V23" s="249">
        <f>Inputs!R31*IF(Inputs!$E31="Real",1,V$5)</f>
        <v>0</v>
      </c>
      <c r="W23" s="249">
        <f>Inputs!S31*IF(Inputs!$E31="Real",1,W$5)</f>
        <v>0</v>
      </c>
      <c r="X23" s="249">
        <f>Inputs!T31*IF(Inputs!$E31="Real",1,X$5)</f>
        <v>0</v>
      </c>
      <c r="Y23" s="249">
        <f>Inputs!U31*IF(Inputs!$E31="Real",1,Y$5)</f>
        <v>0</v>
      </c>
      <c r="Z23" s="249">
        <f>Inputs!V31*IF(Inputs!$E31="Real",1,Z$5)</f>
        <v>0</v>
      </c>
      <c r="AA23" s="249">
        <f>Inputs!W31*IF(Inputs!$E31="Real",1,AA$5)</f>
        <v>0</v>
      </c>
      <c r="AB23" s="249">
        <f>Inputs!X31*IF(Inputs!$E31="Real",1,AB$5)</f>
        <v>0</v>
      </c>
      <c r="AC23" s="249">
        <f>Inputs!Y31*IF(Inputs!$E31="Real",1,AC$5)</f>
        <v>0</v>
      </c>
      <c r="AD23" s="249">
        <f>Inputs!Z31*IF(Inputs!$E31="Real",1,AD$5)</f>
        <v>0</v>
      </c>
      <c r="AE23" s="249">
        <f>Inputs!AA31*IF(Inputs!$E31="Real",1,AE$5)</f>
        <v>0</v>
      </c>
      <c r="AF23" s="249">
        <f>Inputs!AB31*IF(Inputs!$E31="Real",1,AF$5)</f>
        <v>0</v>
      </c>
      <c r="AG23" s="249">
        <f>Inputs!AC31*IF(Inputs!$E31="Real",1,AG$5)</f>
        <v>0</v>
      </c>
      <c r="AH23" s="249">
        <f>Inputs!AD31*IF(Inputs!$E31="Real",1,AH$5)</f>
        <v>0</v>
      </c>
      <c r="AI23" s="249">
        <f>Inputs!AE31*IF(Inputs!$E31="Real",1,AI$5)</f>
        <v>0</v>
      </c>
      <c r="AJ23" s="249">
        <f>Inputs!AF31*IF(Inputs!$E31="Real",1,AJ$5)</f>
        <v>0</v>
      </c>
      <c r="AK23" s="249">
        <f>Inputs!AG31*IF(Inputs!$E31="Real",1,AK$5)</f>
        <v>0</v>
      </c>
      <c r="AL23" s="249">
        <f>Inputs!AH31*IF(Inputs!$E31="Real",1,AL$5)</f>
        <v>0</v>
      </c>
      <c r="AM23" s="249">
        <f>Inputs!AI31*IF(Inputs!$E31="Real",1,AM$5)</f>
        <v>0</v>
      </c>
      <c r="AN23" s="249">
        <f>Inputs!AJ31*IF(Inputs!$E31="Real",1,AN$5)</f>
        <v>0</v>
      </c>
      <c r="AO23" s="249">
        <f>Inputs!AK31*IF(Inputs!$E31="Real",1,AO$5)</f>
        <v>0</v>
      </c>
      <c r="AP23" s="249">
        <f>Inputs!AL31*IF(Inputs!$E31="Real",1,AP$5)</f>
        <v>0</v>
      </c>
      <c r="AQ23" s="249">
        <f>Inputs!AM31*IF(Inputs!$E31="Real",1,AQ$5)</f>
        <v>0</v>
      </c>
      <c r="AR23" s="249">
        <f>Inputs!AN31*IF(Inputs!$E31="Real",1,AR$5)</f>
        <v>0</v>
      </c>
      <c r="AS23" s="249">
        <f>Inputs!AO31*IF(Inputs!$E31="Real",1,AS$5)</f>
        <v>0</v>
      </c>
      <c r="AT23" s="249">
        <f>Inputs!AP31*IF(Inputs!$E31="Real",1,AT$5)</f>
        <v>0</v>
      </c>
      <c r="AU23" s="249">
        <f>Inputs!AQ31*IF(Inputs!$E31="Real",1,AU$5)</f>
        <v>0</v>
      </c>
      <c r="AV23" s="249">
        <f>Inputs!AR31*IF(Inputs!$E31="Real",1,AV$5)</f>
        <v>0</v>
      </c>
      <c r="AW23" s="249">
        <f>Inputs!AS31*IF(Inputs!$E31="Real",1,AW$5)</f>
        <v>0</v>
      </c>
      <c r="AX23" s="249">
        <f>Inputs!AT31*IF(Inputs!$E31="Real",1,AX$5)</f>
        <v>0</v>
      </c>
      <c r="AY23" s="249">
        <f>Inputs!AU31*IF(Inputs!$E31="Real",1,AY$5)</f>
        <v>0</v>
      </c>
      <c r="AZ23" s="249">
        <f>Inputs!AV31*IF(Inputs!$E31="Real",1,AZ$5)</f>
        <v>0</v>
      </c>
      <c r="BA23" s="249">
        <f>Inputs!AW31*IF(Inputs!$E31="Real",1,BA$5)</f>
        <v>0</v>
      </c>
      <c r="BB23" s="249">
        <f>Inputs!AX31*IF(Inputs!$E31="Real",1,BB$5)</f>
        <v>0</v>
      </c>
      <c r="BC23" s="249">
        <f>Inputs!AY31*IF(Inputs!$E31="Real",1,BC$5)</f>
        <v>0</v>
      </c>
      <c r="BD23" s="249">
        <f>Inputs!AZ31*IF(Inputs!$E31="Real",1,BD$5)</f>
        <v>0</v>
      </c>
      <c r="BE23" s="249">
        <f>Inputs!BA31*IF(Inputs!$E31="Real",1,BE$5)</f>
        <v>0</v>
      </c>
    </row>
    <row r="24" spans="1:57" x14ac:dyDescent="0.35">
      <c r="A24" s="95"/>
      <c r="B24" s="95"/>
      <c r="C24" s="95"/>
      <c r="D24" s="254">
        <f>'Project description'!$B$5</f>
        <v>0</v>
      </c>
      <c r="E24" s="293" t="str">
        <f>Lists!$B$34</f>
        <v/>
      </c>
      <c r="F24" s="238" t="s">
        <v>160</v>
      </c>
      <c r="G24" s="251" t="s">
        <v>332</v>
      </c>
      <c r="H24" s="251" t="s">
        <v>44</v>
      </c>
      <c r="I24" s="250" t="s">
        <v>109</v>
      </c>
      <c r="J24" s="251">
        <f t="shared" si="3"/>
        <v>0</v>
      </c>
      <c r="K24" s="252" t="str">
        <f>IF(Inputs!G32="","",Inputs!G32)</f>
        <v/>
      </c>
      <c r="L24" s="253">
        <f>Inputs!H32*IF(Inputs!$E32="Real",1,L$5)</f>
        <v>0</v>
      </c>
      <c r="M24" s="253">
        <f>Inputs!I32*IF(Inputs!$E32="Real",1,M$5)</f>
        <v>0</v>
      </c>
      <c r="N24" s="253">
        <f>Inputs!J32*IF(Inputs!$E32="Real",1,N$5)</f>
        <v>0</v>
      </c>
      <c r="O24" s="253">
        <f>Inputs!K32*IF(Inputs!$E32="Real",1,O$5)</f>
        <v>0</v>
      </c>
      <c r="P24" s="253">
        <f>Inputs!L32*IF(Inputs!$E32="Real",1,P$5)</f>
        <v>0</v>
      </c>
      <c r="Q24" s="253">
        <f>Inputs!M32*IF(Inputs!$E32="Real",1,Q$5)</f>
        <v>0</v>
      </c>
      <c r="R24" s="253">
        <f>Inputs!N32*IF(Inputs!$E32="Real",1,R$5)</f>
        <v>0</v>
      </c>
      <c r="S24" s="253">
        <f>Inputs!O32*IF(Inputs!$E32="Real",1,S$5)</f>
        <v>0</v>
      </c>
      <c r="T24" s="253">
        <f>Inputs!P32*IF(Inputs!$E32="Real",1,T$5)</f>
        <v>0</v>
      </c>
      <c r="U24" s="253">
        <f>Inputs!Q32*IF(Inputs!$E32="Real",1,U$5)</f>
        <v>0</v>
      </c>
      <c r="V24" s="253">
        <f>Inputs!R32*IF(Inputs!$E32="Real",1,V$5)</f>
        <v>0</v>
      </c>
      <c r="W24" s="253">
        <f>Inputs!S32*IF(Inputs!$E32="Real",1,W$5)</f>
        <v>0</v>
      </c>
      <c r="X24" s="253">
        <f>Inputs!T32*IF(Inputs!$E32="Real",1,X$5)</f>
        <v>0</v>
      </c>
      <c r="Y24" s="253">
        <f>Inputs!U32*IF(Inputs!$E32="Real",1,Y$5)</f>
        <v>0</v>
      </c>
      <c r="Z24" s="253">
        <f>Inputs!V32*IF(Inputs!$E32="Real",1,Z$5)</f>
        <v>0</v>
      </c>
      <c r="AA24" s="253">
        <f>Inputs!W32*IF(Inputs!$E32="Real",1,AA$5)</f>
        <v>0</v>
      </c>
      <c r="AB24" s="253">
        <f>Inputs!X32*IF(Inputs!$E32="Real",1,AB$5)</f>
        <v>0</v>
      </c>
      <c r="AC24" s="253">
        <f>Inputs!Y32*IF(Inputs!$E32="Real",1,AC$5)</f>
        <v>0</v>
      </c>
      <c r="AD24" s="253">
        <f>Inputs!Z32*IF(Inputs!$E32="Real",1,AD$5)</f>
        <v>0</v>
      </c>
      <c r="AE24" s="253">
        <f>Inputs!AA32*IF(Inputs!$E32="Real",1,AE$5)</f>
        <v>0</v>
      </c>
      <c r="AF24" s="253">
        <f>Inputs!AB32*IF(Inputs!$E32="Real",1,AF$5)</f>
        <v>0</v>
      </c>
      <c r="AG24" s="253">
        <f>Inputs!AC32*IF(Inputs!$E32="Real",1,AG$5)</f>
        <v>0</v>
      </c>
      <c r="AH24" s="253">
        <f>Inputs!AD32*IF(Inputs!$E32="Real",1,AH$5)</f>
        <v>0</v>
      </c>
      <c r="AI24" s="253">
        <f>Inputs!AE32*IF(Inputs!$E32="Real",1,AI$5)</f>
        <v>0</v>
      </c>
      <c r="AJ24" s="253">
        <f>Inputs!AF32*IF(Inputs!$E32="Real",1,AJ$5)</f>
        <v>0</v>
      </c>
      <c r="AK24" s="253">
        <f>Inputs!AG32*IF(Inputs!$E32="Real",1,AK$5)</f>
        <v>0</v>
      </c>
      <c r="AL24" s="253">
        <f>Inputs!AH32*IF(Inputs!$E32="Real",1,AL$5)</f>
        <v>0</v>
      </c>
      <c r="AM24" s="253">
        <f>Inputs!AI32*IF(Inputs!$E32="Real",1,AM$5)</f>
        <v>0</v>
      </c>
      <c r="AN24" s="253">
        <f>Inputs!AJ32*IF(Inputs!$E32="Real",1,AN$5)</f>
        <v>0</v>
      </c>
      <c r="AO24" s="253">
        <f>Inputs!AK32*IF(Inputs!$E32="Real",1,AO$5)</f>
        <v>0</v>
      </c>
      <c r="AP24" s="253">
        <f>Inputs!AL32*IF(Inputs!$E32="Real",1,AP$5)</f>
        <v>0</v>
      </c>
      <c r="AQ24" s="253">
        <f>Inputs!AM32*IF(Inputs!$E32="Real",1,AQ$5)</f>
        <v>0</v>
      </c>
      <c r="AR24" s="253">
        <f>Inputs!AN32*IF(Inputs!$E32="Real",1,AR$5)</f>
        <v>0</v>
      </c>
      <c r="AS24" s="253">
        <f>Inputs!AO32*IF(Inputs!$E32="Real",1,AS$5)</f>
        <v>0</v>
      </c>
      <c r="AT24" s="253">
        <f>Inputs!AP32*IF(Inputs!$E32="Real",1,AT$5)</f>
        <v>0</v>
      </c>
      <c r="AU24" s="253">
        <f>Inputs!AQ32*IF(Inputs!$E32="Real",1,AU$5)</f>
        <v>0</v>
      </c>
      <c r="AV24" s="253">
        <f>Inputs!AR32*IF(Inputs!$E32="Real",1,AV$5)</f>
        <v>0</v>
      </c>
      <c r="AW24" s="253">
        <f>Inputs!AS32*IF(Inputs!$E32="Real",1,AW$5)</f>
        <v>0</v>
      </c>
      <c r="AX24" s="253">
        <f>Inputs!AT32*IF(Inputs!$E32="Real",1,AX$5)</f>
        <v>0</v>
      </c>
      <c r="AY24" s="253">
        <f>Inputs!AU32*IF(Inputs!$E32="Real",1,AY$5)</f>
        <v>0</v>
      </c>
      <c r="AZ24" s="253">
        <f>Inputs!AV32*IF(Inputs!$E32="Real",1,AZ$5)</f>
        <v>0</v>
      </c>
      <c r="BA24" s="253">
        <f>Inputs!AW32*IF(Inputs!$E32="Real",1,BA$5)</f>
        <v>0</v>
      </c>
      <c r="BB24" s="253">
        <f>Inputs!AX32*IF(Inputs!$E32="Real",1,BB$5)</f>
        <v>0</v>
      </c>
      <c r="BC24" s="253">
        <f>Inputs!AY32*IF(Inputs!$E32="Real",1,BC$5)</f>
        <v>0</v>
      </c>
      <c r="BD24" s="253">
        <f>Inputs!AZ32*IF(Inputs!$E32="Real",1,BD$5)</f>
        <v>0</v>
      </c>
      <c r="BE24" s="253">
        <f>Inputs!BA32*IF(Inputs!$E32="Real",1,BE$5)</f>
        <v>0</v>
      </c>
    </row>
    <row r="25" spans="1:57" x14ac:dyDescent="0.35">
      <c r="A25" s="95"/>
      <c r="B25" s="95"/>
      <c r="C25" s="95"/>
      <c r="D25" s="255">
        <f>'Project description'!$B$5</f>
        <v>0</v>
      </c>
      <c r="E25" s="294" t="str">
        <f>Lists!$B$34</f>
        <v/>
      </c>
      <c r="F25" s="239" t="s">
        <v>160</v>
      </c>
      <c r="G25" s="247" t="s">
        <v>332</v>
      </c>
      <c r="H25" s="247" t="s">
        <v>45</v>
      </c>
      <c r="I25" s="246" t="s">
        <v>109</v>
      </c>
      <c r="J25" s="247">
        <f t="shared" si="3"/>
        <v>0</v>
      </c>
      <c r="K25" s="248" t="str">
        <f>IF(Inputs!G33="","",Inputs!G33)</f>
        <v/>
      </c>
      <c r="L25" s="249">
        <f>Inputs!H33*IF(Inputs!$E33="Real",1,L$5)</f>
        <v>0</v>
      </c>
      <c r="M25" s="249">
        <f>Inputs!I33*IF(Inputs!$E33="Real",1,M$5)</f>
        <v>0</v>
      </c>
      <c r="N25" s="249">
        <f>Inputs!J33*IF(Inputs!$E33="Real",1,N$5)</f>
        <v>0</v>
      </c>
      <c r="O25" s="249">
        <f>Inputs!K33*IF(Inputs!$E33="Real",1,O$5)</f>
        <v>0</v>
      </c>
      <c r="P25" s="249">
        <f>Inputs!L33*IF(Inputs!$E33="Real",1,P$5)</f>
        <v>0</v>
      </c>
      <c r="Q25" s="249">
        <f>Inputs!M33*IF(Inputs!$E33="Real",1,Q$5)</f>
        <v>0</v>
      </c>
      <c r="R25" s="249">
        <f>Inputs!N33*IF(Inputs!$E33="Real",1,R$5)</f>
        <v>0</v>
      </c>
      <c r="S25" s="249">
        <f>Inputs!O33*IF(Inputs!$E33="Real",1,S$5)</f>
        <v>0</v>
      </c>
      <c r="T25" s="249">
        <f>Inputs!P33*IF(Inputs!$E33="Real",1,T$5)</f>
        <v>0</v>
      </c>
      <c r="U25" s="249">
        <f>Inputs!Q33*IF(Inputs!$E33="Real",1,U$5)</f>
        <v>0</v>
      </c>
      <c r="V25" s="249">
        <f>Inputs!R33*IF(Inputs!$E33="Real",1,V$5)</f>
        <v>0</v>
      </c>
      <c r="W25" s="249">
        <f>Inputs!S33*IF(Inputs!$E33="Real",1,W$5)</f>
        <v>0</v>
      </c>
      <c r="X25" s="249">
        <f>Inputs!T33*IF(Inputs!$E33="Real",1,X$5)</f>
        <v>0</v>
      </c>
      <c r="Y25" s="249">
        <f>Inputs!U33*IF(Inputs!$E33="Real",1,Y$5)</f>
        <v>0</v>
      </c>
      <c r="Z25" s="249">
        <f>Inputs!V33*IF(Inputs!$E33="Real",1,Z$5)</f>
        <v>0</v>
      </c>
      <c r="AA25" s="249">
        <f>Inputs!W33*IF(Inputs!$E33="Real",1,AA$5)</f>
        <v>0</v>
      </c>
      <c r="AB25" s="249">
        <f>Inputs!X33*IF(Inputs!$E33="Real",1,AB$5)</f>
        <v>0</v>
      </c>
      <c r="AC25" s="249">
        <f>Inputs!Y33*IF(Inputs!$E33="Real",1,AC$5)</f>
        <v>0</v>
      </c>
      <c r="AD25" s="249">
        <f>Inputs!Z33*IF(Inputs!$E33="Real",1,AD$5)</f>
        <v>0</v>
      </c>
      <c r="AE25" s="249">
        <f>Inputs!AA33*IF(Inputs!$E33="Real",1,AE$5)</f>
        <v>0</v>
      </c>
      <c r="AF25" s="249">
        <f>Inputs!AB33*IF(Inputs!$E33="Real",1,AF$5)</f>
        <v>0</v>
      </c>
      <c r="AG25" s="249">
        <f>Inputs!AC33*IF(Inputs!$E33="Real",1,AG$5)</f>
        <v>0</v>
      </c>
      <c r="AH25" s="249">
        <f>Inputs!AD33*IF(Inputs!$E33="Real",1,AH$5)</f>
        <v>0</v>
      </c>
      <c r="AI25" s="249">
        <f>Inputs!AE33*IF(Inputs!$E33="Real",1,AI$5)</f>
        <v>0</v>
      </c>
      <c r="AJ25" s="249">
        <f>Inputs!AF33*IF(Inputs!$E33="Real",1,AJ$5)</f>
        <v>0</v>
      </c>
      <c r="AK25" s="249">
        <f>Inputs!AG33*IF(Inputs!$E33="Real",1,AK$5)</f>
        <v>0</v>
      </c>
      <c r="AL25" s="249">
        <f>Inputs!AH33*IF(Inputs!$E33="Real",1,AL$5)</f>
        <v>0</v>
      </c>
      <c r="AM25" s="249">
        <f>Inputs!AI33*IF(Inputs!$E33="Real",1,AM$5)</f>
        <v>0</v>
      </c>
      <c r="AN25" s="249">
        <f>Inputs!AJ33*IF(Inputs!$E33="Real",1,AN$5)</f>
        <v>0</v>
      </c>
      <c r="AO25" s="249">
        <f>Inputs!AK33*IF(Inputs!$E33="Real",1,AO$5)</f>
        <v>0</v>
      </c>
      <c r="AP25" s="249">
        <f>Inputs!AL33*IF(Inputs!$E33="Real",1,AP$5)</f>
        <v>0</v>
      </c>
      <c r="AQ25" s="249">
        <f>Inputs!AM33*IF(Inputs!$E33="Real",1,AQ$5)</f>
        <v>0</v>
      </c>
      <c r="AR25" s="249">
        <f>Inputs!AN33*IF(Inputs!$E33="Real",1,AR$5)</f>
        <v>0</v>
      </c>
      <c r="AS25" s="249">
        <f>Inputs!AO33*IF(Inputs!$E33="Real",1,AS$5)</f>
        <v>0</v>
      </c>
      <c r="AT25" s="249">
        <f>Inputs!AP33*IF(Inputs!$E33="Real",1,AT$5)</f>
        <v>0</v>
      </c>
      <c r="AU25" s="249">
        <f>Inputs!AQ33*IF(Inputs!$E33="Real",1,AU$5)</f>
        <v>0</v>
      </c>
      <c r="AV25" s="249">
        <f>Inputs!AR33*IF(Inputs!$E33="Real",1,AV$5)</f>
        <v>0</v>
      </c>
      <c r="AW25" s="249">
        <f>Inputs!AS33*IF(Inputs!$E33="Real",1,AW$5)</f>
        <v>0</v>
      </c>
      <c r="AX25" s="249">
        <f>Inputs!AT33*IF(Inputs!$E33="Real",1,AX$5)</f>
        <v>0</v>
      </c>
      <c r="AY25" s="249">
        <f>Inputs!AU33*IF(Inputs!$E33="Real",1,AY$5)</f>
        <v>0</v>
      </c>
      <c r="AZ25" s="249">
        <f>Inputs!AV33*IF(Inputs!$E33="Real",1,AZ$5)</f>
        <v>0</v>
      </c>
      <c r="BA25" s="249">
        <f>Inputs!AW33*IF(Inputs!$E33="Real",1,BA$5)</f>
        <v>0</v>
      </c>
      <c r="BB25" s="249">
        <f>Inputs!AX33*IF(Inputs!$E33="Real",1,BB$5)</f>
        <v>0</v>
      </c>
      <c r="BC25" s="249">
        <f>Inputs!AY33*IF(Inputs!$E33="Real",1,BC$5)</f>
        <v>0</v>
      </c>
      <c r="BD25" s="249">
        <f>Inputs!AZ33*IF(Inputs!$E33="Real",1,BD$5)</f>
        <v>0</v>
      </c>
      <c r="BE25" s="249">
        <f>Inputs!BA33*IF(Inputs!$E33="Real",1,BE$5)</f>
        <v>0</v>
      </c>
    </row>
    <row r="26" spans="1:57" x14ac:dyDescent="0.35">
      <c r="A26" s="95"/>
      <c r="B26" s="95"/>
      <c r="C26" s="95"/>
      <c r="D26" s="250">
        <f>'Project description'!$B$5</f>
        <v>0</v>
      </c>
      <c r="E26" s="295" t="str">
        <f>Lists!$B$34</f>
        <v/>
      </c>
      <c r="F26" s="251" t="s">
        <v>160</v>
      </c>
      <c r="G26" s="251" t="s">
        <v>332</v>
      </c>
      <c r="H26" s="251" t="s">
        <v>46</v>
      </c>
      <c r="I26" s="250" t="s">
        <v>109</v>
      </c>
      <c r="J26" s="251">
        <f t="shared" si="3"/>
        <v>0</v>
      </c>
      <c r="K26" s="252" t="str">
        <f>IF(Inputs!G34="","",Inputs!G34)</f>
        <v/>
      </c>
      <c r="L26" s="253">
        <f>Inputs!H34*IF(Inputs!$E34="Real",1,L$5)</f>
        <v>0</v>
      </c>
      <c r="M26" s="253">
        <f>Inputs!I34*IF(Inputs!$E34="Real",1,M$5)</f>
        <v>0</v>
      </c>
      <c r="N26" s="253">
        <f>Inputs!J34*IF(Inputs!$E34="Real",1,N$5)</f>
        <v>0</v>
      </c>
      <c r="O26" s="253">
        <f>Inputs!K34*IF(Inputs!$E34="Real",1,O$5)</f>
        <v>0</v>
      </c>
      <c r="P26" s="253">
        <f>Inputs!L34*IF(Inputs!$E34="Real",1,P$5)</f>
        <v>0</v>
      </c>
      <c r="Q26" s="253">
        <f>Inputs!M34*IF(Inputs!$E34="Real",1,Q$5)</f>
        <v>0</v>
      </c>
      <c r="R26" s="253">
        <f>Inputs!N34*IF(Inputs!$E34="Real",1,R$5)</f>
        <v>0</v>
      </c>
      <c r="S26" s="253">
        <f>Inputs!O34*IF(Inputs!$E34="Real",1,S$5)</f>
        <v>0</v>
      </c>
      <c r="T26" s="253">
        <f>Inputs!P34*IF(Inputs!$E34="Real",1,T$5)</f>
        <v>0</v>
      </c>
      <c r="U26" s="253">
        <f>Inputs!Q34*IF(Inputs!$E34="Real",1,U$5)</f>
        <v>0</v>
      </c>
      <c r="V26" s="253">
        <f>Inputs!R34*IF(Inputs!$E34="Real",1,V$5)</f>
        <v>0</v>
      </c>
      <c r="W26" s="253">
        <f>Inputs!S34*IF(Inputs!$E34="Real",1,W$5)</f>
        <v>0</v>
      </c>
      <c r="X26" s="253">
        <f>Inputs!T34*IF(Inputs!$E34="Real",1,X$5)</f>
        <v>0</v>
      </c>
      <c r="Y26" s="253">
        <f>Inputs!U34*IF(Inputs!$E34="Real",1,Y$5)</f>
        <v>0</v>
      </c>
      <c r="Z26" s="253">
        <f>Inputs!V34*IF(Inputs!$E34="Real",1,Z$5)</f>
        <v>0</v>
      </c>
      <c r="AA26" s="253">
        <f>Inputs!W34*IF(Inputs!$E34="Real",1,AA$5)</f>
        <v>0</v>
      </c>
      <c r="AB26" s="253">
        <f>Inputs!X34*IF(Inputs!$E34="Real",1,AB$5)</f>
        <v>0</v>
      </c>
      <c r="AC26" s="253">
        <f>Inputs!Y34*IF(Inputs!$E34="Real",1,AC$5)</f>
        <v>0</v>
      </c>
      <c r="AD26" s="253">
        <f>Inputs!Z34*IF(Inputs!$E34="Real",1,AD$5)</f>
        <v>0</v>
      </c>
      <c r="AE26" s="253">
        <f>Inputs!AA34*IF(Inputs!$E34="Real",1,AE$5)</f>
        <v>0</v>
      </c>
      <c r="AF26" s="253">
        <f>Inputs!AB34*IF(Inputs!$E34="Real",1,AF$5)</f>
        <v>0</v>
      </c>
      <c r="AG26" s="253">
        <f>Inputs!AC34*IF(Inputs!$E34="Real",1,AG$5)</f>
        <v>0</v>
      </c>
      <c r="AH26" s="253">
        <f>Inputs!AD34*IF(Inputs!$E34="Real",1,AH$5)</f>
        <v>0</v>
      </c>
      <c r="AI26" s="253">
        <f>Inputs!AE34*IF(Inputs!$E34="Real",1,AI$5)</f>
        <v>0</v>
      </c>
      <c r="AJ26" s="253">
        <f>Inputs!AF34*IF(Inputs!$E34="Real",1,AJ$5)</f>
        <v>0</v>
      </c>
      <c r="AK26" s="253">
        <f>Inputs!AG34*IF(Inputs!$E34="Real",1,AK$5)</f>
        <v>0</v>
      </c>
      <c r="AL26" s="253">
        <f>Inputs!AH34*IF(Inputs!$E34="Real",1,AL$5)</f>
        <v>0</v>
      </c>
      <c r="AM26" s="253">
        <f>Inputs!AI34*IF(Inputs!$E34="Real",1,AM$5)</f>
        <v>0</v>
      </c>
      <c r="AN26" s="253">
        <f>Inputs!AJ34*IF(Inputs!$E34="Real",1,AN$5)</f>
        <v>0</v>
      </c>
      <c r="AO26" s="253">
        <f>Inputs!AK34*IF(Inputs!$E34="Real",1,AO$5)</f>
        <v>0</v>
      </c>
      <c r="AP26" s="253">
        <f>Inputs!AL34*IF(Inputs!$E34="Real",1,AP$5)</f>
        <v>0</v>
      </c>
      <c r="AQ26" s="253">
        <f>Inputs!AM34*IF(Inputs!$E34="Real",1,AQ$5)</f>
        <v>0</v>
      </c>
      <c r="AR26" s="253">
        <f>Inputs!AN34*IF(Inputs!$E34="Real",1,AR$5)</f>
        <v>0</v>
      </c>
      <c r="AS26" s="253">
        <f>Inputs!AO34*IF(Inputs!$E34="Real",1,AS$5)</f>
        <v>0</v>
      </c>
      <c r="AT26" s="253">
        <f>Inputs!AP34*IF(Inputs!$E34="Real",1,AT$5)</f>
        <v>0</v>
      </c>
      <c r="AU26" s="253">
        <f>Inputs!AQ34*IF(Inputs!$E34="Real",1,AU$5)</f>
        <v>0</v>
      </c>
      <c r="AV26" s="253">
        <f>Inputs!AR34*IF(Inputs!$E34="Real",1,AV$5)</f>
        <v>0</v>
      </c>
      <c r="AW26" s="253">
        <f>Inputs!AS34*IF(Inputs!$E34="Real",1,AW$5)</f>
        <v>0</v>
      </c>
      <c r="AX26" s="253">
        <f>Inputs!AT34*IF(Inputs!$E34="Real",1,AX$5)</f>
        <v>0</v>
      </c>
      <c r="AY26" s="253">
        <f>Inputs!AU34*IF(Inputs!$E34="Real",1,AY$5)</f>
        <v>0</v>
      </c>
      <c r="AZ26" s="253">
        <f>Inputs!AV34*IF(Inputs!$E34="Real",1,AZ$5)</f>
        <v>0</v>
      </c>
      <c r="BA26" s="253">
        <f>Inputs!AW34*IF(Inputs!$E34="Real",1,BA$5)</f>
        <v>0</v>
      </c>
      <c r="BB26" s="253">
        <f>Inputs!AX34*IF(Inputs!$E34="Real",1,BB$5)</f>
        <v>0</v>
      </c>
      <c r="BC26" s="253">
        <f>Inputs!AY34*IF(Inputs!$E34="Real",1,BC$5)</f>
        <v>0</v>
      </c>
      <c r="BD26" s="253">
        <f>Inputs!AZ34*IF(Inputs!$E34="Real",1,BD$5)</f>
        <v>0</v>
      </c>
      <c r="BE26" s="253">
        <f>Inputs!BA34*IF(Inputs!$E34="Real",1,BE$5)</f>
        <v>0</v>
      </c>
    </row>
    <row r="27" spans="1:57" x14ac:dyDescent="0.35">
      <c r="A27" s="95"/>
      <c r="B27" s="95"/>
      <c r="C27" s="95"/>
      <c r="D27" s="95"/>
      <c r="E27" s="95"/>
      <c r="F27" s="2"/>
      <c r="G27" s="2"/>
      <c r="H27" s="4" t="str">
        <f>"Total capex in "&amp;Analysis_year&amp;" dollars"</f>
        <v>Total capex in  dollars</v>
      </c>
      <c r="I27" s="4"/>
      <c r="J27" s="4"/>
      <c r="K27" s="4"/>
      <c r="L27" s="104">
        <f>SUBTOTAL(109,'Real values'!$L$20:$L$26)</f>
        <v>0</v>
      </c>
      <c r="M27" s="104">
        <f>SUBTOTAL(109,'Real values'!$M$20:$M$26)</f>
        <v>0</v>
      </c>
      <c r="N27" s="104">
        <f>SUBTOTAL(109,'Real values'!$N$20:$N$26)</f>
        <v>0</v>
      </c>
      <c r="O27" s="104">
        <f>SUBTOTAL(109,'Real values'!$O$20:$O$26)</f>
        <v>0</v>
      </c>
      <c r="P27" s="104">
        <f>SUBTOTAL(109,'Real values'!$P$20:$P$26)</f>
        <v>0</v>
      </c>
      <c r="Q27" s="104">
        <f>SUBTOTAL(109,'Real values'!$Q$20:$Q$26)</f>
        <v>0</v>
      </c>
      <c r="R27" s="104">
        <f>SUBTOTAL(109,'Real values'!$R$20:$R$26)</f>
        <v>0</v>
      </c>
      <c r="S27" s="104">
        <f>SUBTOTAL(109,'Real values'!$S$20:$S$26)</f>
        <v>0</v>
      </c>
      <c r="T27" s="104">
        <f>SUBTOTAL(109,'Real values'!$T$20:$T$26)</f>
        <v>0</v>
      </c>
      <c r="U27" s="104">
        <f>SUBTOTAL(109,'Real values'!$U$20:$U$26)</f>
        <v>0</v>
      </c>
      <c r="V27" s="104">
        <f>SUBTOTAL(109,'Real values'!$V$20:$V$26)</f>
        <v>0</v>
      </c>
      <c r="W27" s="104">
        <f>SUBTOTAL(109,'Real values'!$W$20:$W$26)</f>
        <v>0</v>
      </c>
      <c r="X27" s="104">
        <f>SUBTOTAL(109,'Real values'!$X$20:$X$26)</f>
        <v>0</v>
      </c>
      <c r="Y27" s="104">
        <f>SUBTOTAL(109,'Real values'!$Y$20:$Y$26)</f>
        <v>0</v>
      </c>
      <c r="Z27" s="104">
        <f>SUBTOTAL(109,'Real values'!$Z$20:$Z$26)</f>
        <v>0</v>
      </c>
      <c r="AA27" s="104">
        <f>SUBTOTAL(109,'Real values'!$AA$20:$AA$26)</f>
        <v>0</v>
      </c>
      <c r="AB27" s="104">
        <f>SUBTOTAL(109,'Real values'!$AB$20:$AB$26)</f>
        <v>0</v>
      </c>
      <c r="AC27" s="104">
        <f>SUBTOTAL(109,'Real values'!$AC$20:$AC$26)</f>
        <v>0</v>
      </c>
      <c r="AD27" s="104">
        <f>SUBTOTAL(109,'Real values'!$AD$20:$AD$26)</f>
        <v>0</v>
      </c>
      <c r="AE27" s="104">
        <f>SUBTOTAL(109,'Real values'!$AE$20:$AE$26)</f>
        <v>0</v>
      </c>
      <c r="AF27" s="104">
        <f>SUBTOTAL(109,'Real values'!$AF$20:$AF$26)</f>
        <v>0</v>
      </c>
      <c r="AG27" s="104">
        <f>SUBTOTAL(109,'Real values'!$AG$20:$AG$26)</f>
        <v>0</v>
      </c>
      <c r="AH27" s="104">
        <f>SUBTOTAL(109,'Real values'!$AH$20:$AH$26)</f>
        <v>0</v>
      </c>
      <c r="AI27" s="104">
        <f>SUBTOTAL(109,'Real values'!$AI$20:$AI$26)</f>
        <v>0</v>
      </c>
      <c r="AJ27" s="104">
        <f>SUBTOTAL(109,'Real values'!$AJ$20:$AJ$26)</f>
        <v>0</v>
      </c>
      <c r="AK27" s="104">
        <f>SUBTOTAL(109,'Real values'!$AK$20:$AK$26)</f>
        <v>0</v>
      </c>
      <c r="AL27" s="104">
        <f>SUBTOTAL(109,'Real values'!$AL$20:$AL$26)</f>
        <v>0</v>
      </c>
      <c r="AM27" s="104">
        <f>SUBTOTAL(109,'Real values'!$AM$20:$AM$26)</f>
        <v>0</v>
      </c>
      <c r="AN27" s="104">
        <f>SUBTOTAL(109,'Real values'!$AN$20:$AN$26)</f>
        <v>0</v>
      </c>
      <c r="AO27" s="104">
        <f>SUBTOTAL(109,'Real values'!$AO$20:$AO$26)</f>
        <v>0</v>
      </c>
      <c r="AP27" s="104">
        <f>SUBTOTAL(109,'Real values'!$AP$20:$AP$26)</f>
        <v>0</v>
      </c>
      <c r="AQ27" s="104">
        <f>SUBTOTAL(109,'Real values'!$AQ$20:$AQ$26)</f>
        <v>0</v>
      </c>
      <c r="AR27" s="104">
        <f>SUBTOTAL(109,'Real values'!$AR$20:$AR$26)</f>
        <v>0</v>
      </c>
      <c r="AS27" s="104">
        <f>SUBTOTAL(109,'Real values'!$AS$20:$AS$26)</f>
        <v>0</v>
      </c>
      <c r="AT27" s="104">
        <f>SUBTOTAL(109,'Real values'!$AT$20:$AT$26)</f>
        <v>0</v>
      </c>
      <c r="AU27" s="104">
        <f>SUBTOTAL(109,'Real values'!$AU$20:$AU$26)</f>
        <v>0</v>
      </c>
      <c r="AV27" s="104">
        <f>SUBTOTAL(109,'Real values'!$AV$20:$AV$26)</f>
        <v>0</v>
      </c>
      <c r="AW27" s="104">
        <f>SUBTOTAL(109,'Real values'!$AW$20:$AW$26)</f>
        <v>0</v>
      </c>
      <c r="AX27" s="104">
        <f>SUBTOTAL(109,'Real values'!$AX$20:$AX$26)</f>
        <v>0</v>
      </c>
      <c r="AY27" s="104">
        <f>SUBTOTAL(109,'Real values'!$AY$20:$AY$26)</f>
        <v>0</v>
      </c>
      <c r="AZ27" s="104">
        <f>SUBTOTAL(109,'Real values'!$AZ$20:$AZ$26)</f>
        <v>0</v>
      </c>
      <c r="BA27" s="104">
        <f>SUBTOTAL(109,'Real values'!$BA$20:$BA$26)</f>
        <v>0</v>
      </c>
      <c r="BB27" s="104">
        <f>SUBTOTAL(109,'Real values'!$BB$20:$BB$26)</f>
        <v>0</v>
      </c>
      <c r="BC27" s="104">
        <f>SUBTOTAL(109,'Real values'!$BC$20:$BC$26)</f>
        <v>0</v>
      </c>
      <c r="BD27" s="104">
        <f>SUBTOTAL(109,'Real values'!$BD$20:$BD$26)</f>
        <v>0</v>
      </c>
      <c r="BE27" s="104">
        <f>SUBTOTAL(109,'Real values'!$BE$20:$BE$26)</f>
        <v>0</v>
      </c>
    </row>
    <row r="28" spans="1:57" x14ac:dyDescent="0.35">
      <c r="A28" s="95"/>
      <c r="B28" s="95"/>
      <c r="C28" s="95"/>
      <c r="D28" s="95"/>
      <c r="E28" s="95"/>
      <c r="F28" s="2"/>
      <c r="G28" s="2"/>
      <c r="H28" s="4"/>
      <c r="I28" s="4"/>
      <c r="J28" s="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95"/>
      <c r="BE28" s="95"/>
    </row>
    <row r="29" spans="1:57" ht="18.5" x14ac:dyDescent="0.45">
      <c r="A29" s="7" t="s">
        <v>50</v>
      </c>
      <c r="B29" s="7"/>
      <c r="C29" s="7"/>
      <c r="D29" s="7"/>
      <c r="E29" s="7"/>
      <c r="F29" s="2"/>
      <c r="G29" s="2"/>
      <c r="H29" s="7"/>
      <c r="I29" s="7"/>
      <c r="J29" s="2"/>
      <c r="K29" s="2"/>
      <c r="L29" s="2"/>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row>
    <row r="30" spans="1:57" ht="18.5" x14ac:dyDescent="0.45">
      <c r="A30" s="1" t="s">
        <v>51</v>
      </c>
      <c r="B30" s="1"/>
      <c r="C30" s="1"/>
      <c r="D30" s="1"/>
      <c r="E30" s="1"/>
      <c r="F30" s="7"/>
      <c r="G30" s="7"/>
      <c r="H30" s="2"/>
      <c r="I30" s="2"/>
      <c r="J30" s="2"/>
      <c r="K30" s="2"/>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row>
    <row r="31" spans="1:57" x14ac:dyDescent="0.35">
      <c r="A31" s="28" t="s">
        <v>37</v>
      </c>
      <c r="B31" s="28"/>
      <c r="C31" s="28"/>
      <c r="D31" s="270" t="s">
        <v>329</v>
      </c>
      <c r="E31" s="234" t="s">
        <v>330</v>
      </c>
      <c r="F31" s="234" t="s">
        <v>328</v>
      </c>
      <c r="G31" s="234" t="s">
        <v>331</v>
      </c>
      <c r="H31" s="234" t="s">
        <v>52</v>
      </c>
      <c r="I31" s="234" t="s">
        <v>35</v>
      </c>
      <c r="J31" s="234" t="s">
        <v>283</v>
      </c>
      <c r="K31" s="234" t="s">
        <v>39</v>
      </c>
      <c r="L31" s="127" t="s">
        <v>303</v>
      </c>
      <c r="M31" s="127" t="s">
        <v>62</v>
      </c>
      <c r="N31" s="127" t="s">
        <v>63</v>
      </c>
      <c r="O31" s="127" t="s">
        <v>64</v>
      </c>
      <c r="P31" s="127" t="s">
        <v>65</v>
      </c>
      <c r="Q31" s="127" t="s">
        <v>66</v>
      </c>
      <c r="R31" s="127" t="s">
        <v>67</v>
      </c>
      <c r="S31" s="127" t="s">
        <v>68</v>
      </c>
      <c r="T31" s="127" t="s">
        <v>69</v>
      </c>
      <c r="U31" s="127" t="s">
        <v>70</v>
      </c>
      <c r="V31" s="127" t="s">
        <v>71</v>
      </c>
      <c r="W31" s="127" t="s">
        <v>72</v>
      </c>
      <c r="X31" s="127" t="s">
        <v>73</v>
      </c>
      <c r="Y31" s="127" t="s">
        <v>74</v>
      </c>
      <c r="Z31" s="127" t="s">
        <v>75</v>
      </c>
      <c r="AA31" s="127" t="s">
        <v>76</v>
      </c>
      <c r="AB31" s="127" t="s">
        <v>77</v>
      </c>
      <c r="AC31" s="127" t="s">
        <v>78</v>
      </c>
      <c r="AD31" s="127" t="s">
        <v>79</v>
      </c>
      <c r="AE31" s="127" t="s">
        <v>80</v>
      </c>
      <c r="AF31" s="127" t="s">
        <v>81</v>
      </c>
      <c r="AG31" s="127" t="s">
        <v>82</v>
      </c>
      <c r="AH31" s="127" t="s">
        <v>83</v>
      </c>
      <c r="AI31" s="127" t="s">
        <v>84</v>
      </c>
      <c r="AJ31" s="127" t="s">
        <v>85</v>
      </c>
      <c r="AK31" s="127" t="s">
        <v>86</v>
      </c>
      <c r="AL31" s="127" t="s">
        <v>87</v>
      </c>
      <c r="AM31" s="127" t="s">
        <v>88</v>
      </c>
      <c r="AN31" s="127" t="s">
        <v>89</v>
      </c>
      <c r="AO31" s="127" t="s">
        <v>90</v>
      </c>
      <c r="AP31" s="127" t="s">
        <v>91</v>
      </c>
      <c r="AQ31" s="127" t="s">
        <v>92</v>
      </c>
      <c r="AR31" s="127" t="s">
        <v>93</v>
      </c>
      <c r="AS31" s="127" t="s">
        <v>94</v>
      </c>
      <c r="AT31" s="127" t="s">
        <v>95</v>
      </c>
      <c r="AU31" s="127" t="s">
        <v>96</v>
      </c>
      <c r="AV31" s="127" t="s">
        <v>97</v>
      </c>
      <c r="AW31" s="127" t="s">
        <v>98</v>
      </c>
      <c r="AX31" s="127" t="s">
        <v>99</v>
      </c>
      <c r="AY31" s="127" t="s">
        <v>100</v>
      </c>
      <c r="AZ31" s="127" t="s">
        <v>101</v>
      </c>
      <c r="BA31" s="127" t="s">
        <v>102</v>
      </c>
      <c r="BB31" s="127" t="s">
        <v>103</v>
      </c>
      <c r="BC31" s="127" t="s">
        <v>104</v>
      </c>
      <c r="BD31" s="127" t="s">
        <v>105</v>
      </c>
      <c r="BE31" s="127" t="s">
        <v>106</v>
      </c>
    </row>
    <row r="32" spans="1:57" x14ac:dyDescent="0.35">
      <c r="A32" s="95"/>
      <c r="B32" s="95"/>
      <c r="C32" s="95"/>
      <c r="D32" s="267">
        <f>'Project description'!$B$5</f>
        <v>0</v>
      </c>
      <c r="E32" s="214" t="str">
        <f>Lists!$B$34</f>
        <v/>
      </c>
      <c r="F32" s="214" t="s">
        <v>148</v>
      </c>
      <c r="G32" s="214" t="s">
        <v>333</v>
      </c>
      <c r="H32" s="214" t="s">
        <v>53</v>
      </c>
      <c r="I32" s="214" t="s">
        <v>109</v>
      </c>
      <c r="J32" s="215">
        <f t="shared" ref="J32:J37" si="4">Analysis_year</f>
        <v>0</v>
      </c>
      <c r="K32" s="257" t="str">
        <f>IF(Inputs!G42="","",Inputs!G42)</f>
        <v/>
      </c>
      <c r="L32" s="258">
        <f>Inputs!H42*IF(Inputs!$E42="Real",1,L$5)</f>
        <v>0</v>
      </c>
      <c r="M32" s="258">
        <f>Inputs!I42*IF(Inputs!$E42="Real",1,M$5)</f>
        <v>0</v>
      </c>
      <c r="N32" s="258">
        <f>Inputs!J42*IF(Inputs!$E42="Real",1,N$5)</f>
        <v>0</v>
      </c>
      <c r="O32" s="258">
        <f>Inputs!K42*IF(Inputs!$E42="Real",1,O$5)</f>
        <v>0</v>
      </c>
      <c r="P32" s="258">
        <f>Inputs!L42*IF(Inputs!$E42="Real",1,P$5)</f>
        <v>0</v>
      </c>
      <c r="Q32" s="258">
        <f>Inputs!M42*IF(Inputs!$E42="Real",1,Q$5)</f>
        <v>0</v>
      </c>
      <c r="R32" s="258">
        <f>Inputs!N42*IF(Inputs!$E42="Real",1,R$5)</f>
        <v>0</v>
      </c>
      <c r="S32" s="258">
        <f>Inputs!O42*IF(Inputs!$E42="Real",1,S$5)</f>
        <v>0</v>
      </c>
      <c r="T32" s="258">
        <f>Inputs!P42*IF(Inputs!$E42="Real",1,T$5)</f>
        <v>0</v>
      </c>
      <c r="U32" s="258">
        <f>Inputs!Q42*IF(Inputs!$E42="Real",1,U$5)</f>
        <v>0</v>
      </c>
      <c r="V32" s="258">
        <f>Inputs!R42*IF(Inputs!$E42="Real",1,V$5)</f>
        <v>0</v>
      </c>
      <c r="W32" s="258">
        <f>Inputs!S42*IF(Inputs!$E42="Real",1,W$5)</f>
        <v>0</v>
      </c>
      <c r="X32" s="258">
        <f>Inputs!T42*IF(Inputs!$E42="Real",1,X$5)</f>
        <v>0</v>
      </c>
      <c r="Y32" s="258">
        <f>Inputs!U42*IF(Inputs!$E42="Real",1,Y$5)</f>
        <v>0</v>
      </c>
      <c r="Z32" s="258">
        <f>Inputs!V42*IF(Inputs!$E42="Real",1,Z$5)</f>
        <v>0</v>
      </c>
      <c r="AA32" s="258">
        <f>Inputs!W42*IF(Inputs!$E42="Real",1,AA$5)</f>
        <v>0</v>
      </c>
      <c r="AB32" s="258">
        <f>Inputs!X42*IF(Inputs!$E42="Real",1,AB$5)</f>
        <v>0</v>
      </c>
      <c r="AC32" s="258">
        <f>Inputs!Y42*IF(Inputs!$E42="Real",1,AC$5)</f>
        <v>0</v>
      </c>
      <c r="AD32" s="258">
        <f>Inputs!Z42*IF(Inputs!$E42="Real",1,AD$5)</f>
        <v>0</v>
      </c>
      <c r="AE32" s="258">
        <f>Inputs!AA42*IF(Inputs!$E42="Real",1,AE$5)</f>
        <v>0</v>
      </c>
      <c r="AF32" s="258">
        <f>Inputs!AB42*IF(Inputs!$E42="Real",1,AF$5)</f>
        <v>0</v>
      </c>
      <c r="AG32" s="258">
        <f>Inputs!AC42*IF(Inputs!$E42="Real",1,AG$5)</f>
        <v>0</v>
      </c>
      <c r="AH32" s="258">
        <f>Inputs!AD42*IF(Inputs!$E42="Real",1,AH$5)</f>
        <v>0</v>
      </c>
      <c r="AI32" s="258">
        <f>Inputs!AE42*IF(Inputs!$E42="Real",1,AI$5)</f>
        <v>0</v>
      </c>
      <c r="AJ32" s="258">
        <f>Inputs!AF42*IF(Inputs!$E42="Real",1,AJ$5)</f>
        <v>0</v>
      </c>
      <c r="AK32" s="258">
        <f>Inputs!AG42*IF(Inputs!$E42="Real",1,AK$5)</f>
        <v>0</v>
      </c>
      <c r="AL32" s="258">
        <f>Inputs!AH42*IF(Inputs!$E42="Real",1,AL$5)</f>
        <v>0</v>
      </c>
      <c r="AM32" s="258">
        <f>Inputs!AI42*IF(Inputs!$E42="Real",1,AM$5)</f>
        <v>0</v>
      </c>
      <c r="AN32" s="258">
        <f>Inputs!AJ42*IF(Inputs!$E42="Real",1,AN$5)</f>
        <v>0</v>
      </c>
      <c r="AO32" s="258">
        <f>Inputs!AK42*IF(Inputs!$E42="Real",1,AO$5)</f>
        <v>0</v>
      </c>
      <c r="AP32" s="258">
        <f>Inputs!AL42*IF(Inputs!$E42="Real",1,AP$5)</f>
        <v>0</v>
      </c>
      <c r="AQ32" s="258">
        <f>Inputs!AM42*IF(Inputs!$E42="Real",1,AQ$5)</f>
        <v>0</v>
      </c>
      <c r="AR32" s="258">
        <f>Inputs!AN42*IF(Inputs!$E42="Real",1,AR$5)</f>
        <v>0</v>
      </c>
      <c r="AS32" s="258">
        <f>Inputs!AO42*IF(Inputs!$E42="Real",1,AS$5)</f>
        <v>0</v>
      </c>
      <c r="AT32" s="258">
        <f>Inputs!AP42*IF(Inputs!$E42="Real",1,AT$5)</f>
        <v>0</v>
      </c>
      <c r="AU32" s="258">
        <f>Inputs!AQ42*IF(Inputs!$E42="Real",1,AU$5)</f>
        <v>0</v>
      </c>
      <c r="AV32" s="258">
        <f>Inputs!AR42*IF(Inputs!$E42="Real",1,AV$5)</f>
        <v>0</v>
      </c>
      <c r="AW32" s="258">
        <f>Inputs!AS42*IF(Inputs!$E42="Real",1,AW$5)</f>
        <v>0</v>
      </c>
      <c r="AX32" s="258">
        <f>Inputs!AT42*IF(Inputs!$E42="Real",1,AX$5)</f>
        <v>0</v>
      </c>
      <c r="AY32" s="258">
        <f>Inputs!AU42*IF(Inputs!$E42="Real",1,AY$5)</f>
        <v>0</v>
      </c>
      <c r="AZ32" s="258">
        <f>Inputs!AV42*IF(Inputs!$E42="Real",1,AZ$5)</f>
        <v>0</v>
      </c>
      <c r="BA32" s="258">
        <f>Inputs!AW42*IF(Inputs!$E42="Real",1,BA$5)</f>
        <v>0</v>
      </c>
      <c r="BB32" s="258">
        <f>Inputs!AX42*IF(Inputs!$E42="Real",1,BB$5)</f>
        <v>0</v>
      </c>
      <c r="BC32" s="258">
        <f>Inputs!AY42*IF(Inputs!$E42="Real",1,BC$5)</f>
        <v>0</v>
      </c>
      <c r="BD32" s="258">
        <f>Inputs!AZ42*IF(Inputs!$E42="Real",1,BD$5)</f>
        <v>0</v>
      </c>
      <c r="BE32" s="258">
        <f>Inputs!BA42*IF(Inputs!$E42="Real",1,BE$5)</f>
        <v>0</v>
      </c>
    </row>
    <row r="33" spans="1:57" x14ac:dyDescent="0.35">
      <c r="A33" s="95"/>
      <c r="B33" s="95"/>
      <c r="C33" s="95"/>
      <c r="D33" s="268">
        <f>'Project description'!$B$5</f>
        <v>0</v>
      </c>
      <c r="E33" s="218" t="str">
        <f>Lists!$B$34</f>
        <v/>
      </c>
      <c r="F33" s="218" t="s">
        <v>148</v>
      </c>
      <c r="G33" s="218" t="s">
        <v>333</v>
      </c>
      <c r="H33" s="218" t="s">
        <v>54</v>
      </c>
      <c r="I33" s="218" t="s">
        <v>109</v>
      </c>
      <c r="J33" s="219">
        <f t="shared" si="4"/>
        <v>0</v>
      </c>
      <c r="K33" s="259" t="str">
        <f>IF(Inputs!G43="","",Inputs!G43)</f>
        <v/>
      </c>
      <c r="L33" s="260">
        <f>Inputs!H43*IF(Inputs!$E43="Real",1,L$5)</f>
        <v>0</v>
      </c>
      <c r="M33" s="260">
        <f>Inputs!I43*IF(Inputs!$E43="Real",1,M$5)</f>
        <v>0</v>
      </c>
      <c r="N33" s="260">
        <f>Inputs!J43*IF(Inputs!$E43="Real",1,N$5)</f>
        <v>0</v>
      </c>
      <c r="O33" s="260">
        <f>Inputs!K43*IF(Inputs!$E43="Real",1,O$5)</f>
        <v>0</v>
      </c>
      <c r="P33" s="260">
        <f>Inputs!L43*IF(Inputs!$E43="Real",1,P$5)</f>
        <v>0</v>
      </c>
      <c r="Q33" s="260">
        <f>Inputs!M43*IF(Inputs!$E43="Real",1,Q$5)</f>
        <v>0</v>
      </c>
      <c r="R33" s="260">
        <f>Inputs!N43*IF(Inputs!$E43="Real",1,R$5)</f>
        <v>0</v>
      </c>
      <c r="S33" s="260">
        <f>Inputs!O43*IF(Inputs!$E43="Real",1,S$5)</f>
        <v>0</v>
      </c>
      <c r="T33" s="260">
        <f>Inputs!P43*IF(Inputs!$E43="Real",1,T$5)</f>
        <v>0</v>
      </c>
      <c r="U33" s="260">
        <f>Inputs!Q43*IF(Inputs!$E43="Real",1,U$5)</f>
        <v>0</v>
      </c>
      <c r="V33" s="260">
        <f>Inputs!R43*IF(Inputs!$E43="Real",1,V$5)</f>
        <v>0</v>
      </c>
      <c r="W33" s="260">
        <f>Inputs!S43*IF(Inputs!$E43="Real",1,W$5)</f>
        <v>0</v>
      </c>
      <c r="X33" s="260">
        <f>Inputs!T43*IF(Inputs!$E43="Real",1,X$5)</f>
        <v>0</v>
      </c>
      <c r="Y33" s="260">
        <f>Inputs!U43*IF(Inputs!$E43="Real",1,Y$5)</f>
        <v>0</v>
      </c>
      <c r="Z33" s="260">
        <f>Inputs!V43*IF(Inputs!$E43="Real",1,Z$5)</f>
        <v>0</v>
      </c>
      <c r="AA33" s="260">
        <f>Inputs!W43*IF(Inputs!$E43="Real",1,AA$5)</f>
        <v>0</v>
      </c>
      <c r="AB33" s="260">
        <f>Inputs!X43*IF(Inputs!$E43="Real",1,AB$5)</f>
        <v>0</v>
      </c>
      <c r="AC33" s="260">
        <f>Inputs!Y43*IF(Inputs!$E43="Real",1,AC$5)</f>
        <v>0</v>
      </c>
      <c r="AD33" s="260">
        <f>Inputs!Z43*IF(Inputs!$E43="Real",1,AD$5)</f>
        <v>0</v>
      </c>
      <c r="AE33" s="260">
        <f>Inputs!AA43*IF(Inputs!$E43="Real",1,AE$5)</f>
        <v>0</v>
      </c>
      <c r="AF33" s="260">
        <f>Inputs!AB43*IF(Inputs!$E43="Real",1,AF$5)</f>
        <v>0</v>
      </c>
      <c r="AG33" s="260">
        <f>Inputs!AC43*IF(Inputs!$E43="Real",1,AG$5)</f>
        <v>0</v>
      </c>
      <c r="AH33" s="260">
        <f>Inputs!AD43*IF(Inputs!$E43="Real",1,AH$5)</f>
        <v>0</v>
      </c>
      <c r="AI33" s="260">
        <f>Inputs!AE43*IF(Inputs!$E43="Real",1,AI$5)</f>
        <v>0</v>
      </c>
      <c r="AJ33" s="260">
        <f>Inputs!AF43*IF(Inputs!$E43="Real",1,AJ$5)</f>
        <v>0</v>
      </c>
      <c r="AK33" s="260">
        <f>Inputs!AG43*IF(Inputs!$E43="Real",1,AK$5)</f>
        <v>0</v>
      </c>
      <c r="AL33" s="260">
        <f>Inputs!AH43*IF(Inputs!$E43="Real",1,AL$5)</f>
        <v>0</v>
      </c>
      <c r="AM33" s="260">
        <f>Inputs!AI43*IF(Inputs!$E43="Real",1,AM$5)</f>
        <v>0</v>
      </c>
      <c r="AN33" s="260">
        <f>Inputs!AJ43*IF(Inputs!$E43="Real",1,AN$5)</f>
        <v>0</v>
      </c>
      <c r="AO33" s="260">
        <f>Inputs!AK43*IF(Inputs!$E43="Real",1,AO$5)</f>
        <v>0</v>
      </c>
      <c r="AP33" s="260">
        <f>Inputs!AL43*IF(Inputs!$E43="Real",1,AP$5)</f>
        <v>0</v>
      </c>
      <c r="AQ33" s="260">
        <f>Inputs!AM43*IF(Inputs!$E43="Real",1,AQ$5)</f>
        <v>0</v>
      </c>
      <c r="AR33" s="260">
        <f>Inputs!AN43*IF(Inputs!$E43="Real",1,AR$5)</f>
        <v>0</v>
      </c>
      <c r="AS33" s="260">
        <f>Inputs!AO43*IF(Inputs!$E43="Real",1,AS$5)</f>
        <v>0</v>
      </c>
      <c r="AT33" s="260">
        <f>Inputs!AP43*IF(Inputs!$E43="Real",1,AT$5)</f>
        <v>0</v>
      </c>
      <c r="AU33" s="260">
        <f>Inputs!AQ43*IF(Inputs!$E43="Real",1,AU$5)</f>
        <v>0</v>
      </c>
      <c r="AV33" s="260">
        <f>Inputs!AR43*IF(Inputs!$E43="Real",1,AV$5)</f>
        <v>0</v>
      </c>
      <c r="AW33" s="260">
        <f>Inputs!AS43*IF(Inputs!$E43="Real",1,AW$5)</f>
        <v>0</v>
      </c>
      <c r="AX33" s="260">
        <f>Inputs!AT43*IF(Inputs!$E43="Real",1,AX$5)</f>
        <v>0</v>
      </c>
      <c r="AY33" s="260">
        <f>Inputs!AU43*IF(Inputs!$E43="Real",1,AY$5)</f>
        <v>0</v>
      </c>
      <c r="AZ33" s="260">
        <f>Inputs!AV43*IF(Inputs!$E43="Real",1,AZ$5)</f>
        <v>0</v>
      </c>
      <c r="BA33" s="260">
        <f>Inputs!AW43*IF(Inputs!$E43="Real",1,BA$5)</f>
        <v>0</v>
      </c>
      <c r="BB33" s="260">
        <f>Inputs!AX43*IF(Inputs!$E43="Real",1,BB$5)</f>
        <v>0</v>
      </c>
      <c r="BC33" s="260">
        <f>Inputs!AY43*IF(Inputs!$E43="Real",1,BC$5)</f>
        <v>0</v>
      </c>
      <c r="BD33" s="260">
        <f>Inputs!AZ43*IF(Inputs!$E43="Real",1,BD$5)</f>
        <v>0</v>
      </c>
      <c r="BE33" s="260">
        <f>Inputs!BA43*IF(Inputs!$E43="Real",1,BE$5)</f>
        <v>0</v>
      </c>
    </row>
    <row r="34" spans="1:57" x14ac:dyDescent="0.35">
      <c r="A34" s="95"/>
      <c r="B34" s="95"/>
      <c r="C34" s="95"/>
      <c r="D34" s="269">
        <f>'Project description'!$B$5</f>
        <v>0</v>
      </c>
      <c r="E34" s="222" t="str">
        <f>Lists!$B$34</f>
        <v/>
      </c>
      <c r="F34" s="222" t="s">
        <v>148</v>
      </c>
      <c r="G34" s="222" t="s">
        <v>333</v>
      </c>
      <c r="H34" s="222" t="s">
        <v>55</v>
      </c>
      <c r="I34" s="222" t="s">
        <v>109</v>
      </c>
      <c r="J34" s="223">
        <f t="shared" si="4"/>
        <v>0</v>
      </c>
      <c r="K34" s="261" t="str">
        <f>IF(Inputs!G44="","",Inputs!G44)</f>
        <v/>
      </c>
      <c r="L34" s="262">
        <f>Inputs!H44*IF(Inputs!$E44="Real",1,L$5)</f>
        <v>0</v>
      </c>
      <c r="M34" s="262">
        <f>Inputs!I44*IF(Inputs!$E44="Real",1,M$5)</f>
        <v>0</v>
      </c>
      <c r="N34" s="262">
        <f>Inputs!J44*IF(Inputs!$E44="Real",1,N$5)</f>
        <v>0</v>
      </c>
      <c r="O34" s="262">
        <f>Inputs!K44*IF(Inputs!$E44="Real",1,O$5)</f>
        <v>0</v>
      </c>
      <c r="P34" s="262">
        <f>Inputs!L44*IF(Inputs!$E44="Real",1,P$5)</f>
        <v>0</v>
      </c>
      <c r="Q34" s="262">
        <f>Inputs!M44*IF(Inputs!$E44="Real",1,Q$5)</f>
        <v>0</v>
      </c>
      <c r="R34" s="262">
        <f>Inputs!N44*IF(Inputs!$E44="Real",1,R$5)</f>
        <v>0</v>
      </c>
      <c r="S34" s="262">
        <f>Inputs!O44*IF(Inputs!$E44="Real",1,S$5)</f>
        <v>0</v>
      </c>
      <c r="T34" s="262">
        <f>Inputs!P44*IF(Inputs!$E44="Real",1,T$5)</f>
        <v>0</v>
      </c>
      <c r="U34" s="262">
        <f>Inputs!Q44*IF(Inputs!$E44="Real",1,U$5)</f>
        <v>0</v>
      </c>
      <c r="V34" s="262">
        <f>Inputs!R44*IF(Inputs!$E44="Real",1,V$5)</f>
        <v>0</v>
      </c>
      <c r="W34" s="262">
        <f>Inputs!S44*IF(Inputs!$E44="Real",1,W$5)</f>
        <v>0</v>
      </c>
      <c r="X34" s="262">
        <f>Inputs!T44*IF(Inputs!$E44="Real",1,X$5)</f>
        <v>0</v>
      </c>
      <c r="Y34" s="262">
        <f>Inputs!U44*IF(Inputs!$E44="Real",1,Y$5)</f>
        <v>0</v>
      </c>
      <c r="Z34" s="262">
        <f>Inputs!V44*IF(Inputs!$E44="Real",1,Z$5)</f>
        <v>0</v>
      </c>
      <c r="AA34" s="262">
        <f>Inputs!W44*IF(Inputs!$E44="Real",1,AA$5)</f>
        <v>0</v>
      </c>
      <c r="AB34" s="262">
        <f>Inputs!X44*IF(Inputs!$E44="Real",1,AB$5)</f>
        <v>0</v>
      </c>
      <c r="AC34" s="262">
        <f>Inputs!Y44*IF(Inputs!$E44="Real",1,AC$5)</f>
        <v>0</v>
      </c>
      <c r="AD34" s="262">
        <f>Inputs!Z44*IF(Inputs!$E44="Real",1,AD$5)</f>
        <v>0</v>
      </c>
      <c r="AE34" s="262">
        <f>Inputs!AA44*IF(Inputs!$E44="Real",1,AE$5)</f>
        <v>0</v>
      </c>
      <c r="AF34" s="262">
        <f>Inputs!AB44*IF(Inputs!$E44="Real",1,AF$5)</f>
        <v>0</v>
      </c>
      <c r="AG34" s="262">
        <f>Inputs!AC44*IF(Inputs!$E44="Real",1,AG$5)</f>
        <v>0</v>
      </c>
      <c r="AH34" s="262">
        <f>Inputs!AD44*IF(Inputs!$E44="Real",1,AH$5)</f>
        <v>0</v>
      </c>
      <c r="AI34" s="262">
        <f>Inputs!AE44*IF(Inputs!$E44="Real",1,AI$5)</f>
        <v>0</v>
      </c>
      <c r="AJ34" s="262">
        <f>Inputs!AF44*IF(Inputs!$E44="Real",1,AJ$5)</f>
        <v>0</v>
      </c>
      <c r="AK34" s="262">
        <f>Inputs!AG44*IF(Inputs!$E44="Real",1,AK$5)</f>
        <v>0</v>
      </c>
      <c r="AL34" s="262">
        <f>Inputs!AH44*IF(Inputs!$E44="Real",1,AL$5)</f>
        <v>0</v>
      </c>
      <c r="AM34" s="262">
        <f>Inputs!AI44*IF(Inputs!$E44="Real",1,AM$5)</f>
        <v>0</v>
      </c>
      <c r="AN34" s="262">
        <f>Inputs!AJ44*IF(Inputs!$E44="Real",1,AN$5)</f>
        <v>0</v>
      </c>
      <c r="AO34" s="262">
        <f>Inputs!AK44*IF(Inputs!$E44="Real",1,AO$5)</f>
        <v>0</v>
      </c>
      <c r="AP34" s="262">
        <f>Inputs!AL44*IF(Inputs!$E44="Real",1,AP$5)</f>
        <v>0</v>
      </c>
      <c r="AQ34" s="262">
        <f>Inputs!AM44*IF(Inputs!$E44="Real",1,AQ$5)</f>
        <v>0</v>
      </c>
      <c r="AR34" s="262">
        <f>Inputs!AN44*IF(Inputs!$E44="Real",1,AR$5)</f>
        <v>0</v>
      </c>
      <c r="AS34" s="262">
        <f>Inputs!AO44*IF(Inputs!$E44="Real",1,AS$5)</f>
        <v>0</v>
      </c>
      <c r="AT34" s="262">
        <f>Inputs!AP44*IF(Inputs!$E44="Real",1,AT$5)</f>
        <v>0</v>
      </c>
      <c r="AU34" s="262">
        <f>Inputs!AQ44*IF(Inputs!$E44="Real",1,AU$5)</f>
        <v>0</v>
      </c>
      <c r="AV34" s="262">
        <f>Inputs!AR44*IF(Inputs!$E44="Real",1,AV$5)</f>
        <v>0</v>
      </c>
      <c r="AW34" s="262">
        <f>Inputs!AS44*IF(Inputs!$E44="Real",1,AW$5)</f>
        <v>0</v>
      </c>
      <c r="AX34" s="262">
        <f>Inputs!AT44*IF(Inputs!$E44="Real",1,AX$5)</f>
        <v>0</v>
      </c>
      <c r="AY34" s="262">
        <f>Inputs!AU44*IF(Inputs!$E44="Real",1,AY$5)</f>
        <v>0</v>
      </c>
      <c r="AZ34" s="262">
        <f>Inputs!AV44*IF(Inputs!$E44="Real",1,AZ$5)</f>
        <v>0</v>
      </c>
      <c r="BA34" s="262">
        <f>Inputs!AW44*IF(Inputs!$E44="Real",1,BA$5)</f>
        <v>0</v>
      </c>
      <c r="BB34" s="262">
        <f>Inputs!AX44*IF(Inputs!$E44="Real",1,BB$5)</f>
        <v>0</v>
      </c>
      <c r="BC34" s="262">
        <f>Inputs!AY44*IF(Inputs!$E44="Real",1,BC$5)</f>
        <v>0</v>
      </c>
      <c r="BD34" s="262">
        <f>Inputs!AZ44*IF(Inputs!$E44="Real",1,BD$5)</f>
        <v>0</v>
      </c>
      <c r="BE34" s="262">
        <f>Inputs!BA44*IF(Inputs!$E44="Real",1,BE$5)</f>
        <v>0</v>
      </c>
    </row>
    <row r="35" spans="1:57" x14ac:dyDescent="0.35">
      <c r="A35" s="95"/>
      <c r="B35" s="95"/>
      <c r="C35" s="95"/>
      <c r="D35" s="268">
        <f>'Project description'!$B$5</f>
        <v>0</v>
      </c>
      <c r="E35" s="218" t="str">
        <f>Lists!$B$34</f>
        <v/>
      </c>
      <c r="F35" s="218" t="s">
        <v>148</v>
      </c>
      <c r="G35" s="218" t="s">
        <v>333</v>
      </c>
      <c r="H35" s="218" t="s">
        <v>56</v>
      </c>
      <c r="I35" s="218" t="s">
        <v>109</v>
      </c>
      <c r="J35" s="219">
        <f t="shared" si="4"/>
        <v>0</v>
      </c>
      <c r="K35" s="259" t="str">
        <f>IF(Inputs!G45="","",Inputs!G45)</f>
        <v/>
      </c>
      <c r="L35" s="260">
        <f>Inputs!H45*IF(Inputs!$E45="Real",1,L$5)</f>
        <v>0</v>
      </c>
      <c r="M35" s="260">
        <f>Inputs!I45*IF(Inputs!$E45="Real",1,M$5)</f>
        <v>0</v>
      </c>
      <c r="N35" s="260">
        <f>Inputs!J45*IF(Inputs!$E45="Real",1,N$5)</f>
        <v>0</v>
      </c>
      <c r="O35" s="260">
        <f>Inputs!K45*IF(Inputs!$E45="Real",1,O$5)</f>
        <v>0</v>
      </c>
      <c r="P35" s="260">
        <f>Inputs!L45*IF(Inputs!$E45="Real",1,P$5)</f>
        <v>0</v>
      </c>
      <c r="Q35" s="260">
        <f>Inputs!M45*IF(Inputs!$E45="Real",1,Q$5)</f>
        <v>0</v>
      </c>
      <c r="R35" s="260">
        <f>Inputs!N45*IF(Inputs!$E45="Real",1,R$5)</f>
        <v>0</v>
      </c>
      <c r="S35" s="260">
        <f>Inputs!O45*IF(Inputs!$E45="Real",1,S$5)</f>
        <v>0</v>
      </c>
      <c r="T35" s="260">
        <f>Inputs!P45*IF(Inputs!$E45="Real",1,T$5)</f>
        <v>0</v>
      </c>
      <c r="U35" s="260">
        <f>Inputs!Q45*IF(Inputs!$E45="Real",1,U$5)</f>
        <v>0</v>
      </c>
      <c r="V35" s="260">
        <f>Inputs!R45*IF(Inputs!$E45="Real",1,V$5)</f>
        <v>0</v>
      </c>
      <c r="W35" s="260">
        <f>Inputs!S45*IF(Inputs!$E45="Real",1,W$5)</f>
        <v>0</v>
      </c>
      <c r="X35" s="260">
        <f>Inputs!T45*IF(Inputs!$E45="Real",1,X$5)</f>
        <v>0</v>
      </c>
      <c r="Y35" s="260">
        <f>Inputs!U45*IF(Inputs!$E45="Real",1,Y$5)</f>
        <v>0</v>
      </c>
      <c r="Z35" s="260">
        <f>Inputs!V45*IF(Inputs!$E45="Real",1,Z$5)</f>
        <v>0</v>
      </c>
      <c r="AA35" s="260">
        <f>Inputs!W45*IF(Inputs!$E45="Real",1,AA$5)</f>
        <v>0</v>
      </c>
      <c r="AB35" s="260">
        <f>Inputs!X45*IF(Inputs!$E45="Real",1,AB$5)</f>
        <v>0</v>
      </c>
      <c r="AC35" s="260">
        <f>Inputs!Y45*IF(Inputs!$E45="Real",1,AC$5)</f>
        <v>0</v>
      </c>
      <c r="AD35" s="260">
        <f>Inputs!Z45*IF(Inputs!$E45="Real",1,AD$5)</f>
        <v>0</v>
      </c>
      <c r="AE35" s="260">
        <f>Inputs!AA45*IF(Inputs!$E45="Real",1,AE$5)</f>
        <v>0</v>
      </c>
      <c r="AF35" s="260">
        <f>Inputs!AB45*IF(Inputs!$E45="Real",1,AF$5)</f>
        <v>0</v>
      </c>
      <c r="AG35" s="260">
        <f>Inputs!AC45*IF(Inputs!$E45="Real",1,AG$5)</f>
        <v>0</v>
      </c>
      <c r="AH35" s="260">
        <f>Inputs!AD45*IF(Inputs!$E45="Real",1,AH$5)</f>
        <v>0</v>
      </c>
      <c r="AI35" s="260">
        <f>Inputs!AE45*IF(Inputs!$E45="Real",1,AI$5)</f>
        <v>0</v>
      </c>
      <c r="AJ35" s="260">
        <f>Inputs!AF45*IF(Inputs!$E45="Real",1,AJ$5)</f>
        <v>0</v>
      </c>
      <c r="AK35" s="260">
        <f>Inputs!AG45*IF(Inputs!$E45="Real",1,AK$5)</f>
        <v>0</v>
      </c>
      <c r="AL35" s="260">
        <f>Inputs!AH45*IF(Inputs!$E45="Real",1,AL$5)</f>
        <v>0</v>
      </c>
      <c r="AM35" s="260">
        <f>Inputs!AI45*IF(Inputs!$E45="Real",1,AM$5)</f>
        <v>0</v>
      </c>
      <c r="AN35" s="260">
        <f>Inputs!AJ45*IF(Inputs!$E45="Real",1,AN$5)</f>
        <v>0</v>
      </c>
      <c r="AO35" s="260">
        <f>Inputs!AK45*IF(Inputs!$E45="Real",1,AO$5)</f>
        <v>0</v>
      </c>
      <c r="AP35" s="260">
        <f>Inputs!AL45*IF(Inputs!$E45="Real",1,AP$5)</f>
        <v>0</v>
      </c>
      <c r="AQ35" s="260">
        <f>Inputs!AM45*IF(Inputs!$E45="Real",1,AQ$5)</f>
        <v>0</v>
      </c>
      <c r="AR35" s="260">
        <f>Inputs!AN45*IF(Inputs!$E45="Real",1,AR$5)</f>
        <v>0</v>
      </c>
      <c r="AS35" s="260">
        <f>Inputs!AO45*IF(Inputs!$E45="Real",1,AS$5)</f>
        <v>0</v>
      </c>
      <c r="AT35" s="260">
        <f>Inputs!AP45*IF(Inputs!$E45="Real",1,AT$5)</f>
        <v>0</v>
      </c>
      <c r="AU35" s="260">
        <f>Inputs!AQ45*IF(Inputs!$E45="Real",1,AU$5)</f>
        <v>0</v>
      </c>
      <c r="AV35" s="260">
        <f>Inputs!AR45*IF(Inputs!$E45="Real",1,AV$5)</f>
        <v>0</v>
      </c>
      <c r="AW35" s="260">
        <f>Inputs!AS45*IF(Inputs!$E45="Real",1,AW$5)</f>
        <v>0</v>
      </c>
      <c r="AX35" s="260">
        <f>Inputs!AT45*IF(Inputs!$E45="Real",1,AX$5)</f>
        <v>0</v>
      </c>
      <c r="AY35" s="260">
        <f>Inputs!AU45*IF(Inputs!$E45="Real",1,AY$5)</f>
        <v>0</v>
      </c>
      <c r="AZ35" s="260">
        <f>Inputs!AV45*IF(Inputs!$E45="Real",1,AZ$5)</f>
        <v>0</v>
      </c>
      <c r="BA35" s="260">
        <f>Inputs!AW45*IF(Inputs!$E45="Real",1,BA$5)</f>
        <v>0</v>
      </c>
      <c r="BB35" s="260">
        <f>Inputs!AX45*IF(Inputs!$E45="Real",1,BB$5)</f>
        <v>0</v>
      </c>
      <c r="BC35" s="260">
        <f>Inputs!AY45*IF(Inputs!$E45="Real",1,BC$5)</f>
        <v>0</v>
      </c>
      <c r="BD35" s="260">
        <f>Inputs!AZ45*IF(Inputs!$E45="Real",1,BD$5)</f>
        <v>0</v>
      </c>
      <c r="BE35" s="260">
        <f>Inputs!BA45*IF(Inputs!$E45="Real",1,BE$5)</f>
        <v>0</v>
      </c>
    </row>
    <row r="36" spans="1:57" x14ac:dyDescent="0.35">
      <c r="A36" s="95"/>
      <c r="B36" s="95"/>
      <c r="C36" s="95"/>
      <c r="D36" s="269">
        <f>'Project description'!$B$5</f>
        <v>0</v>
      </c>
      <c r="E36" s="222" t="str">
        <f>Lists!$B$34</f>
        <v/>
      </c>
      <c r="F36" s="222" t="s">
        <v>148</v>
      </c>
      <c r="G36" s="222" t="s">
        <v>333</v>
      </c>
      <c r="H36" s="222" t="s">
        <v>57</v>
      </c>
      <c r="I36" s="222" t="s">
        <v>109</v>
      </c>
      <c r="J36" s="223">
        <f t="shared" si="4"/>
        <v>0</v>
      </c>
      <c r="K36" s="261" t="str">
        <f>IF(Inputs!G46="","",Inputs!G46)</f>
        <v/>
      </c>
      <c r="L36" s="262">
        <f>Inputs!H46*IF(Inputs!$E46="Real",1,L$5)</f>
        <v>0</v>
      </c>
      <c r="M36" s="262">
        <f>Inputs!I46*IF(Inputs!$E46="Real",1,M$5)</f>
        <v>0</v>
      </c>
      <c r="N36" s="262">
        <f>Inputs!J46*IF(Inputs!$E46="Real",1,N$5)</f>
        <v>0</v>
      </c>
      <c r="O36" s="262">
        <f>Inputs!K46*IF(Inputs!$E46="Real",1,O$5)</f>
        <v>0</v>
      </c>
      <c r="P36" s="262">
        <f>Inputs!L46*IF(Inputs!$E46="Real",1,P$5)</f>
        <v>0</v>
      </c>
      <c r="Q36" s="262">
        <f>Inputs!M46*IF(Inputs!$E46="Real",1,Q$5)</f>
        <v>0</v>
      </c>
      <c r="R36" s="262">
        <f>Inputs!N46*IF(Inputs!$E46="Real",1,R$5)</f>
        <v>0</v>
      </c>
      <c r="S36" s="262">
        <f>Inputs!O46*IF(Inputs!$E46="Real",1,S$5)</f>
        <v>0</v>
      </c>
      <c r="T36" s="262">
        <f>Inputs!P46*IF(Inputs!$E46="Real",1,T$5)</f>
        <v>0</v>
      </c>
      <c r="U36" s="262">
        <f>Inputs!Q46*IF(Inputs!$E46="Real",1,U$5)</f>
        <v>0</v>
      </c>
      <c r="V36" s="262">
        <f>Inputs!R46*IF(Inputs!$E46="Real",1,V$5)</f>
        <v>0</v>
      </c>
      <c r="W36" s="262">
        <f>Inputs!S46*IF(Inputs!$E46="Real",1,W$5)</f>
        <v>0</v>
      </c>
      <c r="X36" s="262">
        <f>Inputs!T46*IF(Inputs!$E46="Real",1,X$5)</f>
        <v>0</v>
      </c>
      <c r="Y36" s="262">
        <f>Inputs!U46*IF(Inputs!$E46="Real",1,Y$5)</f>
        <v>0</v>
      </c>
      <c r="Z36" s="262">
        <f>Inputs!V46*IF(Inputs!$E46="Real",1,Z$5)</f>
        <v>0</v>
      </c>
      <c r="AA36" s="262">
        <f>Inputs!W46*IF(Inputs!$E46="Real",1,AA$5)</f>
        <v>0</v>
      </c>
      <c r="AB36" s="262">
        <f>Inputs!X46*IF(Inputs!$E46="Real",1,AB$5)</f>
        <v>0</v>
      </c>
      <c r="AC36" s="262">
        <f>Inputs!Y46*IF(Inputs!$E46="Real",1,AC$5)</f>
        <v>0</v>
      </c>
      <c r="AD36" s="262">
        <f>Inputs!Z46*IF(Inputs!$E46="Real",1,AD$5)</f>
        <v>0</v>
      </c>
      <c r="AE36" s="262">
        <f>Inputs!AA46*IF(Inputs!$E46="Real",1,AE$5)</f>
        <v>0</v>
      </c>
      <c r="AF36" s="262">
        <f>Inputs!AB46*IF(Inputs!$E46="Real",1,AF$5)</f>
        <v>0</v>
      </c>
      <c r="AG36" s="262">
        <f>Inputs!AC46*IF(Inputs!$E46="Real",1,AG$5)</f>
        <v>0</v>
      </c>
      <c r="AH36" s="262">
        <f>Inputs!AD46*IF(Inputs!$E46="Real",1,AH$5)</f>
        <v>0</v>
      </c>
      <c r="AI36" s="262">
        <f>Inputs!AE46*IF(Inputs!$E46="Real",1,AI$5)</f>
        <v>0</v>
      </c>
      <c r="AJ36" s="262">
        <f>Inputs!AF46*IF(Inputs!$E46="Real",1,AJ$5)</f>
        <v>0</v>
      </c>
      <c r="AK36" s="262">
        <f>Inputs!AG46*IF(Inputs!$E46="Real",1,AK$5)</f>
        <v>0</v>
      </c>
      <c r="AL36" s="262">
        <f>Inputs!AH46*IF(Inputs!$E46="Real",1,AL$5)</f>
        <v>0</v>
      </c>
      <c r="AM36" s="262">
        <f>Inputs!AI46*IF(Inputs!$E46="Real",1,AM$5)</f>
        <v>0</v>
      </c>
      <c r="AN36" s="262">
        <f>Inputs!AJ46*IF(Inputs!$E46="Real",1,AN$5)</f>
        <v>0</v>
      </c>
      <c r="AO36" s="262">
        <f>Inputs!AK46*IF(Inputs!$E46="Real",1,AO$5)</f>
        <v>0</v>
      </c>
      <c r="AP36" s="262">
        <f>Inputs!AL46*IF(Inputs!$E46="Real",1,AP$5)</f>
        <v>0</v>
      </c>
      <c r="AQ36" s="262">
        <f>Inputs!AM46*IF(Inputs!$E46="Real",1,AQ$5)</f>
        <v>0</v>
      </c>
      <c r="AR36" s="262">
        <f>Inputs!AN46*IF(Inputs!$E46="Real",1,AR$5)</f>
        <v>0</v>
      </c>
      <c r="AS36" s="262">
        <f>Inputs!AO46*IF(Inputs!$E46="Real",1,AS$5)</f>
        <v>0</v>
      </c>
      <c r="AT36" s="262">
        <f>Inputs!AP46*IF(Inputs!$E46="Real",1,AT$5)</f>
        <v>0</v>
      </c>
      <c r="AU36" s="262">
        <f>Inputs!AQ46*IF(Inputs!$E46="Real",1,AU$5)</f>
        <v>0</v>
      </c>
      <c r="AV36" s="262">
        <f>Inputs!AR46*IF(Inputs!$E46="Real",1,AV$5)</f>
        <v>0</v>
      </c>
      <c r="AW36" s="262">
        <f>Inputs!AS46*IF(Inputs!$E46="Real",1,AW$5)</f>
        <v>0</v>
      </c>
      <c r="AX36" s="262">
        <f>Inputs!AT46*IF(Inputs!$E46="Real",1,AX$5)</f>
        <v>0</v>
      </c>
      <c r="AY36" s="262">
        <f>Inputs!AU46*IF(Inputs!$E46="Real",1,AY$5)</f>
        <v>0</v>
      </c>
      <c r="AZ36" s="262">
        <f>Inputs!AV46*IF(Inputs!$E46="Real",1,AZ$5)</f>
        <v>0</v>
      </c>
      <c r="BA36" s="262">
        <f>Inputs!AW46*IF(Inputs!$E46="Real",1,BA$5)</f>
        <v>0</v>
      </c>
      <c r="BB36" s="262">
        <f>Inputs!AX46*IF(Inputs!$E46="Real",1,BB$5)</f>
        <v>0</v>
      </c>
      <c r="BC36" s="262">
        <f>Inputs!AY46*IF(Inputs!$E46="Real",1,BC$5)</f>
        <v>0</v>
      </c>
      <c r="BD36" s="262">
        <f>Inputs!AZ46*IF(Inputs!$E46="Real",1,BD$5)</f>
        <v>0</v>
      </c>
      <c r="BE36" s="262">
        <f>Inputs!BA46*IF(Inputs!$E46="Real",1,BE$5)</f>
        <v>0</v>
      </c>
    </row>
    <row r="37" spans="1:57" x14ac:dyDescent="0.35">
      <c r="A37" s="95"/>
      <c r="B37" s="95"/>
      <c r="C37" s="95"/>
      <c r="D37" s="272">
        <f>'Project description'!$B$5</f>
        <v>0</v>
      </c>
      <c r="E37" s="263" t="str">
        <f>Lists!$B$34</f>
        <v/>
      </c>
      <c r="F37" s="263" t="s">
        <v>148</v>
      </c>
      <c r="G37" s="263" t="s">
        <v>333</v>
      </c>
      <c r="H37" s="263" t="s">
        <v>46</v>
      </c>
      <c r="I37" s="263" t="s">
        <v>109</v>
      </c>
      <c r="J37" s="264">
        <f t="shared" si="4"/>
        <v>0</v>
      </c>
      <c r="K37" s="265" t="str">
        <f>IF(Inputs!G47="","",Inputs!G47)</f>
        <v/>
      </c>
      <c r="L37" s="266">
        <f>Inputs!H47*IF(Inputs!$E47="Real",1,L$5)</f>
        <v>0</v>
      </c>
      <c r="M37" s="266">
        <f>Inputs!I47*IF(Inputs!$E47="Real",1,M$5)</f>
        <v>0</v>
      </c>
      <c r="N37" s="266">
        <f>Inputs!J47*IF(Inputs!$E47="Real",1,N$5)</f>
        <v>0</v>
      </c>
      <c r="O37" s="266">
        <f>Inputs!K47*IF(Inputs!$E47="Real",1,O$5)</f>
        <v>0</v>
      </c>
      <c r="P37" s="266">
        <f>Inputs!L47*IF(Inputs!$E47="Real",1,P$5)</f>
        <v>0</v>
      </c>
      <c r="Q37" s="266">
        <f>Inputs!M47*IF(Inputs!$E47="Real",1,Q$5)</f>
        <v>0</v>
      </c>
      <c r="R37" s="266">
        <f>Inputs!N47*IF(Inputs!$E47="Real",1,R$5)</f>
        <v>0</v>
      </c>
      <c r="S37" s="266">
        <f>Inputs!O47*IF(Inputs!$E47="Real",1,S$5)</f>
        <v>0</v>
      </c>
      <c r="T37" s="266">
        <f>Inputs!P47*IF(Inputs!$E47="Real",1,T$5)</f>
        <v>0</v>
      </c>
      <c r="U37" s="266">
        <f>Inputs!Q47*IF(Inputs!$E47="Real",1,U$5)</f>
        <v>0</v>
      </c>
      <c r="V37" s="266">
        <f>Inputs!R47*IF(Inputs!$E47="Real",1,V$5)</f>
        <v>0</v>
      </c>
      <c r="W37" s="266">
        <f>Inputs!S47*IF(Inputs!$E47="Real",1,W$5)</f>
        <v>0</v>
      </c>
      <c r="X37" s="266">
        <f>Inputs!T47*IF(Inputs!$E47="Real",1,X$5)</f>
        <v>0</v>
      </c>
      <c r="Y37" s="266">
        <f>Inputs!U47*IF(Inputs!$E47="Real",1,Y$5)</f>
        <v>0</v>
      </c>
      <c r="Z37" s="266">
        <f>Inputs!V47*IF(Inputs!$E47="Real",1,Z$5)</f>
        <v>0</v>
      </c>
      <c r="AA37" s="266">
        <f>Inputs!W47*IF(Inputs!$E47="Real",1,AA$5)</f>
        <v>0</v>
      </c>
      <c r="AB37" s="266">
        <f>Inputs!X47*IF(Inputs!$E47="Real",1,AB$5)</f>
        <v>0</v>
      </c>
      <c r="AC37" s="266">
        <f>Inputs!Y47*IF(Inputs!$E47="Real",1,AC$5)</f>
        <v>0</v>
      </c>
      <c r="AD37" s="266">
        <f>Inputs!Z47*IF(Inputs!$E47="Real",1,AD$5)</f>
        <v>0</v>
      </c>
      <c r="AE37" s="266">
        <f>Inputs!AA47*IF(Inputs!$E47="Real",1,AE$5)</f>
        <v>0</v>
      </c>
      <c r="AF37" s="266">
        <f>Inputs!AB47*IF(Inputs!$E47="Real",1,AF$5)</f>
        <v>0</v>
      </c>
      <c r="AG37" s="266">
        <f>Inputs!AC47*IF(Inputs!$E47="Real",1,AG$5)</f>
        <v>0</v>
      </c>
      <c r="AH37" s="266">
        <f>Inputs!AD47*IF(Inputs!$E47="Real",1,AH$5)</f>
        <v>0</v>
      </c>
      <c r="AI37" s="266">
        <f>Inputs!AE47*IF(Inputs!$E47="Real",1,AI$5)</f>
        <v>0</v>
      </c>
      <c r="AJ37" s="266">
        <f>Inputs!AF47*IF(Inputs!$E47="Real",1,AJ$5)</f>
        <v>0</v>
      </c>
      <c r="AK37" s="266">
        <f>Inputs!AG47*IF(Inputs!$E47="Real",1,AK$5)</f>
        <v>0</v>
      </c>
      <c r="AL37" s="266">
        <f>Inputs!AH47*IF(Inputs!$E47="Real",1,AL$5)</f>
        <v>0</v>
      </c>
      <c r="AM37" s="266">
        <f>Inputs!AI47*IF(Inputs!$E47="Real",1,AM$5)</f>
        <v>0</v>
      </c>
      <c r="AN37" s="266">
        <f>Inputs!AJ47*IF(Inputs!$E47="Real",1,AN$5)</f>
        <v>0</v>
      </c>
      <c r="AO37" s="266">
        <f>Inputs!AK47*IF(Inputs!$E47="Real",1,AO$5)</f>
        <v>0</v>
      </c>
      <c r="AP37" s="266">
        <f>Inputs!AL47*IF(Inputs!$E47="Real",1,AP$5)</f>
        <v>0</v>
      </c>
      <c r="AQ37" s="266">
        <f>Inputs!AM47*IF(Inputs!$E47="Real",1,AQ$5)</f>
        <v>0</v>
      </c>
      <c r="AR37" s="266">
        <f>Inputs!AN47*IF(Inputs!$E47="Real",1,AR$5)</f>
        <v>0</v>
      </c>
      <c r="AS37" s="266">
        <f>Inputs!AO47*IF(Inputs!$E47="Real",1,AS$5)</f>
        <v>0</v>
      </c>
      <c r="AT37" s="266">
        <f>Inputs!AP47*IF(Inputs!$E47="Real",1,AT$5)</f>
        <v>0</v>
      </c>
      <c r="AU37" s="266">
        <f>Inputs!AQ47*IF(Inputs!$E47="Real",1,AU$5)</f>
        <v>0</v>
      </c>
      <c r="AV37" s="266">
        <f>Inputs!AR47*IF(Inputs!$E47="Real",1,AV$5)</f>
        <v>0</v>
      </c>
      <c r="AW37" s="266">
        <f>Inputs!AS47*IF(Inputs!$E47="Real",1,AW$5)</f>
        <v>0</v>
      </c>
      <c r="AX37" s="266">
        <f>Inputs!AT47*IF(Inputs!$E47="Real",1,AX$5)</f>
        <v>0</v>
      </c>
      <c r="AY37" s="266">
        <f>Inputs!AU47*IF(Inputs!$E47="Real",1,AY$5)</f>
        <v>0</v>
      </c>
      <c r="AZ37" s="266">
        <f>Inputs!AV47*IF(Inputs!$E47="Real",1,AZ$5)</f>
        <v>0</v>
      </c>
      <c r="BA37" s="266">
        <f>Inputs!AW47*IF(Inputs!$E47="Real",1,BA$5)</f>
        <v>0</v>
      </c>
      <c r="BB37" s="266">
        <f>Inputs!AX47*IF(Inputs!$E47="Real",1,BB$5)</f>
        <v>0</v>
      </c>
      <c r="BC37" s="266">
        <f>Inputs!AY47*IF(Inputs!$E47="Real",1,BC$5)</f>
        <v>0</v>
      </c>
      <c r="BD37" s="266">
        <f>Inputs!AZ47*IF(Inputs!$E47="Real",1,BD$5)</f>
        <v>0</v>
      </c>
      <c r="BE37" s="266">
        <f>Inputs!BA47*IF(Inputs!$E47="Real",1,BE$5)</f>
        <v>0</v>
      </c>
    </row>
    <row r="38" spans="1:57" ht="18.5" x14ac:dyDescent="0.45">
      <c r="A38" s="95"/>
      <c r="B38" s="95"/>
      <c r="C38" s="95"/>
      <c r="D38" s="95"/>
      <c r="E38" s="95"/>
      <c r="F38" s="7"/>
      <c r="G38" s="7"/>
      <c r="H38" s="8" t="str">
        <f>"Total non-fuel opex in "&amp;Analysis_year&amp;" dollars"</f>
        <v>Total non-fuel opex in  dollars</v>
      </c>
      <c r="I38" s="8"/>
      <c r="J38" s="8"/>
      <c r="K38" s="8"/>
      <c r="L38" s="99">
        <f>SUBTOTAL(109,'Real values'!$L$32:$L$37)</f>
        <v>0</v>
      </c>
      <c r="M38" s="99">
        <f>SUBTOTAL(109,'Real values'!$M$32:$M$37)</f>
        <v>0</v>
      </c>
      <c r="N38" s="99">
        <f>SUBTOTAL(109,'Real values'!$N$32:$N$37)</f>
        <v>0</v>
      </c>
      <c r="O38" s="99">
        <f>SUBTOTAL(109,'Real values'!$O$32:$O$37)</f>
        <v>0</v>
      </c>
      <c r="P38" s="99">
        <f>SUBTOTAL(109,'Real values'!$P$32:$P$37)</f>
        <v>0</v>
      </c>
      <c r="Q38" s="99">
        <f>SUBTOTAL(109,'Real values'!$Q$32:$Q$37)</f>
        <v>0</v>
      </c>
      <c r="R38" s="99">
        <f>SUBTOTAL(109,'Real values'!$R$32:$R$37)</f>
        <v>0</v>
      </c>
      <c r="S38" s="99">
        <f>SUBTOTAL(109,'Real values'!$S$32:$S$37)</f>
        <v>0</v>
      </c>
      <c r="T38" s="99">
        <f>SUBTOTAL(109,'Real values'!$T$32:$T$37)</f>
        <v>0</v>
      </c>
      <c r="U38" s="99">
        <f>SUBTOTAL(109,'Real values'!$U$32:$U$37)</f>
        <v>0</v>
      </c>
      <c r="V38" s="99">
        <f>SUBTOTAL(109,'Real values'!$V$32:$V$37)</f>
        <v>0</v>
      </c>
      <c r="W38" s="99">
        <f>SUBTOTAL(109,'Real values'!$W$32:$W$37)</f>
        <v>0</v>
      </c>
      <c r="X38" s="99">
        <f>SUBTOTAL(109,'Real values'!$X$32:$X$37)</f>
        <v>0</v>
      </c>
      <c r="Y38" s="99">
        <f>SUBTOTAL(109,'Real values'!$Y$32:$Y$37)</f>
        <v>0</v>
      </c>
      <c r="Z38" s="99">
        <f>SUBTOTAL(109,'Real values'!$Z$32:$Z$37)</f>
        <v>0</v>
      </c>
      <c r="AA38" s="99">
        <f>SUBTOTAL(109,'Real values'!$AA$32:$AA$37)</f>
        <v>0</v>
      </c>
      <c r="AB38" s="99">
        <f>SUBTOTAL(109,'Real values'!$AB$32:$AB$37)</f>
        <v>0</v>
      </c>
      <c r="AC38" s="99">
        <f>SUBTOTAL(109,'Real values'!$AC$32:$AC$37)</f>
        <v>0</v>
      </c>
      <c r="AD38" s="99">
        <f>SUBTOTAL(109,'Real values'!$AD$32:$AD$37)</f>
        <v>0</v>
      </c>
      <c r="AE38" s="99">
        <f>SUBTOTAL(109,'Real values'!$AE$32:$AE$37)</f>
        <v>0</v>
      </c>
      <c r="AF38" s="99">
        <f>SUBTOTAL(109,'Real values'!$AF$32:$AF$37)</f>
        <v>0</v>
      </c>
      <c r="AG38" s="99">
        <f>SUBTOTAL(109,'Real values'!$AG$32:$AG$37)</f>
        <v>0</v>
      </c>
      <c r="AH38" s="99">
        <f>SUBTOTAL(109,'Real values'!$AH$32:$AH$37)</f>
        <v>0</v>
      </c>
      <c r="AI38" s="99">
        <f>SUBTOTAL(109,'Real values'!$AI$32:$AI$37)</f>
        <v>0</v>
      </c>
      <c r="AJ38" s="99">
        <f>SUBTOTAL(109,'Real values'!$AJ$32:$AJ$37)</f>
        <v>0</v>
      </c>
      <c r="AK38" s="99">
        <f>SUBTOTAL(109,'Real values'!$AK$32:$AK$37)</f>
        <v>0</v>
      </c>
      <c r="AL38" s="99">
        <f>SUBTOTAL(109,'Real values'!$AL$32:$AL$37)</f>
        <v>0</v>
      </c>
      <c r="AM38" s="99">
        <f>SUBTOTAL(109,'Real values'!$AM$32:$AM$37)</f>
        <v>0</v>
      </c>
      <c r="AN38" s="99">
        <f>SUBTOTAL(109,'Real values'!$AN$32:$AN$37)</f>
        <v>0</v>
      </c>
      <c r="AO38" s="99">
        <f>SUBTOTAL(109,'Real values'!$AO$32:$AO$37)</f>
        <v>0</v>
      </c>
      <c r="AP38" s="99">
        <f>SUBTOTAL(109,'Real values'!$AP$32:$AP$37)</f>
        <v>0</v>
      </c>
      <c r="AQ38" s="99">
        <f>SUBTOTAL(109,'Real values'!$AQ$32:$AQ$37)</f>
        <v>0</v>
      </c>
      <c r="AR38" s="99">
        <f>SUBTOTAL(109,'Real values'!$AR$32:$AR$37)</f>
        <v>0</v>
      </c>
      <c r="AS38" s="99">
        <f>SUBTOTAL(109,'Real values'!$AS$32:$AS$37)</f>
        <v>0</v>
      </c>
      <c r="AT38" s="99">
        <f>SUBTOTAL(109,'Real values'!$AT$32:$AT$37)</f>
        <v>0</v>
      </c>
      <c r="AU38" s="99">
        <f>SUBTOTAL(109,'Real values'!$AU$32:$AU$37)</f>
        <v>0</v>
      </c>
      <c r="AV38" s="99">
        <f>SUBTOTAL(109,'Real values'!$AV$32:$AV$37)</f>
        <v>0</v>
      </c>
      <c r="AW38" s="99">
        <f>SUBTOTAL(109,'Real values'!$AW$32:$AW$37)</f>
        <v>0</v>
      </c>
      <c r="AX38" s="99">
        <f>SUBTOTAL(109,'Real values'!$AX$32:$AX$37)</f>
        <v>0</v>
      </c>
      <c r="AY38" s="99">
        <f>SUBTOTAL(109,'Real values'!$AY$32:$AY$37)</f>
        <v>0</v>
      </c>
      <c r="AZ38" s="99">
        <f>SUBTOTAL(109,'Real values'!$AZ$32:$AZ$37)</f>
        <v>0</v>
      </c>
      <c r="BA38" s="99">
        <f>SUBTOTAL(109,'Real values'!$BA$32:$BA$37)</f>
        <v>0</v>
      </c>
      <c r="BB38" s="99">
        <f>SUBTOTAL(109,'Real values'!$BB$32:$BB$37)</f>
        <v>0</v>
      </c>
      <c r="BC38" s="99">
        <f>SUBTOTAL(109,'Real values'!$BC$32:$BC$37)</f>
        <v>0</v>
      </c>
      <c r="BD38" s="99">
        <f>SUBTOTAL(109,'Real values'!$BD$32:$BD$37)</f>
        <v>0</v>
      </c>
      <c r="BE38" s="99">
        <f>SUBTOTAL(109,'Real values'!$BE$32:$BE$37)</f>
        <v>0</v>
      </c>
    </row>
    <row r="39" spans="1:57" ht="18.5" x14ac:dyDescent="0.45">
      <c r="A39" s="95"/>
      <c r="B39" s="95"/>
      <c r="C39" s="95"/>
      <c r="D39" s="95"/>
      <c r="E39" s="95"/>
      <c r="F39" s="7"/>
      <c r="G39" s="7"/>
      <c r="H39" s="8"/>
      <c r="I39" s="8"/>
      <c r="J39" s="8"/>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107"/>
      <c r="BE39" s="107"/>
    </row>
    <row r="40" spans="1:57" x14ac:dyDescent="0.35">
      <c r="A40" s="27" t="s">
        <v>48</v>
      </c>
      <c r="B40" s="27"/>
      <c r="C40" s="27"/>
      <c r="D40" s="288" t="s">
        <v>329</v>
      </c>
      <c r="E40" s="256" t="s">
        <v>330</v>
      </c>
      <c r="F40" s="256" t="s">
        <v>328</v>
      </c>
      <c r="G40" s="256" t="s">
        <v>331</v>
      </c>
      <c r="H40" s="256" t="s">
        <v>52</v>
      </c>
      <c r="I40" s="256" t="s">
        <v>35</v>
      </c>
      <c r="J40" s="256" t="s">
        <v>283</v>
      </c>
      <c r="K40" s="256" t="s">
        <v>39</v>
      </c>
      <c r="L40" s="10" t="s">
        <v>303</v>
      </c>
      <c r="M40" s="10" t="s">
        <v>62</v>
      </c>
      <c r="N40" s="10" t="s">
        <v>63</v>
      </c>
      <c r="O40" s="10" t="s">
        <v>64</v>
      </c>
      <c r="P40" s="10" t="s">
        <v>65</v>
      </c>
      <c r="Q40" s="10" t="s">
        <v>66</v>
      </c>
      <c r="R40" s="10" t="s">
        <v>67</v>
      </c>
      <c r="S40" s="10" t="s">
        <v>68</v>
      </c>
      <c r="T40" s="10" t="s">
        <v>69</v>
      </c>
      <c r="U40" s="10" t="s">
        <v>70</v>
      </c>
      <c r="V40" s="10" t="s">
        <v>71</v>
      </c>
      <c r="W40" s="10" t="s">
        <v>72</v>
      </c>
      <c r="X40" s="10" t="s">
        <v>73</v>
      </c>
      <c r="Y40" s="10" t="s">
        <v>74</v>
      </c>
      <c r="Z40" s="10" t="s">
        <v>75</v>
      </c>
      <c r="AA40" s="10" t="s">
        <v>76</v>
      </c>
      <c r="AB40" s="10" t="s">
        <v>77</v>
      </c>
      <c r="AC40" s="10" t="s">
        <v>78</v>
      </c>
      <c r="AD40" s="10" t="s">
        <v>79</v>
      </c>
      <c r="AE40" s="10" t="s">
        <v>80</v>
      </c>
      <c r="AF40" s="10" t="s">
        <v>81</v>
      </c>
      <c r="AG40" s="10" t="s">
        <v>82</v>
      </c>
      <c r="AH40" s="10" t="s">
        <v>83</v>
      </c>
      <c r="AI40" s="10" t="s">
        <v>84</v>
      </c>
      <c r="AJ40" s="10" t="s">
        <v>85</v>
      </c>
      <c r="AK40" s="10" t="s">
        <v>86</v>
      </c>
      <c r="AL40" s="10" t="s">
        <v>87</v>
      </c>
      <c r="AM40" s="10" t="s">
        <v>88</v>
      </c>
      <c r="AN40" s="10" t="s">
        <v>89</v>
      </c>
      <c r="AO40" s="10" t="s">
        <v>90</v>
      </c>
      <c r="AP40" s="10" t="s">
        <v>91</v>
      </c>
      <c r="AQ40" s="10" t="s">
        <v>92</v>
      </c>
      <c r="AR40" s="10" t="s">
        <v>93</v>
      </c>
      <c r="AS40" s="10" t="s">
        <v>94</v>
      </c>
      <c r="AT40" s="10" t="s">
        <v>95</v>
      </c>
      <c r="AU40" s="10" t="s">
        <v>96</v>
      </c>
      <c r="AV40" s="10" t="s">
        <v>97</v>
      </c>
      <c r="AW40" s="10" t="s">
        <v>98</v>
      </c>
      <c r="AX40" s="10" t="s">
        <v>99</v>
      </c>
      <c r="AY40" s="10" t="s">
        <v>100</v>
      </c>
      <c r="AZ40" s="10" t="s">
        <v>101</v>
      </c>
      <c r="BA40" s="10" t="s">
        <v>102</v>
      </c>
      <c r="BB40" s="10" t="s">
        <v>103</v>
      </c>
      <c r="BC40" s="10" t="s">
        <v>104</v>
      </c>
      <c r="BD40" s="10" t="s">
        <v>105</v>
      </c>
      <c r="BE40" s="10" t="s">
        <v>106</v>
      </c>
    </row>
    <row r="41" spans="1:57" x14ac:dyDescent="0.35">
      <c r="A41" s="95"/>
      <c r="B41" s="95"/>
      <c r="C41" s="95"/>
      <c r="D41" s="274">
        <f>'Project description'!$B$5</f>
        <v>0</v>
      </c>
      <c r="E41" s="242" t="str">
        <f>Lists!$B$34</f>
        <v/>
      </c>
      <c r="F41" s="243" t="s">
        <v>160</v>
      </c>
      <c r="G41" s="289" t="s">
        <v>333</v>
      </c>
      <c r="H41" s="289" t="s">
        <v>53</v>
      </c>
      <c r="I41" s="242" t="s">
        <v>109</v>
      </c>
      <c r="J41" s="243">
        <f t="shared" ref="J41:J46" si="5">Analysis_year</f>
        <v>0</v>
      </c>
      <c r="K41" s="275" t="str">
        <f>IF(Inputs!G53="","",Inputs!G53)</f>
        <v/>
      </c>
      <c r="L41" s="276">
        <f>Inputs!H53*IF(Inputs!$E53="Real",1,L$5)</f>
        <v>0</v>
      </c>
      <c r="M41" s="276">
        <f>Inputs!I53*IF(Inputs!$E53="Real",1,M$5)</f>
        <v>0</v>
      </c>
      <c r="N41" s="276">
        <f>Inputs!J53*IF(Inputs!$E53="Real",1,N$5)</f>
        <v>0</v>
      </c>
      <c r="O41" s="276">
        <f>Inputs!K53*IF(Inputs!$E53="Real",1,O$5)</f>
        <v>0</v>
      </c>
      <c r="P41" s="276">
        <f>Inputs!L53*IF(Inputs!$E53="Real",1,P$5)</f>
        <v>0</v>
      </c>
      <c r="Q41" s="276">
        <f>Inputs!M53*IF(Inputs!$E53="Real",1,Q$5)</f>
        <v>0</v>
      </c>
      <c r="R41" s="276">
        <f>Inputs!N53*IF(Inputs!$E53="Real",1,R$5)</f>
        <v>0</v>
      </c>
      <c r="S41" s="276">
        <f>Inputs!O53*IF(Inputs!$E53="Real",1,S$5)</f>
        <v>0</v>
      </c>
      <c r="T41" s="276">
        <f>Inputs!P53*IF(Inputs!$E53="Real",1,T$5)</f>
        <v>0</v>
      </c>
      <c r="U41" s="276">
        <f>Inputs!Q53*IF(Inputs!$E53="Real",1,U$5)</f>
        <v>0</v>
      </c>
      <c r="V41" s="276">
        <f>Inputs!R53*IF(Inputs!$E53="Real",1,V$5)</f>
        <v>0</v>
      </c>
      <c r="W41" s="276">
        <f>Inputs!S53*IF(Inputs!$E53="Real",1,W$5)</f>
        <v>0</v>
      </c>
      <c r="X41" s="276">
        <f>Inputs!T53*IF(Inputs!$E53="Real",1,X$5)</f>
        <v>0</v>
      </c>
      <c r="Y41" s="276">
        <f>Inputs!U53*IF(Inputs!$E53="Real",1,Y$5)</f>
        <v>0</v>
      </c>
      <c r="Z41" s="276">
        <f>Inputs!V53*IF(Inputs!$E53="Real",1,Z$5)</f>
        <v>0</v>
      </c>
      <c r="AA41" s="276">
        <f>Inputs!W53*IF(Inputs!$E53="Real",1,AA$5)</f>
        <v>0</v>
      </c>
      <c r="AB41" s="276">
        <f>Inputs!X53*IF(Inputs!$E53="Real",1,AB$5)</f>
        <v>0</v>
      </c>
      <c r="AC41" s="276">
        <f>Inputs!Y53*IF(Inputs!$E53="Real",1,AC$5)</f>
        <v>0</v>
      </c>
      <c r="AD41" s="276">
        <f>Inputs!Z53*IF(Inputs!$E53="Real",1,AD$5)</f>
        <v>0</v>
      </c>
      <c r="AE41" s="276">
        <f>Inputs!AA53*IF(Inputs!$E53="Real",1,AE$5)</f>
        <v>0</v>
      </c>
      <c r="AF41" s="276">
        <f>Inputs!AB53*IF(Inputs!$E53="Real",1,AF$5)</f>
        <v>0</v>
      </c>
      <c r="AG41" s="276">
        <f>Inputs!AC53*IF(Inputs!$E53="Real",1,AG$5)</f>
        <v>0</v>
      </c>
      <c r="AH41" s="276">
        <f>Inputs!AD53*IF(Inputs!$E53="Real",1,AH$5)</f>
        <v>0</v>
      </c>
      <c r="AI41" s="276">
        <f>Inputs!AE53*IF(Inputs!$E53="Real",1,AI$5)</f>
        <v>0</v>
      </c>
      <c r="AJ41" s="276">
        <f>Inputs!AF53*IF(Inputs!$E53="Real",1,AJ$5)</f>
        <v>0</v>
      </c>
      <c r="AK41" s="276">
        <f>Inputs!AG53*IF(Inputs!$E53="Real",1,AK$5)</f>
        <v>0</v>
      </c>
      <c r="AL41" s="276">
        <f>Inputs!AH53*IF(Inputs!$E53="Real",1,AL$5)</f>
        <v>0</v>
      </c>
      <c r="AM41" s="276">
        <f>Inputs!AI53*IF(Inputs!$E53="Real",1,AM$5)</f>
        <v>0</v>
      </c>
      <c r="AN41" s="276">
        <f>Inputs!AJ53*IF(Inputs!$E53="Real",1,AN$5)</f>
        <v>0</v>
      </c>
      <c r="AO41" s="276">
        <f>Inputs!AK53*IF(Inputs!$E53="Real",1,AO$5)</f>
        <v>0</v>
      </c>
      <c r="AP41" s="276">
        <f>Inputs!AL53*IF(Inputs!$E53="Real",1,AP$5)</f>
        <v>0</v>
      </c>
      <c r="AQ41" s="276">
        <f>Inputs!AM53*IF(Inputs!$E53="Real",1,AQ$5)</f>
        <v>0</v>
      </c>
      <c r="AR41" s="276">
        <f>Inputs!AN53*IF(Inputs!$E53="Real",1,AR$5)</f>
        <v>0</v>
      </c>
      <c r="AS41" s="276">
        <f>Inputs!AO53*IF(Inputs!$E53="Real",1,AS$5)</f>
        <v>0</v>
      </c>
      <c r="AT41" s="276">
        <f>Inputs!AP53*IF(Inputs!$E53="Real",1,AT$5)</f>
        <v>0</v>
      </c>
      <c r="AU41" s="276">
        <f>Inputs!AQ53*IF(Inputs!$E53="Real",1,AU$5)</f>
        <v>0</v>
      </c>
      <c r="AV41" s="276">
        <f>Inputs!AR53*IF(Inputs!$E53="Real",1,AV$5)</f>
        <v>0</v>
      </c>
      <c r="AW41" s="276">
        <f>Inputs!AS53*IF(Inputs!$E53="Real",1,AW$5)</f>
        <v>0</v>
      </c>
      <c r="AX41" s="276">
        <f>Inputs!AT53*IF(Inputs!$E53="Real",1,AX$5)</f>
        <v>0</v>
      </c>
      <c r="AY41" s="276">
        <f>Inputs!AU53*IF(Inputs!$E53="Real",1,AY$5)</f>
        <v>0</v>
      </c>
      <c r="AZ41" s="276">
        <f>Inputs!AV53*IF(Inputs!$E53="Real",1,AZ$5)</f>
        <v>0</v>
      </c>
      <c r="BA41" s="276">
        <f>Inputs!AW53*IF(Inputs!$E53="Real",1,BA$5)</f>
        <v>0</v>
      </c>
      <c r="BB41" s="276">
        <f>Inputs!AX53*IF(Inputs!$E53="Real",1,BB$5)</f>
        <v>0</v>
      </c>
      <c r="BC41" s="276">
        <f>Inputs!AY53*IF(Inputs!$E53="Real",1,BC$5)</f>
        <v>0</v>
      </c>
      <c r="BD41" s="276">
        <f>Inputs!AZ53*IF(Inputs!$E53="Real",1,BD$5)</f>
        <v>0</v>
      </c>
      <c r="BE41" s="276">
        <f>Inputs!BA53*IF(Inputs!$E53="Real",1,BE$5)</f>
        <v>0</v>
      </c>
    </row>
    <row r="42" spans="1:57" x14ac:dyDescent="0.35">
      <c r="A42" s="95"/>
      <c r="B42" s="95"/>
      <c r="C42" s="95"/>
      <c r="D42" s="277">
        <f>'Project description'!$B$5</f>
        <v>0</v>
      </c>
      <c r="E42" s="246" t="str">
        <f>Lists!$B$34</f>
        <v/>
      </c>
      <c r="F42" s="247" t="s">
        <v>160</v>
      </c>
      <c r="G42" s="290" t="s">
        <v>333</v>
      </c>
      <c r="H42" s="290" t="s">
        <v>54</v>
      </c>
      <c r="I42" s="246" t="s">
        <v>109</v>
      </c>
      <c r="J42" s="247">
        <f t="shared" si="5"/>
        <v>0</v>
      </c>
      <c r="K42" s="278" t="str">
        <f>IF(Inputs!G54="","",Inputs!G54)</f>
        <v/>
      </c>
      <c r="L42" s="279">
        <f>Inputs!H54*IF(Inputs!$E54="Real",1,L$5)</f>
        <v>0</v>
      </c>
      <c r="M42" s="279">
        <f>Inputs!I54*IF(Inputs!$E54="Real",1,M$5)</f>
        <v>0</v>
      </c>
      <c r="N42" s="279">
        <f>Inputs!J54*IF(Inputs!$E54="Real",1,N$5)</f>
        <v>0</v>
      </c>
      <c r="O42" s="279">
        <f>Inputs!K54*IF(Inputs!$E54="Real",1,O$5)</f>
        <v>0</v>
      </c>
      <c r="P42" s="279">
        <f>Inputs!L54*IF(Inputs!$E54="Real",1,P$5)</f>
        <v>0</v>
      </c>
      <c r="Q42" s="279">
        <f>Inputs!M54*IF(Inputs!$E54="Real",1,Q$5)</f>
        <v>0</v>
      </c>
      <c r="R42" s="279">
        <f>Inputs!N54*IF(Inputs!$E54="Real",1,R$5)</f>
        <v>0</v>
      </c>
      <c r="S42" s="279">
        <f>Inputs!O54*IF(Inputs!$E54="Real",1,S$5)</f>
        <v>0</v>
      </c>
      <c r="T42" s="279">
        <f>Inputs!P54*IF(Inputs!$E54="Real",1,T$5)</f>
        <v>0</v>
      </c>
      <c r="U42" s="279">
        <f>Inputs!Q54*IF(Inputs!$E54="Real",1,U$5)</f>
        <v>0</v>
      </c>
      <c r="V42" s="279">
        <f>Inputs!R54*IF(Inputs!$E54="Real",1,V$5)</f>
        <v>0</v>
      </c>
      <c r="W42" s="279">
        <f>Inputs!S54*IF(Inputs!$E54="Real",1,W$5)</f>
        <v>0</v>
      </c>
      <c r="X42" s="279">
        <f>Inputs!T54*IF(Inputs!$E54="Real",1,X$5)</f>
        <v>0</v>
      </c>
      <c r="Y42" s="279">
        <f>Inputs!U54*IF(Inputs!$E54="Real",1,Y$5)</f>
        <v>0</v>
      </c>
      <c r="Z42" s="279">
        <f>Inputs!V54*IF(Inputs!$E54="Real",1,Z$5)</f>
        <v>0</v>
      </c>
      <c r="AA42" s="279">
        <f>Inputs!W54*IF(Inputs!$E54="Real",1,AA$5)</f>
        <v>0</v>
      </c>
      <c r="AB42" s="279">
        <f>Inputs!X54*IF(Inputs!$E54="Real",1,AB$5)</f>
        <v>0</v>
      </c>
      <c r="AC42" s="279">
        <f>Inputs!Y54*IF(Inputs!$E54="Real",1,AC$5)</f>
        <v>0</v>
      </c>
      <c r="AD42" s="279">
        <f>Inputs!Z54*IF(Inputs!$E54="Real",1,AD$5)</f>
        <v>0</v>
      </c>
      <c r="AE42" s="279">
        <f>Inputs!AA54*IF(Inputs!$E54="Real",1,AE$5)</f>
        <v>0</v>
      </c>
      <c r="AF42" s="279">
        <f>Inputs!AB54*IF(Inputs!$E54="Real",1,AF$5)</f>
        <v>0</v>
      </c>
      <c r="AG42" s="279">
        <f>Inputs!AC54*IF(Inputs!$E54="Real",1,AG$5)</f>
        <v>0</v>
      </c>
      <c r="AH42" s="279">
        <f>Inputs!AD54*IF(Inputs!$E54="Real",1,AH$5)</f>
        <v>0</v>
      </c>
      <c r="AI42" s="279">
        <f>Inputs!AE54*IF(Inputs!$E54="Real",1,AI$5)</f>
        <v>0</v>
      </c>
      <c r="AJ42" s="279">
        <f>Inputs!AF54*IF(Inputs!$E54="Real",1,AJ$5)</f>
        <v>0</v>
      </c>
      <c r="AK42" s="279">
        <f>Inputs!AG54*IF(Inputs!$E54="Real",1,AK$5)</f>
        <v>0</v>
      </c>
      <c r="AL42" s="279">
        <f>Inputs!AH54*IF(Inputs!$E54="Real",1,AL$5)</f>
        <v>0</v>
      </c>
      <c r="AM42" s="279">
        <f>Inputs!AI54*IF(Inputs!$E54="Real",1,AM$5)</f>
        <v>0</v>
      </c>
      <c r="AN42" s="279">
        <f>Inputs!AJ54*IF(Inputs!$E54="Real",1,AN$5)</f>
        <v>0</v>
      </c>
      <c r="AO42" s="279">
        <f>Inputs!AK54*IF(Inputs!$E54="Real",1,AO$5)</f>
        <v>0</v>
      </c>
      <c r="AP42" s="279">
        <f>Inputs!AL54*IF(Inputs!$E54="Real",1,AP$5)</f>
        <v>0</v>
      </c>
      <c r="AQ42" s="279">
        <f>Inputs!AM54*IF(Inputs!$E54="Real",1,AQ$5)</f>
        <v>0</v>
      </c>
      <c r="AR42" s="279">
        <f>Inputs!AN54*IF(Inputs!$E54="Real",1,AR$5)</f>
        <v>0</v>
      </c>
      <c r="AS42" s="279">
        <f>Inputs!AO54*IF(Inputs!$E54="Real",1,AS$5)</f>
        <v>0</v>
      </c>
      <c r="AT42" s="279">
        <f>Inputs!AP54*IF(Inputs!$E54="Real",1,AT$5)</f>
        <v>0</v>
      </c>
      <c r="AU42" s="279">
        <f>Inputs!AQ54*IF(Inputs!$E54="Real",1,AU$5)</f>
        <v>0</v>
      </c>
      <c r="AV42" s="279">
        <f>Inputs!AR54*IF(Inputs!$E54="Real",1,AV$5)</f>
        <v>0</v>
      </c>
      <c r="AW42" s="279">
        <f>Inputs!AS54*IF(Inputs!$E54="Real",1,AW$5)</f>
        <v>0</v>
      </c>
      <c r="AX42" s="279">
        <f>Inputs!AT54*IF(Inputs!$E54="Real",1,AX$5)</f>
        <v>0</v>
      </c>
      <c r="AY42" s="279">
        <f>Inputs!AU54*IF(Inputs!$E54="Real",1,AY$5)</f>
        <v>0</v>
      </c>
      <c r="AZ42" s="279">
        <f>Inputs!AV54*IF(Inputs!$E54="Real",1,AZ$5)</f>
        <v>0</v>
      </c>
      <c r="BA42" s="279">
        <f>Inputs!AW54*IF(Inputs!$E54="Real",1,BA$5)</f>
        <v>0</v>
      </c>
      <c r="BB42" s="279">
        <f>Inputs!AX54*IF(Inputs!$E54="Real",1,BB$5)</f>
        <v>0</v>
      </c>
      <c r="BC42" s="279">
        <f>Inputs!AY54*IF(Inputs!$E54="Real",1,BC$5)</f>
        <v>0</v>
      </c>
      <c r="BD42" s="279">
        <f>Inputs!AZ54*IF(Inputs!$E54="Real",1,BD$5)</f>
        <v>0</v>
      </c>
      <c r="BE42" s="279">
        <f>Inputs!BA54*IF(Inputs!$E54="Real",1,BE$5)</f>
        <v>0</v>
      </c>
    </row>
    <row r="43" spans="1:57" x14ac:dyDescent="0.35">
      <c r="A43" s="95"/>
      <c r="B43" s="95"/>
      <c r="C43" s="95"/>
      <c r="D43" s="280">
        <f>'Project description'!$B$5</f>
        <v>0</v>
      </c>
      <c r="E43" s="250" t="str">
        <f>Lists!$B$34</f>
        <v/>
      </c>
      <c r="F43" s="251" t="s">
        <v>160</v>
      </c>
      <c r="G43" s="291" t="s">
        <v>333</v>
      </c>
      <c r="H43" s="291" t="s">
        <v>55</v>
      </c>
      <c r="I43" s="250" t="s">
        <v>109</v>
      </c>
      <c r="J43" s="251">
        <f t="shared" si="5"/>
        <v>0</v>
      </c>
      <c r="K43" s="281" t="str">
        <f>IF(Inputs!G55="","",Inputs!G55)</f>
        <v/>
      </c>
      <c r="L43" s="282">
        <f>Inputs!H55*IF(Inputs!$E55="Real",1,L$5)</f>
        <v>0</v>
      </c>
      <c r="M43" s="282">
        <f>Inputs!I55*IF(Inputs!$E55="Real",1,M$5)</f>
        <v>0</v>
      </c>
      <c r="N43" s="282">
        <f>Inputs!J55*IF(Inputs!$E55="Real",1,N$5)</f>
        <v>0</v>
      </c>
      <c r="O43" s="282">
        <f>Inputs!K55*IF(Inputs!$E55="Real",1,O$5)</f>
        <v>0</v>
      </c>
      <c r="P43" s="282">
        <f>Inputs!L55*IF(Inputs!$E55="Real",1,P$5)</f>
        <v>0</v>
      </c>
      <c r="Q43" s="282">
        <f>Inputs!M55*IF(Inputs!$E55="Real",1,Q$5)</f>
        <v>0</v>
      </c>
      <c r="R43" s="282">
        <f>Inputs!N55*IF(Inputs!$E55="Real",1,R$5)</f>
        <v>0</v>
      </c>
      <c r="S43" s="282">
        <f>Inputs!O55*IF(Inputs!$E55="Real",1,S$5)</f>
        <v>0</v>
      </c>
      <c r="T43" s="282">
        <f>Inputs!P55*IF(Inputs!$E55="Real",1,T$5)</f>
        <v>0</v>
      </c>
      <c r="U43" s="282">
        <f>Inputs!Q55*IF(Inputs!$E55="Real",1,U$5)</f>
        <v>0</v>
      </c>
      <c r="V43" s="282">
        <f>Inputs!R55*IF(Inputs!$E55="Real",1,V$5)</f>
        <v>0</v>
      </c>
      <c r="W43" s="282">
        <f>Inputs!S55*IF(Inputs!$E55="Real",1,W$5)</f>
        <v>0</v>
      </c>
      <c r="X43" s="282">
        <f>Inputs!T55*IF(Inputs!$E55="Real",1,X$5)</f>
        <v>0</v>
      </c>
      <c r="Y43" s="282">
        <f>Inputs!U55*IF(Inputs!$E55="Real",1,Y$5)</f>
        <v>0</v>
      </c>
      <c r="Z43" s="282">
        <f>Inputs!V55*IF(Inputs!$E55="Real",1,Z$5)</f>
        <v>0</v>
      </c>
      <c r="AA43" s="282">
        <f>Inputs!W55*IF(Inputs!$E55="Real",1,AA$5)</f>
        <v>0</v>
      </c>
      <c r="AB43" s="282">
        <f>Inputs!X55*IF(Inputs!$E55="Real",1,AB$5)</f>
        <v>0</v>
      </c>
      <c r="AC43" s="282">
        <f>Inputs!Y55*IF(Inputs!$E55="Real",1,AC$5)</f>
        <v>0</v>
      </c>
      <c r="AD43" s="282">
        <f>Inputs!Z55*IF(Inputs!$E55="Real",1,AD$5)</f>
        <v>0</v>
      </c>
      <c r="AE43" s="282">
        <f>Inputs!AA55*IF(Inputs!$E55="Real",1,AE$5)</f>
        <v>0</v>
      </c>
      <c r="AF43" s="282">
        <f>Inputs!AB55*IF(Inputs!$E55="Real",1,AF$5)</f>
        <v>0</v>
      </c>
      <c r="AG43" s="282">
        <f>Inputs!AC55*IF(Inputs!$E55="Real",1,AG$5)</f>
        <v>0</v>
      </c>
      <c r="AH43" s="282">
        <f>Inputs!AD55*IF(Inputs!$E55="Real",1,AH$5)</f>
        <v>0</v>
      </c>
      <c r="AI43" s="282">
        <f>Inputs!AE55*IF(Inputs!$E55="Real",1,AI$5)</f>
        <v>0</v>
      </c>
      <c r="AJ43" s="282">
        <f>Inputs!AF55*IF(Inputs!$E55="Real",1,AJ$5)</f>
        <v>0</v>
      </c>
      <c r="AK43" s="282">
        <f>Inputs!AG55*IF(Inputs!$E55="Real",1,AK$5)</f>
        <v>0</v>
      </c>
      <c r="AL43" s="282">
        <f>Inputs!AH55*IF(Inputs!$E55="Real",1,AL$5)</f>
        <v>0</v>
      </c>
      <c r="AM43" s="282">
        <f>Inputs!AI55*IF(Inputs!$E55="Real",1,AM$5)</f>
        <v>0</v>
      </c>
      <c r="AN43" s="282">
        <f>Inputs!AJ55*IF(Inputs!$E55="Real",1,AN$5)</f>
        <v>0</v>
      </c>
      <c r="AO43" s="282">
        <f>Inputs!AK55*IF(Inputs!$E55="Real",1,AO$5)</f>
        <v>0</v>
      </c>
      <c r="AP43" s="282">
        <f>Inputs!AL55*IF(Inputs!$E55="Real",1,AP$5)</f>
        <v>0</v>
      </c>
      <c r="AQ43" s="282">
        <f>Inputs!AM55*IF(Inputs!$E55="Real",1,AQ$5)</f>
        <v>0</v>
      </c>
      <c r="AR43" s="282">
        <f>Inputs!AN55*IF(Inputs!$E55="Real",1,AR$5)</f>
        <v>0</v>
      </c>
      <c r="AS43" s="282">
        <f>Inputs!AO55*IF(Inputs!$E55="Real",1,AS$5)</f>
        <v>0</v>
      </c>
      <c r="AT43" s="282">
        <f>Inputs!AP55*IF(Inputs!$E55="Real",1,AT$5)</f>
        <v>0</v>
      </c>
      <c r="AU43" s="282">
        <f>Inputs!AQ55*IF(Inputs!$E55="Real",1,AU$5)</f>
        <v>0</v>
      </c>
      <c r="AV43" s="282">
        <f>Inputs!AR55*IF(Inputs!$E55="Real",1,AV$5)</f>
        <v>0</v>
      </c>
      <c r="AW43" s="282">
        <f>Inputs!AS55*IF(Inputs!$E55="Real",1,AW$5)</f>
        <v>0</v>
      </c>
      <c r="AX43" s="282">
        <f>Inputs!AT55*IF(Inputs!$E55="Real",1,AX$5)</f>
        <v>0</v>
      </c>
      <c r="AY43" s="282">
        <f>Inputs!AU55*IF(Inputs!$E55="Real",1,AY$5)</f>
        <v>0</v>
      </c>
      <c r="AZ43" s="282">
        <f>Inputs!AV55*IF(Inputs!$E55="Real",1,AZ$5)</f>
        <v>0</v>
      </c>
      <c r="BA43" s="282">
        <f>Inputs!AW55*IF(Inputs!$E55="Real",1,BA$5)</f>
        <v>0</v>
      </c>
      <c r="BB43" s="282">
        <f>Inputs!AX55*IF(Inputs!$E55="Real",1,BB$5)</f>
        <v>0</v>
      </c>
      <c r="BC43" s="282">
        <f>Inputs!AY55*IF(Inputs!$E55="Real",1,BC$5)</f>
        <v>0</v>
      </c>
      <c r="BD43" s="282">
        <f>Inputs!AZ55*IF(Inputs!$E55="Real",1,BD$5)</f>
        <v>0</v>
      </c>
      <c r="BE43" s="282">
        <f>Inputs!BA55*IF(Inputs!$E55="Real",1,BE$5)</f>
        <v>0</v>
      </c>
    </row>
    <row r="44" spans="1:57" x14ac:dyDescent="0.35">
      <c r="A44" s="95"/>
      <c r="B44" s="95"/>
      <c r="C44" s="95"/>
      <c r="D44" s="277">
        <f>'Project description'!$B$5</f>
        <v>0</v>
      </c>
      <c r="E44" s="246" t="str">
        <f>Lists!$B$34</f>
        <v/>
      </c>
      <c r="F44" s="247" t="s">
        <v>160</v>
      </c>
      <c r="G44" s="290" t="s">
        <v>333</v>
      </c>
      <c r="H44" s="290" t="s">
        <v>56</v>
      </c>
      <c r="I44" s="246" t="s">
        <v>109</v>
      </c>
      <c r="J44" s="247">
        <f t="shared" si="5"/>
        <v>0</v>
      </c>
      <c r="K44" s="278" t="str">
        <f>IF(Inputs!G56="","",Inputs!G56)</f>
        <v/>
      </c>
      <c r="L44" s="279">
        <f>Inputs!H56*IF(Inputs!$E56="Real",1,L$5)</f>
        <v>0</v>
      </c>
      <c r="M44" s="279">
        <f>Inputs!I56*IF(Inputs!$E56="Real",1,M$5)</f>
        <v>0</v>
      </c>
      <c r="N44" s="279">
        <f>Inputs!J56*IF(Inputs!$E56="Real",1,N$5)</f>
        <v>0</v>
      </c>
      <c r="O44" s="279">
        <f>Inputs!K56*IF(Inputs!$E56="Real",1,O$5)</f>
        <v>0</v>
      </c>
      <c r="P44" s="279">
        <f>Inputs!L56*IF(Inputs!$E56="Real",1,P$5)</f>
        <v>0</v>
      </c>
      <c r="Q44" s="279">
        <f>Inputs!M56*IF(Inputs!$E56="Real",1,Q$5)</f>
        <v>0</v>
      </c>
      <c r="R44" s="279">
        <f>Inputs!N56*IF(Inputs!$E56="Real",1,R$5)</f>
        <v>0</v>
      </c>
      <c r="S44" s="279">
        <f>Inputs!O56*IF(Inputs!$E56="Real",1,S$5)</f>
        <v>0</v>
      </c>
      <c r="T44" s="279">
        <f>Inputs!P56*IF(Inputs!$E56="Real",1,T$5)</f>
        <v>0</v>
      </c>
      <c r="U44" s="279">
        <f>Inputs!Q56*IF(Inputs!$E56="Real",1,U$5)</f>
        <v>0</v>
      </c>
      <c r="V44" s="279">
        <f>Inputs!R56*IF(Inputs!$E56="Real",1,V$5)</f>
        <v>0</v>
      </c>
      <c r="W44" s="279">
        <f>Inputs!S56*IF(Inputs!$E56="Real",1,W$5)</f>
        <v>0</v>
      </c>
      <c r="X44" s="279">
        <f>Inputs!T56*IF(Inputs!$E56="Real",1,X$5)</f>
        <v>0</v>
      </c>
      <c r="Y44" s="279">
        <f>Inputs!U56*IF(Inputs!$E56="Real",1,Y$5)</f>
        <v>0</v>
      </c>
      <c r="Z44" s="279">
        <f>Inputs!V56*IF(Inputs!$E56="Real",1,Z$5)</f>
        <v>0</v>
      </c>
      <c r="AA44" s="279">
        <f>Inputs!W56*IF(Inputs!$E56="Real",1,AA$5)</f>
        <v>0</v>
      </c>
      <c r="AB44" s="279">
        <f>Inputs!X56*IF(Inputs!$E56="Real",1,AB$5)</f>
        <v>0</v>
      </c>
      <c r="AC44" s="279">
        <f>Inputs!Y56*IF(Inputs!$E56="Real",1,AC$5)</f>
        <v>0</v>
      </c>
      <c r="AD44" s="279">
        <f>Inputs!Z56*IF(Inputs!$E56="Real",1,AD$5)</f>
        <v>0</v>
      </c>
      <c r="AE44" s="279">
        <f>Inputs!AA56*IF(Inputs!$E56="Real",1,AE$5)</f>
        <v>0</v>
      </c>
      <c r="AF44" s="279">
        <f>Inputs!AB56*IF(Inputs!$E56="Real",1,AF$5)</f>
        <v>0</v>
      </c>
      <c r="AG44" s="279">
        <f>Inputs!AC56*IF(Inputs!$E56="Real",1,AG$5)</f>
        <v>0</v>
      </c>
      <c r="AH44" s="279">
        <f>Inputs!AD56*IF(Inputs!$E56="Real",1,AH$5)</f>
        <v>0</v>
      </c>
      <c r="AI44" s="279">
        <f>Inputs!AE56*IF(Inputs!$E56="Real",1,AI$5)</f>
        <v>0</v>
      </c>
      <c r="AJ44" s="279">
        <f>Inputs!AF56*IF(Inputs!$E56="Real",1,AJ$5)</f>
        <v>0</v>
      </c>
      <c r="AK44" s="279">
        <f>Inputs!AG56*IF(Inputs!$E56="Real",1,AK$5)</f>
        <v>0</v>
      </c>
      <c r="AL44" s="279">
        <f>Inputs!AH56*IF(Inputs!$E56="Real",1,AL$5)</f>
        <v>0</v>
      </c>
      <c r="AM44" s="279">
        <f>Inputs!AI56*IF(Inputs!$E56="Real",1,AM$5)</f>
        <v>0</v>
      </c>
      <c r="AN44" s="279">
        <f>Inputs!AJ56*IF(Inputs!$E56="Real",1,AN$5)</f>
        <v>0</v>
      </c>
      <c r="AO44" s="279">
        <f>Inputs!AK56*IF(Inputs!$E56="Real",1,AO$5)</f>
        <v>0</v>
      </c>
      <c r="AP44" s="279">
        <f>Inputs!AL56*IF(Inputs!$E56="Real",1,AP$5)</f>
        <v>0</v>
      </c>
      <c r="AQ44" s="279">
        <f>Inputs!AM56*IF(Inputs!$E56="Real",1,AQ$5)</f>
        <v>0</v>
      </c>
      <c r="AR44" s="279">
        <f>Inputs!AN56*IF(Inputs!$E56="Real",1,AR$5)</f>
        <v>0</v>
      </c>
      <c r="AS44" s="279">
        <f>Inputs!AO56*IF(Inputs!$E56="Real",1,AS$5)</f>
        <v>0</v>
      </c>
      <c r="AT44" s="279">
        <f>Inputs!AP56*IF(Inputs!$E56="Real",1,AT$5)</f>
        <v>0</v>
      </c>
      <c r="AU44" s="279">
        <f>Inputs!AQ56*IF(Inputs!$E56="Real",1,AU$5)</f>
        <v>0</v>
      </c>
      <c r="AV44" s="279">
        <f>Inputs!AR56*IF(Inputs!$E56="Real",1,AV$5)</f>
        <v>0</v>
      </c>
      <c r="AW44" s="279">
        <f>Inputs!AS56*IF(Inputs!$E56="Real",1,AW$5)</f>
        <v>0</v>
      </c>
      <c r="AX44" s="279">
        <f>Inputs!AT56*IF(Inputs!$E56="Real",1,AX$5)</f>
        <v>0</v>
      </c>
      <c r="AY44" s="279">
        <f>Inputs!AU56*IF(Inputs!$E56="Real",1,AY$5)</f>
        <v>0</v>
      </c>
      <c r="AZ44" s="279">
        <f>Inputs!AV56*IF(Inputs!$E56="Real",1,AZ$5)</f>
        <v>0</v>
      </c>
      <c r="BA44" s="279">
        <f>Inputs!AW56*IF(Inputs!$E56="Real",1,BA$5)</f>
        <v>0</v>
      </c>
      <c r="BB44" s="279">
        <f>Inputs!AX56*IF(Inputs!$E56="Real",1,BB$5)</f>
        <v>0</v>
      </c>
      <c r="BC44" s="279">
        <f>Inputs!AY56*IF(Inputs!$E56="Real",1,BC$5)</f>
        <v>0</v>
      </c>
      <c r="BD44" s="279">
        <f>Inputs!AZ56*IF(Inputs!$E56="Real",1,BD$5)</f>
        <v>0</v>
      </c>
      <c r="BE44" s="279">
        <f>Inputs!BA56*IF(Inputs!$E56="Real",1,BE$5)</f>
        <v>0</v>
      </c>
    </row>
    <row r="45" spans="1:57" x14ac:dyDescent="0.35">
      <c r="A45" s="95"/>
      <c r="B45" s="95"/>
      <c r="C45" s="95"/>
      <c r="D45" s="280">
        <f>'Project description'!$B$5</f>
        <v>0</v>
      </c>
      <c r="E45" s="250" t="str">
        <f>Lists!$B$34</f>
        <v/>
      </c>
      <c r="F45" s="251" t="s">
        <v>160</v>
      </c>
      <c r="G45" s="291" t="s">
        <v>333</v>
      </c>
      <c r="H45" s="291" t="s">
        <v>57</v>
      </c>
      <c r="I45" s="250" t="s">
        <v>109</v>
      </c>
      <c r="J45" s="251">
        <f t="shared" si="5"/>
        <v>0</v>
      </c>
      <c r="K45" s="281" t="str">
        <f>IF(Inputs!G57="","",Inputs!G57)</f>
        <v/>
      </c>
      <c r="L45" s="282">
        <f>Inputs!H57*IF(Inputs!$E57="Real",1,L$5)</f>
        <v>0</v>
      </c>
      <c r="M45" s="282">
        <f>Inputs!I57*IF(Inputs!$E57="Real",1,M$5)</f>
        <v>0</v>
      </c>
      <c r="N45" s="282">
        <f>Inputs!J57*IF(Inputs!$E57="Real",1,N$5)</f>
        <v>0</v>
      </c>
      <c r="O45" s="282">
        <f>Inputs!K57*IF(Inputs!$E57="Real",1,O$5)</f>
        <v>0</v>
      </c>
      <c r="P45" s="282">
        <f>Inputs!L57*IF(Inputs!$E57="Real",1,P$5)</f>
        <v>0</v>
      </c>
      <c r="Q45" s="282">
        <f>Inputs!M57*IF(Inputs!$E57="Real",1,Q$5)</f>
        <v>0</v>
      </c>
      <c r="R45" s="282">
        <f>Inputs!N57*IF(Inputs!$E57="Real",1,R$5)</f>
        <v>0</v>
      </c>
      <c r="S45" s="282">
        <f>Inputs!O57*IF(Inputs!$E57="Real",1,S$5)</f>
        <v>0</v>
      </c>
      <c r="T45" s="282">
        <f>Inputs!P57*IF(Inputs!$E57="Real",1,T$5)</f>
        <v>0</v>
      </c>
      <c r="U45" s="282">
        <f>Inputs!Q57*IF(Inputs!$E57="Real",1,U$5)</f>
        <v>0</v>
      </c>
      <c r="V45" s="282">
        <f>Inputs!R57*IF(Inputs!$E57="Real",1,V$5)</f>
        <v>0</v>
      </c>
      <c r="W45" s="282">
        <f>Inputs!S57*IF(Inputs!$E57="Real",1,W$5)</f>
        <v>0</v>
      </c>
      <c r="X45" s="282">
        <f>Inputs!T57*IF(Inputs!$E57="Real",1,X$5)</f>
        <v>0</v>
      </c>
      <c r="Y45" s="282">
        <f>Inputs!U57*IF(Inputs!$E57="Real",1,Y$5)</f>
        <v>0</v>
      </c>
      <c r="Z45" s="282">
        <f>Inputs!V57*IF(Inputs!$E57="Real",1,Z$5)</f>
        <v>0</v>
      </c>
      <c r="AA45" s="282">
        <f>Inputs!W57*IF(Inputs!$E57="Real",1,AA$5)</f>
        <v>0</v>
      </c>
      <c r="AB45" s="282">
        <f>Inputs!X57*IF(Inputs!$E57="Real",1,AB$5)</f>
        <v>0</v>
      </c>
      <c r="AC45" s="282">
        <f>Inputs!Y57*IF(Inputs!$E57="Real",1,AC$5)</f>
        <v>0</v>
      </c>
      <c r="AD45" s="282">
        <f>Inputs!Z57*IF(Inputs!$E57="Real",1,AD$5)</f>
        <v>0</v>
      </c>
      <c r="AE45" s="282">
        <f>Inputs!AA57*IF(Inputs!$E57="Real",1,AE$5)</f>
        <v>0</v>
      </c>
      <c r="AF45" s="282">
        <f>Inputs!AB57*IF(Inputs!$E57="Real",1,AF$5)</f>
        <v>0</v>
      </c>
      <c r="AG45" s="282">
        <f>Inputs!AC57*IF(Inputs!$E57="Real",1,AG$5)</f>
        <v>0</v>
      </c>
      <c r="AH45" s="282">
        <f>Inputs!AD57*IF(Inputs!$E57="Real",1,AH$5)</f>
        <v>0</v>
      </c>
      <c r="AI45" s="282">
        <f>Inputs!AE57*IF(Inputs!$E57="Real",1,AI$5)</f>
        <v>0</v>
      </c>
      <c r="AJ45" s="282">
        <f>Inputs!AF57*IF(Inputs!$E57="Real",1,AJ$5)</f>
        <v>0</v>
      </c>
      <c r="AK45" s="282">
        <f>Inputs!AG57*IF(Inputs!$E57="Real",1,AK$5)</f>
        <v>0</v>
      </c>
      <c r="AL45" s="282">
        <f>Inputs!AH57*IF(Inputs!$E57="Real",1,AL$5)</f>
        <v>0</v>
      </c>
      <c r="AM45" s="282">
        <f>Inputs!AI57*IF(Inputs!$E57="Real",1,AM$5)</f>
        <v>0</v>
      </c>
      <c r="AN45" s="282">
        <f>Inputs!AJ57*IF(Inputs!$E57="Real",1,AN$5)</f>
        <v>0</v>
      </c>
      <c r="AO45" s="282">
        <f>Inputs!AK57*IF(Inputs!$E57="Real",1,AO$5)</f>
        <v>0</v>
      </c>
      <c r="AP45" s="282">
        <f>Inputs!AL57*IF(Inputs!$E57="Real",1,AP$5)</f>
        <v>0</v>
      </c>
      <c r="AQ45" s="282">
        <f>Inputs!AM57*IF(Inputs!$E57="Real",1,AQ$5)</f>
        <v>0</v>
      </c>
      <c r="AR45" s="282">
        <f>Inputs!AN57*IF(Inputs!$E57="Real",1,AR$5)</f>
        <v>0</v>
      </c>
      <c r="AS45" s="282">
        <f>Inputs!AO57*IF(Inputs!$E57="Real",1,AS$5)</f>
        <v>0</v>
      </c>
      <c r="AT45" s="282">
        <f>Inputs!AP57*IF(Inputs!$E57="Real",1,AT$5)</f>
        <v>0</v>
      </c>
      <c r="AU45" s="282">
        <f>Inputs!AQ57*IF(Inputs!$E57="Real",1,AU$5)</f>
        <v>0</v>
      </c>
      <c r="AV45" s="282">
        <f>Inputs!AR57*IF(Inputs!$E57="Real",1,AV$5)</f>
        <v>0</v>
      </c>
      <c r="AW45" s="282">
        <f>Inputs!AS57*IF(Inputs!$E57="Real",1,AW$5)</f>
        <v>0</v>
      </c>
      <c r="AX45" s="282">
        <f>Inputs!AT57*IF(Inputs!$E57="Real",1,AX$5)</f>
        <v>0</v>
      </c>
      <c r="AY45" s="282">
        <f>Inputs!AU57*IF(Inputs!$E57="Real",1,AY$5)</f>
        <v>0</v>
      </c>
      <c r="AZ45" s="282">
        <f>Inputs!AV57*IF(Inputs!$E57="Real",1,AZ$5)</f>
        <v>0</v>
      </c>
      <c r="BA45" s="282">
        <f>Inputs!AW57*IF(Inputs!$E57="Real",1,BA$5)</f>
        <v>0</v>
      </c>
      <c r="BB45" s="282">
        <f>Inputs!AX57*IF(Inputs!$E57="Real",1,BB$5)</f>
        <v>0</v>
      </c>
      <c r="BC45" s="282">
        <f>Inputs!AY57*IF(Inputs!$E57="Real",1,BC$5)</f>
        <v>0</v>
      </c>
      <c r="BD45" s="282">
        <f>Inputs!AZ57*IF(Inputs!$E57="Real",1,BD$5)</f>
        <v>0</v>
      </c>
      <c r="BE45" s="282">
        <f>Inputs!BA57*IF(Inputs!$E57="Real",1,BE$5)</f>
        <v>0</v>
      </c>
    </row>
    <row r="46" spans="1:57" x14ac:dyDescent="0.35">
      <c r="A46" s="95"/>
      <c r="B46" s="95"/>
      <c r="C46" s="95"/>
      <c r="D46" s="283">
        <f>'Project description'!$B$5</f>
        <v>0</v>
      </c>
      <c r="E46" s="284" t="str">
        <f>Lists!$B$34</f>
        <v/>
      </c>
      <c r="F46" s="285" t="s">
        <v>160</v>
      </c>
      <c r="G46" s="292" t="s">
        <v>333</v>
      </c>
      <c r="H46" s="292" t="s">
        <v>46</v>
      </c>
      <c r="I46" s="284" t="s">
        <v>109</v>
      </c>
      <c r="J46" s="285">
        <f t="shared" si="5"/>
        <v>0</v>
      </c>
      <c r="K46" s="286" t="str">
        <f>IF(Inputs!G58="","",Inputs!G58)</f>
        <v/>
      </c>
      <c r="L46" s="287">
        <f>Inputs!H58*IF(Inputs!$E58="Real",1,L$5)</f>
        <v>0</v>
      </c>
      <c r="M46" s="287">
        <f>Inputs!I58*IF(Inputs!$E58="Real",1,M$5)</f>
        <v>0</v>
      </c>
      <c r="N46" s="287">
        <f>Inputs!J58*IF(Inputs!$E58="Real",1,N$5)</f>
        <v>0</v>
      </c>
      <c r="O46" s="287">
        <f>Inputs!K58*IF(Inputs!$E58="Real",1,O$5)</f>
        <v>0</v>
      </c>
      <c r="P46" s="287">
        <f>Inputs!L58*IF(Inputs!$E58="Real",1,P$5)</f>
        <v>0</v>
      </c>
      <c r="Q46" s="287">
        <f>Inputs!M58*IF(Inputs!$E58="Real",1,Q$5)</f>
        <v>0</v>
      </c>
      <c r="R46" s="287">
        <f>Inputs!N58*IF(Inputs!$E58="Real",1,R$5)</f>
        <v>0</v>
      </c>
      <c r="S46" s="287">
        <f>Inputs!O58*IF(Inputs!$E58="Real",1,S$5)</f>
        <v>0</v>
      </c>
      <c r="T46" s="287">
        <f>Inputs!P58*IF(Inputs!$E58="Real",1,T$5)</f>
        <v>0</v>
      </c>
      <c r="U46" s="287">
        <f>Inputs!Q58*IF(Inputs!$E58="Real",1,U$5)</f>
        <v>0</v>
      </c>
      <c r="V46" s="287">
        <f>Inputs!R58*IF(Inputs!$E58="Real",1,V$5)</f>
        <v>0</v>
      </c>
      <c r="W46" s="287">
        <f>Inputs!S58*IF(Inputs!$E58="Real",1,W$5)</f>
        <v>0</v>
      </c>
      <c r="X46" s="287">
        <f>Inputs!T58*IF(Inputs!$E58="Real",1,X$5)</f>
        <v>0</v>
      </c>
      <c r="Y46" s="287">
        <f>Inputs!U58*IF(Inputs!$E58="Real",1,Y$5)</f>
        <v>0</v>
      </c>
      <c r="Z46" s="287">
        <f>Inputs!V58*IF(Inputs!$E58="Real",1,Z$5)</f>
        <v>0</v>
      </c>
      <c r="AA46" s="287">
        <f>Inputs!W58*IF(Inputs!$E58="Real",1,AA$5)</f>
        <v>0</v>
      </c>
      <c r="AB46" s="287">
        <f>Inputs!X58*IF(Inputs!$E58="Real",1,AB$5)</f>
        <v>0</v>
      </c>
      <c r="AC46" s="287">
        <f>Inputs!Y58*IF(Inputs!$E58="Real",1,AC$5)</f>
        <v>0</v>
      </c>
      <c r="AD46" s="287">
        <f>Inputs!Z58*IF(Inputs!$E58="Real",1,AD$5)</f>
        <v>0</v>
      </c>
      <c r="AE46" s="287">
        <f>Inputs!AA58*IF(Inputs!$E58="Real",1,AE$5)</f>
        <v>0</v>
      </c>
      <c r="AF46" s="287">
        <f>Inputs!AB58*IF(Inputs!$E58="Real",1,AF$5)</f>
        <v>0</v>
      </c>
      <c r="AG46" s="287">
        <f>Inputs!AC58*IF(Inputs!$E58="Real",1,AG$5)</f>
        <v>0</v>
      </c>
      <c r="AH46" s="287">
        <f>Inputs!AD58*IF(Inputs!$E58="Real",1,AH$5)</f>
        <v>0</v>
      </c>
      <c r="AI46" s="287">
        <f>Inputs!AE58*IF(Inputs!$E58="Real",1,AI$5)</f>
        <v>0</v>
      </c>
      <c r="AJ46" s="287">
        <f>Inputs!AF58*IF(Inputs!$E58="Real",1,AJ$5)</f>
        <v>0</v>
      </c>
      <c r="AK46" s="287">
        <f>Inputs!AG58*IF(Inputs!$E58="Real",1,AK$5)</f>
        <v>0</v>
      </c>
      <c r="AL46" s="287">
        <f>Inputs!AH58*IF(Inputs!$E58="Real",1,AL$5)</f>
        <v>0</v>
      </c>
      <c r="AM46" s="287">
        <f>Inputs!AI58*IF(Inputs!$E58="Real",1,AM$5)</f>
        <v>0</v>
      </c>
      <c r="AN46" s="287">
        <f>Inputs!AJ58*IF(Inputs!$E58="Real",1,AN$5)</f>
        <v>0</v>
      </c>
      <c r="AO46" s="287">
        <f>Inputs!AK58*IF(Inputs!$E58="Real",1,AO$5)</f>
        <v>0</v>
      </c>
      <c r="AP46" s="287">
        <f>Inputs!AL58*IF(Inputs!$E58="Real",1,AP$5)</f>
        <v>0</v>
      </c>
      <c r="AQ46" s="287">
        <f>Inputs!AM58*IF(Inputs!$E58="Real",1,AQ$5)</f>
        <v>0</v>
      </c>
      <c r="AR46" s="287">
        <f>Inputs!AN58*IF(Inputs!$E58="Real",1,AR$5)</f>
        <v>0</v>
      </c>
      <c r="AS46" s="287">
        <f>Inputs!AO58*IF(Inputs!$E58="Real",1,AS$5)</f>
        <v>0</v>
      </c>
      <c r="AT46" s="287">
        <f>Inputs!AP58*IF(Inputs!$E58="Real",1,AT$5)</f>
        <v>0</v>
      </c>
      <c r="AU46" s="287">
        <f>Inputs!AQ58*IF(Inputs!$E58="Real",1,AU$5)</f>
        <v>0</v>
      </c>
      <c r="AV46" s="287">
        <f>Inputs!AR58*IF(Inputs!$E58="Real",1,AV$5)</f>
        <v>0</v>
      </c>
      <c r="AW46" s="287">
        <f>Inputs!AS58*IF(Inputs!$E58="Real",1,AW$5)</f>
        <v>0</v>
      </c>
      <c r="AX46" s="287">
        <f>Inputs!AT58*IF(Inputs!$E58="Real",1,AX$5)</f>
        <v>0</v>
      </c>
      <c r="AY46" s="287">
        <f>Inputs!AU58*IF(Inputs!$E58="Real",1,AY$5)</f>
        <v>0</v>
      </c>
      <c r="AZ46" s="287">
        <f>Inputs!AV58*IF(Inputs!$E58="Real",1,AZ$5)</f>
        <v>0</v>
      </c>
      <c r="BA46" s="287">
        <f>Inputs!AW58*IF(Inputs!$E58="Real",1,BA$5)</f>
        <v>0</v>
      </c>
      <c r="BB46" s="287">
        <f>Inputs!AX58*IF(Inputs!$E58="Real",1,BB$5)</f>
        <v>0</v>
      </c>
      <c r="BC46" s="287">
        <f>Inputs!AY58*IF(Inputs!$E58="Real",1,BC$5)</f>
        <v>0</v>
      </c>
      <c r="BD46" s="287">
        <f>Inputs!AZ58*IF(Inputs!$E58="Real",1,BD$5)</f>
        <v>0</v>
      </c>
      <c r="BE46" s="287">
        <f>Inputs!BA58*IF(Inputs!$E58="Real",1,BE$5)</f>
        <v>0</v>
      </c>
    </row>
    <row r="47" spans="1:57" ht="18.5" x14ac:dyDescent="0.45">
      <c r="A47" s="95"/>
      <c r="B47" s="95"/>
      <c r="C47" s="95"/>
      <c r="D47" s="95"/>
      <c r="E47" s="95"/>
      <c r="F47" s="7"/>
      <c r="G47" s="7"/>
      <c r="H47" s="4" t="str">
        <f>"Total non-fuel opex in "&amp;Analysis_year&amp;" dollars"</f>
        <v>Total non-fuel opex in  dollars</v>
      </c>
      <c r="I47" s="4"/>
      <c r="J47" s="4"/>
      <c r="K47" s="4"/>
      <c r="L47" s="104">
        <f>SUBTOTAL(109,'Real values'!$L$41:$L$46)</f>
        <v>0</v>
      </c>
      <c r="M47" s="104">
        <f>SUBTOTAL(109,'Real values'!$M$41:$M$46)</f>
        <v>0</v>
      </c>
      <c r="N47" s="104">
        <f>SUBTOTAL(109,'Real values'!$N$41:$N$46)</f>
        <v>0</v>
      </c>
      <c r="O47" s="104">
        <f>SUBTOTAL(109,'Real values'!$O$41:$O$46)</f>
        <v>0</v>
      </c>
      <c r="P47" s="104">
        <f>SUBTOTAL(109,'Real values'!$P$41:$P$46)</f>
        <v>0</v>
      </c>
      <c r="Q47" s="104">
        <f>SUBTOTAL(109,'Real values'!$Q$41:$Q$46)</f>
        <v>0</v>
      </c>
      <c r="R47" s="104">
        <f>SUBTOTAL(109,'Real values'!$R$41:$R$46)</f>
        <v>0</v>
      </c>
      <c r="S47" s="104">
        <f>SUBTOTAL(109,'Real values'!$S$41:$S$46)</f>
        <v>0</v>
      </c>
      <c r="T47" s="104">
        <f>SUBTOTAL(109,'Real values'!$T$41:$T$46)</f>
        <v>0</v>
      </c>
      <c r="U47" s="104">
        <f>SUBTOTAL(109,'Real values'!$U$41:$U$46)</f>
        <v>0</v>
      </c>
      <c r="V47" s="104">
        <f>SUBTOTAL(109,'Real values'!$V$41:$V$46)</f>
        <v>0</v>
      </c>
      <c r="W47" s="104">
        <f>SUBTOTAL(109,'Real values'!$W$41:$W$46)</f>
        <v>0</v>
      </c>
      <c r="X47" s="104">
        <f>SUBTOTAL(109,'Real values'!$X$41:$X$46)</f>
        <v>0</v>
      </c>
      <c r="Y47" s="104">
        <f>SUBTOTAL(109,'Real values'!$Y$41:$Y$46)</f>
        <v>0</v>
      </c>
      <c r="Z47" s="104">
        <f>SUBTOTAL(109,'Real values'!$Z$41:$Z$46)</f>
        <v>0</v>
      </c>
      <c r="AA47" s="104">
        <f>SUBTOTAL(109,'Real values'!$AA$41:$AA$46)</f>
        <v>0</v>
      </c>
      <c r="AB47" s="104">
        <f>SUBTOTAL(109,'Real values'!$AB$41:$AB$46)</f>
        <v>0</v>
      </c>
      <c r="AC47" s="104">
        <f>SUBTOTAL(109,'Real values'!$AC$41:$AC$46)</f>
        <v>0</v>
      </c>
      <c r="AD47" s="104">
        <f>SUBTOTAL(109,'Real values'!$AD$41:$AD$46)</f>
        <v>0</v>
      </c>
      <c r="AE47" s="104">
        <f>SUBTOTAL(109,'Real values'!$AE$41:$AE$46)</f>
        <v>0</v>
      </c>
      <c r="AF47" s="104">
        <f>SUBTOTAL(109,'Real values'!$AF$41:$AF$46)</f>
        <v>0</v>
      </c>
      <c r="AG47" s="104">
        <f>SUBTOTAL(109,'Real values'!$AG$41:$AG$46)</f>
        <v>0</v>
      </c>
      <c r="AH47" s="104">
        <f>SUBTOTAL(109,'Real values'!$AH$41:$AH$46)</f>
        <v>0</v>
      </c>
      <c r="AI47" s="104">
        <f>SUBTOTAL(109,'Real values'!$AI$41:$AI$46)</f>
        <v>0</v>
      </c>
      <c r="AJ47" s="104">
        <f>SUBTOTAL(109,'Real values'!$AJ$41:$AJ$46)</f>
        <v>0</v>
      </c>
      <c r="AK47" s="104">
        <f>SUBTOTAL(109,'Real values'!$AK$41:$AK$46)</f>
        <v>0</v>
      </c>
      <c r="AL47" s="104">
        <f>SUBTOTAL(109,'Real values'!$AL$41:$AL$46)</f>
        <v>0</v>
      </c>
      <c r="AM47" s="104">
        <f>SUBTOTAL(109,'Real values'!$AM$41:$AM$46)</f>
        <v>0</v>
      </c>
      <c r="AN47" s="104">
        <f>SUBTOTAL(109,'Real values'!$AN$41:$AN$46)</f>
        <v>0</v>
      </c>
      <c r="AO47" s="104">
        <f>SUBTOTAL(109,'Real values'!$AO$41:$AO$46)</f>
        <v>0</v>
      </c>
      <c r="AP47" s="104">
        <f>SUBTOTAL(109,'Real values'!$AP$41:$AP$46)</f>
        <v>0</v>
      </c>
      <c r="AQ47" s="104">
        <f>SUBTOTAL(109,'Real values'!$AQ$41:$AQ$46)</f>
        <v>0</v>
      </c>
      <c r="AR47" s="104">
        <f>SUBTOTAL(109,'Real values'!$AR$41:$AR$46)</f>
        <v>0</v>
      </c>
      <c r="AS47" s="104">
        <f>SUBTOTAL(109,'Real values'!$AS$41:$AS$46)</f>
        <v>0</v>
      </c>
      <c r="AT47" s="104">
        <f>SUBTOTAL(109,'Real values'!$AT$41:$AT$46)</f>
        <v>0</v>
      </c>
      <c r="AU47" s="104">
        <f>SUBTOTAL(109,'Real values'!$AU$41:$AU$46)</f>
        <v>0</v>
      </c>
      <c r="AV47" s="104">
        <f>SUBTOTAL(109,'Real values'!$AV$41:$AV$46)</f>
        <v>0</v>
      </c>
      <c r="AW47" s="104">
        <f>SUBTOTAL(109,'Real values'!$AW$41:$AW$46)</f>
        <v>0</v>
      </c>
      <c r="AX47" s="104">
        <f>SUBTOTAL(109,'Real values'!$AX$41:$AX$46)</f>
        <v>0</v>
      </c>
      <c r="AY47" s="104">
        <f>SUBTOTAL(109,'Real values'!$AY$41:$AY$46)</f>
        <v>0</v>
      </c>
      <c r="AZ47" s="104">
        <f>SUBTOTAL(109,'Real values'!$AZ$41:$AZ$46)</f>
        <v>0</v>
      </c>
      <c r="BA47" s="104">
        <f>SUBTOTAL(109,'Real values'!$BA$41:$BA$46)</f>
        <v>0</v>
      </c>
      <c r="BB47" s="104">
        <f>SUBTOTAL(109,'Real values'!$BB$41:$BB$46)</f>
        <v>0</v>
      </c>
      <c r="BC47" s="104">
        <f>SUBTOTAL(109,'Real values'!$BC$41:$BC$46)</f>
        <v>0</v>
      </c>
      <c r="BD47" s="104">
        <f>SUBTOTAL(109,'Real values'!$BD$41:$BD$46)</f>
        <v>0</v>
      </c>
      <c r="BE47" s="104">
        <f>SUBTOTAL(109,'Real values'!$BE$41:$BE$46)</f>
        <v>0</v>
      </c>
    </row>
    <row r="48" spans="1:57" ht="18.5" x14ac:dyDescent="0.45">
      <c r="A48" s="95"/>
      <c r="B48" s="95"/>
      <c r="C48" s="95"/>
      <c r="D48" s="95"/>
      <c r="E48" s="95"/>
      <c r="F48" s="7"/>
      <c r="G48" s="4"/>
      <c r="H48" s="2"/>
      <c r="I48" s="2"/>
      <c r="J48" s="2"/>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row>
    <row r="49" spans="1:57" ht="18.5" x14ac:dyDescent="0.45">
      <c r="A49" s="1" t="s">
        <v>59</v>
      </c>
      <c r="B49" s="1"/>
      <c r="C49" s="1"/>
      <c r="D49" s="1"/>
      <c r="E49" s="1"/>
      <c r="F49" s="7"/>
      <c r="G49" s="2"/>
      <c r="H49" s="2"/>
      <c r="I49" s="2"/>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row>
    <row r="50" spans="1:57" x14ac:dyDescent="0.35">
      <c r="A50" s="28" t="s">
        <v>37</v>
      </c>
      <c r="B50" s="28"/>
      <c r="C50" s="28"/>
      <c r="D50" s="28"/>
      <c r="E50" s="28"/>
      <c r="F50" s="270" t="s">
        <v>329</v>
      </c>
      <c r="G50" s="270" t="s">
        <v>330</v>
      </c>
      <c r="H50" s="304" t="s">
        <v>328</v>
      </c>
      <c r="I50" s="304" t="s">
        <v>60</v>
      </c>
      <c r="J50" s="304" t="s">
        <v>61</v>
      </c>
      <c r="K50" s="234" t="s">
        <v>39</v>
      </c>
      <c r="L50" s="127" t="s">
        <v>303</v>
      </c>
      <c r="M50" s="127" t="s">
        <v>62</v>
      </c>
      <c r="N50" s="127" t="s">
        <v>63</v>
      </c>
      <c r="O50" s="127" t="s">
        <v>64</v>
      </c>
      <c r="P50" s="127" t="s">
        <v>65</v>
      </c>
      <c r="Q50" s="127" t="s">
        <v>66</v>
      </c>
      <c r="R50" s="127" t="s">
        <v>67</v>
      </c>
      <c r="S50" s="127" t="s">
        <v>68</v>
      </c>
      <c r="T50" s="127" t="s">
        <v>69</v>
      </c>
      <c r="U50" s="127" t="s">
        <v>70</v>
      </c>
      <c r="V50" s="127" t="s">
        <v>71</v>
      </c>
      <c r="W50" s="127" t="s">
        <v>72</v>
      </c>
      <c r="X50" s="127" t="s">
        <v>73</v>
      </c>
      <c r="Y50" s="127" t="s">
        <v>74</v>
      </c>
      <c r="Z50" s="127" t="s">
        <v>75</v>
      </c>
      <c r="AA50" s="127" t="s">
        <v>76</v>
      </c>
      <c r="AB50" s="127" t="s">
        <v>77</v>
      </c>
      <c r="AC50" s="127" t="s">
        <v>78</v>
      </c>
      <c r="AD50" s="127" t="s">
        <v>79</v>
      </c>
      <c r="AE50" s="127" t="s">
        <v>80</v>
      </c>
      <c r="AF50" s="127" t="s">
        <v>81</v>
      </c>
      <c r="AG50" s="127" t="s">
        <v>82</v>
      </c>
      <c r="AH50" s="127" t="s">
        <v>83</v>
      </c>
      <c r="AI50" s="127" t="s">
        <v>84</v>
      </c>
      <c r="AJ50" s="127" t="s">
        <v>85</v>
      </c>
      <c r="AK50" s="127" t="s">
        <v>86</v>
      </c>
      <c r="AL50" s="127" t="s">
        <v>87</v>
      </c>
      <c r="AM50" s="127" t="s">
        <v>88</v>
      </c>
      <c r="AN50" s="127" t="s">
        <v>89</v>
      </c>
      <c r="AO50" s="127" t="s">
        <v>90</v>
      </c>
      <c r="AP50" s="127" t="s">
        <v>91</v>
      </c>
      <c r="AQ50" s="127" t="s">
        <v>92</v>
      </c>
      <c r="AR50" s="127" t="s">
        <v>93</v>
      </c>
      <c r="AS50" s="127" t="s">
        <v>94</v>
      </c>
      <c r="AT50" s="127" t="s">
        <v>95</v>
      </c>
      <c r="AU50" s="127" t="s">
        <v>96</v>
      </c>
      <c r="AV50" s="127" t="s">
        <v>97</v>
      </c>
      <c r="AW50" s="127" t="s">
        <v>98</v>
      </c>
      <c r="AX50" s="127" t="s">
        <v>99</v>
      </c>
      <c r="AY50" s="127" t="s">
        <v>100</v>
      </c>
      <c r="AZ50" s="127" t="s">
        <v>101</v>
      </c>
      <c r="BA50" s="127" t="s">
        <v>102</v>
      </c>
      <c r="BB50" s="127" t="s">
        <v>103</v>
      </c>
      <c r="BC50" s="127" t="s">
        <v>104</v>
      </c>
      <c r="BD50" s="127" t="s">
        <v>105</v>
      </c>
      <c r="BE50" s="127" t="s">
        <v>106</v>
      </c>
    </row>
    <row r="51" spans="1:57" x14ac:dyDescent="0.35">
      <c r="A51" s="2"/>
      <c r="B51" s="2"/>
      <c r="C51" s="2"/>
      <c r="D51" s="2"/>
      <c r="E51" s="2"/>
      <c r="F51" s="267">
        <f>'Project description'!$B$5</f>
        <v>0</v>
      </c>
      <c r="G51" s="235" t="str">
        <f>Lists!$B$34</f>
        <v/>
      </c>
      <c r="H51" s="296" t="s">
        <v>148</v>
      </c>
      <c r="I51" s="296" t="str">
        <f>Inputs!D64</f>
        <v>Electricity</v>
      </c>
      <c r="J51" s="296" t="s">
        <v>141</v>
      </c>
      <c r="K51" s="244" t="str">
        <f>IF(Inputs!G64="","",Inputs!G64)</f>
        <v/>
      </c>
      <c r="L51" s="297">
        <f>Inputs!H64*Data!$F3</f>
        <v>0</v>
      </c>
      <c r="M51" s="297">
        <f>Inputs!I64*Data!$F3</f>
        <v>0</v>
      </c>
      <c r="N51" s="297">
        <f>Inputs!J64*Data!$F3</f>
        <v>0</v>
      </c>
      <c r="O51" s="297">
        <f>Inputs!K64*Data!$F3</f>
        <v>0</v>
      </c>
      <c r="P51" s="297">
        <f>Inputs!L64*Data!$F3</f>
        <v>0</v>
      </c>
      <c r="Q51" s="297">
        <f>Inputs!M64*Data!$F3</f>
        <v>0</v>
      </c>
      <c r="R51" s="297">
        <f>Inputs!N64*Data!$F3</f>
        <v>0</v>
      </c>
      <c r="S51" s="297">
        <f>Inputs!O64*Data!$F3</f>
        <v>0</v>
      </c>
      <c r="T51" s="297">
        <f>Inputs!P64*Data!$F3</f>
        <v>0</v>
      </c>
      <c r="U51" s="297">
        <f>Inputs!Q64*Data!$F3</f>
        <v>0</v>
      </c>
      <c r="V51" s="297">
        <f>Inputs!R64*Data!$F3</f>
        <v>0</v>
      </c>
      <c r="W51" s="297">
        <f>Inputs!S64*Data!$F3</f>
        <v>0</v>
      </c>
      <c r="X51" s="297">
        <f>Inputs!T64*Data!$F3</f>
        <v>0</v>
      </c>
      <c r="Y51" s="297">
        <f>Inputs!U64*Data!$F3</f>
        <v>0</v>
      </c>
      <c r="Z51" s="297">
        <f>Inputs!V64*Data!$F3</f>
        <v>0</v>
      </c>
      <c r="AA51" s="297">
        <f>Inputs!W64*Data!$F3</f>
        <v>0</v>
      </c>
      <c r="AB51" s="297">
        <f>Inputs!X64*Data!$F3</f>
        <v>0</v>
      </c>
      <c r="AC51" s="297">
        <f>Inputs!Y64*Data!$F3</f>
        <v>0</v>
      </c>
      <c r="AD51" s="297">
        <f>Inputs!Z64*Data!$F3</f>
        <v>0</v>
      </c>
      <c r="AE51" s="297">
        <f>Inputs!AA64*Data!$F3</f>
        <v>0</v>
      </c>
      <c r="AF51" s="297">
        <f>Inputs!AB64*Data!$F3</f>
        <v>0</v>
      </c>
      <c r="AG51" s="297">
        <f>Inputs!AC64*Data!$F3</f>
        <v>0</v>
      </c>
      <c r="AH51" s="297">
        <f>Inputs!AD64*Data!$F3</f>
        <v>0</v>
      </c>
      <c r="AI51" s="297">
        <f>Inputs!AE64*Data!$F3</f>
        <v>0</v>
      </c>
      <c r="AJ51" s="297">
        <f>Inputs!AF64*Data!$F3</f>
        <v>0</v>
      </c>
      <c r="AK51" s="297">
        <f>Inputs!AG64*Data!$F3</f>
        <v>0</v>
      </c>
      <c r="AL51" s="297">
        <f>Inputs!AH64*Data!$F3</f>
        <v>0</v>
      </c>
      <c r="AM51" s="297">
        <f>Inputs!AI64*Data!$F3</f>
        <v>0</v>
      </c>
      <c r="AN51" s="297">
        <f>Inputs!AJ64*Data!$F3</f>
        <v>0</v>
      </c>
      <c r="AO51" s="297">
        <f>Inputs!AK64*Data!$F3</f>
        <v>0</v>
      </c>
      <c r="AP51" s="297">
        <f>Inputs!AL64*Data!$F3</f>
        <v>0</v>
      </c>
      <c r="AQ51" s="297">
        <f>Inputs!AM64*Data!$F3</f>
        <v>0</v>
      </c>
      <c r="AR51" s="297">
        <f>Inputs!AN64*Data!$F3</f>
        <v>0</v>
      </c>
      <c r="AS51" s="297">
        <f>Inputs!AO64*Data!$F3</f>
        <v>0</v>
      </c>
      <c r="AT51" s="297">
        <f>Inputs!AP64*Data!$F3</f>
        <v>0</v>
      </c>
      <c r="AU51" s="297">
        <f>Inputs!AQ64*Data!$F3</f>
        <v>0</v>
      </c>
      <c r="AV51" s="297">
        <f>Inputs!AR64*Data!$F3</f>
        <v>0</v>
      </c>
      <c r="AW51" s="297">
        <f>Inputs!AS64*Data!$F3</f>
        <v>0</v>
      </c>
      <c r="AX51" s="297">
        <f>Inputs!AT64*Data!$F3</f>
        <v>0</v>
      </c>
      <c r="AY51" s="297">
        <f>Inputs!AU64*Data!$F3</f>
        <v>0</v>
      </c>
      <c r="AZ51" s="297">
        <f>Inputs!AV64*Data!$F3</f>
        <v>0</v>
      </c>
      <c r="BA51" s="297">
        <f>Inputs!AW64*Data!$F3</f>
        <v>0</v>
      </c>
      <c r="BB51" s="297">
        <f>Inputs!AX64*Data!$F3</f>
        <v>0</v>
      </c>
      <c r="BC51" s="297">
        <f>Inputs!AY64*Data!$F3</f>
        <v>0</v>
      </c>
      <c r="BD51" s="297">
        <f>Inputs!AZ64*Data!$F3</f>
        <v>0</v>
      </c>
      <c r="BE51" s="297">
        <f>Inputs!BA64*Data!$F3</f>
        <v>0</v>
      </c>
    </row>
    <row r="52" spans="1:57" x14ac:dyDescent="0.35">
      <c r="A52" s="2"/>
      <c r="B52" s="2"/>
      <c r="C52" s="2"/>
      <c r="D52" s="2"/>
      <c r="E52" s="2"/>
      <c r="F52" s="268">
        <f>'Project description'!$B$5</f>
        <v>0</v>
      </c>
      <c r="G52" s="236" t="str">
        <f>Lists!$B$34</f>
        <v/>
      </c>
      <c r="H52" s="298" t="s">
        <v>148</v>
      </c>
      <c r="I52" s="298" t="str">
        <f>Inputs!D65</f>
        <v>Natural Gas</v>
      </c>
      <c r="J52" s="298" t="s">
        <v>141</v>
      </c>
      <c r="K52" s="299" t="str">
        <f>IF(Inputs!G65="","",Inputs!G65)</f>
        <v/>
      </c>
      <c r="L52" s="300">
        <f>Inputs!H65*Data!$F4</f>
        <v>0</v>
      </c>
      <c r="M52" s="300">
        <f>Inputs!I65*Data!$F4</f>
        <v>0</v>
      </c>
      <c r="N52" s="300">
        <f>Inputs!J65*Data!$F4</f>
        <v>0</v>
      </c>
      <c r="O52" s="300">
        <f>Inputs!K65*Data!$F4</f>
        <v>0</v>
      </c>
      <c r="P52" s="300">
        <f>Inputs!L65*Data!$F4</f>
        <v>0</v>
      </c>
      <c r="Q52" s="300">
        <f>Inputs!M65*Data!$F4</f>
        <v>0</v>
      </c>
      <c r="R52" s="300">
        <f>Inputs!N65*Data!$F4</f>
        <v>0</v>
      </c>
      <c r="S52" s="300">
        <f>Inputs!O65*Data!$F4</f>
        <v>0</v>
      </c>
      <c r="T52" s="300">
        <f>Inputs!P65*Data!$F4</f>
        <v>0</v>
      </c>
      <c r="U52" s="300">
        <f>Inputs!Q65*Data!$F4</f>
        <v>0</v>
      </c>
      <c r="V52" s="300">
        <f>Inputs!R65*Data!$F4</f>
        <v>0</v>
      </c>
      <c r="W52" s="300">
        <f>Inputs!S65*Data!$F4</f>
        <v>0</v>
      </c>
      <c r="X52" s="300">
        <f>Inputs!T65*Data!$F4</f>
        <v>0</v>
      </c>
      <c r="Y52" s="300">
        <f>Inputs!U65*Data!$F4</f>
        <v>0</v>
      </c>
      <c r="Z52" s="300">
        <f>Inputs!V65*Data!$F4</f>
        <v>0</v>
      </c>
      <c r="AA52" s="300">
        <f>Inputs!W65*Data!$F4</f>
        <v>0</v>
      </c>
      <c r="AB52" s="300">
        <f>Inputs!X65*Data!$F4</f>
        <v>0</v>
      </c>
      <c r="AC52" s="300">
        <f>Inputs!Y65*Data!$F4</f>
        <v>0</v>
      </c>
      <c r="AD52" s="300">
        <f>Inputs!Z65*Data!$F4</f>
        <v>0</v>
      </c>
      <c r="AE52" s="300">
        <f>Inputs!AA65*Data!$F4</f>
        <v>0</v>
      </c>
      <c r="AF52" s="300">
        <f>Inputs!AB65*Data!$F4</f>
        <v>0</v>
      </c>
      <c r="AG52" s="300">
        <f>Inputs!AC65*Data!$F4</f>
        <v>0</v>
      </c>
      <c r="AH52" s="300">
        <f>Inputs!AD65*Data!$F4</f>
        <v>0</v>
      </c>
      <c r="AI52" s="300">
        <f>Inputs!AE65*Data!$F4</f>
        <v>0</v>
      </c>
      <c r="AJ52" s="300">
        <f>Inputs!AF65*Data!$F4</f>
        <v>0</v>
      </c>
      <c r="AK52" s="300">
        <f>Inputs!AG65*Data!$F4</f>
        <v>0</v>
      </c>
      <c r="AL52" s="300">
        <f>Inputs!AH65*Data!$F4</f>
        <v>0</v>
      </c>
      <c r="AM52" s="300">
        <f>Inputs!AI65*Data!$F4</f>
        <v>0</v>
      </c>
      <c r="AN52" s="300">
        <f>Inputs!AJ65*Data!$F4</f>
        <v>0</v>
      </c>
      <c r="AO52" s="300">
        <f>Inputs!AK65*Data!$F4</f>
        <v>0</v>
      </c>
      <c r="AP52" s="300">
        <f>Inputs!AL65*Data!$F4</f>
        <v>0</v>
      </c>
      <c r="AQ52" s="300">
        <f>Inputs!AM65*Data!$F4</f>
        <v>0</v>
      </c>
      <c r="AR52" s="300">
        <f>Inputs!AN65*Data!$F4</f>
        <v>0</v>
      </c>
      <c r="AS52" s="300">
        <f>Inputs!AO65*Data!$F4</f>
        <v>0</v>
      </c>
      <c r="AT52" s="300">
        <f>Inputs!AP65*Data!$F4</f>
        <v>0</v>
      </c>
      <c r="AU52" s="300">
        <f>Inputs!AQ65*Data!$F4</f>
        <v>0</v>
      </c>
      <c r="AV52" s="300">
        <f>Inputs!AR65*Data!$F4</f>
        <v>0</v>
      </c>
      <c r="AW52" s="300">
        <f>Inputs!AS65*Data!$F4</f>
        <v>0</v>
      </c>
      <c r="AX52" s="300">
        <f>Inputs!AT65*Data!$F4</f>
        <v>0</v>
      </c>
      <c r="AY52" s="300">
        <f>Inputs!AU65*Data!$F4</f>
        <v>0</v>
      </c>
      <c r="AZ52" s="300">
        <f>Inputs!AV65*Data!$F4</f>
        <v>0</v>
      </c>
      <c r="BA52" s="300">
        <f>Inputs!AW65*Data!$F4</f>
        <v>0</v>
      </c>
      <c r="BB52" s="300">
        <f>Inputs!AX65*Data!$F4</f>
        <v>0</v>
      </c>
      <c r="BC52" s="300">
        <f>Inputs!AY65*Data!$F4</f>
        <v>0</v>
      </c>
      <c r="BD52" s="300">
        <f>Inputs!AZ65*Data!$F4</f>
        <v>0</v>
      </c>
      <c r="BE52" s="300">
        <f>Inputs!BA65*Data!$F4</f>
        <v>0</v>
      </c>
    </row>
    <row r="53" spans="1:57" x14ac:dyDescent="0.35">
      <c r="A53" s="2"/>
      <c r="B53" s="2"/>
      <c r="C53" s="2"/>
      <c r="D53" s="2"/>
      <c r="E53" s="2"/>
      <c r="F53" s="269">
        <f>'Project description'!$B$5</f>
        <v>0</v>
      </c>
      <c r="G53" s="237" t="str">
        <f>Lists!$B$34</f>
        <v/>
      </c>
      <c r="H53" s="301" t="s">
        <v>148</v>
      </c>
      <c r="I53" s="301" t="str">
        <f>Inputs!D66</f>
        <v>Coal - sub bituminous</v>
      </c>
      <c r="J53" s="301" t="s">
        <v>141</v>
      </c>
      <c r="K53" s="302" t="str">
        <f>IF(Inputs!G66="","",Inputs!G66)</f>
        <v/>
      </c>
      <c r="L53" s="303">
        <f>Inputs!H66*Data!$F5</f>
        <v>0</v>
      </c>
      <c r="M53" s="303">
        <f>Inputs!I66*Data!$F5</f>
        <v>0</v>
      </c>
      <c r="N53" s="303">
        <f>Inputs!J66*Data!$F5</f>
        <v>0</v>
      </c>
      <c r="O53" s="303">
        <f>Inputs!K66*Data!$F5</f>
        <v>0</v>
      </c>
      <c r="P53" s="303">
        <f>Inputs!L66*Data!$F5</f>
        <v>0</v>
      </c>
      <c r="Q53" s="303">
        <f>Inputs!M66*Data!$F5</f>
        <v>0</v>
      </c>
      <c r="R53" s="303">
        <f>Inputs!N66*Data!$F5</f>
        <v>0</v>
      </c>
      <c r="S53" s="303">
        <f>Inputs!O66*Data!$F5</f>
        <v>0</v>
      </c>
      <c r="T53" s="303">
        <f>Inputs!P66*Data!$F5</f>
        <v>0</v>
      </c>
      <c r="U53" s="303">
        <f>Inputs!Q66*Data!$F5</f>
        <v>0</v>
      </c>
      <c r="V53" s="303">
        <f>Inputs!R66*Data!$F5</f>
        <v>0</v>
      </c>
      <c r="W53" s="303">
        <f>Inputs!S66*Data!$F5</f>
        <v>0</v>
      </c>
      <c r="X53" s="303">
        <f>Inputs!T66*Data!$F5</f>
        <v>0</v>
      </c>
      <c r="Y53" s="303">
        <f>Inputs!U66*Data!$F5</f>
        <v>0</v>
      </c>
      <c r="Z53" s="303">
        <f>Inputs!V66*Data!$F5</f>
        <v>0</v>
      </c>
      <c r="AA53" s="303">
        <f>Inputs!W66*Data!$F5</f>
        <v>0</v>
      </c>
      <c r="AB53" s="303">
        <f>Inputs!X66*Data!$F5</f>
        <v>0</v>
      </c>
      <c r="AC53" s="303">
        <f>Inputs!Y66*Data!$F5</f>
        <v>0</v>
      </c>
      <c r="AD53" s="303">
        <f>Inputs!Z66*Data!$F5</f>
        <v>0</v>
      </c>
      <c r="AE53" s="303">
        <f>Inputs!AA66*Data!$F5</f>
        <v>0</v>
      </c>
      <c r="AF53" s="303">
        <f>Inputs!AB66*Data!$F5</f>
        <v>0</v>
      </c>
      <c r="AG53" s="303">
        <f>Inputs!AC66*Data!$F5</f>
        <v>0</v>
      </c>
      <c r="AH53" s="303">
        <f>Inputs!AD66*Data!$F5</f>
        <v>0</v>
      </c>
      <c r="AI53" s="303">
        <f>Inputs!AE66*Data!$F5</f>
        <v>0</v>
      </c>
      <c r="AJ53" s="303">
        <f>Inputs!AF66*Data!$F5</f>
        <v>0</v>
      </c>
      <c r="AK53" s="303">
        <f>Inputs!AG66*Data!$F5</f>
        <v>0</v>
      </c>
      <c r="AL53" s="303">
        <f>Inputs!AH66*Data!$F5</f>
        <v>0</v>
      </c>
      <c r="AM53" s="303">
        <f>Inputs!AI66*Data!$F5</f>
        <v>0</v>
      </c>
      <c r="AN53" s="303">
        <f>Inputs!AJ66*Data!$F5</f>
        <v>0</v>
      </c>
      <c r="AO53" s="303">
        <f>Inputs!AK66*Data!$F5</f>
        <v>0</v>
      </c>
      <c r="AP53" s="303">
        <f>Inputs!AL66*Data!$F5</f>
        <v>0</v>
      </c>
      <c r="AQ53" s="303">
        <f>Inputs!AM66*Data!$F5</f>
        <v>0</v>
      </c>
      <c r="AR53" s="303">
        <f>Inputs!AN66*Data!$F5</f>
        <v>0</v>
      </c>
      <c r="AS53" s="303">
        <f>Inputs!AO66*Data!$F5</f>
        <v>0</v>
      </c>
      <c r="AT53" s="303">
        <f>Inputs!AP66*Data!$F5</f>
        <v>0</v>
      </c>
      <c r="AU53" s="303">
        <f>Inputs!AQ66*Data!$F5</f>
        <v>0</v>
      </c>
      <c r="AV53" s="303">
        <f>Inputs!AR66*Data!$F5</f>
        <v>0</v>
      </c>
      <c r="AW53" s="303">
        <f>Inputs!AS66*Data!$F5</f>
        <v>0</v>
      </c>
      <c r="AX53" s="303">
        <f>Inputs!AT66*Data!$F5</f>
        <v>0</v>
      </c>
      <c r="AY53" s="303">
        <f>Inputs!AU66*Data!$F5</f>
        <v>0</v>
      </c>
      <c r="AZ53" s="303">
        <f>Inputs!AV66*Data!$F5</f>
        <v>0</v>
      </c>
      <c r="BA53" s="303">
        <f>Inputs!AW66*Data!$F5</f>
        <v>0</v>
      </c>
      <c r="BB53" s="303">
        <f>Inputs!AX66*Data!$F5</f>
        <v>0</v>
      </c>
      <c r="BC53" s="303">
        <f>Inputs!AY66*Data!$F5</f>
        <v>0</v>
      </c>
      <c r="BD53" s="303">
        <f>Inputs!AZ66*Data!$F5</f>
        <v>0</v>
      </c>
      <c r="BE53" s="303">
        <f>Inputs!BA66*Data!$F5</f>
        <v>0</v>
      </c>
    </row>
    <row r="54" spans="1:57" x14ac:dyDescent="0.35">
      <c r="A54" s="2"/>
      <c r="B54" s="2"/>
      <c r="C54" s="2"/>
      <c r="D54" s="2"/>
      <c r="E54" s="2"/>
      <c r="F54" s="268">
        <f>'Project description'!$B$5</f>
        <v>0</v>
      </c>
      <c r="G54" s="236" t="str">
        <f>Lists!$B$34</f>
        <v/>
      </c>
      <c r="H54" s="298" t="s">
        <v>148</v>
      </c>
      <c r="I54" s="298" t="str">
        <f>Inputs!D67</f>
        <v>Coal - bituminous</v>
      </c>
      <c r="J54" s="298" t="s">
        <v>141</v>
      </c>
      <c r="K54" s="299" t="str">
        <f>IF(Inputs!G67="","",Inputs!G67)</f>
        <v/>
      </c>
      <c r="L54" s="300">
        <f>Inputs!H67*Data!$F6</f>
        <v>0</v>
      </c>
      <c r="M54" s="300">
        <f>Inputs!I67*Data!$F6</f>
        <v>0</v>
      </c>
      <c r="N54" s="300">
        <f>Inputs!J67*Data!$F6</f>
        <v>0</v>
      </c>
      <c r="O54" s="300">
        <f>Inputs!K67*Data!$F6</f>
        <v>0</v>
      </c>
      <c r="P54" s="300">
        <f>Inputs!L67*Data!$F6</f>
        <v>0</v>
      </c>
      <c r="Q54" s="300">
        <f>Inputs!M67*Data!$F6</f>
        <v>0</v>
      </c>
      <c r="R54" s="300">
        <f>Inputs!N67*Data!$F6</f>
        <v>0</v>
      </c>
      <c r="S54" s="300">
        <f>Inputs!O67*Data!$F6</f>
        <v>0</v>
      </c>
      <c r="T54" s="300">
        <f>Inputs!P67*Data!$F6</f>
        <v>0</v>
      </c>
      <c r="U54" s="300">
        <f>Inputs!Q67*Data!$F6</f>
        <v>0</v>
      </c>
      <c r="V54" s="300">
        <f>Inputs!R67*Data!$F6</f>
        <v>0</v>
      </c>
      <c r="W54" s="300">
        <f>Inputs!S67*Data!$F6</f>
        <v>0</v>
      </c>
      <c r="X54" s="300">
        <f>Inputs!T67*Data!$F6</f>
        <v>0</v>
      </c>
      <c r="Y54" s="300">
        <f>Inputs!U67*Data!$F6</f>
        <v>0</v>
      </c>
      <c r="Z54" s="300">
        <f>Inputs!V67*Data!$F6</f>
        <v>0</v>
      </c>
      <c r="AA54" s="300">
        <f>Inputs!W67*Data!$F6</f>
        <v>0</v>
      </c>
      <c r="AB54" s="300">
        <f>Inputs!X67*Data!$F6</f>
        <v>0</v>
      </c>
      <c r="AC54" s="300">
        <f>Inputs!Y67*Data!$F6</f>
        <v>0</v>
      </c>
      <c r="AD54" s="300">
        <f>Inputs!Z67*Data!$F6</f>
        <v>0</v>
      </c>
      <c r="AE54" s="300">
        <f>Inputs!AA67*Data!$F6</f>
        <v>0</v>
      </c>
      <c r="AF54" s="300">
        <f>Inputs!AB67*Data!$F6</f>
        <v>0</v>
      </c>
      <c r="AG54" s="300">
        <f>Inputs!AC67*Data!$F6</f>
        <v>0</v>
      </c>
      <c r="AH54" s="300">
        <f>Inputs!AD67*Data!$F6</f>
        <v>0</v>
      </c>
      <c r="AI54" s="300">
        <f>Inputs!AE67*Data!$F6</f>
        <v>0</v>
      </c>
      <c r="AJ54" s="300">
        <f>Inputs!AF67*Data!$F6</f>
        <v>0</v>
      </c>
      <c r="AK54" s="300">
        <f>Inputs!AG67*Data!$F6</f>
        <v>0</v>
      </c>
      <c r="AL54" s="300">
        <f>Inputs!AH67*Data!$F6</f>
        <v>0</v>
      </c>
      <c r="AM54" s="300">
        <f>Inputs!AI67*Data!$F6</f>
        <v>0</v>
      </c>
      <c r="AN54" s="300">
        <f>Inputs!AJ67*Data!$F6</f>
        <v>0</v>
      </c>
      <c r="AO54" s="300">
        <f>Inputs!AK67*Data!$F6</f>
        <v>0</v>
      </c>
      <c r="AP54" s="300">
        <f>Inputs!AL67*Data!$F6</f>
        <v>0</v>
      </c>
      <c r="AQ54" s="300">
        <f>Inputs!AM67*Data!$F6</f>
        <v>0</v>
      </c>
      <c r="AR54" s="300">
        <f>Inputs!AN67*Data!$F6</f>
        <v>0</v>
      </c>
      <c r="AS54" s="300">
        <f>Inputs!AO67*Data!$F6</f>
        <v>0</v>
      </c>
      <c r="AT54" s="300">
        <f>Inputs!AP67*Data!$F6</f>
        <v>0</v>
      </c>
      <c r="AU54" s="300">
        <f>Inputs!AQ67*Data!$F6</f>
        <v>0</v>
      </c>
      <c r="AV54" s="300">
        <f>Inputs!AR67*Data!$F6</f>
        <v>0</v>
      </c>
      <c r="AW54" s="300">
        <f>Inputs!AS67*Data!$F6</f>
        <v>0</v>
      </c>
      <c r="AX54" s="300">
        <f>Inputs!AT67*Data!$F6</f>
        <v>0</v>
      </c>
      <c r="AY54" s="300">
        <f>Inputs!AU67*Data!$F6</f>
        <v>0</v>
      </c>
      <c r="AZ54" s="300">
        <f>Inputs!AV67*Data!$F6</f>
        <v>0</v>
      </c>
      <c r="BA54" s="300">
        <f>Inputs!AW67*Data!$F6</f>
        <v>0</v>
      </c>
      <c r="BB54" s="300">
        <f>Inputs!AX67*Data!$F6</f>
        <v>0</v>
      </c>
      <c r="BC54" s="300">
        <f>Inputs!AY67*Data!$F6</f>
        <v>0</v>
      </c>
      <c r="BD54" s="300">
        <f>Inputs!AZ67*Data!$F6</f>
        <v>0</v>
      </c>
      <c r="BE54" s="300">
        <f>Inputs!BA67*Data!$F6</f>
        <v>0</v>
      </c>
    </row>
    <row r="55" spans="1:57" x14ac:dyDescent="0.35">
      <c r="A55" s="2"/>
      <c r="B55" s="2"/>
      <c r="C55" s="2"/>
      <c r="D55" s="2"/>
      <c r="E55" s="2"/>
      <c r="F55" s="269">
        <f>'Project description'!$B$5</f>
        <v>0</v>
      </c>
      <c r="G55" s="237" t="str">
        <f>Lists!$B$34</f>
        <v/>
      </c>
      <c r="H55" s="301" t="s">
        <v>148</v>
      </c>
      <c r="I55" s="301" t="str">
        <f>Inputs!D68</f>
        <v>Coal - lignite</v>
      </c>
      <c r="J55" s="301" t="s">
        <v>141</v>
      </c>
      <c r="K55" s="302" t="str">
        <f>IF(Inputs!G68="","",Inputs!G68)</f>
        <v/>
      </c>
      <c r="L55" s="303">
        <f>Inputs!H68*Data!$F7</f>
        <v>0</v>
      </c>
      <c r="M55" s="303">
        <f>Inputs!I68*Data!$F7</f>
        <v>0</v>
      </c>
      <c r="N55" s="303">
        <f>Inputs!J68*Data!$F7</f>
        <v>0</v>
      </c>
      <c r="O55" s="303">
        <f>Inputs!K68*Data!$F7</f>
        <v>0</v>
      </c>
      <c r="P55" s="303">
        <f>Inputs!L68*Data!$F7</f>
        <v>0</v>
      </c>
      <c r="Q55" s="303">
        <f>Inputs!M68*Data!$F7</f>
        <v>0</v>
      </c>
      <c r="R55" s="303">
        <f>Inputs!N68*Data!$F7</f>
        <v>0</v>
      </c>
      <c r="S55" s="303">
        <f>Inputs!O68*Data!$F7</f>
        <v>0</v>
      </c>
      <c r="T55" s="303">
        <f>Inputs!P68*Data!$F7</f>
        <v>0</v>
      </c>
      <c r="U55" s="303">
        <f>Inputs!Q68*Data!$F7</f>
        <v>0</v>
      </c>
      <c r="V55" s="303">
        <f>Inputs!R68*Data!$F7</f>
        <v>0</v>
      </c>
      <c r="W55" s="303">
        <f>Inputs!S68*Data!$F7</f>
        <v>0</v>
      </c>
      <c r="X55" s="303">
        <f>Inputs!T68*Data!$F7</f>
        <v>0</v>
      </c>
      <c r="Y55" s="303">
        <f>Inputs!U68*Data!$F7</f>
        <v>0</v>
      </c>
      <c r="Z55" s="303">
        <f>Inputs!V68*Data!$F7</f>
        <v>0</v>
      </c>
      <c r="AA55" s="303">
        <f>Inputs!W68*Data!$F7</f>
        <v>0</v>
      </c>
      <c r="AB55" s="303">
        <f>Inputs!X68*Data!$F7</f>
        <v>0</v>
      </c>
      <c r="AC55" s="303">
        <f>Inputs!Y68*Data!$F7</f>
        <v>0</v>
      </c>
      <c r="AD55" s="303">
        <f>Inputs!Z68*Data!$F7</f>
        <v>0</v>
      </c>
      <c r="AE55" s="303">
        <f>Inputs!AA68*Data!$F7</f>
        <v>0</v>
      </c>
      <c r="AF55" s="303">
        <f>Inputs!AB68*Data!$F7</f>
        <v>0</v>
      </c>
      <c r="AG55" s="303">
        <f>Inputs!AC68*Data!$F7</f>
        <v>0</v>
      </c>
      <c r="AH55" s="303">
        <f>Inputs!AD68*Data!$F7</f>
        <v>0</v>
      </c>
      <c r="AI55" s="303">
        <f>Inputs!AE68*Data!$F7</f>
        <v>0</v>
      </c>
      <c r="AJ55" s="303">
        <f>Inputs!AF68*Data!$F7</f>
        <v>0</v>
      </c>
      <c r="AK55" s="303">
        <f>Inputs!AG68*Data!$F7</f>
        <v>0</v>
      </c>
      <c r="AL55" s="303">
        <f>Inputs!AH68*Data!$F7</f>
        <v>0</v>
      </c>
      <c r="AM55" s="303">
        <f>Inputs!AI68*Data!$F7</f>
        <v>0</v>
      </c>
      <c r="AN55" s="303">
        <f>Inputs!AJ68*Data!$F7</f>
        <v>0</v>
      </c>
      <c r="AO55" s="303">
        <f>Inputs!AK68*Data!$F7</f>
        <v>0</v>
      </c>
      <c r="AP55" s="303">
        <f>Inputs!AL68*Data!$F7</f>
        <v>0</v>
      </c>
      <c r="AQ55" s="303">
        <f>Inputs!AM68*Data!$F7</f>
        <v>0</v>
      </c>
      <c r="AR55" s="303">
        <f>Inputs!AN68*Data!$F7</f>
        <v>0</v>
      </c>
      <c r="AS55" s="303">
        <f>Inputs!AO68*Data!$F7</f>
        <v>0</v>
      </c>
      <c r="AT55" s="303">
        <f>Inputs!AP68*Data!$F7</f>
        <v>0</v>
      </c>
      <c r="AU55" s="303">
        <f>Inputs!AQ68*Data!$F7</f>
        <v>0</v>
      </c>
      <c r="AV55" s="303">
        <f>Inputs!AR68*Data!$F7</f>
        <v>0</v>
      </c>
      <c r="AW55" s="303">
        <f>Inputs!AS68*Data!$F7</f>
        <v>0</v>
      </c>
      <c r="AX55" s="303">
        <f>Inputs!AT68*Data!$F7</f>
        <v>0</v>
      </c>
      <c r="AY55" s="303">
        <f>Inputs!AU68*Data!$F7</f>
        <v>0</v>
      </c>
      <c r="AZ55" s="303">
        <f>Inputs!AV68*Data!$F7</f>
        <v>0</v>
      </c>
      <c r="BA55" s="303">
        <f>Inputs!AW68*Data!$F7</f>
        <v>0</v>
      </c>
      <c r="BB55" s="303">
        <f>Inputs!AX68*Data!$F7</f>
        <v>0</v>
      </c>
      <c r="BC55" s="303">
        <f>Inputs!AY68*Data!$F7</f>
        <v>0</v>
      </c>
      <c r="BD55" s="303">
        <f>Inputs!AZ68*Data!$F7</f>
        <v>0</v>
      </c>
      <c r="BE55" s="303">
        <f>Inputs!BA68*Data!$F7</f>
        <v>0</v>
      </c>
    </row>
    <row r="56" spans="1:57" x14ac:dyDescent="0.35">
      <c r="A56" s="2"/>
      <c r="B56" s="2"/>
      <c r="C56" s="2"/>
      <c r="D56" s="2"/>
      <c r="E56" s="2"/>
      <c r="F56" s="268">
        <f>'Project description'!$B$5</f>
        <v>0</v>
      </c>
      <c r="G56" s="236" t="str">
        <f>Lists!$B$34</f>
        <v/>
      </c>
      <c r="H56" s="298" t="s">
        <v>148</v>
      </c>
      <c r="I56" s="298" t="str">
        <f>Inputs!D69</f>
        <v>Diesel</v>
      </c>
      <c r="J56" s="298" t="s">
        <v>141</v>
      </c>
      <c r="K56" s="299" t="str">
        <f>IF(Inputs!G69="","",Inputs!G69)</f>
        <v/>
      </c>
      <c r="L56" s="300">
        <f>Inputs!H69*Data!$F8</f>
        <v>0</v>
      </c>
      <c r="M56" s="300">
        <f>Inputs!I69*Data!$F8</f>
        <v>0</v>
      </c>
      <c r="N56" s="300">
        <f>Inputs!J69*Data!$F8</f>
        <v>0</v>
      </c>
      <c r="O56" s="300">
        <f>Inputs!K69*Data!$F8</f>
        <v>0</v>
      </c>
      <c r="P56" s="300">
        <f>Inputs!L69*Data!$F8</f>
        <v>0</v>
      </c>
      <c r="Q56" s="300">
        <f>Inputs!M69*Data!$F8</f>
        <v>0</v>
      </c>
      <c r="R56" s="300">
        <f>Inputs!N69*Data!$F8</f>
        <v>0</v>
      </c>
      <c r="S56" s="300">
        <f>Inputs!O69*Data!$F8</f>
        <v>0</v>
      </c>
      <c r="T56" s="300">
        <f>Inputs!P69*Data!$F8</f>
        <v>0</v>
      </c>
      <c r="U56" s="300">
        <f>Inputs!Q69*Data!$F8</f>
        <v>0</v>
      </c>
      <c r="V56" s="300">
        <f>Inputs!R69*Data!$F8</f>
        <v>0</v>
      </c>
      <c r="W56" s="300">
        <f>Inputs!S69*Data!$F8</f>
        <v>0</v>
      </c>
      <c r="X56" s="300">
        <f>Inputs!T69*Data!$F8</f>
        <v>0</v>
      </c>
      <c r="Y56" s="300">
        <f>Inputs!U69*Data!$F8</f>
        <v>0</v>
      </c>
      <c r="Z56" s="300">
        <f>Inputs!V69*Data!$F8</f>
        <v>0</v>
      </c>
      <c r="AA56" s="300">
        <f>Inputs!W69*Data!$F8</f>
        <v>0</v>
      </c>
      <c r="AB56" s="300">
        <f>Inputs!X69*Data!$F8</f>
        <v>0</v>
      </c>
      <c r="AC56" s="300">
        <f>Inputs!Y69*Data!$F8</f>
        <v>0</v>
      </c>
      <c r="AD56" s="300">
        <f>Inputs!Z69*Data!$F8</f>
        <v>0</v>
      </c>
      <c r="AE56" s="300">
        <f>Inputs!AA69*Data!$F8</f>
        <v>0</v>
      </c>
      <c r="AF56" s="300">
        <f>Inputs!AB69*Data!$F8</f>
        <v>0</v>
      </c>
      <c r="AG56" s="300">
        <f>Inputs!AC69*Data!$F8</f>
        <v>0</v>
      </c>
      <c r="AH56" s="300">
        <f>Inputs!AD69*Data!$F8</f>
        <v>0</v>
      </c>
      <c r="AI56" s="300">
        <f>Inputs!AE69*Data!$F8</f>
        <v>0</v>
      </c>
      <c r="AJ56" s="300">
        <f>Inputs!AF69*Data!$F8</f>
        <v>0</v>
      </c>
      <c r="AK56" s="300">
        <f>Inputs!AG69*Data!$F8</f>
        <v>0</v>
      </c>
      <c r="AL56" s="300">
        <f>Inputs!AH69*Data!$F8</f>
        <v>0</v>
      </c>
      <c r="AM56" s="300">
        <f>Inputs!AI69*Data!$F8</f>
        <v>0</v>
      </c>
      <c r="AN56" s="300">
        <f>Inputs!AJ69*Data!$F8</f>
        <v>0</v>
      </c>
      <c r="AO56" s="300">
        <f>Inputs!AK69*Data!$F8</f>
        <v>0</v>
      </c>
      <c r="AP56" s="300">
        <f>Inputs!AL69*Data!$F8</f>
        <v>0</v>
      </c>
      <c r="AQ56" s="300">
        <f>Inputs!AM69*Data!$F8</f>
        <v>0</v>
      </c>
      <c r="AR56" s="300">
        <f>Inputs!AN69*Data!$F8</f>
        <v>0</v>
      </c>
      <c r="AS56" s="300">
        <f>Inputs!AO69*Data!$F8</f>
        <v>0</v>
      </c>
      <c r="AT56" s="300">
        <f>Inputs!AP69*Data!$F8</f>
        <v>0</v>
      </c>
      <c r="AU56" s="300">
        <f>Inputs!AQ69*Data!$F8</f>
        <v>0</v>
      </c>
      <c r="AV56" s="300">
        <f>Inputs!AR69*Data!$F8</f>
        <v>0</v>
      </c>
      <c r="AW56" s="300">
        <f>Inputs!AS69*Data!$F8</f>
        <v>0</v>
      </c>
      <c r="AX56" s="300">
        <f>Inputs!AT69*Data!$F8</f>
        <v>0</v>
      </c>
      <c r="AY56" s="300">
        <f>Inputs!AU69*Data!$F8</f>
        <v>0</v>
      </c>
      <c r="AZ56" s="300">
        <f>Inputs!AV69*Data!$F8</f>
        <v>0</v>
      </c>
      <c r="BA56" s="300">
        <f>Inputs!AW69*Data!$F8</f>
        <v>0</v>
      </c>
      <c r="BB56" s="300">
        <f>Inputs!AX69*Data!$F8</f>
        <v>0</v>
      </c>
      <c r="BC56" s="300">
        <f>Inputs!AY69*Data!$F8</f>
        <v>0</v>
      </c>
      <c r="BD56" s="300">
        <f>Inputs!AZ69*Data!$F8</f>
        <v>0</v>
      </c>
      <c r="BE56" s="300">
        <f>Inputs!BA69*Data!$F8</f>
        <v>0</v>
      </c>
    </row>
    <row r="57" spans="1:57" x14ac:dyDescent="0.35">
      <c r="A57" s="2"/>
      <c r="B57" s="2"/>
      <c r="C57" s="2"/>
      <c r="D57" s="2"/>
      <c r="E57" s="2"/>
      <c r="F57" s="269">
        <f>'Project description'!$B$5</f>
        <v>0</v>
      </c>
      <c r="G57" s="237" t="str">
        <f>Lists!$B$34</f>
        <v/>
      </c>
      <c r="H57" s="301" t="s">
        <v>148</v>
      </c>
      <c r="I57" s="301" t="str">
        <f>Inputs!D70</f>
        <v>LPG</v>
      </c>
      <c r="J57" s="301" t="s">
        <v>141</v>
      </c>
      <c r="K57" s="302" t="str">
        <f>IF(Inputs!G70="","",Inputs!G70)</f>
        <v/>
      </c>
      <c r="L57" s="303">
        <f>Inputs!H70*Data!$F9</f>
        <v>0</v>
      </c>
      <c r="M57" s="303">
        <f>Inputs!I70*Data!$F9</f>
        <v>0</v>
      </c>
      <c r="N57" s="303">
        <f>Inputs!J70*Data!$F9</f>
        <v>0</v>
      </c>
      <c r="O57" s="303">
        <f>Inputs!K70*Data!$F9</f>
        <v>0</v>
      </c>
      <c r="P57" s="303">
        <f>Inputs!L70*Data!$F9</f>
        <v>0</v>
      </c>
      <c r="Q57" s="303">
        <f>Inputs!M70*Data!$F9</f>
        <v>0</v>
      </c>
      <c r="R57" s="303">
        <f>Inputs!N70*Data!$F9</f>
        <v>0</v>
      </c>
      <c r="S57" s="303">
        <f>Inputs!O70*Data!$F9</f>
        <v>0</v>
      </c>
      <c r="T57" s="303">
        <f>Inputs!P70*Data!$F9</f>
        <v>0</v>
      </c>
      <c r="U57" s="303">
        <f>Inputs!Q70*Data!$F9</f>
        <v>0</v>
      </c>
      <c r="V57" s="303">
        <f>Inputs!R70*Data!$F9</f>
        <v>0</v>
      </c>
      <c r="W57" s="303">
        <f>Inputs!S70*Data!$F9</f>
        <v>0</v>
      </c>
      <c r="X57" s="303">
        <f>Inputs!T70*Data!$F9</f>
        <v>0</v>
      </c>
      <c r="Y57" s="303">
        <f>Inputs!U70*Data!$F9</f>
        <v>0</v>
      </c>
      <c r="Z57" s="303">
        <f>Inputs!V70*Data!$F9</f>
        <v>0</v>
      </c>
      <c r="AA57" s="303">
        <f>Inputs!W70*Data!$F9</f>
        <v>0</v>
      </c>
      <c r="AB57" s="303">
        <f>Inputs!X70*Data!$F9</f>
        <v>0</v>
      </c>
      <c r="AC57" s="303">
        <f>Inputs!Y70*Data!$F9</f>
        <v>0</v>
      </c>
      <c r="AD57" s="303">
        <f>Inputs!Z70*Data!$F9</f>
        <v>0</v>
      </c>
      <c r="AE57" s="303">
        <f>Inputs!AA70*Data!$F9</f>
        <v>0</v>
      </c>
      <c r="AF57" s="303">
        <f>Inputs!AB70*Data!$F9</f>
        <v>0</v>
      </c>
      <c r="AG57" s="303">
        <f>Inputs!AC70*Data!$F9</f>
        <v>0</v>
      </c>
      <c r="AH57" s="303">
        <f>Inputs!AD70*Data!$F9</f>
        <v>0</v>
      </c>
      <c r="AI57" s="303">
        <f>Inputs!AE70*Data!$F9</f>
        <v>0</v>
      </c>
      <c r="AJ57" s="303">
        <f>Inputs!AF70*Data!$F9</f>
        <v>0</v>
      </c>
      <c r="AK57" s="303">
        <f>Inputs!AG70*Data!$F9</f>
        <v>0</v>
      </c>
      <c r="AL57" s="303">
        <f>Inputs!AH70*Data!$F9</f>
        <v>0</v>
      </c>
      <c r="AM57" s="303">
        <f>Inputs!AI70*Data!$F9</f>
        <v>0</v>
      </c>
      <c r="AN57" s="303">
        <f>Inputs!AJ70*Data!$F9</f>
        <v>0</v>
      </c>
      <c r="AO57" s="303">
        <f>Inputs!AK70*Data!$F9</f>
        <v>0</v>
      </c>
      <c r="AP57" s="303">
        <f>Inputs!AL70*Data!$F9</f>
        <v>0</v>
      </c>
      <c r="AQ57" s="303">
        <f>Inputs!AM70*Data!$F9</f>
        <v>0</v>
      </c>
      <c r="AR57" s="303">
        <f>Inputs!AN70*Data!$F9</f>
        <v>0</v>
      </c>
      <c r="AS57" s="303">
        <f>Inputs!AO70*Data!$F9</f>
        <v>0</v>
      </c>
      <c r="AT57" s="303">
        <f>Inputs!AP70*Data!$F9</f>
        <v>0</v>
      </c>
      <c r="AU57" s="303">
        <f>Inputs!AQ70*Data!$F9</f>
        <v>0</v>
      </c>
      <c r="AV57" s="303">
        <f>Inputs!AR70*Data!$F9</f>
        <v>0</v>
      </c>
      <c r="AW57" s="303">
        <f>Inputs!AS70*Data!$F9</f>
        <v>0</v>
      </c>
      <c r="AX57" s="303">
        <f>Inputs!AT70*Data!$F9</f>
        <v>0</v>
      </c>
      <c r="AY57" s="303">
        <f>Inputs!AU70*Data!$F9</f>
        <v>0</v>
      </c>
      <c r="AZ57" s="303">
        <f>Inputs!AV70*Data!$F9</f>
        <v>0</v>
      </c>
      <c r="BA57" s="303">
        <f>Inputs!AW70*Data!$F9</f>
        <v>0</v>
      </c>
      <c r="BB57" s="303">
        <f>Inputs!AX70*Data!$F9</f>
        <v>0</v>
      </c>
      <c r="BC57" s="303">
        <f>Inputs!AY70*Data!$F9</f>
        <v>0</v>
      </c>
      <c r="BD57" s="303">
        <f>Inputs!AZ70*Data!$F9</f>
        <v>0</v>
      </c>
      <c r="BE57" s="303">
        <f>Inputs!BA70*Data!$F9</f>
        <v>0</v>
      </c>
    </row>
    <row r="58" spans="1:57" x14ac:dyDescent="0.35">
      <c r="A58" s="2"/>
      <c r="B58" s="2"/>
      <c r="C58" s="2"/>
      <c r="D58" s="2"/>
      <c r="E58" s="2"/>
      <c r="F58" s="268">
        <f>'Project description'!$B$5</f>
        <v>0</v>
      </c>
      <c r="G58" s="236" t="str">
        <f>Lists!$B$34</f>
        <v/>
      </c>
      <c r="H58" s="298" t="s">
        <v>148</v>
      </c>
      <c r="I58" s="298" t="str">
        <f>Inputs!D71</f>
        <v>Light fuel oil</v>
      </c>
      <c r="J58" s="298" t="s">
        <v>141</v>
      </c>
      <c r="K58" s="299" t="str">
        <f>IF(Inputs!G71="","",Inputs!G71)</f>
        <v/>
      </c>
      <c r="L58" s="300">
        <f>Inputs!H71*Data!$F10</f>
        <v>0</v>
      </c>
      <c r="M58" s="300">
        <f>Inputs!I71*Data!$F10</f>
        <v>0</v>
      </c>
      <c r="N58" s="300">
        <f>Inputs!J71*Data!$F10</f>
        <v>0</v>
      </c>
      <c r="O58" s="300">
        <f>Inputs!K71*Data!$F10</f>
        <v>0</v>
      </c>
      <c r="P58" s="300">
        <f>Inputs!L71*Data!$F10</f>
        <v>0</v>
      </c>
      <c r="Q58" s="300">
        <f>Inputs!M71*Data!$F10</f>
        <v>0</v>
      </c>
      <c r="R58" s="300">
        <f>Inputs!N71*Data!$F10</f>
        <v>0</v>
      </c>
      <c r="S58" s="300">
        <f>Inputs!O71*Data!$F10</f>
        <v>0</v>
      </c>
      <c r="T58" s="300">
        <f>Inputs!P71*Data!$F10</f>
        <v>0</v>
      </c>
      <c r="U58" s="300">
        <f>Inputs!Q71*Data!$F10</f>
        <v>0</v>
      </c>
      <c r="V58" s="300">
        <f>Inputs!R71*Data!$F10</f>
        <v>0</v>
      </c>
      <c r="W58" s="300">
        <f>Inputs!S71*Data!$F10</f>
        <v>0</v>
      </c>
      <c r="X58" s="300">
        <f>Inputs!T71*Data!$F10</f>
        <v>0</v>
      </c>
      <c r="Y58" s="300">
        <f>Inputs!U71*Data!$F10</f>
        <v>0</v>
      </c>
      <c r="Z58" s="300">
        <f>Inputs!V71*Data!$F10</f>
        <v>0</v>
      </c>
      <c r="AA58" s="300">
        <f>Inputs!W71*Data!$F10</f>
        <v>0</v>
      </c>
      <c r="AB58" s="300">
        <f>Inputs!X71*Data!$F10</f>
        <v>0</v>
      </c>
      <c r="AC58" s="300">
        <f>Inputs!Y71*Data!$F10</f>
        <v>0</v>
      </c>
      <c r="AD58" s="300">
        <f>Inputs!Z71*Data!$F10</f>
        <v>0</v>
      </c>
      <c r="AE58" s="300">
        <f>Inputs!AA71*Data!$F10</f>
        <v>0</v>
      </c>
      <c r="AF58" s="300">
        <f>Inputs!AB71*Data!$F10</f>
        <v>0</v>
      </c>
      <c r="AG58" s="300">
        <f>Inputs!AC71*Data!$F10</f>
        <v>0</v>
      </c>
      <c r="AH58" s="300">
        <f>Inputs!AD71*Data!$F10</f>
        <v>0</v>
      </c>
      <c r="AI58" s="300">
        <f>Inputs!AE71*Data!$F10</f>
        <v>0</v>
      </c>
      <c r="AJ58" s="300">
        <f>Inputs!AF71*Data!$F10</f>
        <v>0</v>
      </c>
      <c r="AK58" s="300">
        <f>Inputs!AG71*Data!$F10</f>
        <v>0</v>
      </c>
      <c r="AL58" s="300">
        <f>Inputs!AH71*Data!$F10</f>
        <v>0</v>
      </c>
      <c r="AM58" s="300">
        <f>Inputs!AI71*Data!$F10</f>
        <v>0</v>
      </c>
      <c r="AN58" s="300">
        <f>Inputs!AJ71*Data!$F10</f>
        <v>0</v>
      </c>
      <c r="AO58" s="300">
        <f>Inputs!AK71*Data!$F10</f>
        <v>0</v>
      </c>
      <c r="AP58" s="300">
        <f>Inputs!AL71*Data!$F10</f>
        <v>0</v>
      </c>
      <c r="AQ58" s="300">
        <f>Inputs!AM71*Data!$F10</f>
        <v>0</v>
      </c>
      <c r="AR58" s="300">
        <f>Inputs!AN71*Data!$F10</f>
        <v>0</v>
      </c>
      <c r="AS58" s="300">
        <f>Inputs!AO71*Data!$F10</f>
        <v>0</v>
      </c>
      <c r="AT58" s="300">
        <f>Inputs!AP71*Data!$F10</f>
        <v>0</v>
      </c>
      <c r="AU58" s="300">
        <f>Inputs!AQ71*Data!$F10</f>
        <v>0</v>
      </c>
      <c r="AV58" s="300">
        <f>Inputs!AR71*Data!$F10</f>
        <v>0</v>
      </c>
      <c r="AW58" s="300">
        <f>Inputs!AS71*Data!$F10</f>
        <v>0</v>
      </c>
      <c r="AX58" s="300">
        <f>Inputs!AT71*Data!$F10</f>
        <v>0</v>
      </c>
      <c r="AY58" s="300">
        <f>Inputs!AU71*Data!$F10</f>
        <v>0</v>
      </c>
      <c r="AZ58" s="300">
        <f>Inputs!AV71*Data!$F10</f>
        <v>0</v>
      </c>
      <c r="BA58" s="300">
        <f>Inputs!AW71*Data!$F10</f>
        <v>0</v>
      </c>
      <c r="BB58" s="300">
        <f>Inputs!AX71*Data!$F10</f>
        <v>0</v>
      </c>
      <c r="BC58" s="300">
        <f>Inputs!AY71*Data!$F10</f>
        <v>0</v>
      </c>
      <c r="BD58" s="300">
        <f>Inputs!AZ71*Data!$F10</f>
        <v>0</v>
      </c>
      <c r="BE58" s="300">
        <f>Inputs!BA71*Data!$F10</f>
        <v>0</v>
      </c>
    </row>
    <row r="59" spans="1:57" x14ac:dyDescent="0.35">
      <c r="A59" s="2"/>
      <c r="B59" s="2"/>
      <c r="C59" s="2"/>
      <c r="D59" s="2"/>
      <c r="E59" s="2"/>
      <c r="F59" s="269">
        <f>'Project description'!$B$5</f>
        <v>0</v>
      </c>
      <c r="G59" s="237" t="str">
        <f>Lists!$B$34</f>
        <v/>
      </c>
      <c r="H59" s="301" t="s">
        <v>148</v>
      </c>
      <c r="I59" s="301" t="str">
        <f>Inputs!D72</f>
        <v>Heavy fuel oil</v>
      </c>
      <c r="J59" s="301" t="s">
        <v>141</v>
      </c>
      <c r="K59" s="302" t="str">
        <f>IF(Inputs!G72="","",Inputs!G72)</f>
        <v/>
      </c>
      <c r="L59" s="303">
        <f>Inputs!H72*Data!$F11</f>
        <v>0</v>
      </c>
      <c r="M59" s="303">
        <f>Inputs!I72*Data!$F11</f>
        <v>0</v>
      </c>
      <c r="N59" s="303">
        <f>Inputs!J72*Data!$F11</f>
        <v>0</v>
      </c>
      <c r="O59" s="303">
        <f>Inputs!K72*Data!$F11</f>
        <v>0</v>
      </c>
      <c r="P59" s="303">
        <f>Inputs!L72*Data!$F11</f>
        <v>0</v>
      </c>
      <c r="Q59" s="303">
        <f>Inputs!M72*Data!$F11</f>
        <v>0</v>
      </c>
      <c r="R59" s="303">
        <f>Inputs!N72*Data!$F11</f>
        <v>0</v>
      </c>
      <c r="S59" s="303">
        <f>Inputs!O72*Data!$F11</f>
        <v>0</v>
      </c>
      <c r="T59" s="303">
        <f>Inputs!P72*Data!$F11</f>
        <v>0</v>
      </c>
      <c r="U59" s="303">
        <f>Inputs!Q72*Data!$F11</f>
        <v>0</v>
      </c>
      <c r="V59" s="303">
        <f>Inputs!R72*Data!$F11</f>
        <v>0</v>
      </c>
      <c r="W59" s="303">
        <f>Inputs!S72*Data!$F11</f>
        <v>0</v>
      </c>
      <c r="X59" s="303">
        <f>Inputs!T72*Data!$F11</f>
        <v>0</v>
      </c>
      <c r="Y59" s="303">
        <f>Inputs!U72*Data!$F11</f>
        <v>0</v>
      </c>
      <c r="Z59" s="303">
        <f>Inputs!V72*Data!$F11</f>
        <v>0</v>
      </c>
      <c r="AA59" s="303">
        <f>Inputs!W72*Data!$F11</f>
        <v>0</v>
      </c>
      <c r="AB59" s="303">
        <f>Inputs!X72*Data!$F11</f>
        <v>0</v>
      </c>
      <c r="AC59" s="303">
        <f>Inputs!Y72*Data!$F11</f>
        <v>0</v>
      </c>
      <c r="AD59" s="303">
        <f>Inputs!Z72*Data!$F11</f>
        <v>0</v>
      </c>
      <c r="AE59" s="303">
        <f>Inputs!AA72*Data!$F11</f>
        <v>0</v>
      </c>
      <c r="AF59" s="303">
        <f>Inputs!AB72*Data!$F11</f>
        <v>0</v>
      </c>
      <c r="AG59" s="303">
        <f>Inputs!AC72*Data!$F11</f>
        <v>0</v>
      </c>
      <c r="AH59" s="303">
        <f>Inputs!AD72*Data!$F11</f>
        <v>0</v>
      </c>
      <c r="AI59" s="303">
        <f>Inputs!AE72*Data!$F11</f>
        <v>0</v>
      </c>
      <c r="AJ59" s="303">
        <f>Inputs!AF72*Data!$F11</f>
        <v>0</v>
      </c>
      <c r="AK59" s="303">
        <f>Inputs!AG72*Data!$F11</f>
        <v>0</v>
      </c>
      <c r="AL59" s="303">
        <f>Inputs!AH72*Data!$F11</f>
        <v>0</v>
      </c>
      <c r="AM59" s="303">
        <f>Inputs!AI72*Data!$F11</f>
        <v>0</v>
      </c>
      <c r="AN59" s="303">
        <f>Inputs!AJ72*Data!$F11</f>
        <v>0</v>
      </c>
      <c r="AO59" s="303">
        <f>Inputs!AK72*Data!$F11</f>
        <v>0</v>
      </c>
      <c r="AP59" s="303">
        <f>Inputs!AL72*Data!$F11</f>
        <v>0</v>
      </c>
      <c r="AQ59" s="303">
        <f>Inputs!AM72*Data!$F11</f>
        <v>0</v>
      </c>
      <c r="AR59" s="303">
        <f>Inputs!AN72*Data!$F11</f>
        <v>0</v>
      </c>
      <c r="AS59" s="303">
        <f>Inputs!AO72*Data!$F11</f>
        <v>0</v>
      </c>
      <c r="AT59" s="303">
        <f>Inputs!AP72*Data!$F11</f>
        <v>0</v>
      </c>
      <c r="AU59" s="303">
        <f>Inputs!AQ72*Data!$F11</f>
        <v>0</v>
      </c>
      <c r="AV59" s="303">
        <f>Inputs!AR72*Data!$F11</f>
        <v>0</v>
      </c>
      <c r="AW59" s="303">
        <f>Inputs!AS72*Data!$F11</f>
        <v>0</v>
      </c>
      <c r="AX59" s="303">
        <f>Inputs!AT72*Data!$F11</f>
        <v>0</v>
      </c>
      <c r="AY59" s="303">
        <f>Inputs!AU72*Data!$F11</f>
        <v>0</v>
      </c>
      <c r="AZ59" s="303">
        <f>Inputs!AV72*Data!$F11</f>
        <v>0</v>
      </c>
      <c r="BA59" s="303">
        <f>Inputs!AW72*Data!$F11</f>
        <v>0</v>
      </c>
      <c r="BB59" s="303">
        <f>Inputs!AX72*Data!$F11</f>
        <v>0</v>
      </c>
      <c r="BC59" s="303">
        <f>Inputs!AY72*Data!$F11</f>
        <v>0</v>
      </c>
      <c r="BD59" s="303">
        <f>Inputs!AZ72*Data!$F11</f>
        <v>0</v>
      </c>
      <c r="BE59" s="303">
        <f>Inputs!BA72*Data!$F11</f>
        <v>0</v>
      </c>
    </row>
    <row r="60" spans="1:57" x14ac:dyDescent="0.35">
      <c r="A60" s="2"/>
      <c r="B60" s="2"/>
      <c r="C60" s="2"/>
      <c r="D60" s="2"/>
      <c r="E60" s="2"/>
      <c r="F60" s="268">
        <f>'Project description'!$B$5</f>
        <v>0</v>
      </c>
      <c r="G60" s="236" t="str">
        <f>Lists!$B$34</f>
        <v/>
      </c>
      <c r="H60" s="298" t="s">
        <v>148</v>
      </c>
      <c r="I60" s="298" t="str">
        <f>Inputs!D73</f>
        <v>Geothermal</v>
      </c>
      <c r="J60" s="298" t="s">
        <v>141</v>
      </c>
      <c r="K60" s="299" t="str">
        <f>IF(Inputs!G73="","",Inputs!G73)</f>
        <v/>
      </c>
      <c r="L60" s="300">
        <f>Inputs!H73*Data!$F12</f>
        <v>0</v>
      </c>
      <c r="M60" s="300">
        <f>Inputs!I73*Data!$F12</f>
        <v>0</v>
      </c>
      <c r="N60" s="300">
        <f>Inputs!J73*Data!$F12</f>
        <v>0</v>
      </c>
      <c r="O60" s="300">
        <f>Inputs!K73*Data!$F12</f>
        <v>0</v>
      </c>
      <c r="P60" s="300">
        <f>Inputs!L73*Data!$F12</f>
        <v>0</v>
      </c>
      <c r="Q60" s="300">
        <f>Inputs!M73*Data!$F12</f>
        <v>0</v>
      </c>
      <c r="R60" s="300">
        <f>Inputs!N73*Data!$F12</f>
        <v>0</v>
      </c>
      <c r="S60" s="300">
        <f>Inputs!O73*Data!$F12</f>
        <v>0</v>
      </c>
      <c r="T60" s="300">
        <f>Inputs!P73*Data!$F12</f>
        <v>0</v>
      </c>
      <c r="U60" s="300">
        <f>Inputs!Q73*Data!$F12</f>
        <v>0</v>
      </c>
      <c r="V60" s="300">
        <f>Inputs!R73*Data!$F12</f>
        <v>0</v>
      </c>
      <c r="W60" s="300">
        <f>Inputs!S73*Data!$F12</f>
        <v>0</v>
      </c>
      <c r="X60" s="300">
        <f>Inputs!T73*Data!$F12</f>
        <v>0</v>
      </c>
      <c r="Y60" s="300">
        <f>Inputs!U73*Data!$F12</f>
        <v>0</v>
      </c>
      <c r="Z60" s="300">
        <f>Inputs!V73*Data!$F12</f>
        <v>0</v>
      </c>
      <c r="AA60" s="300">
        <f>Inputs!W73*Data!$F12</f>
        <v>0</v>
      </c>
      <c r="AB60" s="300">
        <f>Inputs!X73*Data!$F12</f>
        <v>0</v>
      </c>
      <c r="AC60" s="300">
        <f>Inputs!Y73*Data!$F12</f>
        <v>0</v>
      </c>
      <c r="AD60" s="300">
        <f>Inputs!Z73*Data!$F12</f>
        <v>0</v>
      </c>
      <c r="AE60" s="300">
        <f>Inputs!AA73*Data!$F12</f>
        <v>0</v>
      </c>
      <c r="AF60" s="300">
        <f>Inputs!AB73*Data!$F12</f>
        <v>0</v>
      </c>
      <c r="AG60" s="300">
        <f>Inputs!AC73*Data!$F12</f>
        <v>0</v>
      </c>
      <c r="AH60" s="300">
        <f>Inputs!AD73*Data!$F12</f>
        <v>0</v>
      </c>
      <c r="AI60" s="300">
        <f>Inputs!AE73*Data!$F12</f>
        <v>0</v>
      </c>
      <c r="AJ60" s="300">
        <f>Inputs!AF73*Data!$F12</f>
        <v>0</v>
      </c>
      <c r="AK60" s="300">
        <f>Inputs!AG73*Data!$F12</f>
        <v>0</v>
      </c>
      <c r="AL60" s="300">
        <f>Inputs!AH73*Data!$F12</f>
        <v>0</v>
      </c>
      <c r="AM60" s="300">
        <f>Inputs!AI73*Data!$F12</f>
        <v>0</v>
      </c>
      <c r="AN60" s="300">
        <f>Inputs!AJ73*Data!$F12</f>
        <v>0</v>
      </c>
      <c r="AO60" s="300">
        <f>Inputs!AK73*Data!$F12</f>
        <v>0</v>
      </c>
      <c r="AP60" s="300">
        <f>Inputs!AL73*Data!$F12</f>
        <v>0</v>
      </c>
      <c r="AQ60" s="300">
        <f>Inputs!AM73*Data!$F12</f>
        <v>0</v>
      </c>
      <c r="AR60" s="300">
        <f>Inputs!AN73*Data!$F12</f>
        <v>0</v>
      </c>
      <c r="AS60" s="300">
        <f>Inputs!AO73*Data!$F12</f>
        <v>0</v>
      </c>
      <c r="AT60" s="300">
        <f>Inputs!AP73*Data!$F12</f>
        <v>0</v>
      </c>
      <c r="AU60" s="300">
        <f>Inputs!AQ73*Data!$F12</f>
        <v>0</v>
      </c>
      <c r="AV60" s="300">
        <f>Inputs!AR73*Data!$F12</f>
        <v>0</v>
      </c>
      <c r="AW60" s="300">
        <f>Inputs!AS73*Data!$F12</f>
        <v>0</v>
      </c>
      <c r="AX60" s="300">
        <f>Inputs!AT73*Data!$F12</f>
        <v>0</v>
      </c>
      <c r="AY60" s="300">
        <f>Inputs!AU73*Data!$F12</f>
        <v>0</v>
      </c>
      <c r="AZ60" s="300">
        <f>Inputs!AV73*Data!$F12</f>
        <v>0</v>
      </c>
      <c r="BA60" s="300">
        <f>Inputs!AW73*Data!$F12</f>
        <v>0</v>
      </c>
      <c r="BB60" s="300">
        <f>Inputs!AX73*Data!$F12</f>
        <v>0</v>
      </c>
      <c r="BC60" s="300">
        <f>Inputs!AY73*Data!$F12</f>
        <v>0</v>
      </c>
      <c r="BD60" s="300">
        <f>Inputs!AZ73*Data!$F12</f>
        <v>0</v>
      </c>
      <c r="BE60" s="300">
        <f>Inputs!BA73*Data!$F12</f>
        <v>0</v>
      </c>
    </row>
    <row r="61" spans="1:57" x14ac:dyDescent="0.35">
      <c r="A61" s="2"/>
      <c r="B61" s="2"/>
      <c r="C61" s="2"/>
      <c r="D61" s="2"/>
      <c r="E61" s="2"/>
      <c r="F61" s="233">
        <f>'Project description'!$B$5</f>
        <v>0</v>
      </c>
      <c r="G61" s="222" t="str">
        <f>Lists!$B$34</f>
        <v/>
      </c>
      <c r="H61" s="301" t="s">
        <v>148</v>
      </c>
      <c r="I61" s="301" t="str">
        <f>Inputs!D74</f>
        <v>Wood or wood chips</v>
      </c>
      <c r="J61" s="301" t="s">
        <v>141</v>
      </c>
      <c r="K61" s="302" t="str">
        <f>IF(Inputs!G74="","",Inputs!G74)</f>
        <v/>
      </c>
      <c r="L61" s="303">
        <f>Inputs!H74*Data!$F13</f>
        <v>0</v>
      </c>
      <c r="M61" s="303">
        <f>Inputs!I74*Data!$F13</f>
        <v>0</v>
      </c>
      <c r="N61" s="303">
        <f>Inputs!J74*Data!$F13</f>
        <v>0</v>
      </c>
      <c r="O61" s="303">
        <f>Inputs!K74*Data!$F13</f>
        <v>0</v>
      </c>
      <c r="P61" s="303">
        <f>Inputs!L74*Data!$F13</f>
        <v>0</v>
      </c>
      <c r="Q61" s="303">
        <f>Inputs!M74*Data!$F13</f>
        <v>0</v>
      </c>
      <c r="R61" s="303">
        <f>Inputs!N74*Data!$F13</f>
        <v>0</v>
      </c>
      <c r="S61" s="303">
        <f>Inputs!O74*Data!$F13</f>
        <v>0</v>
      </c>
      <c r="T61" s="303">
        <f>Inputs!P74*Data!$F13</f>
        <v>0</v>
      </c>
      <c r="U61" s="303">
        <f>Inputs!Q74*Data!$F13</f>
        <v>0</v>
      </c>
      <c r="V61" s="303">
        <f>Inputs!R74*Data!$F13</f>
        <v>0</v>
      </c>
      <c r="W61" s="303">
        <f>Inputs!S74*Data!$F13</f>
        <v>0</v>
      </c>
      <c r="X61" s="303">
        <f>Inputs!T74*Data!$F13</f>
        <v>0</v>
      </c>
      <c r="Y61" s="303">
        <f>Inputs!U74*Data!$F13</f>
        <v>0</v>
      </c>
      <c r="Z61" s="303">
        <f>Inputs!V74*Data!$F13</f>
        <v>0</v>
      </c>
      <c r="AA61" s="303">
        <f>Inputs!W74*Data!$F13</f>
        <v>0</v>
      </c>
      <c r="AB61" s="303">
        <f>Inputs!X74*Data!$F13</f>
        <v>0</v>
      </c>
      <c r="AC61" s="303">
        <f>Inputs!Y74*Data!$F13</f>
        <v>0</v>
      </c>
      <c r="AD61" s="303">
        <f>Inputs!Z74*Data!$F13</f>
        <v>0</v>
      </c>
      <c r="AE61" s="303">
        <f>Inputs!AA74*Data!$F13</f>
        <v>0</v>
      </c>
      <c r="AF61" s="303">
        <f>Inputs!AB74*Data!$F13</f>
        <v>0</v>
      </c>
      <c r="AG61" s="303">
        <f>Inputs!AC74*Data!$F13</f>
        <v>0</v>
      </c>
      <c r="AH61" s="303">
        <f>Inputs!AD74*Data!$F13</f>
        <v>0</v>
      </c>
      <c r="AI61" s="303">
        <f>Inputs!AE74*Data!$F13</f>
        <v>0</v>
      </c>
      <c r="AJ61" s="303">
        <f>Inputs!AF74*Data!$F13</f>
        <v>0</v>
      </c>
      <c r="AK61" s="303">
        <f>Inputs!AG74*Data!$F13</f>
        <v>0</v>
      </c>
      <c r="AL61" s="303">
        <f>Inputs!AH74*Data!$F13</f>
        <v>0</v>
      </c>
      <c r="AM61" s="303">
        <f>Inputs!AI74*Data!$F13</f>
        <v>0</v>
      </c>
      <c r="AN61" s="303">
        <f>Inputs!AJ74*Data!$F13</f>
        <v>0</v>
      </c>
      <c r="AO61" s="303">
        <f>Inputs!AK74*Data!$F13</f>
        <v>0</v>
      </c>
      <c r="AP61" s="303">
        <f>Inputs!AL74*Data!$F13</f>
        <v>0</v>
      </c>
      <c r="AQ61" s="303">
        <f>Inputs!AM74*Data!$F13</f>
        <v>0</v>
      </c>
      <c r="AR61" s="303">
        <f>Inputs!AN74*Data!$F13</f>
        <v>0</v>
      </c>
      <c r="AS61" s="303">
        <f>Inputs!AO74*Data!$F13</f>
        <v>0</v>
      </c>
      <c r="AT61" s="303">
        <f>Inputs!AP74*Data!$F13</f>
        <v>0</v>
      </c>
      <c r="AU61" s="303">
        <f>Inputs!AQ74*Data!$F13</f>
        <v>0</v>
      </c>
      <c r="AV61" s="303">
        <f>Inputs!AR74*Data!$F13</f>
        <v>0</v>
      </c>
      <c r="AW61" s="303">
        <f>Inputs!AS74*Data!$F13</f>
        <v>0</v>
      </c>
      <c r="AX61" s="303">
        <f>Inputs!AT74*Data!$F13</f>
        <v>0</v>
      </c>
      <c r="AY61" s="303">
        <f>Inputs!AU74*Data!$F13</f>
        <v>0</v>
      </c>
      <c r="AZ61" s="303">
        <f>Inputs!AV74*Data!$F13</f>
        <v>0</v>
      </c>
      <c r="BA61" s="303">
        <f>Inputs!AW74*Data!$F13</f>
        <v>0</v>
      </c>
      <c r="BB61" s="303">
        <f>Inputs!AX74*Data!$F13</f>
        <v>0</v>
      </c>
      <c r="BC61" s="303">
        <f>Inputs!AY74*Data!$F13</f>
        <v>0</v>
      </c>
      <c r="BD61" s="303">
        <f>Inputs!AZ74*Data!$F13</f>
        <v>0</v>
      </c>
      <c r="BE61" s="303">
        <f>Inputs!BA74*Data!$F13</f>
        <v>0</v>
      </c>
    </row>
    <row r="62" spans="1:57" ht="18.5" x14ac:dyDescent="0.45">
      <c r="A62" s="2"/>
      <c r="B62" s="2"/>
      <c r="C62" s="2"/>
      <c r="D62" s="2"/>
      <c r="E62" s="2"/>
      <c r="F62" s="7"/>
      <c r="G62" s="2"/>
      <c r="H62" s="2"/>
      <c r="I62" s="2"/>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95"/>
      <c r="AO62" s="95"/>
      <c r="AP62" s="95"/>
      <c r="AQ62" s="95"/>
      <c r="AR62" s="95"/>
      <c r="AS62" s="95"/>
      <c r="AT62" s="95"/>
      <c r="AU62" s="95"/>
      <c r="AV62" s="95"/>
      <c r="AW62" s="95"/>
      <c r="AX62" s="95"/>
      <c r="AY62" s="95"/>
      <c r="AZ62" s="95"/>
      <c r="BA62" s="95"/>
      <c r="BB62" s="95"/>
      <c r="BC62" s="95"/>
      <c r="BD62" s="95"/>
      <c r="BE62" s="95"/>
    </row>
    <row r="63" spans="1:57" x14ac:dyDescent="0.35">
      <c r="A63" s="27" t="s">
        <v>48</v>
      </c>
      <c r="B63" s="27"/>
      <c r="C63" s="27"/>
      <c r="D63" s="27"/>
      <c r="E63" s="27"/>
      <c r="F63" s="27" t="s">
        <v>329</v>
      </c>
      <c r="G63" s="109" t="s">
        <v>330</v>
      </c>
      <c r="H63" s="317" t="s">
        <v>328</v>
      </c>
      <c r="I63" s="317" t="s">
        <v>60</v>
      </c>
      <c r="J63" s="317" t="s">
        <v>61</v>
      </c>
      <c r="K63" s="256" t="s">
        <v>39</v>
      </c>
      <c r="L63" s="10" t="s">
        <v>303</v>
      </c>
      <c r="M63" s="10" t="s">
        <v>62</v>
      </c>
      <c r="N63" s="10" t="s">
        <v>63</v>
      </c>
      <c r="O63" s="10" t="s">
        <v>64</v>
      </c>
      <c r="P63" s="10" t="s">
        <v>65</v>
      </c>
      <c r="Q63" s="10" t="s">
        <v>66</v>
      </c>
      <c r="R63" s="10" t="s">
        <v>67</v>
      </c>
      <c r="S63" s="10" t="s">
        <v>68</v>
      </c>
      <c r="T63" s="10" t="s">
        <v>69</v>
      </c>
      <c r="U63" s="10" t="s">
        <v>70</v>
      </c>
      <c r="V63" s="10" t="s">
        <v>71</v>
      </c>
      <c r="W63" s="10" t="s">
        <v>72</v>
      </c>
      <c r="X63" s="10" t="s">
        <v>73</v>
      </c>
      <c r="Y63" s="10" t="s">
        <v>74</v>
      </c>
      <c r="Z63" s="10" t="s">
        <v>75</v>
      </c>
      <c r="AA63" s="10" t="s">
        <v>76</v>
      </c>
      <c r="AB63" s="10" t="s">
        <v>77</v>
      </c>
      <c r="AC63" s="10" t="s">
        <v>78</v>
      </c>
      <c r="AD63" s="10" t="s">
        <v>79</v>
      </c>
      <c r="AE63" s="10" t="s">
        <v>80</v>
      </c>
      <c r="AF63" s="10" t="s">
        <v>81</v>
      </c>
      <c r="AG63" s="10" t="s">
        <v>82</v>
      </c>
      <c r="AH63" s="10" t="s">
        <v>83</v>
      </c>
      <c r="AI63" s="10" t="s">
        <v>84</v>
      </c>
      <c r="AJ63" s="10" t="s">
        <v>85</v>
      </c>
      <c r="AK63" s="10" t="s">
        <v>86</v>
      </c>
      <c r="AL63" s="10" t="s">
        <v>87</v>
      </c>
      <c r="AM63" s="10" t="s">
        <v>88</v>
      </c>
      <c r="AN63" s="10" t="s">
        <v>89</v>
      </c>
      <c r="AO63" s="10" t="s">
        <v>90</v>
      </c>
      <c r="AP63" s="10" t="s">
        <v>91</v>
      </c>
      <c r="AQ63" s="10" t="s">
        <v>92</v>
      </c>
      <c r="AR63" s="10" t="s">
        <v>93</v>
      </c>
      <c r="AS63" s="10" t="s">
        <v>94</v>
      </c>
      <c r="AT63" s="10" t="s">
        <v>95</v>
      </c>
      <c r="AU63" s="10" t="s">
        <v>96</v>
      </c>
      <c r="AV63" s="10" t="s">
        <v>97</v>
      </c>
      <c r="AW63" s="10" t="s">
        <v>98</v>
      </c>
      <c r="AX63" s="10" t="s">
        <v>99</v>
      </c>
      <c r="AY63" s="10" t="s">
        <v>100</v>
      </c>
      <c r="AZ63" s="10" t="s">
        <v>101</v>
      </c>
      <c r="BA63" s="10" t="s">
        <v>102</v>
      </c>
      <c r="BB63" s="10" t="s">
        <v>103</v>
      </c>
      <c r="BC63" s="10" t="s">
        <v>104</v>
      </c>
      <c r="BD63" s="10" t="s">
        <v>105</v>
      </c>
      <c r="BE63" s="10" t="s">
        <v>106</v>
      </c>
    </row>
    <row r="64" spans="1:57" x14ac:dyDescent="0.35">
      <c r="A64" s="2"/>
      <c r="B64" s="2"/>
      <c r="C64" s="2"/>
      <c r="D64" s="2"/>
      <c r="E64" s="2"/>
      <c r="F64" s="305">
        <f>'Project description'!$B$5</f>
        <v>0</v>
      </c>
      <c r="G64" s="305" t="str">
        <f>Lists!$B$34</f>
        <v/>
      </c>
      <c r="H64" s="307" t="s">
        <v>160</v>
      </c>
      <c r="I64" s="307" t="str">
        <f>Inputs!D77</f>
        <v>Electricity</v>
      </c>
      <c r="J64" s="307" t="s">
        <v>141</v>
      </c>
      <c r="K64" s="244" t="str">
        <f>IF(Inputs!G77="","",Inputs!G77)</f>
        <v/>
      </c>
      <c r="L64" s="308">
        <f>Inputs!H77*Data!$F3</f>
        <v>0</v>
      </c>
      <c r="M64" s="308">
        <f>Inputs!I77*Data!$F3</f>
        <v>0</v>
      </c>
      <c r="N64" s="308">
        <f>Inputs!J77*Data!$F3</f>
        <v>0</v>
      </c>
      <c r="O64" s="308">
        <f>Inputs!K77*Data!$F3</f>
        <v>0</v>
      </c>
      <c r="P64" s="308">
        <f>Inputs!L77*Data!$F3</f>
        <v>0</v>
      </c>
      <c r="Q64" s="308">
        <f>Inputs!M77*Data!$F3</f>
        <v>0</v>
      </c>
      <c r="R64" s="308">
        <f>Inputs!N77*Data!$F3</f>
        <v>0</v>
      </c>
      <c r="S64" s="308">
        <f>Inputs!O77*Data!$F3</f>
        <v>0</v>
      </c>
      <c r="T64" s="308">
        <f>Inputs!P77*Data!$F3</f>
        <v>0</v>
      </c>
      <c r="U64" s="308">
        <f>Inputs!Q77*Data!$F3</f>
        <v>0</v>
      </c>
      <c r="V64" s="308">
        <f>Inputs!R77*Data!$F3</f>
        <v>0</v>
      </c>
      <c r="W64" s="308">
        <f>Inputs!S77*Data!$F3</f>
        <v>0</v>
      </c>
      <c r="X64" s="308">
        <f>Inputs!T77*Data!$F3</f>
        <v>0</v>
      </c>
      <c r="Y64" s="308">
        <f>Inputs!U77*Data!$F3</f>
        <v>0</v>
      </c>
      <c r="Z64" s="308">
        <f>Inputs!V77*Data!$F3</f>
        <v>0</v>
      </c>
      <c r="AA64" s="308">
        <f>Inputs!W77*Data!$F3</f>
        <v>0</v>
      </c>
      <c r="AB64" s="308">
        <f>Inputs!X77*Data!$F3</f>
        <v>0</v>
      </c>
      <c r="AC64" s="308">
        <f>Inputs!Y77*Data!$F3</f>
        <v>0</v>
      </c>
      <c r="AD64" s="308">
        <f>Inputs!Z77*Data!$F3</f>
        <v>0</v>
      </c>
      <c r="AE64" s="308">
        <f>Inputs!AA77*Data!$F3</f>
        <v>0</v>
      </c>
      <c r="AF64" s="308">
        <f>Inputs!AB77*Data!$F3</f>
        <v>0</v>
      </c>
      <c r="AG64" s="308">
        <f>Inputs!AC77*Data!$F3</f>
        <v>0</v>
      </c>
      <c r="AH64" s="308">
        <f>Inputs!AD77*Data!$F3</f>
        <v>0</v>
      </c>
      <c r="AI64" s="308">
        <f>Inputs!AE77*Data!$F3</f>
        <v>0</v>
      </c>
      <c r="AJ64" s="308">
        <f>Inputs!AF77*Data!$F3</f>
        <v>0</v>
      </c>
      <c r="AK64" s="308">
        <f>Inputs!AG77*Data!$F3</f>
        <v>0</v>
      </c>
      <c r="AL64" s="308">
        <f>Inputs!AH77*Data!$F3</f>
        <v>0</v>
      </c>
      <c r="AM64" s="308">
        <f>Inputs!AI77*Data!$F3</f>
        <v>0</v>
      </c>
      <c r="AN64" s="308">
        <f>Inputs!AJ77*Data!$F3</f>
        <v>0</v>
      </c>
      <c r="AO64" s="308">
        <f>Inputs!AK77*Data!$F3</f>
        <v>0</v>
      </c>
      <c r="AP64" s="308">
        <f>Inputs!AL77*Data!$F3</f>
        <v>0</v>
      </c>
      <c r="AQ64" s="308">
        <f>Inputs!AM77*Data!$F3</f>
        <v>0</v>
      </c>
      <c r="AR64" s="308">
        <f>Inputs!AN77*Data!$F3</f>
        <v>0</v>
      </c>
      <c r="AS64" s="308">
        <f>Inputs!AO77*Data!$F3</f>
        <v>0</v>
      </c>
      <c r="AT64" s="308">
        <f>Inputs!AP77*Data!$F3</f>
        <v>0</v>
      </c>
      <c r="AU64" s="308">
        <f>Inputs!AQ77*Data!$F3</f>
        <v>0</v>
      </c>
      <c r="AV64" s="308">
        <f>Inputs!AR77*Data!$F3</f>
        <v>0</v>
      </c>
      <c r="AW64" s="308">
        <f>Inputs!AS77*Data!$F3</f>
        <v>0</v>
      </c>
      <c r="AX64" s="308">
        <f>Inputs!AT77*Data!$F3</f>
        <v>0</v>
      </c>
      <c r="AY64" s="308">
        <f>Inputs!AU77*Data!$F3</f>
        <v>0</v>
      </c>
      <c r="AZ64" s="308">
        <f>Inputs!AV77*Data!$F3</f>
        <v>0</v>
      </c>
      <c r="BA64" s="308">
        <f>Inputs!AW77*Data!$F3</f>
        <v>0</v>
      </c>
      <c r="BB64" s="308">
        <f>Inputs!AX77*Data!$F3</f>
        <v>0</v>
      </c>
      <c r="BC64" s="308">
        <f>Inputs!AY77*Data!$F3</f>
        <v>0</v>
      </c>
      <c r="BD64" s="308">
        <f>Inputs!AZ77*Data!$F3</f>
        <v>0</v>
      </c>
      <c r="BE64" s="308">
        <f>Inputs!BA77*Data!$F3</f>
        <v>0</v>
      </c>
    </row>
    <row r="65" spans="1:57" x14ac:dyDescent="0.35">
      <c r="A65" s="2"/>
      <c r="B65" s="2"/>
      <c r="C65" s="2"/>
      <c r="D65" s="2"/>
      <c r="E65" s="2"/>
      <c r="F65" s="306">
        <f>'Project description'!$B$5</f>
        <v>0</v>
      </c>
      <c r="G65" s="306" t="str">
        <f>Lists!$B$34</f>
        <v/>
      </c>
      <c r="H65" s="309" t="s">
        <v>160</v>
      </c>
      <c r="I65" s="309" t="str">
        <f>Inputs!D78</f>
        <v>Natural Gas</v>
      </c>
      <c r="J65" s="309" t="s">
        <v>141</v>
      </c>
      <c r="K65" s="310" t="str">
        <f>IF(Inputs!G78="","",Inputs!G78)</f>
        <v/>
      </c>
      <c r="L65" s="311">
        <f>Inputs!H78*Data!$F4</f>
        <v>0</v>
      </c>
      <c r="M65" s="311">
        <f>Inputs!I78*Data!$F4</f>
        <v>0</v>
      </c>
      <c r="N65" s="311">
        <f>Inputs!J78*Data!$F4</f>
        <v>0</v>
      </c>
      <c r="O65" s="311">
        <f>Inputs!K78*Data!$F4</f>
        <v>0</v>
      </c>
      <c r="P65" s="311">
        <f>Inputs!L78*Data!$F4</f>
        <v>0</v>
      </c>
      <c r="Q65" s="311">
        <f>Inputs!M78*Data!$F4</f>
        <v>0</v>
      </c>
      <c r="R65" s="311">
        <f>Inputs!N78*Data!$F4</f>
        <v>0</v>
      </c>
      <c r="S65" s="311">
        <f>Inputs!O78*Data!$F4</f>
        <v>0</v>
      </c>
      <c r="T65" s="311">
        <f>Inputs!P78*Data!$F4</f>
        <v>0</v>
      </c>
      <c r="U65" s="311">
        <f>Inputs!Q78*Data!$F4</f>
        <v>0</v>
      </c>
      <c r="V65" s="311">
        <f>Inputs!R78*Data!$F4</f>
        <v>0</v>
      </c>
      <c r="W65" s="311">
        <f>Inputs!S78*Data!$F4</f>
        <v>0</v>
      </c>
      <c r="X65" s="311">
        <f>Inputs!T78*Data!$F4</f>
        <v>0</v>
      </c>
      <c r="Y65" s="311">
        <f>Inputs!U78*Data!$F4</f>
        <v>0</v>
      </c>
      <c r="Z65" s="311">
        <f>Inputs!V78*Data!$F4</f>
        <v>0</v>
      </c>
      <c r="AA65" s="311">
        <f>Inputs!W78*Data!$F4</f>
        <v>0</v>
      </c>
      <c r="AB65" s="311">
        <f>Inputs!X78*Data!$F4</f>
        <v>0</v>
      </c>
      <c r="AC65" s="311">
        <f>Inputs!Y78*Data!$F4</f>
        <v>0</v>
      </c>
      <c r="AD65" s="311">
        <f>Inputs!Z78*Data!$F4</f>
        <v>0</v>
      </c>
      <c r="AE65" s="311">
        <f>Inputs!AA78*Data!$F4</f>
        <v>0</v>
      </c>
      <c r="AF65" s="311">
        <f>Inputs!AB78*Data!$F4</f>
        <v>0</v>
      </c>
      <c r="AG65" s="311">
        <f>Inputs!AC78*Data!$F4</f>
        <v>0</v>
      </c>
      <c r="AH65" s="311">
        <f>Inputs!AD78*Data!$F4</f>
        <v>0</v>
      </c>
      <c r="AI65" s="311">
        <f>Inputs!AE78*Data!$F4</f>
        <v>0</v>
      </c>
      <c r="AJ65" s="311">
        <f>Inputs!AF78*Data!$F4</f>
        <v>0</v>
      </c>
      <c r="AK65" s="311">
        <f>Inputs!AG78*Data!$F4</f>
        <v>0</v>
      </c>
      <c r="AL65" s="311">
        <f>Inputs!AH78*Data!$F4</f>
        <v>0</v>
      </c>
      <c r="AM65" s="311">
        <f>Inputs!AI78*Data!$F4</f>
        <v>0</v>
      </c>
      <c r="AN65" s="311">
        <f>Inputs!AJ78*Data!$F4</f>
        <v>0</v>
      </c>
      <c r="AO65" s="311">
        <f>Inputs!AK78*Data!$F4</f>
        <v>0</v>
      </c>
      <c r="AP65" s="311">
        <f>Inputs!AL78*Data!$F4</f>
        <v>0</v>
      </c>
      <c r="AQ65" s="311">
        <f>Inputs!AM78*Data!$F4</f>
        <v>0</v>
      </c>
      <c r="AR65" s="311">
        <f>Inputs!AN78*Data!$F4</f>
        <v>0</v>
      </c>
      <c r="AS65" s="311">
        <f>Inputs!AO78*Data!$F4</f>
        <v>0</v>
      </c>
      <c r="AT65" s="311">
        <f>Inputs!AP78*Data!$F4</f>
        <v>0</v>
      </c>
      <c r="AU65" s="311">
        <f>Inputs!AQ78*Data!$F4</f>
        <v>0</v>
      </c>
      <c r="AV65" s="311">
        <f>Inputs!AR78*Data!$F4</f>
        <v>0</v>
      </c>
      <c r="AW65" s="311">
        <f>Inputs!AS78*Data!$F4</f>
        <v>0</v>
      </c>
      <c r="AX65" s="311">
        <f>Inputs!AT78*Data!$F4</f>
        <v>0</v>
      </c>
      <c r="AY65" s="311">
        <f>Inputs!AU78*Data!$F4</f>
        <v>0</v>
      </c>
      <c r="AZ65" s="311">
        <f>Inputs!AV78*Data!$F4</f>
        <v>0</v>
      </c>
      <c r="BA65" s="311">
        <f>Inputs!AW78*Data!$F4</f>
        <v>0</v>
      </c>
      <c r="BB65" s="311">
        <f>Inputs!AX78*Data!$F4</f>
        <v>0</v>
      </c>
      <c r="BC65" s="311">
        <f>Inputs!AY78*Data!$F4</f>
        <v>0</v>
      </c>
      <c r="BD65" s="311">
        <f>Inputs!AZ78*Data!$F4</f>
        <v>0</v>
      </c>
      <c r="BE65" s="311">
        <f>Inputs!BA78*Data!$F4</f>
        <v>0</v>
      </c>
    </row>
    <row r="66" spans="1:57" x14ac:dyDescent="0.35">
      <c r="A66" s="2"/>
      <c r="B66" s="2"/>
      <c r="C66" s="2"/>
      <c r="D66" s="2"/>
      <c r="E66" s="2"/>
      <c r="F66" s="305">
        <f>'Project description'!$B$5</f>
        <v>0</v>
      </c>
      <c r="G66" s="305" t="str">
        <f>Lists!$B$34</f>
        <v/>
      </c>
      <c r="H66" s="312" t="s">
        <v>160</v>
      </c>
      <c r="I66" s="312" t="str">
        <f>Inputs!D79</f>
        <v>Coal - sub bituminous</v>
      </c>
      <c r="J66" s="312" t="s">
        <v>141</v>
      </c>
      <c r="K66" s="313" t="str">
        <f>IF(Inputs!G79="","",Inputs!G79)</f>
        <v/>
      </c>
      <c r="L66" s="314">
        <f>Inputs!H79*Data!$F5</f>
        <v>0</v>
      </c>
      <c r="M66" s="314">
        <f>Inputs!I79*Data!$F5</f>
        <v>0</v>
      </c>
      <c r="N66" s="314">
        <f>Inputs!J79*Data!$F5</f>
        <v>0</v>
      </c>
      <c r="O66" s="314">
        <f>Inputs!K79*Data!$F5</f>
        <v>0</v>
      </c>
      <c r="P66" s="314">
        <f>Inputs!L79*Data!$F5</f>
        <v>0</v>
      </c>
      <c r="Q66" s="314">
        <f>Inputs!M79*Data!$F5</f>
        <v>0</v>
      </c>
      <c r="R66" s="314">
        <f>Inputs!N79*Data!$F5</f>
        <v>0</v>
      </c>
      <c r="S66" s="314">
        <f>Inputs!O79*Data!$F5</f>
        <v>0</v>
      </c>
      <c r="T66" s="314">
        <f>Inputs!P79*Data!$F5</f>
        <v>0</v>
      </c>
      <c r="U66" s="314">
        <f>Inputs!Q79*Data!$F5</f>
        <v>0</v>
      </c>
      <c r="V66" s="314">
        <f>Inputs!R79*Data!$F5</f>
        <v>0</v>
      </c>
      <c r="W66" s="314">
        <f>Inputs!S79*Data!$F5</f>
        <v>0</v>
      </c>
      <c r="X66" s="314">
        <f>Inputs!T79*Data!$F5</f>
        <v>0</v>
      </c>
      <c r="Y66" s="314">
        <f>Inputs!U79*Data!$F5</f>
        <v>0</v>
      </c>
      <c r="Z66" s="314">
        <f>Inputs!V79*Data!$F5</f>
        <v>0</v>
      </c>
      <c r="AA66" s="314">
        <f>Inputs!W79*Data!$F5</f>
        <v>0</v>
      </c>
      <c r="AB66" s="314">
        <f>Inputs!X79*Data!$F5</f>
        <v>0</v>
      </c>
      <c r="AC66" s="314">
        <f>Inputs!Y79*Data!$F5</f>
        <v>0</v>
      </c>
      <c r="AD66" s="314">
        <f>Inputs!Z79*Data!$F5</f>
        <v>0</v>
      </c>
      <c r="AE66" s="314">
        <f>Inputs!AA79*Data!$F5</f>
        <v>0</v>
      </c>
      <c r="AF66" s="314">
        <f>Inputs!AB79*Data!$F5</f>
        <v>0</v>
      </c>
      <c r="AG66" s="314">
        <f>Inputs!AC79*Data!$F5</f>
        <v>0</v>
      </c>
      <c r="AH66" s="314">
        <f>Inputs!AD79*Data!$F5</f>
        <v>0</v>
      </c>
      <c r="AI66" s="314">
        <f>Inputs!AE79*Data!$F5</f>
        <v>0</v>
      </c>
      <c r="AJ66" s="314">
        <f>Inputs!AF79*Data!$F5</f>
        <v>0</v>
      </c>
      <c r="AK66" s="314">
        <f>Inputs!AG79*Data!$F5</f>
        <v>0</v>
      </c>
      <c r="AL66" s="314">
        <f>Inputs!AH79*Data!$F5</f>
        <v>0</v>
      </c>
      <c r="AM66" s="314">
        <f>Inputs!AI79*Data!$F5</f>
        <v>0</v>
      </c>
      <c r="AN66" s="314">
        <f>Inputs!AJ79*Data!$F5</f>
        <v>0</v>
      </c>
      <c r="AO66" s="314">
        <f>Inputs!AK79*Data!$F5</f>
        <v>0</v>
      </c>
      <c r="AP66" s="314">
        <f>Inputs!AL79*Data!$F5</f>
        <v>0</v>
      </c>
      <c r="AQ66" s="314">
        <f>Inputs!AM79*Data!$F5</f>
        <v>0</v>
      </c>
      <c r="AR66" s="314">
        <f>Inputs!AN79*Data!$F5</f>
        <v>0</v>
      </c>
      <c r="AS66" s="314">
        <f>Inputs!AO79*Data!$F5</f>
        <v>0</v>
      </c>
      <c r="AT66" s="314">
        <f>Inputs!AP79*Data!$F5</f>
        <v>0</v>
      </c>
      <c r="AU66" s="314">
        <f>Inputs!AQ79*Data!$F5</f>
        <v>0</v>
      </c>
      <c r="AV66" s="314">
        <f>Inputs!AR79*Data!$F5</f>
        <v>0</v>
      </c>
      <c r="AW66" s="314">
        <f>Inputs!AS79*Data!$F5</f>
        <v>0</v>
      </c>
      <c r="AX66" s="314">
        <f>Inputs!AT79*Data!$F5</f>
        <v>0</v>
      </c>
      <c r="AY66" s="314">
        <f>Inputs!AU79*Data!$F5</f>
        <v>0</v>
      </c>
      <c r="AZ66" s="314">
        <f>Inputs!AV79*Data!$F5</f>
        <v>0</v>
      </c>
      <c r="BA66" s="314">
        <f>Inputs!AW79*Data!$F5</f>
        <v>0</v>
      </c>
      <c r="BB66" s="314">
        <f>Inputs!AX79*Data!$F5</f>
        <v>0</v>
      </c>
      <c r="BC66" s="314">
        <f>Inputs!AY79*Data!$F5</f>
        <v>0</v>
      </c>
      <c r="BD66" s="314">
        <f>Inputs!AZ79*Data!$F5</f>
        <v>0</v>
      </c>
      <c r="BE66" s="314">
        <f>Inputs!BA79*Data!$F5</f>
        <v>0</v>
      </c>
    </row>
    <row r="67" spans="1:57" x14ac:dyDescent="0.35">
      <c r="A67" s="2"/>
      <c r="B67" s="2"/>
      <c r="C67" s="2"/>
      <c r="D67" s="2"/>
      <c r="E67" s="2"/>
      <c r="F67" s="306">
        <f>'Project description'!$B$5</f>
        <v>0</v>
      </c>
      <c r="G67" s="306" t="str">
        <f>Lists!$B$34</f>
        <v/>
      </c>
      <c r="H67" s="309" t="s">
        <v>160</v>
      </c>
      <c r="I67" s="309" t="str">
        <f>Inputs!D80</f>
        <v>Coal - bituminous</v>
      </c>
      <c r="J67" s="309" t="s">
        <v>141</v>
      </c>
      <c r="K67" s="310" t="str">
        <f>IF(Inputs!G80="","",Inputs!G80)</f>
        <v/>
      </c>
      <c r="L67" s="311">
        <f>Inputs!H80*Data!$F6</f>
        <v>0</v>
      </c>
      <c r="M67" s="311">
        <f>Inputs!I80*Data!$F6</f>
        <v>0</v>
      </c>
      <c r="N67" s="311">
        <f>Inputs!J80*Data!$F6</f>
        <v>0</v>
      </c>
      <c r="O67" s="311">
        <f>Inputs!K80*Data!$F6</f>
        <v>0</v>
      </c>
      <c r="P67" s="311">
        <f>Inputs!L80*Data!$F6</f>
        <v>0</v>
      </c>
      <c r="Q67" s="311">
        <f>Inputs!M80*Data!$F6</f>
        <v>0</v>
      </c>
      <c r="R67" s="311">
        <f>Inputs!N80*Data!$F6</f>
        <v>0</v>
      </c>
      <c r="S67" s="311">
        <f>Inputs!O80*Data!$F6</f>
        <v>0</v>
      </c>
      <c r="T67" s="311">
        <f>Inputs!P80*Data!$F6</f>
        <v>0</v>
      </c>
      <c r="U67" s="311">
        <f>Inputs!Q80*Data!$F6</f>
        <v>0</v>
      </c>
      <c r="V67" s="311">
        <f>Inputs!R80*Data!$F6</f>
        <v>0</v>
      </c>
      <c r="W67" s="311">
        <f>Inputs!S80*Data!$F6</f>
        <v>0</v>
      </c>
      <c r="X67" s="311">
        <f>Inputs!T80*Data!$F6</f>
        <v>0</v>
      </c>
      <c r="Y67" s="311">
        <f>Inputs!U80*Data!$F6</f>
        <v>0</v>
      </c>
      <c r="Z67" s="311">
        <f>Inputs!V80*Data!$F6</f>
        <v>0</v>
      </c>
      <c r="AA67" s="311">
        <f>Inputs!W80*Data!$F6</f>
        <v>0</v>
      </c>
      <c r="AB67" s="311">
        <f>Inputs!X80*Data!$F6</f>
        <v>0</v>
      </c>
      <c r="AC67" s="311">
        <f>Inputs!Y80*Data!$F6</f>
        <v>0</v>
      </c>
      <c r="AD67" s="311">
        <f>Inputs!Z80*Data!$F6</f>
        <v>0</v>
      </c>
      <c r="AE67" s="311">
        <f>Inputs!AA80*Data!$F6</f>
        <v>0</v>
      </c>
      <c r="AF67" s="311">
        <f>Inputs!AB80*Data!$F6</f>
        <v>0</v>
      </c>
      <c r="AG67" s="311">
        <f>Inputs!AC80*Data!$F6</f>
        <v>0</v>
      </c>
      <c r="AH67" s="311">
        <f>Inputs!AD80*Data!$F6</f>
        <v>0</v>
      </c>
      <c r="AI67" s="311">
        <f>Inputs!AE80*Data!$F6</f>
        <v>0</v>
      </c>
      <c r="AJ67" s="311">
        <f>Inputs!AF80*Data!$F6</f>
        <v>0</v>
      </c>
      <c r="AK67" s="311">
        <f>Inputs!AG80*Data!$F6</f>
        <v>0</v>
      </c>
      <c r="AL67" s="311">
        <f>Inputs!AH80*Data!$F6</f>
        <v>0</v>
      </c>
      <c r="AM67" s="311">
        <f>Inputs!AI80*Data!$F6</f>
        <v>0</v>
      </c>
      <c r="AN67" s="311">
        <f>Inputs!AJ80*Data!$F6</f>
        <v>0</v>
      </c>
      <c r="AO67" s="311">
        <f>Inputs!AK80*Data!$F6</f>
        <v>0</v>
      </c>
      <c r="AP67" s="311">
        <f>Inputs!AL80*Data!$F6</f>
        <v>0</v>
      </c>
      <c r="AQ67" s="311">
        <f>Inputs!AM80*Data!$F6</f>
        <v>0</v>
      </c>
      <c r="AR67" s="311">
        <f>Inputs!AN80*Data!$F6</f>
        <v>0</v>
      </c>
      <c r="AS67" s="311">
        <f>Inputs!AO80*Data!$F6</f>
        <v>0</v>
      </c>
      <c r="AT67" s="311">
        <f>Inputs!AP80*Data!$F6</f>
        <v>0</v>
      </c>
      <c r="AU67" s="311">
        <f>Inputs!AQ80*Data!$F6</f>
        <v>0</v>
      </c>
      <c r="AV67" s="311">
        <f>Inputs!AR80*Data!$F6</f>
        <v>0</v>
      </c>
      <c r="AW67" s="311">
        <f>Inputs!AS80*Data!$F6</f>
        <v>0</v>
      </c>
      <c r="AX67" s="311">
        <f>Inputs!AT80*Data!$F6</f>
        <v>0</v>
      </c>
      <c r="AY67" s="311">
        <f>Inputs!AU80*Data!$F6</f>
        <v>0</v>
      </c>
      <c r="AZ67" s="311">
        <f>Inputs!AV80*Data!$F6</f>
        <v>0</v>
      </c>
      <c r="BA67" s="311">
        <f>Inputs!AW80*Data!$F6</f>
        <v>0</v>
      </c>
      <c r="BB67" s="311">
        <f>Inputs!AX80*Data!$F6</f>
        <v>0</v>
      </c>
      <c r="BC67" s="311">
        <f>Inputs!AY80*Data!$F6</f>
        <v>0</v>
      </c>
      <c r="BD67" s="311">
        <f>Inputs!AZ80*Data!$F6</f>
        <v>0</v>
      </c>
      <c r="BE67" s="311">
        <f>Inputs!BA80*Data!$F6</f>
        <v>0</v>
      </c>
    </row>
    <row r="68" spans="1:57" x14ac:dyDescent="0.35">
      <c r="A68" s="2"/>
      <c r="B68" s="2"/>
      <c r="C68" s="2"/>
      <c r="D68" s="2"/>
      <c r="E68" s="2"/>
      <c r="F68" s="305">
        <f>'Project description'!$B$5</f>
        <v>0</v>
      </c>
      <c r="G68" s="305" t="str">
        <f>Lists!$B$34</f>
        <v/>
      </c>
      <c r="H68" s="312" t="s">
        <v>160</v>
      </c>
      <c r="I68" s="312" t="str">
        <f>Inputs!D81</f>
        <v>Coal - lignite</v>
      </c>
      <c r="J68" s="312" t="s">
        <v>141</v>
      </c>
      <c r="K68" s="313" t="str">
        <f>IF(Inputs!G81="","",Inputs!G81)</f>
        <v/>
      </c>
      <c r="L68" s="314">
        <f>Inputs!H81*Data!$F7</f>
        <v>0</v>
      </c>
      <c r="M68" s="314">
        <f>Inputs!I81*Data!$F7</f>
        <v>0</v>
      </c>
      <c r="N68" s="314">
        <f>Inputs!J81*Data!$F7</f>
        <v>0</v>
      </c>
      <c r="O68" s="314">
        <f>Inputs!K81*Data!$F7</f>
        <v>0</v>
      </c>
      <c r="P68" s="314">
        <f>Inputs!L81*Data!$F7</f>
        <v>0</v>
      </c>
      <c r="Q68" s="314">
        <f>Inputs!M81*Data!$F7</f>
        <v>0</v>
      </c>
      <c r="R68" s="314">
        <f>Inputs!N81*Data!$F7</f>
        <v>0</v>
      </c>
      <c r="S68" s="314">
        <f>Inputs!O81*Data!$F7</f>
        <v>0</v>
      </c>
      <c r="T68" s="314">
        <f>Inputs!P81*Data!$F7</f>
        <v>0</v>
      </c>
      <c r="U68" s="314">
        <f>Inputs!Q81*Data!$F7</f>
        <v>0</v>
      </c>
      <c r="V68" s="314">
        <f>Inputs!R81*Data!$F7</f>
        <v>0</v>
      </c>
      <c r="W68" s="314">
        <f>Inputs!S81*Data!$F7</f>
        <v>0</v>
      </c>
      <c r="X68" s="314">
        <f>Inputs!T81*Data!$F7</f>
        <v>0</v>
      </c>
      <c r="Y68" s="314">
        <f>Inputs!U81*Data!$F7</f>
        <v>0</v>
      </c>
      <c r="Z68" s="314">
        <f>Inputs!V81*Data!$F7</f>
        <v>0</v>
      </c>
      <c r="AA68" s="314">
        <f>Inputs!W81*Data!$F7</f>
        <v>0</v>
      </c>
      <c r="AB68" s="314">
        <f>Inputs!X81*Data!$F7</f>
        <v>0</v>
      </c>
      <c r="AC68" s="314">
        <f>Inputs!Y81*Data!$F7</f>
        <v>0</v>
      </c>
      <c r="AD68" s="314">
        <f>Inputs!Z81*Data!$F7</f>
        <v>0</v>
      </c>
      <c r="AE68" s="314">
        <f>Inputs!AA81*Data!$F7</f>
        <v>0</v>
      </c>
      <c r="AF68" s="314">
        <f>Inputs!AB81*Data!$F7</f>
        <v>0</v>
      </c>
      <c r="AG68" s="314">
        <f>Inputs!AC81*Data!$F7</f>
        <v>0</v>
      </c>
      <c r="AH68" s="314">
        <f>Inputs!AD81*Data!$F7</f>
        <v>0</v>
      </c>
      <c r="AI68" s="314">
        <f>Inputs!AE81*Data!$F7</f>
        <v>0</v>
      </c>
      <c r="AJ68" s="314">
        <f>Inputs!AF81*Data!$F7</f>
        <v>0</v>
      </c>
      <c r="AK68" s="314">
        <f>Inputs!AG81*Data!$F7</f>
        <v>0</v>
      </c>
      <c r="AL68" s="314">
        <f>Inputs!AH81*Data!$F7</f>
        <v>0</v>
      </c>
      <c r="AM68" s="314">
        <f>Inputs!AI81*Data!$F7</f>
        <v>0</v>
      </c>
      <c r="AN68" s="314">
        <f>Inputs!AJ81*Data!$F7</f>
        <v>0</v>
      </c>
      <c r="AO68" s="314">
        <f>Inputs!AK81*Data!$F7</f>
        <v>0</v>
      </c>
      <c r="AP68" s="314">
        <f>Inputs!AL81*Data!$F7</f>
        <v>0</v>
      </c>
      <c r="AQ68" s="314">
        <f>Inputs!AM81*Data!$F7</f>
        <v>0</v>
      </c>
      <c r="AR68" s="314">
        <f>Inputs!AN81*Data!$F7</f>
        <v>0</v>
      </c>
      <c r="AS68" s="314">
        <f>Inputs!AO81*Data!$F7</f>
        <v>0</v>
      </c>
      <c r="AT68" s="314">
        <f>Inputs!AP81*Data!$F7</f>
        <v>0</v>
      </c>
      <c r="AU68" s="314">
        <f>Inputs!AQ81*Data!$F7</f>
        <v>0</v>
      </c>
      <c r="AV68" s="314">
        <f>Inputs!AR81*Data!$F7</f>
        <v>0</v>
      </c>
      <c r="AW68" s="314">
        <f>Inputs!AS81*Data!$F7</f>
        <v>0</v>
      </c>
      <c r="AX68" s="314">
        <f>Inputs!AT81*Data!$F7</f>
        <v>0</v>
      </c>
      <c r="AY68" s="314">
        <f>Inputs!AU81*Data!$F7</f>
        <v>0</v>
      </c>
      <c r="AZ68" s="314">
        <f>Inputs!AV81*Data!$F7</f>
        <v>0</v>
      </c>
      <c r="BA68" s="314">
        <f>Inputs!AW81*Data!$F7</f>
        <v>0</v>
      </c>
      <c r="BB68" s="314">
        <f>Inputs!AX81*Data!$F7</f>
        <v>0</v>
      </c>
      <c r="BC68" s="314">
        <f>Inputs!AY81*Data!$F7</f>
        <v>0</v>
      </c>
      <c r="BD68" s="314">
        <f>Inputs!AZ81*Data!$F7</f>
        <v>0</v>
      </c>
      <c r="BE68" s="314">
        <f>Inputs!BA81*Data!$F7</f>
        <v>0</v>
      </c>
    </row>
    <row r="69" spans="1:57" x14ac:dyDescent="0.35">
      <c r="A69" s="2"/>
      <c r="B69" s="2"/>
      <c r="C69" s="2"/>
      <c r="D69" s="2"/>
      <c r="E69" s="2"/>
      <c r="F69" s="306">
        <f>'Project description'!$B$5</f>
        <v>0</v>
      </c>
      <c r="G69" s="306" t="str">
        <f>Lists!$B$34</f>
        <v/>
      </c>
      <c r="H69" s="309" t="s">
        <v>160</v>
      </c>
      <c r="I69" s="309" t="str">
        <f>Inputs!D82</f>
        <v>Diesel</v>
      </c>
      <c r="J69" s="309" t="s">
        <v>141</v>
      </c>
      <c r="K69" s="310" t="str">
        <f>IF(Inputs!G82="","",Inputs!G82)</f>
        <v/>
      </c>
      <c r="L69" s="311">
        <f>Inputs!H82*Data!$F8</f>
        <v>0</v>
      </c>
      <c r="M69" s="311">
        <f>Inputs!I82*Data!$F8</f>
        <v>0</v>
      </c>
      <c r="N69" s="311">
        <f>Inputs!J82*Data!$F8</f>
        <v>0</v>
      </c>
      <c r="O69" s="311">
        <f>Inputs!K82*Data!$F8</f>
        <v>0</v>
      </c>
      <c r="P69" s="311">
        <f>Inputs!L82*Data!$F8</f>
        <v>0</v>
      </c>
      <c r="Q69" s="311">
        <f>Inputs!M82*Data!$F8</f>
        <v>0</v>
      </c>
      <c r="R69" s="311">
        <f>Inputs!N82*Data!$F8</f>
        <v>0</v>
      </c>
      <c r="S69" s="311">
        <f>Inputs!O82*Data!$F8</f>
        <v>0</v>
      </c>
      <c r="T69" s="311">
        <f>Inputs!P82*Data!$F8</f>
        <v>0</v>
      </c>
      <c r="U69" s="311">
        <f>Inputs!Q82*Data!$F8</f>
        <v>0</v>
      </c>
      <c r="V69" s="311">
        <f>Inputs!R82*Data!$F8</f>
        <v>0</v>
      </c>
      <c r="W69" s="311">
        <f>Inputs!S82*Data!$F8</f>
        <v>0</v>
      </c>
      <c r="X69" s="311">
        <f>Inputs!T82*Data!$F8</f>
        <v>0</v>
      </c>
      <c r="Y69" s="311">
        <f>Inputs!U82*Data!$F8</f>
        <v>0</v>
      </c>
      <c r="Z69" s="311">
        <f>Inputs!V82*Data!$F8</f>
        <v>0</v>
      </c>
      <c r="AA69" s="311">
        <f>Inputs!W82*Data!$F8</f>
        <v>0</v>
      </c>
      <c r="AB69" s="311">
        <f>Inputs!X82*Data!$F8</f>
        <v>0</v>
      </c>
      <c r="AC69" s="311">
        <f>Inputs!Y82*Data!$F8</f>
        <v>0</v>
      </c>
      <c r="AD69" s="311">
        <f>Inputs!Z82*Data!$F8</f>
        <v>0</v>
      </c>
      <c r="AE69" s="311">
        <f>Inputs!AA82*Data!$F8</f>
        <v>0</v>
      </c>
      <c r="AF69" s="311">
        <f>Inputs!AB82*Data!$F8</f>
        <v>0</v>
      </c>
      <c r="AG69" s="311">
        <f>Inputs!AC82*Data!$F8</f>
        <v>0</v>
      </c>
      <c r="AH69" s="311">
        <f>Inputs!AD82*Data!$F8</f>
        <v>0</v>
      </c>
      <c r="AI69" s="311">
        <f>Inputs!AE82*Data!$F8</f>
        <v>0</v>
      </c>
      <c r="AJ69" s="311">
        <f>Inputs!AF82*Data!$F8</f>
        <v>0</v>
      </c>
      <c r="AK69" s="311">
        <f>Inputs!AG82*Data!$F8</f>
        <v>0</v>
      </c>
      <c r="AL69" s="311">
        <f>Inputs!AH82*Data!$F8</f>
        <v>0</v>
      </c>
      <c r="AM69" s="311">
        <f>Inputs!AI82*Data!$F8</f>
        <v>0</v>
      </c>
      <c r="AN69" s="311">
        <f>Inputs!AJ82*Data!$F8</f>
        <v>0</v>
      </c>
      <c r="AO69" s="311">
        <f>Inputs!AK82*Data!$F8</f>
        <v>0</v>
      </c>
      <c r="AP69" s="311">
        <f>Inputs!AL82*Data!$F8</f>
        <v>0</v>
      </c>
      <c r="AQ69" s="311">
        <f>Inputs!AM82*Data!$F8</f>
        <v>0</v>
      </c>
      <c r="AR69" s="311">
        <f>Inputs!AN82*Data!$F8</f>
        <v>0</v>
      </c>
      <c r="AS69" s="311">
        <f>Inputs!AO82*Data!$F8</f>
        <v>0</v>
      </c>
      <c r="AT69" s="311">
        <f>Inputs!AP82*Data!$F8</f>
        <v>0</v>
      </c>
      <c r="AU69" s="311">
        <f>Inputs!AQ82*Data!$F8</f>
        <v>0</v>
      </c>
      <c r="AV69" s="311">
        <f>Inputs!AR82*Data!$F8</f>
        <v>0</v>
      </c>
      <c r="AW69" s="311">
        <f>Inputs!AS82*Data!$F8</f>
        <v>0</v>
      </c>
      <c r="AX69" s="311">
        <f>Inputs!AT82*Data!$F8</f>
        <v>0</v>
      </c>
      <c r="AY69" s="311">
        <f>Inputs!AU82*Data!$F8</f>
        <v>0</v>
      </c>
      <c r="AZ69" s="311">
        <f>Inputs!AV82*Data!$F8</f>
        <v>0</v>
      </c>
      <c r="BA69" s="311">
        <f>Inputs!AW82*Data!$F8</f>
        <v>0</v>
      </c>
      <c r="BB69" s="311">
        <f>Inputs!AX82*Data!$F8</f>
        <v>0</v>
      </c>
      <c r="BC69" s="311">
        <f>Inputs!AY82*Data!$F8</f>
        <v>0</v>
      </c>
      <c r="BD69" s="311">
        <f>Inputs!AZ82*Data!$F8</f>
        <v>0</v>
      </c>
      <c r="BE69" s="311">
        <f>Inputs!BA82*Data!$F8</f>
        <v>0</v>
      </c>
    </row>
    <row r="70" spans="1:57" x14ac:dyDescent="0.35">
      <c r="A70" s="2"/>
      <c r="B70" s="2"/>
      <c r="C70" s="2"/>
      <c r="D70" s="2"/>
      <c r="E70" s="2"/>
      <c r="F70" s="305">
        <f>'Project description'!$B$5</f>
        <v>0</v>
      </c>
      <c r="G70" s="305" t="str">
        <f>Lists!$B$34</f>
        <v/>
      </c>
      <c r="H70" s="312" t="s">
        <v>160</v>
      </c>
      <c r="I70" s="312" t="str">
        <f>Inputs!D83</f>
        <v>LPG</v>
      </c>
      <c r="J70" s="312" t="s">
        <v>141</v>
      </c>
      <c r="K70" s="313" t="str">
        <f>IF(Inputs!G83="","",Inputs!G83)</f>
        <v/>
      </c>
      <c r="L70" s="314">
        <f>Inputs!H83*Data!$F9</f>
        <v>0</v>
      </c>
      <c r="M70" s="314">
        <f>Inputs!I83*Data!$F9</f>
        <v>0</v>
      </c>
      <c r="N70" s="314">
        <f>Inputs!J83*Data!$F9</f>
        <v>0</v>
      </c>
      <c r="O70" s="314">
        <f>Inputs!K83*Data!$F9</f>
        <v>0</v>
      </c>
      <c r="P70" s="314">
        <f>Inputs!L83*Data!$F9</f>
        <v>0</v>
      </c>
      <c r="Q70" s="314">
        <f>Inputs!M83*Data!$F9</f>
        <v>0</v>
      </c>
      <c r="R70" s="314">
        <f>Inputs!N83*Data!$F9</f>
        <v>0</v>
      </c>
      <c r="S70" s="314">
        <f>Inputs!O83*Data!$F9</f>
        <v>0</v>
      </c>
      <c r="T70" s="314">
        <f>Inputs!P83*Data!$F9</f>
        <v>0</v>
      </c>
      <c r="U70" s="314">
        <f>Inputs!Q83*Data!$F9</f>
        <v>0</v>
      </c>
      <c r="V70" s="314">
        <f>Inputs!R83*Data!$F9</f>
        <v>0</v>
      </c>
      <c r="W70" s="314">
        <f>Inputs!S83*Data!$F9</f>
        <v>0</v>
      </c>
      <c r="X70" s="314">
        <f>Inputs!T83*Data!$F9</f>
        <v>0</v>
      </c>
      <c r="Y70" s="314">
        <f>Inputs!U83*Data!$F9</f>
        <v>0</v>
      </c>
      <c r="Z70" s="314">
        <f>Inputs!V83*Data!$F9</f>
        <v>0</v>
      </c>
      <c r="AA70" s="314">
        <f>Inputs!W83*Data!$F9</f>
        <v>0</v>
      </c>
      <c r="AB70" s="314">
        <f>Inputs!X83*Data!$F9</f>
        <v>0</v>
      </c>
      <c r="AC70" s="314">
        <f>Inputs!Y83*Data!$F9</f>
        <v>0</v>
      </c>
      <c r="AD70" s="314">
        <f>Inputs!Z83*Data!$F9</f>
        <v>0</v>
      </c>
      <c r="AE70" s="314">
        <f>Inputs!AA83*Data!$F9</f>
        <v>0</v>
      </c>
      <c r="AF70" s="314">
        <f>Inputs!AB83*Data!$F9</f>
        <v>0</v>
      </c>
      <c r="AG70" s="314">
        <f>Inputs!AC83*Data!$F9</f>
        <v>0</v>
      </c>
      <c r="AH70" s="314">
        <f>Inputs!AD83*Data!$F9</f>
        <v>0</v>
      </c>
      <c r="AI70" s="314">
        <f>Inputs!AE83*Data!$F9</f>
        <v>0</v>
      </c>
      <c r="AJ70" s="314">
        <f>Inputs!AF83*Data!$F9</f>
        <v>0</v>
      </c>
      <c r="AK70" s="314">
        <f>Inputs!AG83*Data!$F9</f>
        <v>0</v>
      </c>
      <c r="AL70" s="314">
        <f>Inputs!AH83*Data!$F9</f>
        <v>0</v>
      </c>
      <c r="AM70" s="314">
        <f>Inputs!AI83*Data!$F9</f>
        <v>0</v>
      </c>
      <c r="AN70" s="314">
        <f>Inputs!AJ83*Data!$F9</f>
        <v>0</v>
      </c>
      <c r="AO70" s="314">
        <f>Inputs!AK83*Data!$F9</f>
        <v>0</v>
      </c>
      <c r="AP70" s="314">
        <f>Inputs!AL83*Data!$F9</f>
        <v>0</v>
      </c>
      <c r="AQ70" s="314">
        <f>Inputs!AM83*Data!$F9</f>
        <v>0</v>
      </c>
      <c r="AR70" s="314">
        <f>Inputs!AN83*Data!$F9</f>
        <v>0</v>
      </c>
      <c r="AS70" s="314">
        <f>Inputs!AO83*Data!$F9</f>
        <v>0</v>
      </c>
      <c r="AT70" s="314">
        <f>Inputs!AP83*Data!$F9</f>
        <v>0</v>
      </c>
      <c r="AU70" s="314">
        <f>Inputs!AQ83*Data!$F9</f>
        <v>0</v>
      </c>
      <c r="AV70" s="314">
        <f>Inputs!AR83*Data!$F9</f>
        <v>0</v>
      </c>
      <c r="AW70" s="314">
        <f>Inputs!AS83*Data!$F9</f>
        <v>0</v>
      </c>
      <c r="AX70" s="314">
        <f>Inputs!AT83*Data!$F9</f>
        <v>0</v>
      </c>
      <c r="AY70" s="314">
        <f>Inputs!AU83*Data!$F9</f>
        <v>0</v>
      </c>
      <c r="AZ70" s="314">
        <f>Inputs!AV83*Data!$F9</f>
        <v>0</v>
      </c>
      <c r="BA70" s="314">
        <f>Inputs!AW83*Data!$F9</f>
        <v>0</v>
      </c>
      <c r="BB70" s="314">
        <f>Inputs!AX83*Data!$F9</f>
        <v>0</v>
      </c>
      <c r="BC70" s="314">
        <f>Inputs!AY83*Data!$F9</f>
        <v>0</v>
      </c>
      <c r="BD70" s="314">
        <f>Inputs!AZ83*Data!$F9</f>
        <v>0</v>
      </c>
      <c r="BE70" s="314">
        <f>Inputs!BA83*Data!$F9</f>
        <v>0</v>
      </c>
    </row>
    <row r="71" spans="1:57" x14ac:dyDescent="0.35">
      <c r="A71" s="2"/>
      <c r="B71" s="2"/>
      <c r="C71" s="2"/>
      <c r="D71" s="2"/>
      <c r="E71" s="2"/>
      <c r="F71" s="306">
        <f>'Project description'!$B$5</f>
        <v>0</v>
      </c>
      <c r="G71" s="306" t="str">
        <f>Lists!$B$34</f>
        <v/>
      </c>
      <c r="H71" s="309" t="s">
        <v>160</v>
      </c>
      <c r="I71" s="309" t="str">
        <f>Inputs!D84</f>
        <v>Light fuel oil</v>
      </c>
      <c r="J71" s="309" t="s">
        <v>141</v>
      </c>
      <c r="K71" s="315" t="str">
        <f>IF(Inputs!G84="","",Inputs!G84)</f>
        <v/>
      </c>
      <c r="L71" s="311">
        <f>Inputs!H84*Data!$F10</f>
        <v>0</v>
      </c>
      <c r="M71" s="311">
        <f>Inputs!I84*Data!$F10</f>
        <v>0</v>
      </c>
      <c r="N71" s="311">
        <f>Inputs!J84*Data!$F10</f>
        <v>0</v>
      </c>
      <c r="O71" s="311">
        <f>Inputs!K84*Data!$F10</f>
        <v>0</v>
      </c>
      <c r="P71" s="311">
        <f>Inputs!L84*Data!$F10</f>
        <v>0</v>
      </c>
      <c r="Q71" s="311">
        <f>Inputs!M84*Data!$F10</f>
        <v>0</v>
      </c>
      <c r="R71" s="311">
        <f>Inputs!N84*Data!$F10</f>
        <v>0</v>
      </c>
      <c r="S71" s="311">
        <f>Inputs!O84*Data!$F10</f>
        <v>0</v>
      </c>
      <c r="T71" s="311">
        <f>Inputs!P84*Data!$F10</f>
        <v>0</v>
      </c>
      <c r="U71" s="311">
        <f>Inputs!Q84*Data!$F10</f>
        <v>0</v>
      </c>
      <c r="V71" s="311">
        <f>Inputs!R84*Data!$F10</f>
        <v>0</v>
      </c>
      <c r="W71" s="311">
        <f>Inputs!S84*Data!$F10</f>
        <v>0</v>
      </c>
      <c r="X71" s="311">
        <f>Inputs!T84*Data!$F10</f>
        <v>0</v>
      </c>
      <c r="Y71" s="311">
        <f>Inputs!U84*Data!$F10</f>
        <v>0</v>
      </c>
      <c r="Z71" s="311">
        <f>Inputs!V84*Data!$F10</f>
        <v>0</v>
      </c>
      <c r="AA71" s="311">
        <f>Inputs!W84*Data!$F10</f>
        <v>0</v>
      </c>
      <c r="AB71" s="311">
        <f>Inputs!X84*Data!$F10</f>
        <v>0</v>
      </c>
      <c r="AC71" s="311">
        <f>Inputs!Y84*Data!$F10</f>
        <v>0</v>
      </c>
      <c r="AD71" s="311">
        <f>Inputs!Z84*Data!$F10</f>
        <v>0</v>
      </c>
      <c r="AE71" s="311">
        <f>Inputs!AA84*Data!$F10</f>
        <v>0</v>
      </c>
      <c r="AF71" s="311">
        <f>Inputs!AB84*Data!$F10</f>
        <v>0</v>
      </c>
      <c r="AG71" s="311">
        <f>Inputs!AC84*Data!$F10</f>
        <v>0</v>
      </c>
      <c r="AH71" s="311">
        <f>Inputs!AD84*Data!$F10</f>
        <v>0</v>
      </c>
      <c r="AI71" s="311">
        <f>Inputs!AE84*Data!$F10</f>
        <v>0</v>
      </c>
      <c r="AJ71" s="311">
        <f>Inputs!AF84*Data!$F10</f>
        <v>0</v>
      </c>
      <c r="AK71" s="311">
        <f>Inputs!AG84*Data!$F10</f>
        <v>0</v>
      </c>
      <c r="AL71" s="311">
        <f>Inputs!AH84*Data!$F10</f>
        <v>0</v>
      </c>
      <c r="AM71" s="311">
        <f>Inputs!AI84*Data!$F10</f>
        <v>0</v>
      </c>
      <c r="AN71" s="311">
        <f>Inputs!AJ84*Data!$F10</f>
        <v>0</v>
      </c>
      <c r="AO71" s="311">
        <f>Inputs!AK84*Data!$F10</f>
        <v>0</v>
      </c>
      <c r="AP71" s="311">
        <f>Inputs!AL84*Data!$F10</f>
        <v>0</v>
      </c>
      <c r="AQ71" s="311">
        <f>Inputs!AM84*Data!$F10</f>
        <v>0</v>
      </c>
      <c r="AR71" s="311">
        <f>Inputs!AN84*Data!$F10</f>
        <v>0</v>
      </c>
      <c r="AS71" s="311">
        <f>Inputs!AO84*Data!$F10</f>
        <v>0</v>
      </c>
      <c r="AT71" s="311">
        <f>Inputs!AP84*Data!$F10</f>
        <v>0</v>
      </c>
      <c r="AU71" s="311">
        <f>Inputs!AQ84*Data!$F10</f>
        <v>0</v>
      </c>
      <c r="AV71" s="311">
        <f>Inputs!AR84*Data!$F10</f>
        <v>0</v>
      </c>
      <c r="AW71" s="311">
        <f>Inputs!AS84*Data!$F10</f>
        <v>0</v>
      </c>
      <c r="AX71" s="311">
        <f>Inputs!AT84*Data!$F10</f>
        <v>0</v>
      </c>
      <c r="AY71" s="311">
        <f>Inputs!AU84*Data!$F10</f>
        <v>0</v>
      </c>
      <c r="AZ71" s="311">
        <f>Inputs!AV84*Data!$F10</f>
        <v>0</v>
      </c>
      <c r="BA71" s="311">
        <f>Inputs!AW84*Data!$F10</f>
        <v>0</v>
      </c>
      <c r="BB71" s="311">
        <f>Inputs!AX84*Data!$F10</f>
        <v>0</v>
      </c>
      <c r="BC71" s="311">
        <f>Inputs!AY84*Data!$F10</f>
        <v>0</v>
      </c>
      <c r="BD71" s="311">
        <f>Inputs!AZ84*Data!$F10</f>
        <v>0</v>
      </c>
      <c r="BE71" s="311">
        <f>Inputs!BA84*Data!$F10</f>
        <v>0</v>
      </c>
    </row>
    <row r="72" spans="1:57" x14ac:dyDescent="0.35">
      <c r="A72" s="2"/>
      <c r="B72" s="2"/>
      <c r="C72" s="2"/>
      <c r="D72" s="2"/>
      <c r="E72" s="2"/>
      <c r="F72" s="305">
        <f>'Project description'!$B$5</f>
        <v>0</v>
      </c>
      <c r="G72" s="305" t="str">
        <f>Lists!$B$34</f>
        <v/>
      </c>
      <c r="H72" s="312" t="s">
        <v>160</v>
      </c>
      <c r="I72" s="312" t="str">
        <f>Inputs!D85</f>
        <v>Heavy fuel oil</v>
      </c>
      <c r="J72" s="312" t="s">
        <v>141</v>
      </c>
      <c r="K72" s="316" t="str">
        <f>IF(Inputs!G85="","",Inputs!G85)</f>
        <v/>
      </c>
      <c r="L72" s="314">
        <f>Inputs!H85*Data!$F11</f>
        <v>0</v>
      </c>
      <c r="M72" s="314">
        <f>Inputs!I85*Data!$F11</f>
        <v>0</v>
      </c>
      <c r="N72" s="314">
        <f>Inputs!J85*Data!$F11</f>
        <v>0</v>
      </c>
      <c r="O72" s="314">
        <f>Inputs!K85*Data!$F11</f>
        <v>0</v>
      </c>
      <c r="P72" s="314">
        <f>Inputs!L85*Data!$F11</f>
        <v>0</v>
      </c>
      <c r="Q72" s="314">
        <f>Inputs!M85*Data!$F11</f>
        <v>0</v>
      </c>
      <c r="R72" s="314">
        <f>Inputs!N85*Data!$F11</f>
        <v>0</v>
      </c>
      <c r="S72" s="314">
        <f>Inputs!O85*Data!$F11</f>
        <v>0</v>
      </c>
      <c r="T72" s="314">
        <f>Inputs!P85*Data!$F11</f>
        <v>0</v>
      </c>
      <c r="U72" s="314">
        <f>Inputs!Q85*Data!$F11</f>
        <v>0</v>
      </c>
      <c r="V72" s="314">
        <f>Inputs!R85*Data!$F11</f>
        <v>0</v>
      </c>
      <c r="W72" s="314">
        <f>Inputs!S85*Data!$F11</f>
        <v>0</v>
      </c>
      <c r="X72" s="314">
        <f>Inputs!T85*Data!$F11</f>
        <v>0</v>
      </c>
      <c r="Y72" s="314">
        <f>Inputs!U85*Data!$F11</f>
        <v>0</v>
      </c>
      <c r="Z72" s="314">
        <f>Inputs!V85*Data!$F11</f>
        <v>0</v>
      </c>
      <c r="AA72" s="314">
        <f>Inputs!W85*Data!$F11</f>
        <v>0</v>
      </c>
      <c r="AB72" s="314">
        <f>Inputs!X85*Data!$F11</f>
        <v>0</v>
      </c>
      <c r="AC72" s="314">
        <f>Inputs!Y85*Data!$F11</f>
        <v>0</v>
      </c>
      <c r="AD72" s="314">
        <f>Inputs!Z85*Data!$F11</f>
        <v>0</v>
      </c>
      <c r="AE72" s="314">
        <f>Inputs!AA85*Data!$F11</f>
        <v>0</v>
      </c>
      <c r="AF72" s="314">
        <f>Inputs!AB85*Data!$F11</f>
        <v>0</v>
      </c>
      <c r="AG72" s="314">
        <f>Inputs!AC85*Data!$F11</f>
        <v>0</v>
      </c>
      <c r="AH72" s="314">
        <f>Inputs!AD85*Data!$F11</f>
        <v>0</v>
      </c>
      <c r="AI72" s="314">
        <f>Inputs!AE85*Data!$F11</f>
        <v>0</v>
      </c>
      <c r="AJ72" s="314">
        <f>Inputs!AF85*Data!$F11</f>
        <v>0</v>
      </c>
      <c r="AK72" s="314">
        <f>Inputs!AG85*Data!$F11</f>
        <v>0</v>
      </c>
      <c r="AL72" s="314">
        <f>Inputs!AH85*Data!$F11</f>
        <v>0</v>
      </c>
      <c r="AM72" s="314">
        <f>Inputs!AI85*Data!$F11</f>
        <v>0</v>
      </c>
      <c r="AN72" s="314">
        <f>Inputs!AJ85*Data!$F11</f>
        <v>0</v>
      </c>
      <c r="AO72" s="314">
        <f>Inputs!AK85*Data!$F11</f>
        <v>0</v>
      </c>
      <c r="AP72" s="314">
        <f>Inputs!AL85*Data!$F11</f>
        <v>0</v>
      </c>
      <c r="AQ72" s="314">
        <f>Inputs!AM85*Data!$F11</f>
        <v>0</v>
      </c>
      <c r="AR72" s="314">
        <f>Inputs!AN85*Data!$F11</f>
        <v>0</v>
      </c>
      <c r="AS72" s="314">
        <f>Inputs!AO85*Data!$F11</f>
        <v>0</v>
      </c>
      <c r="AT72" s="314">
        <f>Inputs!AP85*Data!$F11</f>
        <v>0</v>
      </c>
      <c r="AU72" s="314">
        <f>Inputs!AQ85*Data!$F11</f>
        <v>0</v>
      </c>
      <c r="AV72" s="314">
        <f>Inputs!AR85*Data!$F11</f>
        <v>0</v>
      </c>
      <c r="AW72" s="314">
        <f>Inputs!AS85*Data!$F11</f>
        <v>0</v>
      </c>
      <c r="AX72" s="314">
        <f>Inputs!AT85*Data!$F11</f>
        <v>0</v>
      </c>
      <c r="AY72" s="314">
        <f>Inputs!AU85*Data!$F11</f>
        <v>0</v>
      </c>
      <c r="AZ72" s="314">
        <f>Inputs!AV85*Data!$F11</f>
        <v>0</v>
      </c>
      <c r="BA72" s="314">
        <f>Inputs!AW85*Data!$F11</f>
        <v>0</v>
      </c>
      <c r="BB72" s="314">
        <f>Inputs!AX85*Data!$F11</f>
        <v>0</v>
      </c>
      <c r="BC72" s="314">
        <f>Inputs!AY85*Data!$F11</f>
        <v>0</v>
      </c>
      <c r="BD72" s="314">
        <f>Inputs!AZ85*Data!$F11</f>
        <v>0</v>
      </c>
      <c r="BE72" s="314">
        <f>Inputs!BA85*Data!$F11</f>
        <v>0</v>
      </c>
    </row>
    <row r="73" spans="1:57" x14ac:dyDescent="0.35">
      <c r="A73" s="2"/>
      <c r="B73" s="2"/>
      <c r="C73" s="2"/>
      <c r="D73" s="2"/>
      <c r="E73" s="2"/>
      <c r="F73" s="306">
        <f>'Project description'!$B$5</f>
        <v>0</v>
      </c>
      <c r="G73" s="306" t="str">
        <f>Lists!$B$34</f>
        <v/>
      </c>
      <c r="H73" s="309" t="s">
        <v>160</v>
      </c>
      <c r="I73" s="309" t="str">
        <f>Inputs!D86</f>
        <v>Geothermal</v>
      </c>
      <c r="J73" s="309" t="s">
        <v>141</v>
      </c>
      <c r="K73" s="315" t="str">
        <f>IF(Inputs!G86="","",Inputs!G86)</f>
        <v/>
      </c>
      <c r="L73" s="311">
        <f>Inputs!H86*Data!$F12</f>
        <v>0</v>
      </c>
      <c r="M73" s="311">
        <f>Inputs!I86*Data!$F12</f>
        <v>0</v>
      </c>
      <c r="N73" s="311">
        <f>Inputs!J86*Data!$F12</f>
        <v>0</v>
      </c>
      <c r="O73" s="311">
        <f>Inputs!K86*Data!$F12</f>
        <v>0</v>
      </c>
      <c r="P73" s="311">
        <f>Inputs!L86*Data!$F12</f>
        <v>0</v>
      </c>
      <c r="Q73" s="311">
        <f>Inputs!M86*Data!$F12</f>
        <v>0</v>
      </c>
      <c r="R73" s="311">
        <f>Inputs!N86*Data!$F12</f>
        <v>0</v>
      </c>
      <c r="S73" s="311">
        <f>Inputs!O86*Data!$F12</f>
        <v>0</v>
      </c>
      <c r="T73" s="311">
        <f>Inputs!P86*Data!$F12</f>
        <v>0</v>
      </c>
      <c r="U73" s="311">
        <f>Inputs!Q86*Data!$F12</f>
        <v>0</v>
      </c>
      <c r="V73" s="311">
        <f>Inputs!R86*Data!$F12</f>
        <v>0</v>
      </c>
      <c r="W73" s="311">
        <f>Inputs!S86*Data!$F12</f>
        <v>0</v>
      </c>
      <c r="X73" s="311">
        <f>Inputs!T86*Data!$F12</f>
        <v>0</v>
      </c>
      <c r="Y73" s="311">
        <f>Inputs!U86*Data!$F12</f>
        <v>0</v>
      </c>
      <c r="Z73" s="311">
        <f>Inputs!V86*Data!$F12</f>
        <v>0</v>
      </c>
      <c r="AA73" s="311">
        <f>Inputs!W86*Data!$F12</f>
        <v>0</v>
      </c>
      <c r="AB73" s="311">
        <f>Inputs!X86*Data!$F12</f>
        <v>0</v>
      </c>
      <c r="AC73" s="311">
        <f>Inputs!Y86*Data!$F12</f>
        <v>0</v>
      </c>
      <c r="AD73" s="311">
        <f>Inputs!Z86*Data!$F12</f>
        <v>0</v>
      </c>
      <c r="AE73" s="311">
        <f>Inputs!AA86*Data!$F12</f>
        <v>0</v>
      </c>
      <c r="AF73" s="311">
        <f>Inputs!AB86*Data!$F12</f>
        <v>0</v>
      </c>
      <c r="AG73" s="311">
        <f>Inputs!AC86*Data!$F12</f>
        <v>0</v>
      </c>
      <c r="AH73" s="311">
        <f>Inputs!AD86*Data!$F12</f>
        <v>0</v>
      </c>
      <c r="AI73" s="311">
        <f>Inputs!AE86*Data!$F12</f>
        <v>0</v>
      </c>
      <c r="AJ73" s="311">
        <f>Inputs!AF86*Data!$F12</f>
        <v>0</v>
      </c>
      <c r="AK73" s="311">
        <f>Inputs!AG86*Data!$F12</f>
        <v>0</v>
      </c>
      <c r="AL73" s="311">
        <f>Inputs!AH86*Data!$F12</f>
        <v>0</v>
      </c>
      <c r="AM73" s="311">
        <f>Inputs!AI86*Data!$F12</f>
        <v>0</v>
      </c>
      <c r="AN73" s="311">
        <f>Inputs!AJ86*Data!$F12</f>
        <v>0</v>
      </c>
      <c r="AO73" s="311">
        <f>Inputs!AK86*Data!$F12</f>
        <v>0</v>
      </c>
      <c r="AP73" s="311">
        <f>Inputs!AL86*Data!$F12</f>
        <v>0</v>
      </c>
      <c r="AQ73" s="311">
        <f>Inputs!AM86*Data!$F12</f>
        <v>0</v>
      </c>
      <c r="AR73" s="311">
        <f>Inputs!AN86*Data!$F12</f>
        <v>0</v>
      </c>
      <c r="AS73" s="311">
        <f>Inputs!AO86*Data!$F12</f>
        <v>0</v>
      </c>
      <c r="AT73" s="311">
        <f>Inputs!AP86*Data!$F12</f>
        <v>0</v>
      </c>
      <c r="AU73" s="311">
        <f>Inputs!AQ86*Data!$F12</f>
        <v>0</v>
      </c>
      <c r="AV73" s="311">
        <f>Inputs!AR86*Data!$F12</f>
        <v>0</v>
      </c>
      <c r="AW73" s="311">
        <f>Inputs!AS86*Data!$F12</f>
        <v>0</v>
      </c>
      <c r="AX73" s="311">
        <f>Inputs!AT86*Data!$F12</f>
        <v>0</v>
      </c>
      <c r="AY73" s="311">
        <f>Inputs!AU86*Data!$F12</f>
        <v>0</v>
      </c>
      <c r="AZ73" s="311">
        <f>Inputs!AV86*Data!$F12</f>
        <v>0</v>
      </c>
      <c r="BA73" s="311">
        <f>Inputs!AW86*Data!$F12</f>
        <v>0</v>
      </c>
      <c r="BB73" s="311">
        <f>Inputs!AX86*Data!$F12</f>
        <v>0</v>
      </c>
      <c r="BC73" s="311">
        <f>Inputs!AY86*Data!$F12</f>
        <v>0</v>
      </c>
      <c r="BD73" s="311">
        <f>Inputs!AZ86*Data!$F12</f>
        <v>0</v>
      </c>
      <c r="BE73" s="311">
        <f>Inputs!BA86*Data!$F12</f>
        <v>0</v>
      </c>
    </row>
    <row r="74" spans="1:57" x14ac:dyDescent="0.35">
      <c r="A74" s="2"/>
      <c r="B74" s="2"/>
      <c r="C74" s="2"/>
      <c r="D74" s="2"/>
      <c r="E74" s="2"/>
      <c r="F74" s="312">
        <f>'Project description'!$B$5</f>
        <v>0</v>
      </c>
      <c r="G74" s="312" t="str">
        <f>Lists!$B$34</f>
        <v/>
      </c>
      <c r="H74" s="312" t="s">
        <v>160</v>
      </c>
      <c r="I74" s="312" t="str">
        <f>Inputs!D87</f>
        <v>Wood or wood chips</v>
      </c>
      <c r="J74" s="312" t="s">
        <v>141</v>
      </c>
      <c r="K74" s="316" t="str">
        <f>IF(Inputs!G87="","",Inputs!G87)</f>
        <v/>
      </c>
      <c r="L74" s="314">
        <f>Inputs!H87*Data!$F13</f>
        <v>0</v>
      </c>
      <c r="M74" s="314">
        <f>Inputs!I87*Data!$F13</f>
        <v>0</v>
      </c>
      <c r="N74" s="314">
        <f>Inputs!J87*Data!$F13</f>
        <v>0</v>
      </c>
      <c r="O74" s="314">
        <f>Inputs!K87*Data!$F13</f>
        <v>0</v>
      </c>
      <c r="P74" s="314">
        <f>Inputs!L87*Data!$F13</f>
        <v>0</v>
      </c>
      <c r="Q74" s="314">
        <f>Inputs!M87*Data!$F13</f>
        <v>0</v>
      </c>
      <c r="R74" s="314">
        <f>Inputs!N87*Data!$F13</f>
        <v>0</v>
      </c>
      <c r="S74" s="314">
        <f>Inputs!O87*Data!$F13</f>
        <v>0</v>
      </c>
      <c r="T74" s="314">
        <f>Inputs!P87*Data!$F13</f>
        <v>0</v>
      </c>
      <c r="U74" s="314">
        <f>Inputs!Q87*Data!$F13</f>
        <v>0</v>
      </c>
      <c r="V74" s="314">
        <f>Inputs!R87*Data!$F13</f>
        <v>0</v>
      </c>
      <c r="W74" s="314">
        <f>Inputs!S87*Data!$F13</f>
        <v>0</v>
      </c>
      <c r="X74" s="314">
        <f>Inputs!T87*Data!$F13</f>
        <v>0</v>
      </c>
      <c r="Y74" s="314">
        <f>Inputs!U87*Data!$F13</f>
        <v>0</v>
      </c>
      <c r="Z74" s="314">
        <f>Inputs!V87*Data!$F13</f>
        <v>0</v>
      </c>
      <c r="AA74" s="314">
        <f>Inputs!W87*Data!$F13</f>
        <v>0</v>
      </c>
      <c r="AB74" s="314">
        <f>Inputs!X87*Data!$F13</f>
        <v>0</v>
      </c>
      <c r="AC74" s="314">
        <f>Inputs!Y87*Data!$F13</f>
        <v>0</v>
      </c>
      <c r="AD74" s="314">
        <f>Inputs!Z87*Data!$F13</f>
        <v>0</v>
      </c>
      <c r="AE74" s="314">
        <f>Inputs!AA87*Data!$F13</f>
        <v>0</v>
      </c>
      <c r="AF74" s="314">
        <f>Inputs!AB87*Data!$F13</f>
        <v>0</v>
      </c>
      <c r="AG74" s="314">
        <f>Inputs!AC87*Data!$F13</f>
        <v>0</v>
      </c>
      <c r="AH74" s="314">
        <f>Inputs!AD87*Data!$F13</f>
        <v>0</v>
      </c>
      <c r="AI74" s="314">
        <f>Inputs!AE87*Data!$F13</f>
        <v>0</v>
      </c>
      <c r="AJ74" s="314">
        <f>Inputs!AF87*Data!$F13</f>
        <v>0</v>
      </c>
      <c r="AK74" s="314">
        <f>Inputs!AG87*Data!$F13</f>
        <v>0</v>
      </c>
      <c r="AL74" s="314">
        <f>Inputs!AH87*Data!$F13</f>
        <v>0</v>
      </c>
      <c r="AM74" s="314">
        <f>Inputs!AI87*Data!$F13</f>
        <v>0</v>
      </c>
      <c r="AN74" s="314">
        <f>Inputs!AJ87*Data!$F13</f>
        <v>0</v>
      </c>
      <c r="AO74" s="314">
        <f>Inputs!AK87*Data!$F13</f>
        <v>0</v>
      </c>
      <c r="AP74" s="314">
        <f>Inputs!AL87*Data!$F13</f>
        <v>0</v>
      </c>
      <c r="AQ74" s="314">
        <f>Inputs!AM87*Data!$F13</f>
        <v>0</v>
      </c>
      <c r="AR74" s="314">
        <f>Inputs!AN87*Data!$F13</f>
        <v>0</v>
      </c>
      <c r="AS74" s="314">
        <f>Inputs!AO87*Data!$F13</f>
        <v>0</v>
      </c>
      <c r="AT74" s="314">
        <f>Inputs!AP87*Data!$F13</f>
        <v>0</v>
      </c>
      <c r="AU74" s="314">
        <f>Inputs!AQ87*Data!$F13</f>
        <v>0</v>
      </c>
      <c r="AV74" s="314">
        <f>Inputs!AR87*Data!$F13</f>
        <v>0</v>
      </c>
      <c r="AW74" s="314">
        <f>Inputs!AS87*Data!$F13</f>
        <v>0</v>
      </c>
      <c r="AX74" s="314">
        <f>Inputs!AT87*Data!$F13</f>
        <v>0</v>
      </c>
      <c r="AY74" s="314">
        <f>Inputs!AU87*Data!$F13</f>
        <v>0</v>
      </c>
      <c r="AZ74" s="314">
        <f>Inputs!AV87*Data!$F13</f>
        <v>0</v>
      </c>
      <c r="BA74" s="314">
        <f>Inputs!AW87*Data!$F13</f>
        <v>0</v>
      </c>
      <c r="BB74" s="314">
        <f>Inputs!AX87*Data!$F13</f>
        <v>0</v>
      </c>
      <c r="BC74" s="314">
        <f>Inputs!AY87*Data!$F13</f>
        <v>0</v>
      </c>
      <c r="BD74" s="314">
        <f>Inputs!AZ87*Data!$F13</f>
        <v>0</v>
      </c>
      <c r="BE74" s="314">
        <f>Inputs!BA87*Data!$F13</f>
        <v>0</v>
      </c>
    </row>
    <row r="75" spans="1:57"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row>
    <row r="76" spans="1:57" x14ac:dyDescent="0.35">
      <c r="A76" s="1" t="s">
        <v>107</v>
      </c>
      <c r="B76" s="1"/>
      <c r="C76" s="1"/>
      <c r="D76" s="1"/>
      <c r="E76" s="1"/>
      <c r="F76" s="4"/>
      <c r="G76" s="4"/>
      <c r="H76" s="2"/>
      <c r="I76" s="2"/>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2"/>
      <c r="BE76" s="2"/>
    </row>
    <row r="77" spans="1:57" x14ac:dyDescent="0.35">
      <c r="A77" s="28" t="s">
        <v>37</v>
      </c>
      <c r="B77" s="28"/>
      <c r="C77" s="28" t="s">
        <v>329</v>
      </c>
      <c r="D77" s="93" t="s">
        <v>330</v>
      </c>
      <c r="E77" s="234" t="s">
        <v>328</v>
      </c>
      <c r="F77" s="234" t="s">
        <v>60</v>
      </c>
      <c r="G77" s="234" t="s">
        <v>61</v>
      </c>
      <c r="H77" s="234" t="s">
        <v>108</v>
      </c>
      <c r="I77" s="234" t="s">
        <v>35</v>
      </c>
      <c r="J77" s="234" t="s">
        <v>283</v>
      </c>
      <c r="K77" s="234" t="s">
        <v>39</v>
      </c>
      <c r="L77" s="127" t="s">
        <v>303</v>
      </c>
      <c r="M77" s="127" t="s">
        <v>62</v>
      </c>
      <c r="N77" s="127" t="s">
        <v>63</v>
      </c>
      <c r="O77" s="127" t="s">
        <v>64</v>
      </c>
      <c r="P77" s="127" t="s">
        <v>65</v>
      </c>
      <c r="Q77" s="127" t="s">
        <v>66</v>
      </c>
      <c r="R77" s="127" t="s">
        <v>67</v>
      </c>
      <c r="S77" s="127" t="s">
        <v>68</v>
      </c>
      <c r="T77" s="127" t="s">
        <v>69</v>
      </c>
      <c r="U77" s="127" t="s">
        <v>70</v>
      </c>
      <c r="V77" s="127" t="s">
        <v>71</v>
      </c>
      <c r="W77" s="127" t="s">
        <v>72</v>
      </c>
      <c r="X77" s="127" t="s">
        <v>73</v>
      </c>
      <c r="Y77" s="127" t="s">
        <v>74</v>
      </c>
      <c r="Z77" s="127" t="s">
        <v>75</v>
      </c>
      <c r="AA77" s="127" t="s">
        <v>76</v>
      </c>
      <c r="AB77" s="127" t="s">
        <v>77</v>
      </c>
      <c r="AC77" s="127" t="s">
        <v>78</v>
      </c>
      <c r="AD77" s="127" t="s">
        <v>79</v>
      </c>
      <c r="AE77" s="127" t="s">
        <v>80</v>
      </c>
      <c r="AF77" s="127" t="s">
        <v>81</v>
      </c>
      <c r="AG77" s="127" t="s">
        <v>82</v>
      </c>
      <c r="AH77" s="127" t="s">
        <v>83</v>
      </c>
      <c r="AI77" s="127" t="s">
        <v>84</v>
      </c>
      <c r="AJ77" s="127" t="s">
        <v>85</v>
      </c>
      <c r="AK77" s="127" t="s">
        <v>86</v>
      </c>
      <c r="AL77" s="127" t="s">
        <v>87</v>
      </c>
      <c r="AM77" s="127" t="s">
        <v>88</v>
      </c>
      <c r="AN77" s="127" t="s">
        <v>89</v>
      </c>
      <c r="AO77" s="127" t="s">
        <v>90</v>
      </c>
      <c r="AP77" s="127" t="s">
        <v>91</v>
      </c>
      <c r="AQ77" s="127" t="s">
        <v>92</v>
      </c>
      <c r="AR77" s="127" t="s">
        <v>93</v>
      </c>
      <c r="AS77" s="127" t="s">
        <v>94</v>
      </c>
      <c r="AT77" s="127" t="s">
        <v>95</v>
      </c>
      <c r="AU77" s="127" t="s">
        <v>96</v>
      </c>
      <c r="AV77" s="127" t="s">
        <v>97</v>
      </c>
      <c r="AW77" s="127" t="s">
        <v>98</v>
      </c>
      <c r="AX77" s="127" t="s">
        <v>99</v>
      </c>
      <c r="AY77" s="127" t="s">
        <v>100</v>
      </c>
      <c r="AZ77" s="127" t="s">
        <v>101</v>
      </c>
      <c r="BA77" s="127" t="s">
        <v>102</v>
      </c>
      <c r="BB77" s="127" t="s">
        <v>103</v>
      </c>
      <c r="BC77" s="127" t="s">
        <v>104</v>
      </c>
      <c r="BD77" s="127" t="s">
        <v>105</v>
      </c>
      <c r="BE77" s="127" t="s">
        <v>106</v>
      </c>
    </row>
    <row r="78" spans="1:57" x14ac:dyDescent="0.35">
      <c r="A78" s="95"/>
      <c r="B78" s="95"/>
      <c r="C78" s="318">
        <f>'Project description'!$B$5</f>
        <v>0</v>
      </c>
      <c r="D78" s="319" t="str">
        <f>Lists!$B$34</f>
        <v/>
      </c>
      <c r="E78" s="320" t="s">
        <v>148</v>
      </c>
      <c r="F78" s="320" t="str">
        <f>Inputs!B91</f>
        <v>Electricity</v>
      </c>
      <c r="G78" s="320" t="s">
        <v>142</v>
      </c>
      <c r="H78" s="320" t="s">
        <v>16</v>
      </c>
      <c r="I78" s="320" t="s">
        <v>109</v>
      </c>
      <c r="J78" s="296">
        <f t="shared" ref="J78:J88" si="6">Analysis_year</f>
        <v>0</v>
      </c>
      <c r="K78" s="216" t="str">
        <f>IF(Inputs!G91="","",Inputs!G91)</f>
        <v/>
      </c>
      <c r="L78" s="297">
        <f>Data!M22/Data!$F3</f>
        <v>45.410647129950021</v>
      </c>
      <c r="M78" s="297">
        <f>Data!N22/Data!$F3</f>
        <v>43.405725949072362</v>
      </c>
      <c r="N78" s="297">
        <f>Data!O22/Data!$F3</f>
        <v>40.70503808330961</v>
      </c>
      <c r="O78" s="297">
        <f>Data!P22/Data!$F3</f>
        <v>38.924092685876658</v>
      </c>
      <c r="P78" s="297">
        <f>Data!Q22/Data!$F3</f>
        <v>37.142659017672841</v>
      </c>
      <c r="Q78" s="297">
        <f>Data!R22/Data!$F3</f>
        <v>35.36094106958118</v>
      </c>
      <c r="R78" s="297">
        <f>Data!S22/Data!$F3</f>
        <v>33.38524701309619</v>
      </c>
      <c r="S78" s="297">
        <f>Data!T22/Data!$F3</f>
        <v>31.680437665604451</v>
      </c>
      <c r="T78" s="297">
        <f>Data!U22/Data!$F3</f>
        <v>32.212969150514049</v>
      </c>
      <c r="U78" s="297">
        <f>Data!V22/Data!$F3</f>
        <v>32.767968741798235</v>
      </c>
      <c r="V78" s="297">
        <f>Data!W22/Data!$F3</f>
        <v>32.762152348089678</v>
      </c>
      <c r="W78" s="297">
        <f>Data!X22/Data!$F3</f>
        <v>32.827949806429963</v>
      </c>
      <c r="X78" s="297">
        <f>Data!Y22/Data!$F3</f>
        <v>32.815986856529165</v>
      </c>
      <c r="Y78" s="297">
        <f>Data!Z22/Data!$F3</f>
        <v>32.799868938645247</v>
      </c>
      <c r="Z78" s="297">
        <f>Data!AA22/Data!$F3</f>
        <v>32.783816045876151</v>
      </c>
      <c r="AA78" s="297">
        <f>Data!AB22/Data!$F3</f>
        <v>32.767711470042805</v>
      </c>
      <c r="AB78" s="297">
        <f>Data!AC22/Data!$F3</f>
        <v>32.751611225713383</v>
      </c>
      <c r="AC78" s="297">
        <f>Data!AD22/Data!$F3</f>
        <v>32.735499308149926</v>
      </c>
      <c r="AD78" s="297">
        <f>Data!AE22/Data!$F3</f>
        <v>32.719370973997883</v>
      </c>
      <c r="AE78" s="297">
        <f>Data!AF22/Data!$F3</f>
        <v>32.703214304154599</v>
      </c>
      <c r="AF78" s="297">
        <f>Data!AG22/Data!$F3</f>
        <v>32.68706727784361</v>
      </c>
      <c r="AG78" s="297">
        <f>Data!AH22/Data!$F3</f>
        <v>32.670897236183784</v>
      </c>
      <c r="AH78" s="297">
        <f>Data!AI22/Data!$F3</f>
        <v>32.654742862703834</v>
      </c>
      <c r="AI78" s="297">
        <f>Data!AJ22/Data!$F3</f>
        <v>32.638585726105731</v>
      </c>
      <c r="AJ78" s="297">
        <f>Data!AK22/Data!$F3</f>
        <v>32.622400125843384</v>
      </c>
      <c r="AK78" s="297">
        <f>Data!AL22/Data!$F3</f>
        <v>32.622400125843384</v>
      </c>
      <c r="AL78" s="297">
        <f>Data!AM22/Data!$F3</f>
        <v>32.622400125843384</v>
      </c>
      <c r="AM78" s="297">
        <f>Data!AN22/Data!$F3</f>
        <v>32.622400125843384</v>
      </c>
      <c r="AN78" s="297">
        <f>Data!AO22/Data!$F3</f>
        <v>32.622400125843384</v>
      </c>
      <c r="AO78" s="297">
        <f>Data!AP22/Data!$F3</f>
        <v>32.622400125843384</v>
      </c>
      <c r="AP78" s="297">
        <f>Data!AQ22/Data!$F3</f>
        <v>32.622400125843384</v>
      </c>
      <c r="AQ78" s="297">
        <f>Data!AR22/Data!$F3</f>
        <v>32.622400125843384</v>
      </c>
      <c r="AR78" s="297">
        <f>Data!AS22/Data!$F3</f>
        <v>32.622400125843384</v>
      </c>
      <c r="AS78" s="297">
        <f>Data!AT22/Data!$F3</f>
        <v>32.622400125843384</v>
      </c>
      <c r="AT78" s="297">
        <f>Data!AU22/Data!$F3</f>
        <v>32.622400125843384</v>
      </c>
      <c r="AU78" s="297">
        <f>Data!AV22/Data!$F3</f>
        <v>32.622400125843384</v>
      </c>
      <c r="AV78" s="297">
        <f>Data!AW22/Data!$F3</f>
        <v>32.622400125843384</v>
      </c>
      <c r="AW78" s="297">
        <f>Data!AX22/Data!$F3</f>
        <v>32.622400125843384</v>
      </c>
      <c r="AX78" s="297">
        <f>Data!AY22/Data!$F3</f>
        <v>32.622400125843384</v>
      </c>
      <c r="AY78" s="297">
        <f>Data!AZ22/Data!$F3</f>
        <v>32.622400125843384</v>
      </c>
      <c r="AZ78" s="297">
        <f>Data!BA22/Data!$F3</f>
        <v>32.622400125843384</v>
      </c>
      <c r="BA78" s="297">
        <f>Data!BB22/Data!$F3</f>
        <v>32.622400125843384</v>
      </c>
      <c r="BB78" s="297">
        <f>Data!BC22/Data!$F3</f>
        <v>32.622400125843384</v>
      </c>
      <c r="BC78" s="297">
        <f>Data!BD22/Data!$F3</f>
        <v>32.622400125843384</v>
      </c>
      <c r="BD78" s="297">
        <f>Data!BE22/Data!$F3</f>
        <v>32.622400125843384</v>
      </c>
      <c r="BE78" s="297">
        <f>Data!BF22/Data!$F3</f>
        <v>0</v>
      </c>
    </row>
    <row r="79" spans="1:57" x14ac:dyDescent="0.35">
      <c r="A79" s="95"/>
      <c r="B79" s="95"/>
      <c r="C79" s="318">
        <f>'Project description'!$B$5</f>
        <v>0</v>
      </c>
      <c r="D79" s="319" t="str">
        <f>Lists!$B$34</f>
        <v/>
      </c>
      <c r="E79" s="321" t="s">
        <v>148</v>
      </c>
      <c r="F79" s="321" t="str">
        <f>Inputs!B92</f>
        <v>Natural Gas</v>
      </c>
      <c r="G79" s="321" t="s">
        <v>142</v>
      </c>
      <c r="H79" s="321" t="s">
        <v>16</v>
      </c>
      <c r="I79" s="321" t="s">
        <v>109</v>
      </c>
      <c r="J79" s="301">
        <f t="shared" si="6"/>
        <v>0</v>
      </c>
      <c r="K79" s="261" t="str">
        <f>IF(Inputs!G92="","",Inputs!G92)</f>
        <v/>
      </c>
      <c r="L79" s="303">
        <f>Inputs!H92*IF(Inputs!$E92="Real",1,M$5)/Data!$F4</f>
        <v>10</v>
      </c>
      <c r="M79" s="303">
        <f>Inputs!I92*IF(Inputs!$E92="Real",1,N$5)/Data!$F4</f>
        <v>10</v>
      </c>
      <c r="N79" s="303">
        <f>Inputs!J92*IF(Inputs!$E92="Real",1,O$5)/Data!$F4</f>
        <v>10</v>
      </c>
      <c r="O79" s="303">
        <f>Inputs!K92*IF(Inputs!$E92="Real",1,P$5)/Data!$F4</f>
        <v>10</v>
      </c>
      <c r="P79" s="303">
        <f>Inputs!L92*IF(Inputs!$E92="Real",1,Q$5)/Data!$F4</f>
        <v>10</v>
      </c>
      <c r="Q79" s="303">
        <f>Inputs!M92*IF(Inputs!$E92="Real",1,R$5)/Data!$F4</f>
        <v>10</v>
      </c>
      <c r="R79" s="303">
        <f>Inputs!N92*IF(Inputs!$E92="Real",1,S$5)/Data!$F4</f>
        <v>10</v>
      </c>
      <c r="S79" s="303">
        <f>Inputs!O92*IF(Inputs!$E92="Real",1,T$5)/Data!$F4</f>
        <v>10</v>
      </c>
      <c r="T79" s="303">
        <f>Inputs!P92*IF(Inputs!$E92="Real",1,U$5)/Data!$F4</f>
        <v>10</v>
      </c>
      <c r="U79" s="303">
        <f>Inputs!Q92*IF(Inputs!$E92="Real",1,V$5)/Data!$F4</f>
        <v>10</v>
      </c>
      <c r="V79" s="303">
        <f>Inputs!R92*IF(Inputs!$E92="Real",1,W$5)/Data!$F4</f>
        <v>10</v>
      </c>
      <c r="W79" s="303">
        <f>Inputs!S92*IF(Inputs!$E92="Real",1,X$5)/Data!$F4</f>
        <v>10</v>
      </c>
      <c r="X79" s="303">
        <f>Inputs!T92*IF(Inputs!$E92="Real",1,Y$5)/Data!$F4</f>
        <v>10</v>
      </c>
      <c r="Y79" s="303">
        <f>Inputs!U92*IF(Inputs!$E92="Real",1,Z$5)/Data!$F4</f>
        <v>10</v>
      </c>
      <c r="Z79" s="303">
        <f>Inputs!V92*IF(Inputs!$E92="Real",1,AA$5)/Data!$F4</f>
        <v>10</v>
      </c>
      <c r="AA79" s="303">
        <f>Inputs!W92*IF(Inputs!$E92="Real",1,AB$5)/Data!$F4</f>
        <v>10</v>
      </c>
      <c r="AB79" s="303">
        <f>Inputs!X92*IF(Inputs!$E92="Real",1,AC$5)/Data!$F4</f>
        <v>10</v>
      </c>
      <c r="AC79" s="303">
        <f>Inputs!Y92*IF(Inputs!$E92="Real",1,AD$5)/Data!$F4</f>
        <v>10</v>
      </c>
      <c r="AD79" s="303">
        <f>Inputs!Z92*IF(Inputs!$E92="Real",1,AE$5)/Data!$F4</f>
        <v>10</v>
      </c>
      <c r="AE79" s="303">
        <f>Inputs!AA92*IF(Inputs!$E92="Real",1,AF$5)/Data!$F4</f>
        <v>10</v>
      </c>
      <c r="AF79" s="303">
        <f>Inputs!AB92*IF(Inputs!$E92="Real",1,AG$5)/Data!$F4</f>
        <v>10</v>
      </c>
      <c r="AG79" s="303">
        <f>Inputs!AC92*IF(Inputs!$E92="Real",1,AH$5)/Data!$F4</f>
        <v>10</v>
      </c>
      <c r="AH79" s="303">
        <f>Inputs!AD92*IF(Inputs!$E92="Real",1,AI$5)/Data!$F4</f>
        <v>0</v>
      </c>
      <c r="AI79" s="303">
        <f>Inputs!AE92*IF(Inputs!$E92="Real",1,AJ$5)/Data!$F4</f>
        <v>0</v>
      </c>
      <c r="AJ79" s="303">
        <f>Inputs!AF92*IF(Inputs!$E92="Real",1,AK$5)/Data!$F4</f>
        <v>0</v>
      </c>
      <c r="AK79" s="303">
        <f>Inputs!AG92*IF(Inputs!$E92="Real",1,AL$5)/Data!$F4</f>
        <v>0</v>
      </c>
      <c r="AL79" s="303">
        <f>Inputs!AH92*IF(Inputs!$E92="Real",1,AM$5)/Data!$F4</f>
        <v>0</v>
      </c>
      <c r="AM79" s="303">
        <f>Inputs!AI92*IF(Inputs!$E92="Real",1,AN$5)/Data!$F4</f>
        <v>0</v>
      </c>
      <c r="AN79" s="303">
        <f>Inputs!AJ92*IF(Inputs!$E92="Real",1,AO$5)/Data!$F4</f>
        <v>0</v>
      </c>
      <c r="AO79" s="303">
        <f>Inputs!AK92*IF(Inputs!$E92="Real",1,AP$5)/Data!$F4</f>
        <v>0</v>
      </c>
      <c r="AP79" s="303">
        <f>Inputs!AL92*IF(Inputs!$E92="Real",1,AQ$5)/Data!$F4</f>
        <v>0</v>
      </c>
      <c r="AQ79" s="303">
        <f>Inputs!AM92*IF(Inputs!$E92="Real",1,AR$5)/Data!$F4</f>
        <v>0</v>
      </c>
      <c r="AR79" s="303">
        <f>Inputs!AN92*IF(Inputs!$E92="Real",1,AS$5)/Data!$F4</f>
        <v>0</v>
      </c>
      <c r="AS79" s="303">
        <f>Inputs!AO92*IF(Inputs!$E92="Real",1,AT$5)/Data!$F4</f>
        <v>0</v>
      </c>
      <c r="AT79" s="303">
        <f>Inputs!AP92*IF(Inputs!$E92="Real",1,AU$5)/Data!$F4</f>
        <v>0</v>
      </c>
      <c r="AU79" s="303">
        <f>Inputs!AQ92*IF(Inputs!$E92="Real",1,AV$5)/Data!$F4</f>
        <v>0</v>
      </c>
      <c r="AV79" s="303">
        <f>Inputs!AR92*IF(Inputs!$E92="Real",1,AW$5)/Data!$F4</f>
        <v>0</v>
      </c>
      <c r="AW79" s="303">
        <f>Inputs!AS92*IF(Inputs!$E92="Real",1,AX$5)/Data!$F4</f>
        <v>0</v>
      </c>
      <c r="AX79" s="303">
        <f>Inputs!AT92*IF(Inputs!$E92="Real",1,AY$5)/Data!$F4</f>
        <v>0</v>
      </c>
      <c r="AY79" s="303">
        <f>Inputs!AU92*IF(Inputs!$E92="Real",1,AZ$5)/Data!$F4</f>
        <v>0</v>
      </c>
      <c r="AZ79" s="303">
        <f>Inputs!AV92*IF(Inputs!$E92="Real",1,BA$5)/Data!$F4</f>
        <v>0</v>
      </c>
      <c r="BA79" s="303">
        <f>Inputs!AW92*IF(Inputs!$E92="Real",1,BB$5)/Data!$F4</f>
        <v>0</v>
      </c>
      <c r="BB79" s="303">
        <f>Inputs!AX92*IF(Inputs!$E92="Real",1,BC$5)/Data!$F4</f>
        <v>0</v>
      </c>
      <c r="BC79" s="303">
        <f>Inputs!AY92*IF(Inputs!$E92="Real",1,BD$5)/Data!$F4</f>
        <v>0</v>
      </c>
      <c r="BD79" s="303">
        <f>Inputs!AZ92*IF(Inputs!$E92="Real",1,BE$5)/Data!$F4</f>
        <v>0</v>
      </c>
      <c r="BE79" s="303">
        <f>Inputs!BA92*IF(Inputs!$E92="Real",1,BF$5)/Data!$F4</f>
        <v>0</v>
      </c>
    </row>
    <row r="80" spans="1:57" x14ac:dyDescent="0.35">
      <c r="A80" s="95"/>
      <c r="B80" s="95"/>
      <c r="C80" s="318">
        <f>'Project description'!$B$5</f>
        <v>0</v>
      </c>
      <c r="D80" s="319" t="str">
        <f>Lists!$B$34</f>
        <v/>
      </c>
      <c r="E80" s="321" t="s">
        <v>148</v>
      </c>
      <c r="F80" s="321" t="str">
        <f>Inputs!B93</f>
        <v>Coal - sub bituminous</v>
      </c>
      <c r="G80" s="321" t="s">
        <v>142</v>
      </c>
      <c r="H80" s="321" t="s">
        <v>16</v>
      </c>
      <c r="I80" s="321" t="s">
        <v>109</v>
      </c>
      <c r="J80" s="301">
        <f t="shared" si="6"/>
        <v>0</v>
      </c>
      <c r="K80" s="261" t="str">
        <f>IF(Inputs!G93="","",Inputs!G93)</f>
        <v/>
      </c>
      <c r="L80" s="303">
        <f>Inputs!H93*IF(Inputs!$E93="Real",1,M$5)/Data!$F5</f>
        <v>6.8181818181818183</v>
      </c>
      <c r="M80" s="303">
        <f>Inputs!I93*IF(Inputs!$E93="Real",1,N$5)/Data!$F5</f>
        <v>6.8181818181818183</v>
      </c>
      <c r="N80" s="303">
        <f>Inputs!J93*IF(Inputs!$E93="Real",1,O$5)/Data!$F5</f>
        <v>6.8181818181818183</v>
      </c>
      <c r="O80" s="303">
        <f>Inputs!K93*IF(Inputs!$E93="Real",1,P$5)/Data!$F5</f>
        <v>6.8181818181818183</v>
      </c>
      <c r="P80" s="303">
        <f>Inputs!L93*IF(Inputs!$E93="Real",1,Q$5)/Data!$F5</f>
        <v>6.8181818181818183</v>
      </c>
      <c r="Q80" s="303">
        <f>Inputs!M93*IF(Inputs!$E93="Real",1,R$5)/Data!$F5</f>
        <v>6.8181818181818183</v>
      </c>
      <c r="R80" s="303">
        <f>Inputs!N93*IF(Inputs!$E93="Real",1,S$5)/Data!$F5</f>
        <v>6.8181818181818183</v>
      </c>
      <c r="S80" s="303">
        <f>Inputs!O93*IF(Inputs!$E93="Real",1,T$5)/Data!$F5</f>
        <v>6.8181818181818183</v>
      </c>
      <c r="T80" s="303">
        <f>Inputs!P93*IF(Inputs!$E93="Real",1,U$5)/Data!$F5</f>
        <v>6.8181818181818183</v>
      </c>
      <c r="U80" s="303">
        <f>Inputs!Q93*IF(Inputs!$E93="Real",1,V$5)/Data!$F5</f>
        <v>6.8181818181818183</v>
      </c>
      <c r="V80" s="303">
        <f>Inputs!R93*IF(Inputs!$E93="Real",1,W$5)/Data!$F5</f>
        <v>6.8181818181818183</v>
      </c>
      <c r="W80" s="303">
        <f>Inputs!S93*IF(Inputs!$E93="Real",1,X$5)/Data!$F5</f>
        <v>6.8181818181818183</v>
      </c>
      <c r="X80" s="303">
        <f>Inputs!T93*IF(Inputs!$E93="Real",1,Y$5)/Data!$F5</f>
        <v>6.8181818181818183</v>
      </c>
      <c r="Y80" s="303">
        <f>Inputs!U93*IF(Inputs!$E93="Real",1,Z$5)/Data!$F5</f>
        <v>6.8181818181818183</v>
      </c>
      <c r="Z80" s="303">
        <f>Inputs!V93*IF(Inputs!$E93="Real",1,AA$5)/Data!$F5</f>
        <v>6.8181818181818183</v>
      </c>
      <c r="AA80" s="303">
        <f>Inputs!W93*IF(Inputs!$E93="Real",1,AB$5)/Data!$F5</f>
        <v>6.8181818181818183</v>
      </c>
      <c r="AB80" s="303">
        <f>Inputs!X93*IF(Inputs!$E93="Real",1,AC$5)/Data!$F5</f>
        <v>6.8181818181818183</v>
      </c>
      <c r="AC80" s="303">
        <f>Inputs!Y93*IF(Inputs!$E93="Real",1,AD$5)/Data!$F5</f>
        <v>6.8181818181818183</v>
      </c>
      <c r="AD80" s="303">
        <f>Inputs!Z93*IF(Inputs!$E93="Real",1,AE$5)/Data!$F5</f>
        <v>6.8181818181818183</v>
      </c>
      <c r="AE80" s="303">
        <f>Inputs!AA93*IF(Inputs!$E93="Real",1,AF$5)/Data!$F5</f>
        <v>6.8181818181818183</v>
      </c>
      <c r="AF80" s="303">
        <f>Inputs!AB93*IF(Inputs!$E93="Real",1,AG$5)/Data!$F5</f>
        <v>6.8181818181818183</v>
      </c>
      <c r="AG80" s="303">
        <f>Inputs!AC93*IF(Inputs!$E93="Real",1,AH$5)/Data!$F5</f>
        <v>6.8181818181818183</v>
      </c>
      <c r="AH80" s="303">
        <f>Inputs!AD93*IF(Inputs!$E93="Real",1,AI$5)/Data!$F5</f>
        <v>0</v>
      </c>
      <c r="AI80" s="303">
        <f>Inputs!AE93*IF(Inputs!$E93="Real",1,AJ$5)/Data!$F5</f>
        <v>0</v>
      </c>
      <c r="AJ80" s="303">
        <f>Inputs!AF93*IF(Inputs!$E93="Real",1,AK$5)/Data!$F5</f>
        <v>0</v>
      </c>
      <c r="AK80" s="303">
        <f>Inputs!AG93*IF(Inputs!$E93="Real",1,AL$5)/Data!$F5</f>
        <v>0</v>
      </c>
      <c r="AL80" s="303">
        <f>Inputs!AH93*IF(Inputs!$E93="Real",1,AM$5)/Data!$F5</f>
        <v>0</v>
      </c>
      <c r="AM80" s="303">
        <f>Inputs!AI93*IF(Inputs!$E93="Real",1,AN$5)/Data!$F5</f>
        <v>0</v>
      </c>
      <c r="AN80" s="303">
        <f>Inputs!AJ93*IF(Inputs!$E93="Real",1,AO$5)/Data!$F5</f>
        <v>0</v>
      </c>
      <c r="AO80" s="303">
        <f>Inputs!AK93*IF(Inputs!$E93="Real",1,AP$5)/Data!$F5</f>
        <v>0</v>
      </c>
      <c r="AP80" s="303">
        <f>Inputs!AL93*IF(Inputs!$E93="Real",1,AQ$5)/Data!$F5</f>
        <v>0</v>
      </c>
      <c r="AQ80" s="303">
        <f>Inputs!AM93*IF(Inputs!$E93="Real",1,AR$5)/Data!$F5</f>
        <v>0</v>
      </c>
      <c r="AR80" s="303">
        <f>Inputs!AN93*IF(Inputs!$E93="Real",1,AS$5)/Data!$F5</f>
        <v>0</v>
      </c>
      <c r="AS80" s="303">
        <f>Inputs!AO93*IF(Inputs!$E93="Real",1,AT$5)/Data!$F5</f>
        <v>0</v>
      </c>
      <c r="AT80" s="303">
        <f>Inputs!AP93*IF(Inputs!$E93="Real",1,AU$5)/Data!$F5</f>
        <v>0</v>
      </c>
      <c r="AU80" s="303">
        <f>Inputs!AQ93*IF(Inputs!$E93="Real",1,AV$5)/Data!$F5</f>
        <v>0</v>
      </c>
      <c r="AV80" s="303">
        <f>Inputs!AR93*IF(Inputs!$E93="Real",1,AW$5)/Data!$F5</f>
        <v>0</v>
      </c>
      <c r="AW80" s="303">
        <f>Inputs!AS93*IF(Inputs!$E93="Real",1,AX$5)/Data!$F5</f>
        <v>0</v>
      </c>
      <c r="AX80" s="303">
        <f>Inputs!AT93*IF(Inputs!$E93="Real",1,AY$5)/Data!$F5</f>
        <v>0</v>
      </c>
      <c r="AY80" s="303">
        <f>Inputs!AU93*IF(Inputs!$E93="Real",1,AZ$5)/Data!$F5</f>
        <v>0</v>
      </c>
      <c r="AZ80" s="303">
        <f>Inputs!AV93*IF(Inputs!$E93="Real",1,BA$5)/Data!$F5</f>
        <v>0</v>
      </c>
      <c r="BA80" s="303">
        <f>Inputs!AW93*IF(Inputs!$E93="Real",1,BB$5)/Data!$F5</f>
        <v>0</v>
      </c>
      <c r="BB80" s="303">
        <f>Inputs!AX93*IF(Inputs!$E93="Real",1,BC$5)/Data!$F5</f>
        <v>0</v>
      </c>
      <c r="BC80" s="303">
        <f>Inputs!AY93*IF(Inputs!$E93="Real",1,BD$5)/Data!$F5</f>
        <v>0</v>
      </c>
      <c r="BD80" s="303">
        <f>Inputs!AZ93*IF(Inputs!$E93="Real",1,BE$5)/Data!$F5</f>
        <v>0</v>
      </c>
      <c r="BE80" s="303">
        <f>Inputs!BA93*IF(Inputs!$E93="Real",1,BF$5)/Data!$F5</f>
        <v>0</v>
      </c>
    </row>
    <row r="81" spans="1:57" x14ac:dyDescent="0.35">
      <c r="A81" s="95"/>
      <c r="B81" s="95"/>
      <c r="C81" s="318">
        <f>'Project description'!$B$5</f>
        <v>0</v>
      </c>
      <c r="D81" s="319" t="str">
        <f>Lists!$B$34</f>
        <v/>
      </c>
      <c r="E81" s="321" t="s">
        <v>148</v>
      </c>
      <c r="F81" s="321" t="str">
        <f>Inputs!B94</f>
        <v>Coal - bituminous</v>
      </c>
      <c r="G81" s="321" t="s">
        <v>142</v>
      </c>
      <c r="H81" s="321" t="s">
        <v>16</v>
      </c>
      <c r="I81" s="321" t="s">
        <v>109</v>
      </c>
      <c r="J81" s="301">
        <f t="shared" si="6"/>
        <v>0</v>
      </c>
      <c r="K81" s="261" t="str">
        <f>IF(Inputs!G94="","",Inputs!G94)</f>
        <v/>
      </c>
      <c r="L81" s="303">
        <f>Inputs!H94*IF(Inputs!$E94="Real",1,M$5)/Data!$F6</f>
        <v>0</v>
      </c>
      <c r="M81" s="303">
        <f>Inputs!I94*IF(Inputs!$E94="Real",1,N$5)/Data!$F6</f>
        <v>0</v>
      </c>
      <c r="N81" s="303">
        <f>Inputs!J94*IF(Inputs!$E94="Real",1,O$5)/Data!$F6</f>
        <v>0</v>
      </c>
      <c r="O81" s="303">
        <f>Inputs!K94*IF(Inputs!$E94="Real",1,P$5)/Data!$F6</f>
        <v>0</v>
      </c>
      <c r="P81" s="303">
        <f>Inputs!L94*IF(Inputs!$E94="Real",1,Q$5)/Data!$F6</f>
        <v>0</v>
      </c>
      <c r="Q81" s="303">
        <f>Inputs!M94*IF(Inputs!$E94="Real",1,R$5)/Data!$F6</f>
        <v>0</v>
      </c>
      <c r="R81" s="303">
        <f>Inputs!N94*IF(Inputs!$E94="Real",1,S$5)/Data!$F6</f>
        <v>0</v>
      </c>
      <c r="S81" s="303">
        <f>Inputs!O94*IF(Inputs!$E94="Real",1,T$5)/Data!$F6</f>
        <v>0</v>
      </c>
      <c r="T81" s="303">
        <f>Inputs!P94*IF(Inputs!$E94="Real",1,U$5)/Data!$F6</f>
        <v>0</v>
      </c>
      <c r="U81" s="303">
        <f>Inputs!Q94*IF(Inputs!$E94="Real",1,V$5)/Data!$F6</f>
        <v>0</v>
      </c>
      <c r="V81" s="303">
        <f>Inputs!R94*IF(Inputs!$E94="Real",1,W$5)/Data!$F6</f>
        <v>0</v>
      </c>
      <c r="W81" s="303">
        <f>Inputs!S94*IF(Inputs!$E94="Real",1,X$5)/Data!$F6</f>
        <v>0</v>
      </c>
      <c r="X81" s="303">
        <f>Inputs!T94*IF(Inputs!$E94="Real",1,Y$5)/Data!$F6</f>
        <v>0</v>
      </c>
      <c r="Y81" s="303">
        <f>Inputs!U94*IF(Inputs!$E94="Real",1,Z$5)/Data!$F6</f>
        <v>0</v>
      </c>
      <c r="Z81" s="303">
        <f>Inputs!V94*IF(Inputs!$E94="Real",1,AA$5)/Data!$F6</f>
        <v>0</v>
      </c>
      <c r="AA81" s="303">
        <f>Inputs!W94*IF(Inputs!$E94="Real",1,AB$5)/Data!$F6</f>
        <v>0</v>
      </c>
      <c r="AB81" s="303">
        <f>Inputs!X94*IF(Inputs!$E94="Real",1,AC$5)/Data!$F6</f>
        <v>0</v>
      </c>
      <c r="AC81" s="303">
        <f>Inputs!Y94*IF(Inputs!$E94="Real",1,AD$5)/Data!$F6</f>
        <v>0</v>
      </c>
      <c r="AD81" s="303">
        <f>Inputs!Z94*IF(Inputs!$E94="Real",1,AE$5)/Data!$F6</f>
        <v>0</v>
      </c>
      <c r="AE81" s="303">
        <f>Inputs!AA94*IF(Inputs!$E94="Real",1,AF$5)/Data!$F6</f>
        <v>0</v>
      </c>
      <c r="AF81" s="303">
        <f>Inputs!AB94*IF(Inputs!$E94="Real",1,AG$5)/Data!$F6</f>
        <v>0</v>
      </c>
      <c r="AG81" s="303">
        <f>Inputs!AC94*IF(Inputs!$E94="Real",1,AH$5)/Data!$F6</f>
        <v>0</v>
      </c>
      <c r="AH81" s="303">
        <f>Inputs!AD94*IF(Inputs!$E94="Real",1,AI$5)/Data!$F6</f>
        <v>0</v>
      </c>
      <c r="AI81" s="303">
        <f>Inputs!AE94*IF(Inputs!$E94="Real",1,AJ$5)/Data!$F6</f>
        <v>0</v>
      </c>
      <c r="AJ81" s="303">
        <f>Inputs!AF94*IF(Inputs!$E94="Real",1,AK$5)/Data!$F6</f>
        <v>0</v>
      </c>
      <c r="AK81" s="303">
        <f>Inputs!AG94*IF(Inputs!$E94="Real",1,AL$5)/Data!$F6</f>
        <v>0</v>
      </c>
      <c r="AL81" s="303">
        <f>Inputs!AH94*IF(Inputs!$E94="Real",1,AM$5)/Data!$F6</f>
        <v>0</v>
      </c>
      <c r="AM81" s="303">
        <f>Inputs!AI94*IF(Inputs!$E94="Real",1,AN$5)/Data!$F6</f>
        <v>0</v>
      </c>
      <c r="AN81" s="303">
        <f>Inputs!AJ94*IF(Inputs!$E94="Real",1,AO$5)/Data!$F6</f>
        <v>0</v>
      </c>
      <c r="AO81" s="303">
        <f>Inputs!AK94*IF(Inputs!$E94="Real",1,AP$5)/Data!$F6</f>
        <v>0</v>
      </c>
      <c r="AP81" s="303">
        <f>Inputs!AL94*IF(Inputs!$E94="Real",1,AQ$5)/Data!$F6</f>
        <v>0</v>
      </c>
      <c r="AQ81" s="303">
        <f>Inputs!AM94*IF(Inputs!$E94="Real",1,AR$5)/Data!$F6</f>
        <v>0</v>
      </c>
      <c r="AR81" s="303">
        <f>Inputs!AN94*IF(Inputs!$E94="Real",1,AS$5)/Data!$F6</f>
        <v>0</v>
      </c>
      <c r="AS81" s="303">
        <f>Inputs!AO94*IF(Inputs!$E94="Real",1,AT$5)/Data!$F6</f>
        <v>0</v>
      </c>
      <c r="AT81" s="303">
        <f>Inputs!AP94*IF(Inputs!$E94="Real",1,AU$5)/Data!$F6</f>
        <v>0</v>
      </c>
      <c r="AU81" s="303">
        <f>Inputs!AQ94*IF(Inputs!$E94="Real",1,AV$5)/Data!$F6</f>
        <v>0</v>
      </c>
      <c r="AV81" s="303">
        <f>Inputs!AR94*IF(Inputs!$E94="Real",1,AW$5)/Data!$F6</f>
        <v>0</v>
      </c>
      <c r="AW81" s="303">
        <f>Inputs!AS94*IF(Inputs!$E94="Real",1,AX$5)/Data!$F6</f>
        <v>0</v>
      </c>
      <c r="AX81" s="303">
        <f>Inputs!AT94*IF(Inputs!$E94="Real",1,AY$5)/Data!$F6</f>
        <v>0</v>
      </c>
      <c r="AY81" s="303">
        <f>Inputs!AU94*IF(Inputs!$E94="Real",1,AZ$5)/Data!$F6</f>
        <v>0</v>
      </c>
      <c r="AZ81" s="303">
        <f>Inputs!AV94*IF(Inputs!$E94="Real",1,BA$5)/Data!$F6</f>
        <v>0</v>
      </c>
      <c r="BA81" s="303">
        <f>Inputs!AW94*IF(Inputs!$E94="Real",1,BB$5)/Data!$F6</f>
        <v>0</v>
      </c>
      <c r="BB81" s="303">
        <f>Inputs!AX94*IF(Inputs!$E94="Real",1,BC$5)/Data!$F6</f>
        <v>0</v>
      </c>
      <c r="BC81" s="303">
        <f>Inputs!AY94*IF(Inputs!$E94="Real",1,BD$5)/Data!$F6</f>
        <v>0</v>
      </c>
      <c r="BD81" s="303">
        <f>Inputs!AZ94*IF(Inputs!$E94="Real",1,BE$5)/Data!$F6</f>
        <v>0</v>
      </c>
      <c r="BE81" s="303">
        <f>Inputs!BA94*IF(Inputs!$E94="Real",1,BF$5)/Data!$F6</f>
        <v>0</v>
      </c>
    </row>
    <row r="82" spans="1:57" x14ac:dyDescent="0.35">
      <c r="A82" s="95"/>
      <c r="B82" s="95"/>
      <c r="C82" s="318">
        <f>'Project description'!$B$5</f>
        <v>0</v>
      </c>
      <c r="D82" s="319" t="str">
        <f>Lists!$B$34</f>
        <v/>
      </c>
      <c r="E82" s="321" t="s">
        <v>148</v>
      </c>
      <c r="F82" s="321" t="str">
        <f>Inputs!B95</f>
        <v>Coal - lignite</v>
      </c>
      <c r="G82" s="321" t="s">
        <v>142</v>
      </c>
      <c r="H82" s="321" t="s">
        <v>16</v>
      </c>
      <c r="I82" s="321" t="s">
        <v>109</v>
      </c>
      <c r="J82" s="301">
        <f t="shared" si="6"/>
        <v>0</v>
      </c>
      <c r="K82" s="261" t="str">
        <f>IF(Inputs!G95="","",Inputs!G95)</f>
        <v/>
      </c>
      <c r="L82" s="303">
        <f>Inputs!H95*IF(Inputs!$E95="Real",1,M$5)/Data!$F7</f>
        <v>0</v>
      </c>
      <c r="M82" s="303">
        <f>Inputs!I95*IF(Inputs!$E95="Real",1,N$5)/Data!$F7</f>
        <v>0</v>
      </c>
      <c r="N82" s="303">
        <f>Inputs!J95*IF(Inputs!$E95="Real",1,O$5)/Data!$F7</f>
        <v>0</v>
      </c>
      <c r="O82" s="303">
        <f>Inputs!K95*IF(Inputs!$E95="Real",1,P$5)/Data!$F7</f>
        <v>0</v>
      </c>
      <c r="P82" s="303">
        <f>Inputs!L95*IF(Inputs!$E95="Real",1,Q$5)/Data!$F7</f>
        <v>0</v>
      </c>
      <c r="Q82" s="303">
        <f>Inputs!M95*IF(Inputs!$E95="Real",1,R$5)/Data!$F7</f>
        <v>0</v>
      </c>
      <c r="R82" s="303">
        <f>Inputs!N95*IF(Inputs!$E95="Real",1,S$5)/Data!$F7</f>
        <v>0</v>
      </c>
      <c r="S82" s="303">
        <f>Inputs!O95*IF(Inputs!$E95="Real",1,T$5)/Data!$F7</f>
        <v>0</v>
      </c>
      <c r="T82" s="303">
        <f>Inputs!P95*IF(Inputs!$E95="Real",1,U$5)/Data!$F7</f>
        <v>0</v>
      </c>
      <c r="U82" s="303">
        <f>Inputs!Q95*IF(Inputs!$E95="Real",1,V$5)/Data!$F7</f>
        <v>0</v>
      </c>
      <c r="V82" s="303">
        <f>Inputs!R95*IF(Inputs!$E95="Real",1,W$5)/Data!$F7</f>
        <v>0</v>
      </c>
      <c r="W82" s="303">
        <f>Inputs!S95*IF(Inputs!$E95="Real",1,X$5)/Data!$F7</f>
        <v>0</v>
      </c>
      <c r="X82" s="303">
        <f>Inputs!T95*IF(Inputs!$E95="Real",1,Y$5)/Data!$F7</f>
        <v>0</v>
      </c>
      <c r="Y82" s="303">
        <f>Inputs!U95*IF(Inputs!$E95="Real",1,Z$5)/Data!$F7</f>
        <v>0</v>
      </c>
      <c r="Z82" s="303">
        <f>Inputs!V95*IF(Inputs!$E95="Real",1,AA$5)/Data!$F7</f>
        <v>0</v>
      </c>
      <c r="AA82" s="303">
        <f>Inputs!W95*IF(Inputs!$E95="Real",1,AB$5)/Data!$F7</f>
        <v>0</v>
      </c>
      <c r="AB82" s="303">
        <f>Inputs!X95*IF(Inputs!$E95="Real",1,AC$5)/Data!$F7</f>
        <v>0</v>
      </c>
      <c r="AC82" s="303">
        <f>Inputs!Y95*IF(Inputs!$E95="Real",1,AD$5)/Data!$F7</f>
        <v>0</v>
      </c>
      <c r="AD82" s="303">
        <f>Inputs!Z95*IF(Inputs!$E95="Real",1,AE$5)/Data!$F7</f>
        <v>0</v>
      </c>
      <c r="AE82" s="303">
        <f>Inputs!AA95*IF(Inputs!$E95="Real",1,AF$5)/Data!$F7</f>
        <v>0</v>
      </c>
      <c r="AF82" s="303">
        <f>Inputs!AB95*IF(Inputs!$E95="Real",1,AG$5)/Data!$F7</f>
        <v>0</v>
      </c>
      <c r="AG82" s="303">
        <f>Inputs!AC95*IF(Inputs!$E95="Real",1,AH$5)/Data!$F7</f>
        <v>0</v>
      </c>
      <c r="AH82" s="303">
        <f>Inputs!AD95*IF(Inputs!$E95="Real",1,AI$5)/Data!$F7</f>
        <v>0</v>
      </c>
      <c r="AI82" s="303">
        <f>Inputs!AE95*IF(Inputs!$E95="Real",1,AJ$5)/Data!$F7</f>
        <v>0</v>
      </c>
      <c r="AJ82" s="303">
        <f>Inputs!AF95*IF(Inputs!$E95="Real",1,AK$5)/Data!$F7</f>
        <v>0</v>
      </c>
      <c r="AK82" s="303">
        <f>Inputs!AG95*IF(Inputs!$E95="Real",1,AL$5)/Data!$F7</f>
        <v>0</v>
      </c>
      <c r="AL82" s="303">
        <f>Inputs!AH95*IF(Inputs!$E95="Real",1,AM$5)/Data!$F7</f>
        <v>0</v>
      </c>
      <c r="AM82" s="303">
        <f>Inputs!AI95*IF(Inputs!$E95="Real",1,AN$5)/Data!$F7</f>
        <v>0</v>
      </c>
      <c r="AN82" s="303">
        <f>Inputs!AJ95*IF(Inputs!$E95="Real",1,AO$5)/Data!$F7</f>
        <v>0</v>
      </c>
      <c r="AO82" s="303">
        <f>Inputs!AK95*IF(Inputs!$E95="Real",1,AP$5)/Data!$F7</f>
        <v>0</v>
      </c>
      <c r="AP82" s="303">
        <f>Inputs!AL95*IF(Inputs!$E95="Real",1,AQ$5)/Data!$F7</f>
        <v>0</v>
      </c>
      <c r="AQ82" s="303">
        <f>Inputs!AM95*IF(Inputs!$E95="Real",1,AR$5)/Data!$F7</f>
        <v>0</v>
      </c>
      <c r="AR82" s="303">
        <f>Inputs!AN95*IF(Inputs!$E95="Real",1,AS$5)/Data!$F7</f>
        <v>0</v>
      </c>
      <c r="AS82" s="303">
        <f>Inputs!AO95*IF(Inputs!$E95="Real",1,AT$5)/Data!$F7</f>
        <v>0</v>
      </c>
      <c r="AT82" s="303">
        <f>Inputs!AP95*IF(Inputs!$E95="Real",1,AU$5)/Data!$F7</f>
        <v>0</v>
      </c>
      <c r="AU82" s="303">
        <f>Inputs!AQ95*IF(Inputs!$E95="Real",1,AV$5)/Data!$F7</f>
        <v>0</v>
      </c>
      <c r="AV82" s="303">
        <f>Inputs!AR95*IF(Inputs!$E95="Real",1,AW$5)/Data!$F7</f>
        <v>0</v>
      </c>
      <c r="AW82" s="303">
        <f>Inputs!AS95*IF(Inputs!$E95="Real",1,AX$5)/Data!$F7</f>
        <v>0</v>
      </c>
      <c r="AX82" s="303">
        <f>Inputs!AT95*IF(Inputs!$E95="Real",1,AY$5)/Data!$F7</f>
        <v>0</v>
      </c>
      <c r="AY82" s="303">
        <f>Inputs!AU95*IF(Inputs!$E95="Real",1,AZ$5)/Data!$F7</f>
        <v>0</v>
      </c>
      <c r="AZ82" s="303">
        <f>Inputs!AV95*IF(Inputs!$E95="Real",1,BA$5)/Data!$F7</f>
        <v>0</v>
      </c>
      <c r="BA82" s="303">
        <f>Inputs!AW95*IF(Inputs!$E95="Real",1,BB$5)/Data!$F7</f>
        <v>0</v>
      </c>
      <c r="BB82" s="303">
        <f>Inputs!AX95*IF(Inputs!$E95="Real",1,BC$5)/Data!$F7</f>
        <v>0</v>
      </c>
      <c r="BC82" s="303">
        <f>Inputs!AY95*IF(Inputs!$E95="Real",1,BD$5)/Data!$F7</f>
        <v>0</v>
      </c>
      <c r="BD82" s="303">
        <f>Inputs!AZ95*IF(Inputs!$E95="Real",1,BE$5)/Data!$F7</f>
        <v>0</v>
      </c>
      <c r="BE82" s="303">
        <f>Inputs!BA95*IF(Inputs!$E95="Real",1,BF$5)/Data!$F7</f>
        <v>0</v>
      </c>
    </row>
    <row r="83" spans="1:57" x14ac:dyDescent="0.35">
      <c r="A83" s="95"/>
      <c r="B83" s="95"/>
      <c r="C83" s="318">
        <f>'Project description'!$B$5</f>
        <v>0</v>
      </c>
      <c r="D83" s="319" t="str">
        <f>Lists!$B$34</f>
        <v/>
      </c>
      <c r="E83" s="321" t="s">
        <v>148</v>
      </c>
      <c r="F83" s="321" t="str">
        <f>Inputs!B96</f>
        <v>Diesel</v>
      </c>
      <c r="G83" s="321" t="s">
        <v>142</v>
      </c>
      <c r="H83" s="321" t="s">
        <v>16</v>
      </c>
      <c r="I83" s="321" t="s">
        <v>109</v>
      </c>
      <c r="J83" s="301">
        <f t="shared" si="6"/>
        <v>0</v>
      </c>
      <c r="K83" s="261" t="str">
        <f>IF(Inputs!G96="","",Inputs!G96)</f>
        <v/>
      </c>
      <c r="L83" s="303">
        <f>Inputs!H96*IF(Inputs!$E96="Real",1,M$5)/Data!$F8</f>
        <v>5.6022408963585429E-2</v>
      </c>
      <c r="M83" s="303">
        <f>Inputs!I96*IF(Inputs!$E96="Real",1,N$5)/Data!$F8</f>
        <v>5.6022408963585429E-2</v>
      </c>
      <c r="N83" s="303">
        <f>Inputs!J96*IF(Inputs!$E96="Real",1,O$5)/Data!$F8</f>
        <v>5.6022408963585429E-2</v>
      </c>
      <c r="O83" s="303">
        <f>Inputs!K96*IF(Inputs!$E96="Real",1,P$5)/Data!$F8</f>
        <v>5.6022408963585429E-2</v>
      </c>
      <c r="P83" s="303">
        <f>Inputs!L96*IF(Inputs!$E96="Real",1,Q$5)/Data!$F8</f>
        <v>5.6022408963585429E-2</v>
      </c>
      <c r="Q83" s="303">
        <f>Inputs!M96*IF(Inputs!$E96="Real",1,R$5)/Data!$F8</f>
        <v>5.6022408963585429E-2</v>
      </c>
      <c r="R83" s="303">
        <f>Inputs!N96*IF(Inputs!$E96="Real",1,S$5)/Data!$F8</f>
        <v>5.6022408963585429E-2</v>
      </c>
      <c r="S83" s="303">
        <f>Inputs!O96*IF(Inputs!$E96="Real",1,T$5)/Data!$F8</f>
        <v>5.6022408963585429E-2</v>
      </c>
      <c r="T83" s="303">
        <f>Inputs!P96*IF(Inputs!$E96="Real",1,U$5)/Data!$F8</f>
        <v>5.6022408963585429E-2</v>
      </c>
      <c r="U83" s="303">
        <f>Inputs!Q96*IF(Inputs!$E96="Real",1,V$5)/Data!$F8</f>
        <v>5.6022408963585429E-2</v>
      </c>
      <c r="V83" s="303">
        <f>Inputs!R96*IF(Inputs!$E96="Real",1,W$5)/Data!$F8</f>
        <v>5.6022408963585429E-2</v>
      </c>
      <c r="W83" s="303">
        <f>Inputs!S96*IF(Inputs!$E96="Real",1,X$5)/Data!$F8</f>
        <v>5.6022408963585429E-2</v>
      </c>
      <c r="X83" s="303">
        <f>Inputs!T96*IF(Inputs!$E96="Real",1,Y$5)/Data!$F8</f>
        <v>5.6022408963585429E-2</v>
      </c>
      <c r="Y83" s="303">
        <f>Inputs!U96*IF(Inputs!$E96="Real",1,Z$5)/Data!$F8</f>
        <v>5.6022408963585429E-2</v>
      </c>
      <c r="Z83" s="303">
        <f>Inputs!V96*IF(Inputs!$E96="Real",1,AA$5)/Data!$F8</f>
        <v>5.6022408963585429E-2</v>
      </c>
      <c r="AA83" s="303">
        <f>Inputs!W96*IF(Inputs!$E96="Real",1,AB$5)/Data!$F8</f>
        <v>5.6022408963585429E-2</v>
      </c>
      <c r="AB83" s="303">
        <f>Inputs!X96*IF(Inputs!$E96="Real",1,AC$5)/Data!$F8</f>
        <v>5.6022408963585429E-2</v>
      </c>
      <c r="AC83" s="303">
        <f>Inputs!Y96*IF(Inputs!$E96="Real",1,AD$5)/Data!$F8</f>
        <v>0</v>
      </c>
      <c r="AD83" s="303">
        <f>Inputs!Z96*IF(Inputs!$E96="Real",1,AE$5)/Data!$F8</f>
        <v>0</v>
      </c>
      <c r="AE83" s="303">
        <f>Inputs!AA96*IF(Inputs!$E96="Real",1,AF$5)/Data!$F8</f>
        <v>0</v>
      </c>
      <c r="AF83" s="303">
        <f>Inputs!AB96*IF(Inputs!$E96="Real",1,AG$5)/Data!$F8</f>
        <v>0</v>
      </c>
      <c r="AG83" s="303">
        <f>Inputs!AC96*IF(Inputs!$E96="Real",1,AH$5)/Data!$F8</f>
        <v>0</v>
      </c>
      <c r="AH83" s="303">
        <f>Inputs!AD96*IF(Inputs!$E96="Real",1,AI$5)/Data!$F8</f>
        <v>0</v>
      </c>
      <c r="AI83" s="303">
        <f>Inputs!AE96*IF(Inputs!$E96="Real",1,AJ$5)/Data!$F8</f>
        <v>0</v>
      </c>
      <c r="AJ83" s="303">
        <f>Inputs!AF96*IF(Inputs!$E96="Real",1,AK$5)/Data!$F8</f>
        <v>0</v>
      </c>
      <c r="AK83" s="303">
        <f>Inputs!AG96*IF(Inputs!$E96="Real",1,AL$5)/Data!$F8</f>
        <v>0</v>
      </c>
      <c r="AL83" s="303">
        <f>Inputs!AH96*IF(Inputs!$E96="Real",1,AM$5)/Data!$F8</f>
        <v>0</v>
      </c>
      <c r="AM83" s="303">
        <f>Inputs!AI96*IF(Inputs!$E96="Real",1,AN$5)/Data!$F8</f>
        <v>0</v>
      </c>
      <c r="AN83" s="303">
        <f>Inputs!AJ96*IF(Inputs!$E96="Real",1,AO$5)/Data!$F8</f>
        <v>0</v>
      </c>
      <c r="AO83" s="303">
        <f>Inputs!AK96*IF(Inputs!$E96="Real",1,AP$5)/Data!$F8</f>
        <v>0</v>
      </c>
      <c r="AP83" s="303">
        <f>Inputs!AL96*IF(Inputs!$E96="Real",1,AQ$5)/Data!$F8</f>
        <v>0</v>
      </c>
      <c r="AQ83" s="303">
        <f>Inputs!AM96*IF(Inputs!$E96="Real",1,AR$5)/Data!$F8</f>
        <v>0</v>
      </c>
      <c r="AR83" s="303">
        <f>Inputs!AN96*IF(Inputs!$E96="Real",1,AS$5)/Data!$F8</f>
        <v>0</v>
      </c>
      <c r="AS83" s="303">
        <f>Inputs!AO96*IF(Inputs!$E96="Real",1,AT$5)/Data!$F8</f>
        <v>0</v>
      </c>
      <c r="AT83" s="303">
        <f>Inputs!AP96*IF(Inputs!$E96="Real",1,AU$5)/Data!$F8</f>
        <v>0</v>
      </c>
      <c r="AU83" s="303">
        <f>Inputs!AQ96*IF(Inputs!$E96="Real",1,AV$5)/Data!$F8</f>
        <v>0</v>
      </c>
      <c r="AV83" s="303">
        <f>Inputs!AR96*IF(Inputs!$E96="Real",1,AW$5)/Data!$F8</f>
        <v>0</v>
      </c>
      <c r="AW83" s="303">
        <f>Inputs!AS96*IF(Inputs!$E96="Real",1,AX$5)/Data!$F8</f>
        <v>0</v>
      </c>
      <c r="AX83" s="303">
        <f>Inputs!AT96*IF(Inputs!$E96="Real",1,AY$5)/Data!$F8</f>
        <v>0</v>
      </c>
      <c r="AY83" s="303">
        <f>Inputs!AU96*IF(Inputs!$E96="Real",1,AZ$5)/Data!$F8</f>
        <v>0</v>
      </c>
      <c r="AZ83" s="303">
        <f>Inputs!AV96*IF(Inputs!$E96="Real",1,BA$5)/Data!$F8</f>
        <v>0</v>
      </c>
      <c r="BA83" s="303">
        <f>Inputs!AW96*IF(Inputs!$E96="Real",1,BB$5)/Data!$F8</f>
        <v>0</v>
      </c>
      <c r="BB83" s="303">
        <f>Inputs!AX96*IF(Inputs!$E96="Real",1,BC$5)/Data!$F8</f>
        <v>0</v>
      </c>
      <c r="BC83" s="303">
        <f>Inputs!AY96*IF(Inputs!$E96="Real",1,BD$5)/Data!$F8</f>
        <v>0</v>
      </c>
      <c r="BD83" s="303">
        <f>Inputs!AZ96*IF(Inputs!$E96="Real",1,BE$5)/Data!$F8</f>
        <v>0</v>
      </c>
      <c r="BE83" s="303">
        <f>Inputs!BA96*IF(Inputs!$E96="Real",1,BF$5)/Data!$F8</f>
        <v>2.8011204481792715E-2</v>
      </c>
    </row>
    <row r="84" spans="1:57" x14ac:dyDescent="0.35">
      <c r="A84" s="95"/>
      <c r="B84" s="95"/>
      <c r="C84" s="318">
        <f>'Project description'!$B$5</f>
        <v>0</v>
      </c>
      <c r="D84" s="319" t="str">
        <f>Lists!$B$34</f>
        <v/>
      </c>
      <c r="E84" s="321" t="s">
        <v>148</v>
      </c>
      <c r="F84" s="321" t="str">
        <f>Inputs!B97</f>
        <v>LPG</v>
      </c>
      <c r="G84" s="321" t="s">
        <v>142</v>
      </c>
      <c r="H84" s="321" t="s">
        <v>16</v>
      </c>
      <c r="I84" s="321" t="s">
        <v>109</v>
      </c>
      <c r="J84" s="301">
        <f t="shared" si="6"/>
        <v>0</v>
      </c>
      <c r="K84" s="261" t="str">
        <f>IF(Inputs!G97="","",Inputs!G97)</f>
        <v/>
      </c>
      <c r="L84" s="303">
        <f>Inputs!H97*IF(Inputs!$E97="Real",1,M$5)/Data!$F9</f>
        <v>0</v>
      </c>
      <c r="M84" s="303">
        <f>Inputs!I97*IF(Inputs!$E97="Real",1,N$5)/Data!$F9</f>
        <v>0</v>
      </c>
      <c r="N84" s="303">
        <f>Inputs!J97*IF(Inputs!$E97="Real",1,O$5)/Data!$F9</f>
        <v>0</v>
      </c>
      <c r="O84" s="303">
        <f>Inputs!K97*IF(Inputs!$E97="Real",1,P$5)/Data!$F9</f>
        <v>0</v>
      </c>
      <c r="P84" s="303">
        <f>Inputs!L97*IF(Inputs!$E97="Real",1,Q$5)/Data!$F9</f>
        <v>0</v>
      </c>
      <c r="Q84" s="303">
        <f>Inputs!M97*IF(Inputs!$E97="Real",1,R$5)/Data!$F9</f>
        <v>0</v>
      </c>
      <c r="R84" s="303">
        <f>Inputs!N97*IF(Inputs!$E97="Real",1,S$5)/Data!$F9</f>
        <v>0</v>
      </c>
      <c r="S84" s="303">
        <f>Inputs!O97*IF(Inputs!$E97="Real",1,T$5)/Data!$F9</f>
        <v>0</v>
      </c>
      <c r="T84" s="303">
        <f>Inputs!P97*IF(Inputs!$E97="Real",1,U$5)/Data!$F9</f>
        <v>0</v>
      </c>
      <c r="U84" s="303">
        <f>Inputs!Q97*IF(Inputs!$E97="Real",1,V$5)/Data!$F9</f>
        <v>0</v>
      </c>
      <c r="V84" s="303">
        <f>Inputs!R97*IF(Inputs!$E97="Real",1,W$5)/Data!$F9</f>
        <v>0</v>
      </c>
      <c r="W84" s="303">
        <f>Inputs!S97*IF(Inputs!$E97="Real",1,X$5)/Data!$F9</f>
        <v>0</v>
      </c>
      <c r="X84" s="303">
        <f>Inputs!T97*IF(Inputs!$E97="Real",1,Y$5)/Data!$F9</f>
        <v>0</v>
      </c>
      <c r="Y84" s="303">
        <f>Inputs!U97*IF(Inputs!$E97="Real",1,Z$5)/Data!$F9</f>
        <v>0</v>
      </c>
      <c r="Z84" s="303">
        <f>Inputs!V97*IF(Inputs!$E97="Real",1,AA$5)/Data!$F9</f>
        <v>0</v>
      </c>
      <c r="AA84" s="303">
        <f>Inputs!W97*IF(Inputs!$E97="Real",1,AB$5)/Data!$F9</f>
        <v>0</v>
      </c>
      <c r="AB84" s="303">
        <f>Inputs!X97*IF(Inputs!$E97="Real",1,AC$5)/Data!$F9</f>
        <v>0</v>
      </c>
      <c r="AC84" s="303">
        <f>Inputs!Y97*IF(Inputs!$E97="Real",1,AD$5)/Data!$F9</f>
        <v>0</v>
      </c>
      <c r="AD84" s="303">
        <f>Inputs!Z97*IF(Inputs!$E97="Real",1,AE$5)/Data!$F9</f>
        <v>0</v>
      </c>
      <c r="AE84" s="303">
        <f>Inputs!AA97*IF(Inputs!$E97="Real",1,AF$5)/Data!$F9</f>
        <v>0</v>
      </c>
      <c r="AF84" s="303">
        <f>Inputs!AB97*IF(Inputs!$E97="Real",1,AG$5)/Data!$F9</f>
        <v>0</v>
      </c>
      <c r="AG84" s="303">
        <f>Inputs!AC97*IF(Inputs!$E97="Real",1,AH$5)/Data!$F9</f>
        <v>0</v>
      </c>
      <c r="AH84" s="303">
        <f>Inputs!AD97*IF(Inputs!$E97="Real",1,AI$5)/Data!$F9</f>
        <v>0</v>
      </c>
      <c r="AI84" s="303">
        <f>Inputs!AE97*IF(Inputs!$E97="Real",1,AJ$5)/Data!$F9</f>
        <v>0</v>
      </c>
      <c r="AJ84" s="303">
        <f>Inputs!AF97*IF(Inputs!$E97="Real",1,AK$5)/Data!$F9</f>
        <v>0</v>
      </c>
      <c r="AK84" s="303">
        <f>Inputs!AG97*IF(Inputs!$E97="Real",1,AL$5)/Data!$F9</f>
        <v>0</v>
      </c>
      <c r="AL84" s="303">
        <f>Inputs!AH97*IF(Inputs!$E97="Real",1,AM$5)/Data!$F9</f>
        <v>0</v>
      </c>
      <c r="AM84" s="303">
        <f>Inputs!AI97*IF(Inputs!$E97="Real",1,AN$5)/Data!$F9</f>
        <v>0</v>
      </c>
      <c r="AN84" s="303">
        <f>Inputs!AJ97*IF(Inputs!$E97="Real",1,AO$5)/Data!$F9</f>
        <v>0</v>
      </c>
      <c r="AO84" s="303">
        <f>Inputs!AK97*IF(Inputs!$E97="Real",1,AP$5)/Data!$F9</f>
        <v>0</v>
      </c>
      <c r="AP84" s="303">
        <f>Inputs!AL97*IF(Inputs!$E97="Real",1,AQ$5)/Data!$F9</f>
        <v>0</v>
      </c>
      <c r="AQ84" s="303">
        <f>Inputs!AM97*IF(Inputs!$E97="Real",1,AR$5)/Data!$F9</f>
        <v>0</v>
      </c>
      <c r="AR84" s="303">
        <f>Inputs!AN97*IF(Inputs!$E97="Real",1,AS$5)/Data!$F9</f>
        <v>0</v>
      </c>
      <c r="AS84" s="303">
        <f>Inputs!AO97*IF(Inputs!$E97="Real",1,AT$5)/Data!$F9</f>
        <v>0</v>
      </c>
      <c r="AT84" s="303">
        <f>Inputs!AP97*IF(Inputs!$E97="Real",1,AU$5)/Data!$F9</f>
        <v>0</v>
      </c>
      <c r="AU84" s="303">
        <f>Inputs!AQ97*IF(Inputs!$E97="Real",1,AV$5)/Data!$F9</f>
        <v>0</v>
      </c>
      <c r="AV84" s="303">
        <f>Inputs!AR97*IF(Inputs!$E97="Real",1,AW$5)/Data!$F9</f>
        <v>0</v>
      </c>
      <c r="AW84" s="303">
        <f>Inputs!AS97*IF(Inputs!$E97="Real",1,AX$5)/Data!$F9</f>
        <v>0</v>
      </c>
      <c r="AX84" s="303">
        <f>Inputs!AT97*IF(Inputs!$E97="Real",1,AY$5)/Data!$F9</f>
        <v>0</v>
      </c>
      <c r="AY84" s="303">
        <f>Inputs!AU97*IF(Inputs!$E97="Real",1,AZ$5)/Data!$F9</f>
        <v>0</v>
      </c>
      <c r="AZ84" s="303">
        <f>Inputs!AV97*IF(Inputs!$E97="Real",1,BA$5)/Data!$F9</f>
        <v>0</v>
      </c>
      <c r="BA84" s="303">
        <f>Inputs!AW97*IF(Inputs!$E97="Real",1,BB$5)/Data!$F9</f>
        <v>0</v>
      </c>
      <c r="BB84" s="303">
        <f>Inputs!AX97*IF(Inputs!$E97="Real",1,BC$5)/Data!$F9</f>
        <v>0</v>
      </c>
      <c r="BC84" s="303">
        <f>Inputs!AY97*IF(Inputs!$E97="Real",1,BD$5)/Data!$F9</f>
        <v>0</v>
      </c>
      <c r="BD84" s="303">
        <f>Inputs!AZ97*IF(Inputs!$E97="Real",1,BE$5)/Data!$F9</f>
        <v>0</v>
      </c>
      <c r="BE84" s="303">
        <f>Inputs!BA97*IF(Inputs!$E97="Real",1,BF$5)/Data!$F9</f>
        <v>0</v>
      </c>
    </row>
    <row r="85" spans="1:57" x14ac:dyDescent="0.35">
      <c r="A85" s="95"/>
      <c r="B85" s="95"/>
      <c r="C85" s="318">
        <f>'Project description'!$B$5</f>
        <v>0</v>
      </c>
      <c r="D85" s="319" t="str">
        <f>Lists!$B$34</f>
        <v/>
      </c>
      <c r="E85" s="321" t="s">
        <v>148</v>
      </c>
      <c r="F85" s="321" t="str">
        <f>Inputs!B98</f>
        <v>Light fuel oil</v>
      </c>
      <c r="G85" s="321" t="s">
        <v>142</v>
      </c>
      <c r="H85" s="321" t="s">
        <v>16</v>
      </c>
      <c r="I85" s="321" t="s">
        <v>109</v>
      </c>
      <c r="J85" s="301">
        <f t="shared" si="6"/>
        <v>0</v>
      </c>
      <c r="K85" s="261" t="str">
        <f>IF(Inputs!G98="","",Inputs!G98)</f>
        <v/>
      </c>
      <c r="L85" s="303">
        <f>Inputs!H98*IF(Inputs!$E98="Real",1,M$5)/Data!$F10</f>
        <v>0</v>
      </c>
      <c r="M85" s="303">
        <f>Inputs!I98*IF(Inputs!$E98="Real",1,N$5)/Data!$F10</f>
        <v>0</v>
      </c>
      <c r="N85" s="303">
        <f>Inputs!J98*IF(Inputs!$E98="Real",1,O$5)/Data!$F10</f>
        <v>0</v>
      </c>
      <c r="O85" s="303">
        <f>Inputs!K98*IF(Inputs!$E98="Real",1,P$5)/Data!$F10</f>
        <v>0</v>
      </c>
      <c r="P85" s="303">
        <f>Inputs!L98*IF(Inputs!$E98="Real",1,Q$5)/Data!$F10</f>
        <v>0</v>
      </c>
      <c r="Q85" s="303">
        <f>Inputs!M98*IF(Inputs!$E98="Real",1,R$5)/Data!$F10</f>
        <v>0</v>
      </c>
      <c r="R85" s="303">
        <f>Inputs!N98*IF(Inputs!$E98="Real",1,S$5)/Data!$F10</f>
        <v>0</v>
      </c>
      <c r="S85" s="303">
        <f>Inputs!O98*IF(Inputs!$E98="Real",1,T$5)/Data!$F10</f>
        <v>0</v>
      </c>
      <c r="T85" s="303">
        <f>Inputs!P98*IF(Inputs!$E98="Real",1,U$5)/Data!$F10</f>
        <v>0</v>
      </c>
      <c r="U85" s="303">
        <f>Inputs!Q98*IF(Inputs!$E98="Real",1,V$5)/Data!$F10</f>
        <v>0</v>
      </c>
      <c r="V85" s="303">
        <f>Inputs!R98*IF(Inputs!$E98="Real",1,W$5)/Data!$F10</f>
        <v>0</v>
      </c>
      <c r="W85" s="303">
        <f>Inputs!S98*IF(Inputs!$E98="Real",1,X$5)/Data!$F10</f>
        <v>0</v>
      </c>
      <c r="X85" s="303">
        <f>Inputs!T98*IF(Inputs!$E98="Real",1,Y$5)/Data!$F10</f>
        <v>0</v>
      </c>
      <c r="Y85" s="303">
        <f>Inputs!U98*IF(Inputs!$E98="Real",1,Z$5)/Data!$F10</f>
        <v>0</v>
      </c>
      <c r="Z85" s="303">
        <f>Inputs!V98*IF(Inputs!$E98="Real",1,AA$5)/Data!$F10</f>
        <v>0</v>
      </c>
      <c r="AA85" s="303">
        <f>Inputs!W98*IF(Inputs!$E98="Real",1,AB$5)/Data!$F10</f>
        <v>0</v>
      </c>
      <c r="AB85" s="303">
        <f>Inputs!X98*IF(Inputs!$E98="Real",1,AC$5)/Data!$F10</f>
        <v>0</v>
      </c>
      <c r="AC85" s="303">
        <f>Inputs!Y98*IF(Inputs!$E98="Real",1,AD$5)/Data!$F10</f>
        <v>0</v>
      </c>
      <c r="AD85" s="303">
        <f>Inputs!Z98*IF(Inputs!$E98="Real",1,AE$5)/Data!$F10</f>
        <v>0</v>
      </c>
      <c r="AE85" s="303">
        <f>Inputs!AA98*IF(Inputs!$E98="Real",1,AF$5)/Data!$F10</f>
        <v>0</v>
      </c>
      <c r="AF85" s="303">
        <f>Inputs!AB98*IF(Inputs!$E98="Real",1,AG$5)/Data!$F10</f>
        <v>0</v>
      </c>
      <c r="AG85" s="303">
        <f>Inputs!AC98*IF(Inputs!$E98="Real",1,AH$5)/Data!$F10</f>
        <v>0</v>
      </c>
      <c r="AH85" s="303">
        <f>Inputs!AD98*IF(Inputs!$E98="Real",1,AI$5)/Data!$F10</f>
        <v>0</v>
      </c>
      <c r="AI85" s="303">
        <f>Inputs!AE98*IF(Inputs!$E98="Real",1,AJ$5)/Data!$F10</f>
        <v>0</v>
      </c>
      <c r="AJ85" s="303">
        <f>Inputs!AF98*IF(Inputs!$E98="Real",1,AK$5)/Data!$F10</f>
        <v>0</v>
      </c>
      <c r="AK85" s="303">
        <f>Inputs!AG98*IF(Inputs!$E98="Real",1,AL$5)/Data!$F10</f>
        <v>0</v>
      </c>
      <c r="AL85" s="303">
        <f>Inputs!AH98*IF(Inputs!$E98="Real",1,AM$5)/Data!$F10</f>
        <v>0</v>
      </c>
      <c r="AM85" s="303">
        <f>Inputs!AI98*IF(Inputs!$E98="Real",1,AN$5)/Data!$F10</f>
        <v>0</v>
      </c>
      <c r="AN85" s="303">
        <f>Inputs!AJ98*IF(Inputs!$E98="Real",1,AO$5)/Data!$F10</f>
        <v>0</v>
      </c>
      <c r="AO85" s="303">
        <f>Inputs!AK98*IF(Inputs!$E98="Real",1,AP$5)/Data!$F10</f>
        <v>0</v>
      </c>
      <c r="AP85" s="303">
        <f>Inputs!AL98*IF(Inputs!$E98="Real",1,AQ$5)/Data!$F10</f>
        <v>0</v>
      </c>
      <c r="AQ85" s="303">
        <f>Inputs!AM98*IF(Inputs!$E98="Real",1,AR$5)/Data!$F10</f>
        <v>0</v>
      </c>
      <c r="AR85" s="303">
        <f>Inputs!AN98*IF(Inputs!$E98="Real",1,AS$5)/Data!$F10</f>
        <v>0</v>
      </c>
      <c r="AS85" s="303">
        <f>Inputs!AO98*IF(Inputs!$E98="Real",1,AT$5)/Data!$F10</f>
        <v>0</v>
      </c>
      <c r="AT85" s="303">
        <f>Inputs!AP98*IF(Inputs!$E98="Real",1,AU$5)/Data!$F10</f>
        <v>0</v>
      </c>
      <c r="AU85" s="303">
        <f>Inputs!AQ98*IF(Inputs!$E98="Real",1,AV$5)/Data!$F10</f>
        <v>0</v>
      </c>
      <c r="AV85" s="303">
        <f>Inputs!AR98*IF(Inputs!$E98="Real",1,AW$5)/Data!$F10</f>
        <v>0</v>
      </c>
      <c r="AW85" s="303">
        <f>Inputs!AS98*IF(Inputs!$E98="Real",1,AX$5)/Data!$F10</f>
        <v>0</v>
      </c>
      <c r="AX85" s="303">
        <f>Inputs!AT98*IF(Inputs!$E98="Real",1,AY$5)/Data!$F10</f>
        <v>0</v>
      </c>
      <c r="AY85" s="303">
        <f>Inputs!AU98*IF(Inputs!$E98="Real",1,AZ$5)/Data!$F10</f>
        <v>0</v>
      </c>
      <c r="AZ85" s="303">
        <f>Inputs!AV98*IF(Inputs!$E98="Real",1,BA$5)/Data!$F10</f>
        <v>0</v>
      </c>
      <c r="BA85" s="303">
        <f>Inputs!AW98*IF(Inputs!$E98="Real",1,BB$5)/Data!$F10</f>
        <v>0</v>
      </c>
      <c r="BB85" s="303">
        <f>Inputs!AX98*IF(Inputs!$E98="Real",1,BC$5)/Data!$F10</f>
        <v>0</v>
      </c>
      <c r="BC85" s="303">
        <f>Inputs!AY98*IF(Inputs!$E98="Real",1,BD$5)/Data!$F10</f>
        <v>0</v>
      </c>
      <c r="BD85" s="303">
        <f>Inputs!AZ98*IF(Inputs!$E98="Real",1,BE$5)/Data!$F10</f>
        <v>0</v>
      </c>
      <c r="BE85" s="303">
        <f>Inputs!BA98*IF(Inputs!$E98="Real",1,BF$5)/Data!$F10</f>
        <v>0</v>
      </c>
    </row>
    <row r="86" spans="1:57" x14ac:dyDescent="0.35">
      <c r="A86" s="95"/>
      <c r="B86" s="95"/>
      <c r="C86" s="318">
        <f>'Project description'!$B$5</f>
        <v>0</v>
      </c>
      <c r="D86" s="319" t="str">
        <f>Lists!$B$34</f>
        <v/>
      </c>
      <c r="E86" s="321" t="s">
        <v>148</v>
      </c>
      <c r="F86" s="321" t="str">
        <f>Inputs!B99</f>
        <v>Heavy fuel oil</v>
      </c>
      <c r="G86" s="321" t="s">
        <v>142</v>
      </c>
      <c r="H86" s="321" t="s">
        <v>16</v>
      </c>
      <c r="I86" s="321" t="s">
        <v>109</v>
      </c>
      <c r="J86" s="301">
        <f t="shared" si="6"/>
        <v>0</v>
      </c>
      <c r="K86" s="261" t="str">
        <f>IF(Inputs!G99="","",Inputs!G99)</f>
        <v/>
      </c>
      <c r="L86" s="303">
        <f>Inputs!H99*IF(Inputs!$E99="Real",1,M$5)/Data!$F11</f>
        <v>0</v>
      </c>
      <c r="M86" s="303">
        <f>Inputs!I99*IF(Inputs!$E99="Real",1,N$5)/Data!$F11</f>
        <v>0</v>
      </c>
      <c r="N86" s="303">
        <f>Inputs!J99*IF(Inputs!$E99="Real",1,O$5)/Data!$F11</f>
        <v>0</v>
      </c>
      <c r="O86" s="303">
        <f>Inputs!K99*IF(Inputs!$E99="Real",1,P$5)/Data!$F11</f>
        <v>0</v>
      </c>
      <c r="P86" s="303">
        <f>Inputs!L99*IF(Inputs!$E99="Real",1,Q$5)/Data!$F11</f>
        <v>0</v>
      </c>
      <c r="Q86" s="303">
        <f>Inputs!M99*IF(Inputs!$E99="Real",1,R$5)/Data!$F11</f>
        <v>0</v>
      </c>
      <c r="R86" s="303">
        <f>Inputs!N99*IF(Inputs!$E99="Real",1,S$5)/Data!$F11</f>
        <v>0</v>
      </c>
      <c r="S86" s="303">
        <f>Inputs!O99*IF(Inputs!$E99="Real",1,T$5)/Data!$F11</f>
        <v>0</v>
      </c>
      <c r="T86" s="303">
        <f>Inputs!P99*IF(Inputs!$E99="Real",1,U$5)/Data!$F11</f>
        <v>0</v>
      </c>
      <c r="U86" s="303">
        <f>Inputs!Q99*IF(Inputs!$E99="Real",1,V$5)/Data!$F11</f>
        <v>0</v>
      </c>
      <c r="V86" s="303">
        <f>Inputs!R99*IF(Inputs!$E99="Real",1,W$5)/Data!$F11</f>
        <v>0</v>
      </c>
      <c r="W86" s="303">
        <f>Inputs!S99*IF(Inputs!$E99="Real",1,X$5)/Data!$F11</f>
        <v>0</v>
      </c>
      <c r="X86" s="303">
        <f>Inputs!T99*IF(Inputs!$E99="Real",1,Y$5)/Data!$F11</f>
        <v>0</v>
      </c>
      <c r="Y86" s="303">
        <f>Inputs!U99*IF(Inputs!$E99="Real",1,Z$5)/Data!$F11</f>
        <v>0</v>
      </c>
      <c r="Z86" s="303">
        <f>Inputs!V99*IF(Inputs!$E99="Real",1,AA$5)/Data!$F11</f>
        <v>0</v>
      </c>
      <c r="AA86" s="303">
        <f>Inputs!W99*IF(Inputs!$E99="Real",1,AB$5)/Data!$F11</f>
        <v>0</v>
      </c>
      <c r="AB86" s="303">
        <f>Inputs!X99*IF(Inputs!$E99="Real",1,AC$5)/Data!$F11</f>
        <v>0</v>
      </c>
      <c r="AC86" s="303">
        <f>Inputs!Y99*IF(Inputs!$E99="Real",1,AD$5)/Data!$F11</f>
        <v>0</v>
      </c>
      <c r="AD86" s="303">
        <f>Inputs!Z99*IF(Inputs!$E99="Real",1,AE$5)/Data!$F11</f>
        <v>0</v>
      </c>
      <c r="AE86" s="303">
        <f>Inputs!AA99*IF(Inputs!$E99="Real",1,AF$5)/Data!$F11</f>
        <v>0</v>
      </c>
      <c r="AF86" s="303">
        <f>Inputs!AB99*IF(Inputs!$E99="Real",1,AG$5)/Data!$F11</f>
        <v>0</v>
      </c>
      <c r="AG86" s="303">
        <f>Inputs!AC99*IF(Inputs!$E99="Real",1,AH$5)/Data!$F11</f>
        <v>0</v>
      </c>
      <c r="AH86" s="303">
        <f>Inputs!AD99*IF(Inputs!$E99="Real",1,AI$5)/Data!$F11</f>
        <v>0</v>
      </c>
      <c r="AI86" s="303">
        <f>Inputs!AE99*IF(Inputs!$E99="Real",1,AJ$5)/Data!$F11</f>
        <v>0</v>
      </c>
      <c r="AJ86" s="303">
        <f>Inputs!AF99*IF(Inputs!$E99="Real",1,AK$5)/Data!$F11</f>
        <v>0</v>
      </c>
      <c r="AK86" s="303">
        <f>Inputs!AG99*IF(Inputs!$E99="Real",1,AL$5)/Data!$F11</f>
        <v>0</v>
      </c>
      <c r="AL86" s="303">
        <f>Inputs!AH99*IF(Inputs!$E99="Real",1,AM$5)/Data!$F11</f>
        <v>0</v>
      </c>
      <c r="AM86" s="303">
        <f>Inputs!AI99*IF(Inputs!$E99="Real",1,AN$5)/Data!$F11</f>
        <v>0</v>
      </c>
      <c r="AN86" s="303">
        <f>Inputs!AJ99*IF(Inputs!$E99="Real",1,AO$5)/Data!$F11</f>
        <v>0</v>
      </c>
      <c r="AO86" s="303">
        <f>Inputs!AK99*IF(Inputs!$E99="Real",1,AP$5)/Data!$F11</f>
        <v>0</v>
      </c>
      <c r="AP86" s="303">
        <f>Inputs!AL99*IF(Inputs!$E99="Real",1,AQ$5)/Data!$F11</f>
        <v>0</v>
      </c>
      <c r="AQ86" s="303">
        <f>Inputs!AM99*IF(Inputs!$E99="Real",1,AR$5)/Data!$F11</f>
        <v>0</v>
      </c>
      <c r="AR86" s="303">
        <f>Inputs!AN99*IF(Inputs!$E99="Real",1,AS$5)/Data!$F11</f>
        <v>0</v>
      </c>
      <c r="AS86" s="303">
        <f>Inputs!AO99*IF(Inputs!$E99="Real",1,AT$5)/Data!$F11</f>
        <v>0</v>
      </c>
      <c r="AT86" s="303">
        <f>Inputs!AP99*IF(Inputs!$E99="Real",1,AU$5)/Data!$F11</f>
        <v>0</v>
      </c>
      <c r="AU86" s="303">
        <f>Inputs!AQ99*IF(Inputs!$E99="Real",1,AV$5)/Data!$F11</f>
        <v>0</v>
      </c>
      <c r="AV86" s="303">
        <f>Inputs!AR99*IF(Inputs!$E99="Real",1,AW$5)/Data!$F11</f>
        <v>0</v>
      </c>
      <c r="AW86" s="303">
        <f>Inputs!AS99*IF(Inputs!$E99="Real",1,AX$5)/Data!$F11</f>
        <v>0</v>
      </c>
      <c r="AX86" s="303">
        <f>Inputs!AT99*IF(Inputs!$E99="Real",1,AY$5)/Data!$F11</f>
        <v>0</v>
      </c>
      <c r="AY86" s="303">
        <f>Inputs!AU99*IF(Inputs!$E99="Real",1,AZ$5)/Data!$F11</f>
        <v>0</v>
      </c>
      <c r="AZ86" s="303">
        <f>Inputs!AV99*IF(Inputs!$E99="Real",1,BA$5)/Data!$F11</f>
        <v>0</v>
      </c>
      <c r="BA86" s="303">
        <f>Inputs!AW99*IF(Inputs!$E99="Real",1,BB$5)/Data!$F11</f>
        <v>0</v>
      </c>
      <c r="BB86" s="303">
        <f>Inputs!AX99*IF(Inputs!$E99="Real",1,BC$5)/Data!$F11</f>
        <v>0</v>
      </c>
      <c r="BC86" s="303">
        <f>Inputs!AY99*IF(Inputs!$E99="Real",1,BD$5)/Data!$F11</f>
        <v>0</v>
      </c>
      <c r="BD86" s="303">
        <f>Inputs!AZ99*IF(Inputs!$E99="Real",1,BE$5)/Data!$F11</f>
        <v>0</v>
      </c>
      <c r="BE86" s="303">
        <f>Inputs!BA99*IF(Inputs!$E99="Real",1,BF$5)/Data!$F11</f>
        <v>0</v>
      </c>
    </row>
    <row r="87" spans="1:57" x14ac:dyDescent="0.35">
      <c r="A87" s="95"/>
      <c r="B87" s="95"/>
      <c r="C87" s="318">
        <f>'Project description'!$B$5</f>
        <v>0</v>
      </c>
      <c r="D87" s="319" t="str">
        <f>Lists!$B$34</f>
        <v/>
      </c>
      <c r="E87" s="321" t="s">
        <v>148</v>
      </c>
      <c r="F87" s="321" t="str">
        <f>Inputs!B100</f>
        <v>Geothermal</v>
      </c>
      <c r="G87" s="321" t="s">
        <v>142</v>
      </c>
      <c r="H87" s="321" t="s">
        <v>16</v>
      </c>
      <c r="I87" s="321" t="s">
        <v>109</v>
      </c>
      <c r="J87" s="301">
        <f t="shared" si="6"/>
        <v>0</v>
      </c>
      <c r="K87" s="261" t="str">
        <f>IF(Inputs!G100="","",Inputs!G100)</f>
        <v/>
      </c>
      <c r="L87" s="303">
        <f>Inputs!H100*IF(Inputs!$E100="Real",1,M$5)/Data!$F12</f>
        <v>0</v>
      </c>
      <c r="M87" s="303">
        <f>Inputs!I100*IF(Inputs!$E100="Real",1,N$5)/Data!$F12</f>
        <v>0</v>
      </c>
      <c r="N87" s="303">
        <f>Inputs!J100*IF(Inputs!$E100="Real",1,O$5)/Data!$F12</f>
        <v>0</v>
      </c>
      <c r="O87" s="303">
        <f>Inputs!K100*IF(Inputs!$E100="Real",1,P$5)/Data!$F12</f>
        <v>0</v>
      </c>
      <c r="P87" s="303">
        <f>Inputs!L100*IF(Inputs!$E100="Real",1,Q$5)/Data!$F12</f>
        <v>0</v>
      </c>
      <c r="Q87" s="303">
        <f>Inputs!M100*IF(Inputs!$E100="Real",1,R$5)/Data!$F12</f>
        <v>0</v>
      </c>
      <c r="R87" s="303">
        <f>Inputs!N100*IF(Inputs!$E100="Real",1,S$5)/Data!$F12</f>
        <v>0</v>
      </c>
      <c r="S87" s="303">
        <f>Inputs!O100*IF(Inputs!$E100="Real",1,T$5)/Data!$F12</f>
        <v>0</v>
      </c>
      <c r="T87" s="303">
        <f>Inputs!P100*IF(Inputs!$E100="Real",1,U$5)/Data!$F12</f>
        <v>0</v>
      </c>
      <c r="U87" s="303">
        <f>Inputs!Q100*IF(Inputs!$E100="Real",1,V$5)/Data!$F12</f>
        <v>0</v>
      </c>
      <c r="V87" s="303">
        <f>Inputs!R100*IF(Inputs!$E100="Real",1,W$5)/Data!$F12</f>
        <v>0</v>
      </c>
      <c r="W87" s="303">
        <f>Inputs!S100*IF(Inputs!$E100="Real",1,X$5)/Data!$F12</f>
        <v>0</v>
      </c>
      <c r="X87" s="303">
        <f>Inputs!T100*IF(Inputs!$E100="Real",1,Y$5)/Data!$F12</f>
        <v>0</v>
      </c>
      <c r="Y87" s="303">
        <f>Inputs!U100*IF(Inputs!$E100="Real",1,Z$5)/Data!$F12</f>
        <v>0</v>
      </c>
      <c r="Z87" s="303">
        <f>Inputs!V100*IF(Inputs!$E100="Real",1,AA$5)/Data!$F12</f>
        <v>0</v>
      </c>
      <c r="AA87" s="303">
        <f>Inputs!W100*IF(Inputs!$E100="Real",1,AB$5)/Data!$F12</f>
        <v>0</v>
      </c>
      <c r="AB87" s="303">
        <f>Inputs!X100*IF(Inputs!$E100="Real",1,AC$5)/Data!$F12</f>
        <v>0</v>
      </c>
      <c r="AC87" s="303">
        <f>Inputs!Y100*IF(Inputs!$E100="Real",1,AD$5)/Data!$F12</f>
        <v>0</v>
      </c>
      <c r="AD87" s="303">
        <f>Inputs!Z100*IF(Inputs!$E100="Real",1,AE$5)/Data!$F12</f>
        <v>0</v>
      </c>
      <c r="AE87" s="303">
        <f>Inputs!AA100*IF(Inputs!$E100="Real",1,AF$5)/Data!$F12</f>
        <v>0</v>
      </c>
      <c r="AF87" s="303">
        <f>Inputs!AB100*IF(Inputs!$E100="Real",1,AG$5)/Data!$F12</f>
        <v>0</v>
      </c>
      <c r="AG87" s="303">
        <f>Inputs!AC100*IF(Inputs!$E100="Real",1,AH$5)/Data!$F12</f>
        <v>0</v>
      </c>
      <c r="AH87" s="303">
        <f>Inputs!AD100*IF(Inputs!$E100="Real",1,AI$5)/Data!$F12</f>
        <v>0</v>
      </c>
      <c r="AI87" s="303">
        <f>Inputs!AE100*IF(Inputs!$E100="Real",1,AJ$5)/Data!$F12</f>
        <v>0</v>
      </c>
      <c r="AJ87" s="303">
        <f>Inputs!AF100*IF(Inputs!$E100="Real",1,AK$5)/Data!$F12</f>
        <v>0</v>
      </c>
      <c r="AK87" s="303">
        <f>Inputs!AG100*IF(Inputs!$E100="Real",1,AL$5)/Data!$F12</f>
        <v>0</v>
      </c>
      <c r="AL87" s="303">
        <f>Inputs!AH100*IF(Inputs!$E100="Real",1,AM$5)/Data!$F12</f>
        <v>0</v>
      </c>
      <c r="AM87" s="303">
        <f>Inputs!AI100*IF(Inputs!$E100="Real",1,AN$5)/Data!$F12</f>
        <v>0</v>
      </c>
      <c r="AN87" s="303">
        <f>Inputs!AJ100*IF(Inputs!$E100="Real",1,AO$5)/Data!$F12</f>
        <v>0</v>
      </c>
      <c r="AO87" s="303">
        <f>Inputs!AK100*IF(Inputs!$E100="Real",1,AP$5)/Data!$F12</f>
        <v>0</v>
      </c>
      <c r="AP87" s="303">
        <f>Inputs!AL100*IF(Inputs!$E100="Real",1,AQ$5)/Data!$F12</f>
        <v>0</v>
      </c>
      <c r="AQ87" s="303">
        <f>Inputs!AM100*IF(Inputs!$E100="Real",1,AR$5)/Data!$F12</f>
        <v>0</v>
      </c>
      <c r="AR87" s="303">
        <f>Inputs!AN100*IF(Inputs!$E100="Real",1,AS$5)/Data!$F12</f>
        <v>0</v>
      </c>
      <c r="AS87" s="303">
        <f>Inputs!AO100*IF(Inputs!$E100="Real",1,AT$5)/Data!$F12</f>
        <v>0</v>
      </c>
      <c r="AT87" s="303">
        <f>Inputs!AP100*IF(Inputs!$E100="Real",1,AU$5)/Data!$F12</f>
        <v>0</v>
      </c>
      <c r="AU87" s="303">
        <f>Inputs!AQ100*IF(Inputs!$E100="Real",1,AV$5)/Data!$F12</f>
        <v>0</v>
      </c>
      <c r="AV87" s="303">
        <f>Inputs!AR100*IF(Inputs!$E100="Real",1,AW$5)/Data!$F12</f>
        <v>0</v>
      </c>
      <c r="AW87" s="303">
        <f>Inputs!AS100*IF(Inputs!$E100="Real",1,AX$5)/Data!$F12</f>
        <v>0</v>
      </c>
      <c r="AX87" s="303">
        <f>Inputs!AT100*IF(Inputs!$E100="Real",1,AY$5)/Data!$F12</f>
        <v>0</v>
      </c>
      <c r="AY87" s="303">
        <f>Inputs!AU100*IF(Inputs!$E100="Real",1,AZ$5)/Data!$F12</f>
        <v>0</v>
      </c>
      <c r="AZ87" s="303">
        <f>Inputs!AV100*IF(Inputs!$E100="Real",1,BA$5)/Data!$F12</f>
        <v>0</v>
      </c>
      <c r="BA87" s="303">
        <f>Inputs!AW100*IF(Inputs!$E100="Real",1,BB$5)/Data!$F12</f>
        <v>0</v>
      </c>
      <c r="BB87" s="303">
        <f>Inputs!AX100*IF(Inputs!$E100="Real",1,BC$5)/Data!$F12</f>
        <v>0</v>
      </c>
      <c r="BC87" s="303">
        <f>Inputs!AY100*IF(Inputs!$E100="Real",1,BD$5)/Data!$F12</f>
        <v>0</v>
      </c>
      <c r="BD87" s="303">
        <f>Inputs!AZ100*IF(Inputs!$E100="Real",1,BE$5)/Data!$F12</f>
        <v>0</v>
      </c>
      <c r="BE87" s="303">
        <f>Inputs!BA100*IF(Inputs!$E100="Real",1,BF$5)/Data!$F12</f>
        <v>0</v>
      </c>
    </row>
    <row r="88" spans="1:57" x14ac:dyDescent="0.35">
      <c r="A88" s="95"/>
      <c r="B88" s="95"/>
      <c r="C88" s="318">
        <f>'Project description'!$B$5</f>
        <v>0</v>
      </c>
      <c r="D88" s="319" t="str">
        <f>Lists!$B$34</f>
        <v/>
      </c>
      <c r="E88" s="321" t="s">
        <v>148</v>
      </c>
      <c r="F88" s="321" t="str">
        <f>Inputs!B101</f>
        <v>Wood or wood chips</v>
      </c>
      <c r="G88" s="321" t="s">
        <v>142</v>
      </c>
      <c r="H88" s="321" t="s">
        <v>16</v>
      </c>
      <c r="I88" s="321" t="s">
        <v>109</v>
      </c>
      <c r="J88" s="301">
        <f t="shared" si="6"/>
        <v>0</v>
      </c>
      <c r="K88" s="261" t="str">
        <f>IF(Inputs!G101="","",Inputs!G101)</f>
        <v/>
      </c>
      <c r="L88" s="303">
        <f>Inputs!H101*IF(Inputs!$E101="Real",1,M$5)/Data!$F13</f>
        <v>0</v>
      </c>
      <c r="M88" s="303">
        <f>Inputs!I101*IF(Inputs!$E101="Real",1,N$5)/Data!$F13</f>
        <v>0</v>
      </c>
      <c r="N88" s="303">
        <f>Inputs!J101*IF(Inputs!$E101="Real",1,O$5)/Data!$F13</f>
        <v>0</v>
      </c>
      <c r="O88" s="303">
        <f>Inputs!K101*IF(Inputs!$E101="Real",1,P$5)/Data!$F13</f>
        <v>0</v>
      </c>
      <c r="P88" s="303">
        <f>Inputs!L101*IF(Inputs!$E101="Real",1,Q$5)/Data!$F13</f>
        <v>0</v>
      </c>
      <c r="Q88" s="303">
        <f>Inputs!M101*IF(Inputs!$E101="Real",1,R$5)/Data!$F13</f>
        <v>0</v>
      </c>
      <c r="R88" s="303">
        <f>Inputs!N101*IF(Inputs!$E101="Real",1,S$5)/Data!$F13</f>
        <v>0</v>
      </c>
      <c r="S88" s="303">
        <f>Inputs!O101*IF(Inputs!$E101="Real",1,T$5)/Data!$F13</f>
        <v>0</v>
      </c>
      <c r="T88" s="303">
        <f>Inputs!P101*IF(Inputs!$E101="Real",1,U$5)/Data!$F13</f>
        <v>0</v>
      </c>
      <c r="U88" s="303">
        <f>Inputs!Q101*IF(Inputs!$E101="Real",1,V$5)/Data!$F13</f>
        <v>0</v>
      </c>
      <c r="V88" s="303">
        <f>Inputs!R101*IF(Inputs!$E101="Real",1,W$5)/Data!$F13</f>
        <v>0</v>
      </c>
      <c r="W88" s="303">
        <f>Inputs!S101*IF(Inputs!$E101="Real",1,X$5)/Data!$F13</f>
        <v>0</v>
      </c>
      <c r="X88" s="303">
        <f>Inputs!T101*IF(Inputs!$E101="Real",1,Y$5)/Data!$F13</f>
        <v>0</v>
      </c>
      <c r="Y88" s="303">
        <f>Inputs!U101*IF(Inputs!$E101="Real",1,Z$5)/Data!$F13</f>
        <v>0</v>
      </c>
      <c r="Z88" s="303">
        <f>Inputs!V101*IF(Inputs!$E101="Real",1,AA$5)/Data!$F13</f>
        <v>0</v>
      </c>
      <c r="AA88" s="303">
        <f>Inputs!W101*IF(Inputs!$E101="Real",1,AB$5)/Data!$F13</f>
        <v>0</v>
      </c>
      <c r="AB88" s="303">
        <f>Inputs!X101*IF(Inputs!$E101="Real",1,AC$5)/Data!$F13</f>
        <v>0</v>
      </c>
      <c r="AC88" s="303">
        <f>Inputs!Y101*IF(Inputs!$E101="Real",1,AD$5)/Data!$F13</f>
        <v>0</v>
      </c>
      <c r="AD88" s="303">
        <f>Inputs!Z101*IF(Inputs!$E101="Real",1,AE$5)/Data!$F13</f>
        <v>0</v>
      </c>
      <c r="AE88" s="303">
        <f>Inputs!AA101*IF(Inputs!$E101="Real",1,AF$5)/Data!$F13</f>
        <v>0</v>
      </c>
      <c r="AF88" s="303">
        <f>Inputs!AB101*IF(Inputs!$E101="Real",1,AG$5)/Data!$F13</f>
        <v>0</v>
      </c>
      <c r="AG88" s="303">
        <f>Inputs!AC101*IF(Inputs!$E101="Real",1,AH$5)/Data!$F13</f>
        <v>0</v>
      </c>
      <c r="AH88" s="303">
        <f>Inputs!AD101*IF(Inputs!$E101="Real",1,AI$5)/Data!$F13</f>
        <v>0</v>
      </c>
      <c r="AI88" s="303">
        <f>Inputs!AE101*IF(Inputs!$E101="Real",1,AJ$5)/Data!$F13</f>
        <v>0</v>
      </c>
      <c r="AJ88" s="303">
        <f>Inputs!AF101*IF(Inputs!$E101="Real",1,AK$5)/Data!$F13</f>
        <v>0</v>
      </c>
      <c r="AK88" s="303">
        <f>Inputs!AG101*IF(Inputs!$E101="Real",1,AL$5)/Data!$F13</f>
        <v>0</v>
      </c>
      <c r="AL88" s="303">
        <f>Inputs!AH101*IF(Inputs!$E101="Real",1,AM$5)/Data!$F13</f>
        <v>0</v>
      </c>
      <c r="AM88" s="303">
        <f>Inputs!AI101*IF(Inputs!$E101="Real",1,AN$5)/Data!$F13</f>
        <v>0</v>
      </c>
      <c r="AN88" s="303">
        <f>Inputs!AJ101*IF(Inputs!$E101="Real",1,AO$5)/Data!$F13</f>
        <v>0</v>
      </c>
      <c r="AO88" s="303">
        <f>Inputs!AK101*IF(Inputs!$E101="Real",1,AP$5)/Data!$F13</f>
        <v>0</v>
      </c>
      <c r="AP88" s="303">
        <f>Inputs!AL101*IF(Inputs!$E101="Real",1,AQ$5)/Data!$F13</f>
        <v>0</v>
      </c>
      <c r="AQ88" s="303">
        <f>Inputs!AM101*IF(Inputs!$E101="Real",1,AR$5)/Data!$F13</f>
        <v>0</v>
      </c>
      <c r="AR88" s="303">
        <f>Inputs!AN101*IF(Inputs!$E101="Real",1,AS$5)/Data!$F13</f>
        <v>0</v>
      </c>
      <c r="AS88" s="303">
        <f>Inputs!AO101*IF(Inputs!$E101="Real",1,AT$5)/Data!$F13</f>
        <v>0</v>
      </c>
      <c r="AT88" s="303">
        <f>Inputs!AP101*IF(Inputs!$E101="Real",1,AU$5)/Data!$F13</f>
        <v>0</v>
      </c>
      <c r="AU88" s="303">
        <f>Inputs!AQ101*IF(Inputs!$E101="Real",1,AV$5)/Data!$F13</f>
        <v>0</v>
      </c>
      <c r="AV88" s="303">
        <f>Inputs!AR101*IF(Inputs!$E101="Real",1,AW$5)/Data!$F13</f>
        <v>0</v>
      </c>
      <c r="AW88" s="303">
        <f>Inputs!AS101*IF(Inputs!$E101="Real",1,AX$5)/Data!$F13</f>
        <v>0</v>
      </c>
      <c r="AX88" s="303">
        <f>Inputs!AT101*IF(Inputs!$E101="Real",1,AY$5)/Data!$F13</f>
        <v>0</v>
      </c>
      <c r="AY88" s="303">
        <f>Inputs!AU101*IF(Inputs!$E101="Real",1,AZ$5)/Data!$F13</f>
        <v>0</v>
      </c>
      <c r="AZ88" s="303">
        <f>Inputs!AV101*IF(Inputs!$E101="Real",1,BA$5)/Data!$F13</f>
        <v>0</v>
      </c>
      <c r="BA88" s="303">
        <f>Inputs!AW101*IF(Inputs!$E101="Real",1,BB$5)/Data!$F13</f>
        <v>0</v>
      </c>
      <c r="BB88" s="303">
        <f>Inputs!AX101*IF(Inputs!$E101="Real",1,BC$5)/Data!$F13</f>
        <v>0</v>
      </c>
      <c r="BC88" s="303">
        <f>Inputs!AY101*IF(Inputs!$E101="Real",1,BD$5)/Data!$F13</f>
        <v>0</v>
      </c>
      <c r="BD88" s="303">
        <f>Inputs!AZ101*IF(Inputs!$E101="Real",1,BE$5)/Data!$F13</f>
        <v>0</v>
      </c>
      <c r="BE88" s="303">
        <f>Inputs!BA101*IF(Inputs!$E101="Real",1,BF$5)/Data!$F13</f>
        <v>0</v>
      </c>
    </row>
    <row r="89" spans="1:57" x14ac:dyDescent="0.35">
      <c r="A89" s="2"/>
      <c r="B89" s="2"/>
      <c r="C89" s="2"/>
      <c r="D89" s="2"/>
      <c r="E89" s="2"/>
      <c r="F89" s="2"/>
      <c r="G89" s="2"/>
      <c r="H89" s="2"/>
      <c r="I89" s="2"/>
      <c r="J89" s="111"/>
      <c r="K89" s="95"/>
      <c r="L89" s="95"/>
      <c r="M89" s="95"/>
      <c r="N89" s="95"/>
      <c r="O89" s="95"/>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95"/>
      <c r="AP89" s="95"/>
      <c r="AQ89" s="95"/>
      <c r="AR89" s="95"/>
      <c r="AS89" s="95"/>
      <c r="AT89" s="95"/>
      <c r="AU89" s="95"/>
      <c r="AV89" s="95"/>
      <c r="AW89" s="95"/>
      <c r="AX89" s="95"/>
      <c r="AY89" s="95"/>
      <c r="AZ89" s="95"/>
      <c r="BA89" s="95"/>
      <c r="BB89" s="95"/>
      <c r="BC89" s="95"/>
      <c r="BD89" s="95"/>
      <c r="BE89" s="95"/>
    </row>
    <row r="90" spans="1:57" x14ac:dyDescent="0.35">
      <c r="A90" s="27" t="s">
        <v>48</v>
      </c>
      <c r="B90" s="27"/>
      <c r="C90" s="27" t="s">
        <v>329</v>
      </c>
      <c r="D90" s="112" t="s">
        <v>330</v>
      </c>
      <c r="E90" s="10" t="s">
        <v>328</v>
      </c>
      <c r="F90" s="10" t="s">
        <v>60</v>
      </c>
      <c r="G90" s="10" t="s">
        <v>61</v>
      </c>
      <c r="H90" s="256" t="s">
        <v>108</v>
      </c>
      <c r="I90" s="256" t="s">
        <v>35</v>
      </c>
      <c r="J90" s="328" t="s">
        <v>283</v>
      </c>
      <c r="K90" s="256" t="s">
        <v>39</v>
      </c>
      <c r="L90" s="10" t="s">
        <v>303</v>
      </c>
      <c r="M90" s="10" t="s">
        <v>62</v>
      </c>
      <c r="N90" s="10" t="s">
        <v>63</v>
      </c>
      <c r="O90" s="10" t="s">
        <v>64</v>
      </c>
      <c r="P90" s="10" t="s">
        <v>65</v>
      </c>
      <c r="Q90" s="10" t="s">
        <v>66</v>
      </c>
      <c r="R90" s="10" t="s">
        <v>67</v>
      </c>
      <c r="S90" s="10" t="s">
        <v>68</v>
      </c>
      <c r="T90" s="10" t="s">
        <v>69</v>
      </c>
      <c r="U90" s="10" t="s">
        <v>70</v>
      </c>
      <c r="V90" s="10" t="s">
        <v>71</v>
      </c>
      <c r="W90" s="10" t="s">
        <v>72</v>
      </c>
      <c r="X90" s="10" t="s">
        <v>73</v>
      </c>
      <c r="Y90" s="10" t="s">
        <v>74</v>
      </c>
      <c r="Z90" s="10" t="s">
        <v>75</v>
      </c>
      <c r="AA90" s="10" t="s">
        <v>76</v>
      </c>
      <c r="AB90" s="10" t="s">
        <v>77</v>
      </c>
      <c r="AC90" s="10" t="s">
        <v>78</v>
      </c>
      <c r="AD90" s="10" t="s">
        <v>79</v>
      </c>
      <c r="AE90" s="10" t="s">
        <v>80</v>
      </c>
      <c r="AF90" s="10" t="s">
        <v>81</v>
      </c>
      <c r="AG90" s="10" t="s">
        <v>82</v>
      </c>
      <c r="AH90" s="10" t="s">
        <v>83</v>
      </c>
      <c r="AI90" s="10" t="s">
        <v>84</v>
      </c>
      <c r="AJ90" s="10" t="s">
        <v>85</v>
      </c>
      <c r="AK90" s="10" t="s">
        <v>86</v>
      </c>
      <c r="AL90" s="10" t="s">
        <v>87</v>
      </c>
      <c r="AM90" s="10" t="s">
        <v>88</v>
      </c>
      <c r="AN90" s="10" t="s">
        <v>89</v>
      </c>
      <c r="AO90" s="10" t="s">
        <v>90</v>
      </c>
      <c r="AP90" s="10" t="s">
        <v>91</v>
      </c>
      <c r="AQ90" s="10" t="s">
        <v>92</v>
      </c>
      <c r="AR90" s="10" t="s">
        <v>93</v>
      </c>
      <c r="AS90" s="10" t="s">
        <v>94</v>
      </c>
      <c r="AT90" s="10" t="s">
        <v>95</v>
      </c>
      <c r="AU90" s="10" t="s">
        <v>96</v>
      </c>
      <c r="AV90" s="10" t="s">
        <v>97</v>
      </c>
      <c r="AW90" s="10" t="s">
        <v>98</v>
      </c>
      <c r="AX90" s="10" t="s">
        <v>99</v>
      </c>
      <c r="AY90" s="10" t="s">
        <v>100</v>
      </c>
      <c r="AZ90" s="10" t="s">
        <v>101</v>
      </c>
      <c r="BA90" s="10" t="s">
        <v>102</v>
      </c>
      <c r="BB90" s="10" t="s">
        <v>103</v>
      </c>
      <c r="BC90" s="10" t="s">
        <v>104</v>
      </c>
      <c r="BD90" s="10" t="s">
        <v>105</v>
      </c>
      <c r="BE90" s="10" t="s">
        <v>106</v>
      </c>
    </row>
    <row r="91" spans="1:57" x14ac:dyDescent="0.35">
      <c r="A91" s="95"/>
      <c r="B91" s="95"/>
      <c r="C91" s="322">
        <f>'Project description'!$B$5</f>
        <v>0</v>
      </c>
      <c r="D91" s="323" t="str">
        <f>Lists!$B$34</f>
        <v/>
      </c>
      <c r="E91" s="325" t="s">
        <v>160</v>
      </c>
      <c r="F91" s="325" t="str">
        <f>Inputs!B104</f>
        <v>Electricity</v>
      </c>
      <c r="G91" s="325" t="s">
        <v>142</v>
      </c>
      <c r="H91" s="325" t="s">
        <v>16</v>
      </c>
      <c r="I91" s="325" t="s">
        <v>109</v>
      </c>
      <c r="J91" s="326">
        <f t="shared" ref="J91:J101" si="7">Analysis_year</f>
        <v>0</v>
      </c>
      <c r="K91" s="244" t="str">
        <f>IF(Inputs!G104="","",Inputs!G104)</f>
        <v/>
      </c>
      <c r="L91" s="308">
        <f>Data!M22/Data!$F3</f>
        <v>45.410647129950021</v>
      </c>
      <c r="M91" s="308">
        <f>Data!N22/Data!$F3</f>
        <v>43.405725949072362</v>
      </c>
      <c r="N91" s="308">
        <f>Data!O22/Data!$F3</f>
        <v>40.70503808330961</v>
      </c>
      <c r="O91" s="308">
        <f>Data!P22/Data!$F3</f>
        <v>38.924092685876658</v>
      </c>
      <c r="P91" s="308">
        <f>Data!Q22/Data!$F3</f>
        <v>37.142659017672841</v>
      </c>
      <c r="Q91" s="308">
        <f>Data!R22/Data!$F3</f>
        <v>35.36094106958118</v>
      </c>
      <c r="R91" s="308">
        <f>Data!S22/Data!$F3</f>
        <v>33.38524701309619</v>
      </c>
      <c r="S91" s="308">
        <f>Data!T22/Data!$F3</f>
        <v>31.680437665604451</v>
      </c>
      <c r="T91" s="308">
        <f>Data!U22/Data!$F3</f>
        <v>32.212969150514049</v>
      </c>
      <c r="U91" s="308">
        <f>Data!V22/Data!$F3</f>
        <v>32.767968741798235</v>
      </c>
      <c r="V91" s="308">
        <f>Data!W22/Data!$F3</f>
        <v>32.762152348089678</v>
      </c>
      <c r="W91" s="308">
        <f>Data!X22/Data!$F3</f>
        <v>32.827949806429963</v>
      </c>
      <c r="X91" s="308">
        <f>Data!Y22/Data!$F3</f>
        <v>32.815986856529165</v>
      </c>
      <c r="Y91" s="308">
        <f>Data!Z22/Data!$F3</f>
        <v>32.799868938645247</v>
      </c>
      <c r="Z91" s="308">
        <f>Data!AA22/Data!$F3</f>
        <v>32.783816045876151</v>
      </c>
      <c r="AA91" s="308">
        <f>Data!AB22/Data!$F3</f>
        <v>32.767711470042805</v>
      </c>
      <c r="AB91" s="308">
        <f>Data!AC22/Data!$F3</f>
        <v>32.751611225713383</v>
      </c>
      <c r="AC91" s="308">
        <f>Data!AD22/Data!$F3</f>
        <v>32.735499308149926</v>
      </c>
      <c r="AD91" s="308">
        <f>Data!AE22/Data!$F3</f>
        <v>32.719370973997883</v>
      </c>
      <c r="AE91" s="308">
        <f>Data!AF22/Data!$F3</f>
        <v>32.703214304154599</v>
      </c>
      <c r="AF91" s="308">
        <f>Data!AG22/Data!$F3</f>
        <v>32.68706727784361</v>
      </c>
      <c r="AG91" s="308">
        <f>Data!AH22/Data!$F3</f>
        <v>32.670897236183784</v>
      </c>
      <c r="AH91" s="308">
        <f>Data!AI22/Data!$F3</f>
        <v>32.654742862703834</v>
      </c>
      <c r="AI91" s="308">
        <f>Data!AJ22/Data!$F3</f>
        <v>32.638585726105731</v>
      </c>
      <c r="AJ91" s="308">
        <f>Data!AK22/Data!$F3</f>
        <v>32.622400125843384</v>
      </c>
      <c r="AK91" s="308">
        <f>Data!AL22/Data!$F3</f>
        <v>32.622400125843384</v>
      </c>
      <c r="AL91" s="308">
        <f>Data!AM22/Data!$F3</f>
        <v>32.622400125843384</v>
      </c>
      <c r="AM91" s="308">
        <f>Data!AN22/Data!$F3</f>
        <v>32.622400125843384</v>
      </c>
      <c r="AN91" s="308">
        <f>Data!AO22/Data!$F3</f>
        <v>32.622400125843384</v>
      </c>
      <c r="AO91" s="308">
        <f>Data!AP22/Data!$F3</f>
        <v>32.622400125843384</v>
      </c>
      <c r="AP91" s="308">
        <f>Data!AQ22/Data!$F3</f>
        <v>32.622400125843384</v>
      </c>
      <c r="AQ91" s="308">
        <f>Data!AR22/Data!$F3</f>
        <v>32.622400125843384</v>
      </c>
      <c r="AR91" s="308">
        <f>Data!AS22/Data!$F3</f>
        <v>32.622400125843384</v>
      </c>
      <c r="AS91" s="308">
        <f>Data!AT22/Data!$F3</f>
        <v>32.622400125843384</v>
      </c>
      <c r="AT91" s="308">
        <f>Data!AU22/Data!$F3</f>
        <v>32.622400125843384</v>
      </c>
      <c r="AU91" s="308">
        <f>Data!AV22/Data!$F3</f>
        <v>32.622400125843384</v>
      </c>
      <c r="AV91" s="308">
        <f>Data!AW22/Data!$F3</f>
        <v>32.622400125843384</v>
      </c>
      <c r="AW91" s="308">
        <f>Data!AX22/Data!$F3</f>
        <v>32.622400125843384</v>
      </c>
      <c r="AX91" s="308">
        <f>Data!AY22/Data!$F3</f>
        <v>32.622400125843384</v>
      </c>
      <c r="AY91" s="308">
        <f>Data!AZ22/Data!$F3</f>
        <v>32.622400125843384</v>
      </c>
      <c r="AZ91" s="308">
        <f>Data!BA22/Data!$F3</f>
        <v>32.622400125843384</v>
      </c>
      <c r="BA91" s="308">
        <f>Data!BB22/Data!$F3</f>
        <v>32.622400125843384</v>
      </c>
      <c r="BB91" s="308">
        <f>Data!BC22/Data!$F3</f>
        <v>32.622400125843384</v>
      </c>
      <c r="BC91" s="308">
        <f>Data!BD22/Data!$F3</f>
        <v>32.622400125843384</v>
      </c>
      <c r="BD91" s="308">
        <f>Data!BE22/Data!$F3</f>
        <v>32.622400125843384</v>
      </c>
      <c r="BE91" s="308">
        <f>Data!BF22/Data!$F3</f>
        <v>0</v>
      </c>
    </row>
    <row r="92" spans="1:57" x14ac:dyDescent="0.35">
      <c r="A92" s="95"/>
      <c r="B92" s="95"/>
      <c r="C92" s="322">
        <f>'Project description'!$B$5</f>
        <v>0</v>
      </c>
      <c r="D92" s="323" t="str">
        <f>Lists!$B$34</f>
        <v/>
      </c>
      <c r="E92" s="327" t="s">
        <v>160</v>
      </c>
      <c r="F92" s="327" t="str">
        <f>Inputs!B105</f>
        <v>Natural Gas</v>
      </c>
      <c r="G92" s="327" t="s">
        <v>142</v>
      </c>
      <c r="H92" s="327" t="s">
        <v>16</v>
      </c>
      <c r="I92" s="327" t="s">
        <v>109</v>
      </c>
      <c r="J92" s="313">
        <f t="shared" si="7"/>
        <v>0</v>
      </c>
      <c r="K92" s="316" t="str">
        <f>IF(Inputs!G105="","",Inputs!G105)</f>
        <v/>
      </c>
      <c r="L92" s="314">
        <f>Inputs!H105*IF(Inputs!$E105="Real",1,M$5)/Data!$F4</f>
        <v>10</v>
      </c>
      <c r="M92" s="314">
        <f>Inputs!I105*IF(Inputs!$E105="Real",1,N$5)/Data!$F4</f>
        <v>10</v>
      </c>
      <c r="N92" s="314">
        <f>Inputs!J105*IF(Inputs!$E105="Real",1,O$5)/Data!$F4</f>
        <v>10</v>
      </c>
      <c r="O92" s="314">
        <f>Inputs!K105*IF(Inputs!$E105="Real",1,P$5)/Data!$F4</f>
        <v>10</v>
      </c>
      <c r="P92" s="314">
        <f>Inputs!L105*IF(Inputs!$E105="Real",1,Q$5)/Data!$F4</f>
        <v>10</v>
      </c>
      <c r="Q92" s="314">
        <f>Inputs!M105*IF(Inputs!$E105="Real",1,R$5)/Data!$F4</f>
        <v>10</v>
      </c>
      <c r="R92" s="314">
        <f>Inputs!N105*IF(Inputs!$E105="Real",1,S$5)/Data!$F4</f>
        <v>10</v>
      </c>
      <c r="S92" s="314">
        <f>Inputs!O105*IF(Inputs!$E105="Real",1,T$5)/Data!$F4</f>
        <v>10</v>
      </c>
      <c r="T92" s="314">
        <f>Inputs!P105*IF(Inputs!$E105="Real",1,U$5)/Data!$F4</f>
        <v>10</v>
      </c>
      <c r="U92" s="314">
        <f>Inputs!Q105*IF(Inputs!$E105="Real",1,V$5)/Data!$F4</f>
        <v>10</v>
      </c>
      <c r="V92" s="314">
        <f>Inputs!R105*IF(Inputs!$E105="Real",1,W$5)/Data!$F4</f>
        <v>10</v>
      </c>
      <c r="W92" s="314">
        <f>Inputs!S105*IF(Inputs!$E105="Real",1,X$5)/Data!$F4</f>
        <v>10</v>
      </c>
      <c r="X92" s="314">
        <f>Inputs!T105*IF(Inputs!$E105="Real",1,Y$5)/Data!$F4</f>
        <v>10</v>
      </c>
      <c r="Y92" s="314">
        <f>Inputs!U105*IF(Inputs!$E105="Real",1,Z$5)/Data!$F4</f>
        <v>10</v>
      </c>
      <c r="Z92" s="314">
        <f>Inputs!V105*IF(Inputs!$E105="Real",1,AA$5)/Data!$F4</f>
        <v>10</v>
      </c>
      <c r="AA92" s="314">
        <f>Inputs!W105*IF(Inputs!$E105="Real",1,AB$5)/Data!$F4</f>
        <v>10</v>
      </c>
      <c r="AB92" s="314">
        <f>Inputs!X105*IF(Inputs!$E105="Real",1,AC$5)/Data!$F4</f>
        <v>10</v>
      </c>
      <c r="AC92" s="314">
        <f>Inputs!Y105*IF(Inputs!$E105="Real",1,AD$5)/Data!$F4</f>
        <v>10</v>
      </c>
      <c r="AD92" s="314">
        <f>Inputs!Z105*IF(Inputs!$E105="Real",1,AE$5)/Data!$F4</f>
        <v>10</v>
      </c>
      <c r="AE92" s="314">
        <f>Inputs!AA105*IF(Inputs!$E105="Real",1,AF$5)/Data!$F4</f>
        <v>10</v>
      </c>
      <c r="AF92" s="314">
        <f>Inputs!AB105*IF(Inputs!$E105="Real",1,AG$5)/Data!$F4</f>
        <v>10</v>
      </c>
      <c r="AG92" s="314">
        <f>Inputs!AC105*IF(Inputs!$E105="Real",1,AH$5)/Data!$F4</f>
        <v>10</v>
      </c>
      <c r="AH92" s="314">
        <f>Inputs!AD105*IF(Inputs!$E105="Real",1,AI$5)/Data!$F4</f>
        <v>0</v>
      </c>
      <c r="AI92" s="314">
        <f>Inputs!AE105*IF(Inputs!$E105="Real",1,AJ$5)/Data!$F4</f>
        <v>0</v>
      </c>
      <c r="AJ92" s="314">
        <f>Inputs!AF105*IF(Inputs!$E105="Real",1,AK$5)/Data!$F4</f>
        <v>0</v>
      </c>
      <c r="AK92" s="314">
        <f>Inputs!AG105*IF(Inputs!$E105="Real",1,AL$5)/Data!$F4</f>
        <v>0</v>
      </c>
      <c r="AL92" s="314">
        <f>Inputs!AH105*IF(Inputs!$E105="Real",1,AM$5)/Data!$F4</f>
        <v>0</v>
      </c>
      <c r="AM92" s="314">
        <f>Inputs!AI105*IF(Inputs!$E105="Real",1,AN$5)/Data!$F4</f>
        <v>0</v>
      </c>
      <c r="AN92" s="314">
        <f>Inputs!AJ105*IF(Inputs!$E105="Real",1,AO$5)/Data!$F4</f>
        <v>0</v>
      </c>
      <c r="AO92" s="314">
        <f>Inputs!AK105*IF(Inputs!$E105="Real",1,AP$5)/Data!$F4</f>
        <v>0</v>
      </c>
      <c r="AP92" s="314">
        <f>Inputs!AL105*IF(Inputs!$E105="Real",1,AQ$5)/Data!$F4</f>
        <v>0</v>
      </c>
      <c r="AQ92" s="314">
        <f>Inputs!AM105*IF(Inputs!$E105="Real",1,AR$5)/Data!$F4</f>
        <v>0</v>
      </c>
      <c r="AR92" s="314">
        <f>Inputs!AN105*IF(Inputs!$E105="Real",1,AS$5)/Data!$F4</f>
        <v>0</v>
      </c>
      <c r="AS92" s="314">
        <f>Inputs!AO105*IF(Inputs!$E105="Real",1,AT$5)/Data!$F4</f>
        <v>0</v>
      </c>
      <c r="AT92" s="314">
        <f>Inputs!AP105*IF(Inputs!$E105="Real",1,AU$5)/Data!$F4</f>
        <v>0</v>
      </c>
      <c r="AU92" s="314">
        <f>Inputs!AQ105*IF(Inputs!$E105="Real",1,AV$5)/Data!$F4</f>
        <v>0</v>
      </c>
      <c r="AV92" s="314">
        <f>Inputs!AR105*IF(Inputs!$E105="Real",1,AW$5)/Data!$F4</f>
        <v>0</v>
      </c>
      <c r="AW92" s="314">
        <f>Inputs!AS105*IF(Inputs!$E105="Real",1,AX$5)/Data!$F4</f>
        <v>0</v>
      </c>
      <c r="AX92" s="314">
        <f>Inputs!AT105*IF(Inputs!$E105="Real",1,AY$5)/Data!$F4</f>
        <v>0</v>
      </c>
      <c r="AY92" s="314">
        <f>Inputs!AU105*IF(Inputs!$E105="Real",1,AZ$5)/Data!$F4</f>
        <v>0</v>
      </c>
      <c r="AZ92" s="314">
        <f>Inputs!AV105*IF(Inputs!$E105="Real",1,BA$5)/Data!$F4</f>
        <v>0</v>
      </c>
      <c r="BA92" s="314">
        <f>Inputs!AW105*IF(Inputs!$E105="Real",1,BB$5)/Data!$F4</f>
        <v>0</v>
      </c>
      <c r="BB92" s="314">
        <f>Inputs!AX105*IF(Inputs!$E105="Real",1,BC$5)/Data!$F4</f>
        <v>0</v>
      </c>
      <c r="BC92" s="314">
        <f>Inputs!AY105*IF(Inputs!$E105="Real",1,BD$5)/Data!$F4</f>
        <v>0</v>
      </c>
      <c r="BD92" s="314">
        <f>Inputs!AZ105*IF(Inputs!$E105="Real",1,BE$5)/Data!$F4</f>
        <v>0</v>
      </c>
      <c r="BE92" s="314">
        <f>Inputs!BA105*IF(Inputs!$E105="Real",1,BF$5)/Data!$F4</f>
        <v>0</v>
      </c>
    </row>
    <row r="93" spans="1:57" x14ac:dyDescent="0.35">
      <c r="A93" s="95"/>
      <c r="B93" s="95"/>
      <c r="C93" s="322">
        <f>'Project description'!$B$5</f>
        <v>0</v>
      </c>
      <c r="D93" s="323" t="str">
        <f>Lists!$B$34</f>
        <v/>
      </c>
      <c r="E93" s="327" t="s">
        <v>160</v>
      </c>
      <c r="F93" s="327" t="str">
        <f>Inputs!B106</f>
        <v>Coal - sub bituminous</v>
      </c>
      <c r="G93" s="327" t="s">
        <v>142</v>
      </c>
      <c r="H93" s="327" t="s">
        <v>16</v>
      </c>
      <c r="I93" s="327" t="s">
        <v>109</v>
      </c>
      <c r="J93" s="313">
        <f t="shared" si="7"/>
        <v>0</v>
      </c>
      <c r="K93" s="316" t="str">
        <f>IF(Inputs!G106="","",Inputs!G106)</f>
        <v/>
      </c>
      <c r="L93" s="314">
        <f>Inputs!H106*IF(Inputs!$E106="Real",1,M$5)/Data!$F5</f>
        <v>6.8181818181818183</v>
      </c>
      <c r="M93" s="314">
        <f>Inputs!I106*IF(Inputs!$E106="Real",1,N$5)/Data!$F5</f>
        <v>6.8181818181818183</v>
      </c>
      <c r="N93" s="314">
        <f>Inputs!J106*IF(Inputs!$E106="Real",1,O$5)/Data!$F5</f>
        <v>6.8181818181818183</v>
      </c>
      <c r="O93" s="314">
        <f>Inputs!K106*IF(Inputs!$E106="Real",1,P$5)/Data!$F5</f>
        <v>6.8181818181818183</v>
      </c>
      <c r="P93" s="314">
        <f>Inputs!L106*IF(Inputs!$E106="Real",1,Q$5)/Data!$F5</f>
        <v>6.8181818181818183</v>
      </c>
      <c r="Q93" s="314">
        <f>Inputs!M106*IF(Inputs!$E106="Real",1,R$5)/Data!$F5</f>
        <v>6.8181818181818183</v>
      </c>
      <c r="R93" s="314">
        <f>Inputs!N106*IF(Inputs!$E106="Real",1,S$5)/Data!$F5</f>
        <v>6.8181818181818183</v>
      </c>
      <c r="S93" s="314">
        <f>Inputs!O106*IF(Inputs!$E106="Real",1,T$5)/Data!$F5</f>
        <v>6.8181818181818183</v>
      </c>
      <c r="T93" s="314">
        <f>Inputs!P106*IF(Inputs!$E106="Real",1,U$5)/Data!$F5</f>
        <v>6.8181818181818183</v>
      </c>
      <c r="U93" s="314">
        <f>Inputs!Q106*IF(Inputs!$E106="Real",1,V$5)/Data!$F5</f>
        <v>6.8181818181818183</v>
      </c>
      <c r="V93" s="314">
        <f>Inputs!R106*IF(Inputs!$E106="Real",1,W$5)/Data!$F5</f>
        <v>6.8181818181818183</v>
      </c>
      <c r="W93" s="314">
        <f>Inputs!S106*IF(Inputs!$E106="Real",1,X$5)/Data!$F5</f>
        <v>6.8181818181818183</v>
      </c>
      <c r="X93" s="314">
        <f>Inputs!T106*IF(Inputs!$E106="Real",1,Y$5)/Data!$F5</f>
        <v>6.8181818181818183</v>
      </c>
      <c r="Y93" s="314">
        <f>Inputs!U106*IF(Inputs!$E106="Real",1,Z$5)/Data!$F5</f>
        <v>6.8181818181818183</v>
      </c>
      <c r="Z93" s="314">
        <f>Inputs!V106*IF(Inputs!$E106="Real",1,AA$5)/Data!$F5</f>
        <v>6.8181818181818183</v>
      </c>
      <c r="AA93" s="314">
        <f>Inputs!W106*IF(Inputs!$E106="Real",1,AB$5)/Data!$F5</f>
        <v>6.8181818181818183</v>
      </c>
      <c r="AB93" s="314">
        <f>Inputs!X106*IF(Inputs!$E106="Real",1,AC$5)/Data!$F5</f>
        <v>6.8181818181818183</v>
      </c>
      <c r="AC93" s="314">
        <f>Inputs!Y106*IF(Inputs!$E106="Real",1,AD$5)/Data!$F5</f>
        <v>6.8181818181818183</v>
      </c>
      <c r="AD93" s="314">
        <f>Inputs!Z106*IF(Inputs!$E106="Real",1,AE$5)/Data!$F5</f>
        <v>6.8181818181818183</v>
      </c>
      <c r="AE93" s="314">
        <f>Inputs!AA106*IF(Inputs!$E106="Real",1,AF$5)/Data!$F5</f>
        <v>6.8181818181818183</v>
      </c>
      <c r="AF93" s="314">
        <f>Inputs!AB106*IF(Inputs!$E106="Real",1,AG$5)/Data!$F5</f>
        <v>6.8181818181818183</v>
      </c>
      <c r="AG93" s="314">
        <f>Inputs!AC106*IF(Inputs!$E106="Real",1,AH$5)/Data!$F5</f>
        <v>6.8181818181818183</v>
      </c>
      <c r="AH93" s="314">
        <f>Inputs!AD106*IF(Inputs!$E106="Real",1,AI$5)/Data!$F5</f>
        <v>0</v>
      </c>
      <c r="AI93" s="314">
        <f>Inputs!AE106*IF(Inputs!$E106="Real",1,AJ$5)/Data!$F5</f>
        <v>0</v>
      </c>
      <c r="AJ93" s="314">
        <f>Inputs!AF106*IF(Inputs!$E106="Real",1,AK$5)/Data!$F5</f>
        <v>0</v>
      </c>
      <c r="AK93" s="314">
        <f>Inputs!AG106*IF(Inputs!$E106="Real",1,AL$5)/Data!$F5</f>
        <v>0</v>
      </c>
      <c r="AL93" s="314">
        <f>Inputs!AH106*IF(Inputs!$E106="Real",1,AM$5)/Data!$F5</f>
        <v>0</v>
      </c>
      <c r="AM93" s="314">
        <f>Inputs!AI106*IF(Inputs!$E106="Real",1,AN$5)/Data!$F5</f>
        <v>0</v>
      </c>
      <c r="AN93" s="314">
        <f>Inputs!AJ106*IF(Inputs!$E106="Real",1,AO$5)/Data!$F5</f>
        <v>0</v>
      </c>
      <c r="AO93" s="314">
        <f>Inputs!AK106*IF(Inputs!$E106="Real",1,AP$5)/Data!$F5</f>
        <v>0</v>
      </c>
      <c r="AP93" s="314">
        <f>Inputs!AL106*IF(Inputs!$E106="Real",1,AQ$5)/Data!$F5</f>
        <v>0</v>
      </c>
      <c r="AQ93" s="314">
        <f>Inputs!AM106*IF(Inputs!$E106="Real",1,AR$5)/Data!$F5</f>
        <v>0</v>
      </c>
      <c r="AR93" s="314">
        <f>Inputs!AN106*IF(Inputs!$E106="Real",1,AS$5)/Data!$F5</f>
        <v>0</v>
      </c>
      <c r="AS93" s="314">
        <f>Inputs!AO106*IF(Inputs!$E106="Real",1,AT$5)/Data!$F5</f>
        <v>0</v>
      </c>
      <c r="AT93" s="314">
        <f>Inputs!AP106*IF(Inputs!$E106="Real",1,AU$5)/Data!$F5</f>
        <v>0</v>
      </c>
      <c r="AU93" s="314">
        <f>Inputs!AQ106*IF(Inputs!$E106="Real",1,AV$5)/Data!$F5</f>
        <v>0</v>
      </c>
      <c r="AV93" s="314">
        <f>Inputs!AR106*IF(Inputs!$E106="Real",1,AW$5)/Data!$F5</f>
        <v>0</v>
      </c>
      <c r="AW93" s="314">
        <f>Inputs!AS106*IF(Inputs!$E106="Real",1,AX$5)/Data!$F5</f>
        <v>0</v>
      </c>
      <c r="AX93" s="314">
        <f>Inputs!AT106*IF(Inputs!$E106="Real",1,AY$5)/Data!$F5</f>
        <v>0</v>
      </c>
      <c r="AY93" s="314">
        <f>Inputs!AU106*IF(Inputs!$E106="Real",1,AZ$5)/Data!$F5</f>
        <v>0</v>
      </c>
      <c r="AZ93" s="314">
        <f>Inputs!AV106*IF(Inputs!$E106="Real",1,BA$5)/Data!$F5</f>
        <v>0</v>
      </c>
      <c r="BA93" s="314">
        <f>Inputs!AW106*IF(Inputs!$E106="Real",1,BB$5)/Data!$F5</f>
        <v>0</v>
      </c>
      <c r="BB93" s="314">
        <f>Inputs!AX106*IF(Inputs!$E106="Real",1,BC$5)/Data!$F5</f>
        <v>0</v>
      </c>
      <c r="BC93" s="314">
        <f>Inputs!AY106*IF(Inputs!$E106="Real",1,BD$5)/Data!$F5</f>
        <v>0</v>
      </c>
      <c r="BD93" s="314">
        <f>Inputs!AZ106*IF(Inputs!$E106="Real",1,BE$5)/Data!$F5</f>
        <v>0</v>
      </c>
      <c r="BE93" s="314">
        <f>Inputs!BA106*IF(Inputs!$E106="Real",1,BF$5)/Data!$F5</f>
        <v>0</v>
      </c>
    </row>
    <row r="94" spans="1:57" x14ac:dyDescent="0.35">
      <c r="A94" s="95"/>
      <c r="B94" s="95"/>
      <c r="C94" s="322">
        <f>'Project description'!$B$5</f>
        <v>0</v>
      </c>
      <c r="D94" s="323" t="str">
        <f>Lists!$B$34</f>
        <v/>
      </c>
      <c r="E94" s="327" t="s">
        <v>160</v>
      </c>
      <c r="F94" s="327" t="str">
        <f>Inputs!B107</f>
        <v>Coal - bituminous</v>
      </c>
      <c r="G94" s="327" t="s">
        <v>142</v>
      </c>
      <c r="H94" s="327" t="s">
        <v>16</v>
      </c>
      <c r="I94" s="327" t="s">
        <v>109</v>
      </c>
      <c r="J94" s="313">
        <f t="shared" si="7"/>
        <v>0</v>
      </c>
      <c r="K94" s="316" t="str">
        <f>IF(Inputs!G107="","",Inputs!G107)</f>
        <v/>
      </c>
      <c r="L94" s="314">
        <f>Inputs!H107*IF(Inputs!$E107="Real",1,M$5)/Data!$F6</f>
        <v>0</v>
      </c>
      <c r="M94" s="314">
        <f>Inputs!I107*IF(Inputs!$E107="Real",1,N$5)/Data!$F6</f>
        <v>0</v>
      </c>
      <c r="N94" s="314">
        <f>Inputs!J107*IF(Inputs!$E107="Real",1,O$5)/Data!$F6</f>
        <v>0</v>
      </c>
      <c r="O94" s="314">
        <f>Inputs!K107*IF(Inputs!$E107="Real",1,P$5)/Data!$F6</f>
        <v>0</v>
      </c>
      <c r="P94" s="314">
        <f>Inputs!L107*IF(Inputs!$E107="Real",1,Q$5)/Data!$F6</f>
        <v>0</v>
      </c>
      <c r="Q94" s="314">
        <f>Inputs!M107*IF(Inputs!$E107="Real",1,R$5)/Data!$F6</f>
        <v>0</v>
      </c>
      <c r="R94" s="314">
        <f>Inputs!N107*IF(Inputs!$E107="Real",1,S$5)/Data!$F6</f>
        <v>0</v>
      </c>
      <c r="S94" s="314">
        <f>Inputs!O107*IF(Inputs!$E107="Real",1,T$5)/Data!$F6</f>
        <v>0</v>
      </c>
      <c r="T94" s="314">
        <f>Inputs!P107*IF(Inputs!$E107="Real",1,U$5)/Data!$F6</f>
        <v>0</v>
      </c>
      <c r="U94" s="314">
        <f>Inputs!Q107*IF(Inputs!$E107="Real",1,V$5)/Data!$F6</f>
        <v>0</v>
      </c>
      <c r="V94" s="314">
        <f>Inputs!R107*IF(Inputs!$E107="Real",1,W$5)/Data!$F6</f>
        <v>0</v>
      </c>
      <c r="W94" s="314">
        <f>Inputs!S107*IF(Inputs!$E107="Real",1,X$5)/Data!$F6</f>
        <v>0</v>
      </c>
      <c r="X94" s="314">
        <f>Inputs!T107*IF(Inputs!$E107="Real",1,Y$5)/Data!$F6</f>
        <v>0</v>
      </c>
      <c r="Y94" s="314">
        <f>Inputs!U107*IF(Inputs!$E107="Real",1,Z$5)/Data!$F6</f>
        <v>0</v>
      </c>
      <c r="Z94" s="314">
        <f>Inputs!V107*IF(Inputs!$E107="Real",1,AA$5)/Data!$F6</f>
        <v>0</v>
      </c>
      <c r="AA94" s="314">
        <f>Inputs!W107*IF(Inputs!$E107="Real",1,AB$5)/Data!$F6</f>
        <v>0</v>
      </c>
      <c r="AB94" s="314">
        <f>Inputs!X107*IF(Inputs!$E107="Real",1,AC$5)/Data!$F6</f>
        <v>0</v>
      </c>
      <c r="AC94" s="314">
        <f>Inputs!Y107*IF(Inputs!$E107="Real",1,AD$5)/Data!$F6</f>
        <v>0</v>
      </c>
      <c r="AD94" s="314">
        <f>Inputs!Z107*IF(Inputs!$E107="Real",1,AE$5)/Data!$F6</f>
        <v>0</v>
      </c>
      <c r="AE94" s="314">
        <f>Inputs!AA107*IF(Inputs!$E107="Real",1,AF$5)/Data!$F6</f>
        <v>0</v>
      </c>
      <c r="AF94" s="314">
        <f>Inputs!AB107*IF(Inputs!$E107="Real",1,AG$5)/Data!$F6</f>
        <v>0</v>
      </c>
      <c r="AG94" s="314">
        <f>Inputs!AC107*IF(Inputs!$E107="Real",1,AH$5)/Data!$F6</f>
        <v>0</v>
      </c>
      <c r="AH94" s="314">
        <f>Inputs!AD107*IF(Inputs!$E107="Real",1,AI$5)/Data!$F6</f>
        <v>0</v>
      </c>
      <c r="AI94" s="314">
        <f>Inputs!AE107*IF(Inputs!$E107="Real",1,AJ$5)/Data!$F6</f>
        <v>0</v>
      </c>
      <c r="AJ94" s="314">
        <f>Inputs!AF107*IF(Inputs!$E107="Real",1,AK$5)/Data!$F6</f>
        <v>0</v>
      </c>
      <c r="AK94" s="314">
        <f>Inputs!AG107*IF(Inputs!$E107="Real",1,AL$5)/Data!$F6</f>
        <v>0</v>
      </c>
      <c r="AL94" s="314">
        <f>Inputs!AH107*IF(Inputs!$E107="Real",1,AM$5)/Data!$F6</f>
        <v>0</v>
      </c>
      <c r="AM94" s="314">
        <f>Inputs!AI107*IF(Inputs!$E107="Real",1,AN$5)/Data!$F6</f>
        <v>0</v>
      </c>
      <c r="AN94" s="314">
        <f>Inputs!AJ107*IF(Inputs!$E107="Real",1,AO$5)/Data!$F6</f>
        <v>0</v>
      </c>
      <c r="AO94" s="314">
        <f>Inputs!AK107*IF(Inputs!$E107="Real",1,AP$5)/Data!$F6</f>
        <v>0</v>
      </c>
      <c r="AP94" s="314">
        <f>Inputs!AL107*IF(Inputs!$E107="Real",1,AQ$5)/Data!$F6</f>
        <v>0</v>
      </c>
      <c r="AQ94" s="314">
        <f>Inputs!AM107*IF(Inputs!$E107="Real",1,AR$5)/Data!$F6</f>
        <v>0</v>
      </c>
      <c r="AR94" s="314">
        <f>Inputs!AN107*IF(Inputs!$E107="Real",1,AS$5)/Data!$F6</f>
        <v>0</v>
      </c>
      <c r="AS94" s="314">
        <f>Inputs!AO107*IF(Inputs!$E107="Real",1,AT$5)/Data!$F6</f>
        <v>0</v>
      </c>
      <c r="AT94" s="314">
        <f>Inputs!AP107*IF(Inputs!$E107="Real",1,AU$5)/Data!$F6</f>
        <v>0</v>
      </c>
      <c r="AU94" s="314">
        <f>Inputs!AQ107*IF(Inputs!$E107="Real",1,AV$5)/Data!$F6</f>
        <v>0</v>
      </c>
      <c r="AV94" s="314">
        <f>Inputs!AR107*IF(Inputs!$E107="Real",1,AW$5)/Data!$F6</f>
        <v>0</v>
      </c>
      <c r="AW94" s="314">
        <f>Inputs!AS107*IF(Inputs!$E107="Real",1,AX$5)/Data!$F6</f>
        <v>0</v>
      </c>
      <c r="AX94" s="314">
        <f>Inputs!AT107*IF(Inputs!$E107="Real",1,AY$5)/Data!$F6</f>
        <v>0</v>
      </c>
      <c r="AY94" s="314">
        <f>Inputs!AU107*IF(Inputs!$E107="Real",1,AZ$5)/Data!$F6</f>
        <v>0</v>
      </c>
      <c r="AZ94" s="314">
        <f>Inputs!AV107*IF(Inputs!$E107="Real",1,BA$5)/Data!$F6</f>
        <v>0</v>
      </c>
      <c r="BA94" s="314">
        <f>Inputs!AW107*IF(Inputs!$E107="Real",1,BB$5)/Data!$F6</f>
        <v>0</v>
      </c>
      <c r="BB94" s="314">
        <f>Inputs!AX107*IF(Inputs!$E107="Real",1,BC$5)/Data!$F6</f>
        <v>0</v>
      </c>
      <c r="BC94" s="314">
        <f>Inputs!AY107*IF(Inputs!$E107="Real",1,BD$5)/Data!$F6</f>
        <v>0</v>
      </c>
      <c r="BD94" s="314">
        <f>Inputs!AZ107*IF(Inputs!$E107="Real",1,BE$5)/Data!$F6</f>
        <v>0</v>
      </c>
      <c r="BE94" s="314">
        <f>Inputs!BA107*IF(Inputs!$E107="Real",1,BF$5)/Data!$F6</f>
        <v>0</v>
      </c>
    </row>
    <row r="95" spans="1:57" x14ac:dyDescent="0.35">
      <c r="A95" s="95"/>
      <c r="B95" s="95"/>
      <c r="C95" s="322">
        <f>'Project description'!$B$5</f>
        <v>0</v>
      </c>
      <c r="D95" s="323" t="str">
        <f>Lists!$B$34</f>
        <v/>
      </c>
      <c r="E95" s="327" t="s">
        <v>160</v>
      </c>
      <c r="F95" s="327" t="str">
        <f>Inputs!B108</f>
        <v>Coal - lignite</v>
      </c>
      <c r="G95" s="327" t="s">
        <v>142</v>
      </c>
      <c r="H95" s="327" t="s">
        <v>16</v>
      </c>
      <c r="I95" s="327" t="s">
        <v>109</v>
      </c>
      <c r="J95" s="313">
        <f t="shared" si="7"/>
        <v>0</v>
      </c>
      <c r="K95" s="316" t="str">
        <f>IF(Inputs!G108="","",Inputs!G108)</f>
        <v/>
      </c>
      <c r="L95" s="314">
        <f>Inputs!H108*IF(Inputs!$E108="Real",1,M$5)/Data!$F7</f>
        <v>0</v>
      </c>
      <c r="M95" s="314">
        <f>Inputs!I108*IF(Inputs!$E108="Real",1,N$5)/Data!$F7</f>
        <v>0</v>
      </c>
      <c r="N95" s="314">
        <f>Inputs!J108*IF(Inputs!$E108="Real",1,O$5)/Data!$F7</f>
        <v>0</v>
      </c>
      <c r="O95" s="314">
        <f>Inputs!K108*IF(Inputs!$E108="Real",1,P$5)/Data!$F7</f>
        <v>0</v>
      </c>
      <c r="P95" s="314">
        <f>Inputs!L108*IF(Inputs!$E108="Real",1,Q$5)/Data!$F7</f>
        <v>0</v>
      </c>
      <c r="Q95" s="314">
        <f>Inputs!M108*IF(Inputs!$E108="Real",1,R$5)/Data!$F7</f>
        <v>0</v>
      </c>
      <c r="R95" s="314">
        <f>Inputs!N108*IF(Inputs!$E108="Real",1,S$5)/Data!$F7</f>
        <v>0</v>
      </c>
      <c r="S95" s="314">
        <f>Inputs!O108*IF(Inputs!$E108="Real",1,T$5)/Data!$F7</f>
        <v>0</v>
      </c>
      <c r="T95" s="314">
        <f>Inputs!P108*IF(Inputs!$E108="Real",1,U$5)/Data!$F7</f>
        <v>0</v>
      </c>
      <c r="U95" s="314">
        <f>Inputs!Q108*IF(Inputs!$E108="Real",1,V$5)/Data!$F7</f>
        <v>0</v>
      </c>
      <c r="V95" s="314">
        <f>Inputs!R108*IF(Inputs!$E108="Real",1,W$5)/Data!$F7</f>
        <v>0</v>
      </c>
      <c r="W95" s="314">
        <f>Inputs!S108*IF(Inputs!$E108="Real",1,X$5)/Data!$F7</f>
        <v>0</v>
      </c>
      <c r="X95" s="314">
        <f>Inputs!T108*IF(Inputs!$E108="Real",1,Y$5)/Data!$F7</f>
        <v>0</v>
      </c>
      <c r="Y95" s="314">
        <f>Inputs!U108*IF(Inputs!$E108="Real",1,Z$5)/Data!$F7</f>
        <v>0</v>
      </c>
      <c r="Z95" s="314">
        <f>Inputs!V108*IF(Inputs!$E108="Real",1,AA$5)/Data!$F7</f>
        <v>0</v>
      </c>
      <c r="AA95" s="314">
        <f>Inputs!W108*IF(Inputs!$E108="Real",1,AB$5)/Data!$F7</f>
        <v>0</v>
      </c>
      <c r="AB95" s="314">
        <f>Inputs!X108*IF(Inputs!$E108="Real",1,AC$5)/Data!$F7</f>
        <v>0</v>
      </c>
      <c r="AC95" s="314">
        <f>Inputs!Y108*IF(Inputs!$E108="Real",1,AD$5)/Data!$F7</f>
        <v>0</v>
      </c>
      <c r="AD95" s="314">
        <f>Inputs!Z108*IF(Inputs!$E108="Real",1,AE$5)/Data!$F7</f>
        <v>0</v>
      </c>
      <c r="AE95" s="314">
        <f>Inputs!AA108*IF(Inputs!$E108="Real",1,AF$5)/Data!$F7</f>
        <v>0</v>
      </c>
      <c r="AF95" s="314">
        <f>Inputs!AB108*IF(Inputs!$E108="Real",1,AG$5)/Data!$F7</f>
        <v>0</v>
      </c>
      <c r="AG95" s="314">
        <f>Inputs!AC108*IF(Inputs!$E108="Real",1,AH$5)/Data!$F7</f>
        <v>0</v>
      </c>
      <c r="AH95" s="314">
        <f>Inputs!AD108*IF(Inputs!$E108="Real",1,AI$5)/Data!$F7</f>
        <v>0</v>
      </c>
      <c r="AI95" s="314">
        <f>Inputs!AE108*IF(Inputs!$E108="Real",1,AJ$5)/Data!$F7</f>
        <v>0</v>
      </c>
      <c r="AJ95" s="314">
        <f>Inputs!AF108*IF(Inputs!$E108="Real",1,AK$5)/Data!$F7</f>
        <v>0</v>
      </c>
      <c r="AK95" s="314">
        <f>Inputs!AG108*IF(Inputs!$E108="Real",1,AL$5)/Data!$F7</f>
        <v>0</v>
      </c>
      <c r="AL95" s="314">
        <f>Inputs!AH108*IF(Inputs!$E108="Real",1,AM$5)/Data!$F7</f>
        <v>0</v>
      </c>
      <c r="AM95" s="314">
        <f>Inputs!AI108*IF(Inputs!$E108="Real",1,AN$5)/Data!$F7</f>
        <v>0</v>
      </c>
      <c r="AN95" s="314">
        <f>Inputs!AJ108*IF(Inputs!$E108="Real",1,AO$5)/Data!$F7</f>
        <v>0</v>
      </c>
      <c r="AO95" s="314">
        <f>Inputs!AK108*IF(Inputs!$E108="Real",1,AP$5)/Data!$F7</f>
        <v>0</v>
      </c>
      <c r="AP95" s="314">
        <f>Inputs!AL108*IF(Inputs!$E108="Real",1,AQ$5)/Data!$F7</f>
        <v>0</v>
      </c>
      <c r="AQ95" s="314">
        <f>Inputs!AM108*IF(Inputs!$E108="Real",1,AR$5)/Data!$F7</f>
        <v>0</v>
      </c>
      <c r="AR95" s="314">
        <f>Inputs!AN108*IF(Inputs!$E108="Real",1,AS$5)/Data!$F7</f>
        <v>0</v>
      </c>
      <c r="AS95" s="314">
        <f>Inputs!AO108*IF(Inputs!$E108="Real",1,AT$5)/Data!$F7</f>
        <v>0</v>
      </c>
      <c r="AT95" s="314">
        <f>Inputs!AP108*IF(Inputs!$E108="Real",1,AU$5)/Data!$F7</f>
        <v>0</v>
      </c>
      <c r="AU95" s="314">
        <f>Inputs!AQ108*IF(Inputs!$E108="Real",1,AV$5)/Data!$F7</f>
        <v>0</v>
      </c>
      <c r="AV95" s="314">
        <f>Inputs!AR108*IF(Inputs!$E108="Real",1,AW$5)/Data!$F7</f>
        <v>0</v>
      </c>
      <c r="AW95" s="314">
        <f>Inputs!AS108*IF(Inputs!$E108="Real",1,AX$5)/Data!$F7</f>
        <v>0</v>
      </c>
      <c r="AX95" s="314">
        <f>Inputs!AT108*IF(Inputs!$E108="Real",1,AY$5)/Data!$F7</f>
        <v>0</v>
      </c>
      <c r="AY95" s="314">
        <f>Inputs!AU108*IF(Inputs!$E108="Real",1,AZ$5)/Data!$F7</f>
        <v>0</v>
      </c>
      <c r="AZ95" s="314">
        <f>Inputs!AV108*IF(Inputs!$E108="Real",1,BA$5)/Data!$F7</f>
        <v>0</v>
      </c>
      <c r="BA95" s="314">
        <f>Inputs!AW108*IF(Inputs!$E108="Real",1,BB$5)/Data!$F7</f>
        <v>0</v>
      </c>
      <c r="BB95" s="314">
        <f>Inputs!AX108*IF(Inputs!$E108="Real",1,BC$5)/Data!$F7</f>
        <v>0</v>
      </c>
      <c r="BC95" s="314">
        <f>Inputs!AY108*IF(Inputs!$E108="Real",1,BD$5)/Data!$F7</f>
        <v>0</v>
      </c>
      <c r="BD95" s="314">
        <f>Inputs!AZ108*IF(Inputs!$E108="Real",1,BE$5)/Data!$F7</f>
        <v>0</v>
      </c>
      <c r="BE95" s="314">
        <f>Inputs!BA108*IF(Inputs!$E108="Real",1,BF$5)/Data!$F7</f>
        <v>0</v>
      </c>
    </row>
    <row r="96" spans="1:57" x14ac:dyDescent="0.35">
      <c r="A96" s="95"/>
      <c r="B96" s="95"/>
      <c r="C96" s="322">
        <f>'Project description'!$B$5</f>
        <v>0</v>
      </c>
      <c r="D96" s="323" t="str">
        <f>Lists!$B$34</f>
        <v/>
      </c>
      <c r="E96" s="327" t="s">
        <v>160</v>
      </c>
      <c r="F96" s="327" t="str">
        <f>Inputs!B109</f>
        <v>Diesel</v>
      </c>
      <c r="G96" s="327" t="s">
        <v>142</v>
      </c>
      <c r="H96" s="327" t="s">
        <v>16</v>
      </c>
      <c r="I96" s="327" t="s">
        <v>109</v>
      </c>
      <c r="J96" s="313">
        <f t="shared" si="7"/>
        <v>0</v>
      </c>
      <c r="K96" s="316" t="str">
        <f>IF(Inputs!G109="","",Inputs!G109)</f>
        <v/>
      </c>
      <c r="L96" s="314">
        <f>Inputs!H109*IF(Inputs!$E109="Real",1,M$5)/Data!$F8</f>
        <v>5.6022408963585429E-2</v>
      </c>
      <c r="M96" s="314">
        <f>Inputs!I109*IF(Inputs!$E109="Real",1,N$5)/Data!$F8</f>
        <v>5.6022408963585429E-2</v>
      </c>
      <c r="N96" s="314">
        <f>Inputs!J109*IF(Inputs!$E109="Real",1,O$5)/Data!$F8</f>
        <v>5.6022408963585429E-2</v>
      </c>
      <c r="O96" s="314">
        <f>Inputs!K109*IF(Inputs!$E109="Real",1,P$5)/Data!$F8</f>
        <v>5.6022408963585429E-2</v>
      </c>
      <c r="P96" s="314">
        <f>Inputs!L109*IF(Inputs!$E109="Real",1,Q$5)/Data!$F8</f>
        <v>5.6022408963585429E-2</v>
      </c>
      <c r="Q96" s="314">
        <f>Inputs!M109*IF(Inputs!$E109="Real",1,R$5)/Data!$F8</f>
        <v>5.6022408963585429E-2</v>
      </c>
      <c r="R96" s="314">
        <f>Inputs!N109*IF(Inputs!$E109="Real",1,S$5)/Data!$F8</f>
        <v>5.6022408963585429E-2</v>
      </c>
      <c r="S96" s="314">
        <f>Inputs!O109*IF(Inputs!$E109="Real",1,T$5)/Data!$F8</f>
        <v>5.6022408963585429E-2</v>
      </c>
      <c r="T96" s="314">
        <f>Inputs!P109*IF(Inputs!$E109="Real",1,U$5)/Data!$F8</f>
        <v>5.6022408963585429E-2</v>
      </c>
      <c r="U96" s="314">
        <f>Inputs!Q109*IF(Inputs!$E109="Real",1,V$5)/Data!$F8</f>
        <v>5.6022408963585429E-2</v>
      </c>
      <c r="V96" s="314">
        <f>Inputs!R109*IF(Inputs!$E109="Real",1,W$5)/Data!$F8</f>
        <v>5.6022408963585429E-2</v>
      </c>
      <c r="W96" s="314">
        <f>Inputs!S109*IF(Inputs!$E109="Real",1,X$5)/Data!$F8</f>
        <v>5.6022408963585429E-2</v>
      </c>
      <c r="X96" s="314">
        <f>Inputs!T109*IF(Inputs!$E109="Real",1,Y$5)/Data!$F8</f>
        <v>5.6022408963585429E-2</v>
      </c>
      <c r="Y96" s="314">
        <f>Inputs!U109*IF(Inputs!$E109="Real",1,Z$5)/Data!$F8</f>
        <v>5.6022408963585429E-2</v>
      </c>
      <c r="Z96" s="314">
        <f>Inputs!V109*IF(Inputs!$E109="Real",1,AA$5)/Data!$F8</f>
        <v>5.6022408963585429E-2</v>
      </c>
      <c r="AA96" s="314">
        <f>Inputs!W109*IF(Inputs!$E109="Real",1,AB$5)/Data!$F8</f>
        <v>5.6022408963585429E-2</v>
      </c>
      <c r="AB96" s="314">
        <f>Inputs!X109*IF(Inputs!$E109="Real",1,AC$5)/Data!$F8</f>
        <v>5.6022408963585429E-2</v>
      </c>
      <c r="AC96" s="314">
        <f>Inputs!Y109*IF(Inputs!$E109="Real",1,AD$5)/Data!$F8</f>
        <v>5.6022408963585429E-2</v>
      </c>
      <c r="AD96" s="314">
        <f>Inputs!Z109*IF(Inputs!$E109="Real",1,AE$5)/Data!$F8</f>
        <v>5.6022408963585429E-2</v>
      </c>
      <c r="AE96" s="314">
        <f>Inputs!AA109*IF(Inputs!$E109="Real",1,AF$5)/Data!$F8</f>
        <v>5.6022408963585429E-2</v>
      </c>
      <c r="AF96" s="314">
        <f>Inputs!AB109*IF(Inputs!$E109="Real",1,AG$5)/Data!$F8</f>
        <v>5.6022408963585429E-2</v>
      </c>
      <c r="AG96" s="314">
        <f>Inputs!AC109*IF(Inputs!$E109="Real",1,AH$5)/Data!$F8</f>
        <v>5.6022408963585429E-2</v>
      </c>
      <c r="AH96" s="314">
        <f>Inputs!AD109*IF(Inputs!$E109="Real",1,AI$5)/Data!$F8</f>
        <v>5.6022408963585429E-2</v>
      </c>
      <c r="AI96" s="314">
        <f>Inputs!AE109*IF(Inputs!$E109="Real",1,AJ$5)/Data!$F8</f>
        <v>5.6022408963585429E-2</v>
      </c>
      <c r="AJ96" s="314">
        <f>Inputs!AF109*IF(Inputs!$E109="Real",1,AK$5)/Data!$F8</f>
        <v>5.6022408963585429E-2</v>
      </c>
      <c r="AK96" s="314">
        <f>Inputs!AG109*IF(Inputs!$E109="Real",1,AL$5)/Data!$F8</f>
        <v>5.6022408963585429E-2</v>
      </c>
      <c r="AL96" s="314">
        <f>Inputs!AH109*IF(Inputs!$E109="Real",1,AM$5)/Data!$F8</f>
        <v>5.6022408963585429E-2</v>
      </c>
      <c r="AM96" s="314">
        <f>Inputs!AI109*IF(Inputs!$E109="Real",1,AN$5)/Data!$F8</f>
        <v>5.6022408963585429E-2</v>
      </c>
      <c r="AN96" s="314">
        <f>Inputs!AJ109*IF(Inputs!$E109="Real",1,AO$5)/Data!$F8</f>
        <v>5.6022408963585429E-2</v>
      </c>
      <c r="AO96" s="314">
        <f>Inputs!AK109*IF(Inputs!$E109="Real",1,AP$5)/Data!$F8</f>
        <v>5.6022408963585429E-2</v>
      </c>
      <c r="AP96" s="314">
        <f>Inputs!AL109*IF(Inputs!$E109="Real",1,AQ$5)/Data!$F8</f>
        <v>5.6022408963585429E-2</v>
      </c>
      <c r="AQ96" s="314">
        <f>Inputs!AM109*IF(Inputs!$E109="Real",1,AR$5)/Data!$F8</f>
        <v>5.6022408963585429E-2</v>
      </c>
      <c r="AR96" s="314">
        <f>Inputs!AN109*IF(Inputs!$E109="Real",1,AS$5)/Data!$F8</f>
        <v>5.6022408963585429E-2</v>
      </c>
      <c r="AS96" s="314">
        <f>Inputs!AO109*IF(Inputs!$E109="Real",1,AT$5)/Data!$F8</f>
        <v>5.6022408963585429E-2</v>
      </c>
      <c r="AT96" s="314">
        <f>Inputs!AP109*IF(Inputs!$E109="Real",1,AU$5)/Data!$F8</f>
        <v>5.6022408963585429E-2</v>
      </c>
      <c r="AU96" s="314">
        <f>Inputs!AQ109*IF(Inputs!$E109="Real",1,AV$5)/Data!$F8</f>
        <v>5.6022408963585429E-2</v>
      </c>
      <c r="AV96" s="314">
        <f>Inputs!AR109*IF(Inputs!$E109="Real",1,AW$5)/Data!$F8</f>
        <v>5.6022408963585429E-2</v>
      </c>
      <c r="AW96" s="314">
        <f>Inputs!AS109*IF(Inputs!$E109="Real",1,AX$5)/Data!$F8</f>
        <v>5.6022408963585429E-2</v>
      </c>
      <c r="AX96" s="314">
        <f>Inputs!AT109*IF(Inputs!$E109="Real",1,AY$5)/Data!$F8</f>
        <v>5.6022408963585429E-2</v>
      </c>
      <c r="AY96" s="314">
        <f>Inputs!AU109*IF(Inputs!$E109="Real",1,AZ$5)/Data!$F8</f>
        <v>5.6022408963585429E-2</v>
      </c>
      <c r="AZ96" s="314">
        <f>Inputs!AV109*IF(Inputs!$E109="Real",1,BA$5)/Data!$F8</f>
        <v>5.6022408963585429E-2</v>
      </c>
      <c r="BA96" s="314">
        <f>Inputs!AW109*IF(Inputs!$E109="Real",1,BB$5)/Data!$F8</f>
        <v>5.6022408963585429E-2</v>
      </c>
      <c r="BB96" s="314">
        <f>Inputs!AX109*IF(Inputs!$E109="Real",1,BC$5)/Data!$F8</f>
        <v>5.6022408963585429E-2</v>
      </c>
      <c r="BC96" s="314">
        <f>Inputs!AY109*IF(Inputs!$E109="Real",1,BD$5)/Data!$F8</f>
        <v>5.6022408963585429E-2</v>
      </c>
      <c r="BD96" s="314">
        <f>Inputs!AZ109*IF(Inputs!$E109="Real",1,BE$5)/Data!$F8</f>
        <v>5.6022408963585429E-2</v>
      </c>
      <c r="BE96" s="314">
        <f>Inputs!BA109*IF(Inputs!$E109="Real",1,BF$5)/Data!$F8</f>
        <v>5.6022408963585429E-2</v>
      </c>
    </row>
    <row r="97" spans="1:57" x14ac:dyDescent="0.35">
      <c r="A97" s="95"/>
      <c r="B97" s="95"/>
      <c r="C97" s="322">
        <f>'Project description'!$B$5</f>
        <v>0</v>
      </c>
      <c r="D97" s="323" t="str">
        <f>Lists!$B$34</f>
        <v/>
      </c>
      <c r="E97" s="327" t="s">
        <v>160</v>
      </c>
      <c r="F97" s="327" t="str">
        <f>Inputs!B110</f>
        <v>LPG</v>
      </c>
      <c r="G97" s="327" t="s">
        <v>142</v>
      </c>
      <c r="H97" s="327" t="s">
        <v>16</v>
      </c>
      <c r="I97" s="327" t="s">
        <v>109</v>
      </c>
      <c r="J97" s="313">
        <f t="shared" si="7"/>
        <v>0</v>
      </c>
      <c r="K97" s="316" t="str">
        <f>IF(Inputs!G110="","",Inputs!G110)</f>
        <v/>
      </c>
      <c r="L97" s="314">
        <f>Inputs!H110*IF(Inputs!$E110="Real",1,M$5)/Data!$F9</f>
        <v>0</v>
      </c>
      <c r="M97" s="314">
        <f>Inputs!I110*IF(Inputs!$E110="Real",1,N$5)/Data!$F9</f>
        <v>0</v>
      </c>
      <c r="N97" s="314">
        <f>Inputs!J110*IF(Inputs!$E110="Real",1,O$5)/Data!$F9</f>
        <v>0</v>
      </c>
      <c r="O97" s="314">
        <f>Inputs!K110*IF(Inputs!$E110="Real",1,P$5)/Data!$F9</f>
        <v>0</v>
      </c>
      <c r="P97" s="314">
        <f>Inputs!L110*IF(Inputs!$E110="Real",1,Q$5)/Data!$F9</f>
        <v>0</v>
      </c>
      <c r="Q97" s="314">
        <f>Inputs!M110*IF(Inputs!$E110="Real",1,R$5)/Data!$F9</f>
        <v>0</v>
      </c>
      <c r="R97" s="314">
        <f>Inputs!N110*IF(Inputs!$E110="Real",1,S$5)/Data!$F9</f>
        <v>0</v>
      </c>
      <c r="S97" s="314">
        <f>Inputs!O110*IF(Inputs!$E110="Real",1,T$5)/Data!$F9</f>
        <v>0</v>
      </c>
      <c r="T97" s="314">
        <f>Inputs!P110*IF(Inputs!$E110="Real",1,U$5)/Data!$F9</f>
        <v>0</v>
      </c>
      <c r="U97" s="314">
        <f>Inputs!Q110*IF(Inputs!$E110="Real",1,V$5)/Data!$F9</f>
        <v>0</v>
      </c>
      <c r="V97" s="314">
        <f>Inputs!R110*IF(Inputs!$E110="Real",1,W$5)/Data!$F9</f>
        <v>0</v>
      </c>
      <c r="W97" s="314">
        <f>Inputs!S110*IF(Inputs!$E110="Real",1,X$5)/Data!$F9</f>
        <v>0</v>
      </c>
      <c r="X97" s="314">
        <f>Inputs!T110*IF(Inputs!$E110="Real",1,Y$5)/Data!$F9</f>
        <v>0</v>
      </c>
      <c r="Y97" s="314">
        <f>Inputs!U110*IF(Inputs!$E110="Real",1,Z$5)/Data!$F9</f>
        <v>0</v>
      </c>
      <c r="Z97" s="314">
        <f>Inputs!V110*IF(Inputs!$E110="Real",1,AA$5)/Data!$F9</f>
        <v>0</v>
      </c>
      <c r="AA97" s="314">
        <f>Inputs!W110*IF(Inputs!$E110="Real",1,AB$5)/Data!$F9</f>
        <v>0</v>
      </c>
      <c r="AB97" s="314">
        <f>Inputs!X110*IF(Inputs!$E110="Real",1,AC$5)/Data!$F9</f>
        <v>0</v>
      </c>
      <c r="AC97" s="314">
        <f>Inputs!Y110*IF(Inputs!$E110="Real",1,AD$5)/Data!$F9</f>
        <v>0</v>
      </c>
      <c r="AD97" s="314">
        <f>Inputs!Z110*IF(Inputs!$E110="Real",1,AE$5)/Data!$F9</f>
        <v>0</v>
      </c>
      <c r="AE97" s="314">
        <f>Inputs!AA110*IF(Inputs!$E110="Real",1,AF$5)/Data!$F9</f>
        <v>0</v>
      </c>
      <c r="AF97" s="314">
        <f>Inputs!AB110*IF(Inputs!$E110="Real",1,AG$5)/Data!$F9</f>
        <v>0</v>
      </c>
      <c r="AG97" s="314">
        <f>Inputs!AC110*IF(Inputs!$E110="Real",1,AH$5)/Data!$F9</f>
        <v>0</v>
      </c>
      <c r="AH97" s="314">
        <f>Inputs!AD110*IF(Inputs!$E110="Real",1,AI$5)/Data!$F9</f>
        <v>0</v>
      </c>
      <c r="AI97" s="314">
        <f>Inputs!AE110*IF(Inputs!$E110="Real",1,AJ$5)/Data!$F9</f>
        <v>0</v>
      </c>
      <c r="AJ97" s="314">
        <f>Inputs!AF110*IF(Inputs!$E110="Real",1,AK$5)/Data!$F9</f>
        <v>0</v>
      </c>
      <c r="AK97" s="314">
        <f>Inputs!AG110*IF(Inputs!$E110="Real",1,AL$5)/Data!$F9</f>
        <v>0</v>
      </c>
      <c r="AL97" s="314">
        <f>Inputs!AH110*IF(Inputs!$E110="Real",1,AM$5)/Data!$F9</f>
        <v>0</v>
      </c>
      <c r="AM97" s="314">
        <f>Inputs!AI110*IF(Inputs!$E110="Real",1,AN$5)/Data!$F9</f>
        <v>0</v>
      </c>
      <c r="AN97" s="314">
        <f>Inputs!AJ110*IF(Inputs!$E110="Real",1,AO$5)/Data!$F9</f>
        <v>0</v>
      </c>
      <c r="AO97" s="314">
        <f>Inputs!AK110*IF(Inputs!$E110="Real",1,AP$5)/Data!$F9</f>
        <v>0</v>
      </c>
      <c r="AP97" s="314">
        <f>Inputs!AL110*IF(Inputs!$E110="Real",1,AQ$5)/Data!$F9</f>
        <v>0</v>
      </c>
      <c r="AQ97" s="314">
        <f>Inputs!AM110*IF(Inputs!$E110="Real",1,AR$5)/Data!$F9</f>
        <v>0</v>
      </c>
      <c r="AR97" s="314">
        <f>Inputs!AN110*IF(Inputs!$E110="Real",1,AS$5)/Data!$F9</f>
        <v>0</v>
      </c>
      <c r="AS97" s="314">
        <f>Inputs!AO110*IF(Inputs!$E110="Real",1,AT$5)/Data!$F9</f>
        <v>0</v>
      </c>
      <c r="AT97" s="314">
        <f>Inputs!AP110*IF(Inputs!$E110="Real",1,AU$5)/Data!$F9</f>
        <v>0</v>
      </c>
      <c r="AU97" s="314">
        <f>Inputs!AQ110*IF(Inputs!$E110="Real",1,AV$5)/Data!$F9</f>
        <v>0</v>
      </c>
      <c r="AV97" s="314">
        <f>Inputs!AR110*IF(Inputs!$E110="Real",1,AW$5)/Data!$F9</f>
        <v>0</v>
      </c>
      <c r="AW97" s="314">
        <f>Inputs!AS110*IF(Inputs!$E110="Real",1,AX$5)/Data!$F9</f>
        <v>0</v>
      </c>
      <c r="AX97" s="314">
        <f>Inputs!AT110*IF(Inputs!$E110="Real",1,AY$5)/Data!$F9</f>
        <v>0</v>
      </c>
      <c r="AY97" s="314">
        <f>Inputs!AU110*IF(Inputs!$E110="Real",1,AZ$5)/Data!$F9</f>
        <v>0</v>
      </c>
      <c r="AZ97" s="314">
        <f>Inputs!AV110*IF(Inputs!$E110="Real",1,BA$5)/Data!$F9</f>
        <v>0</v>
      </c>
      <c r="BA97" s="314">
        <f>Inputs!AW110*IF(Inputs!$E110="Real",1,BB$5)/Data!$F9</f>
        <v>0</v>
      </c>
      <c r="BB97" s="314">
        <f>Inputs!AX110*IF(Inputs!$E110="Real",1,BC$5)/Data!$F9</f>
        <v>0</v>
      </c>
      <c r="BC97" s="314">
        <f>Inputs!AY110*IF(Inputs!$E110="Real",1,BD$5)/Data!$F9</f>
        <v>0</v>
      </c>
      <c r="BD97" s="314">
        <f>Inputs!AZ110*IF(Inputs!$E110="Real",1,BE$5)/Data!$F9</f>
        <v>0</v>
      </c>
      <c r="BE97" s="314">
        <f>Inputs!BA110*IF(Inputs!$E110="Real",1,BF$5)/Data!$F9</f>
        <v>0</v>
      </c>
    </row>
    <row r="98" spans="1:57" x14ac:dyDescent="0.35">
      <c r="A98" s="95"/>
      <c r="B98" s="95"/>
      <c r="C98" s="322">
        <f>'Project description'!$B$5</f>
        <v>0</v>
      </c>
      <c r="D98" s="323" t="str">
        <f>Lists!$B$34</f>
        <v/>
      </c>
      <c r="E98" s="327" t="s">
        <v>160</v>
      </c>
      <c r="F98" s="327" t="str">
        <f>Inputs!B111</f>
        <v>Light fuel oil</v>
      </c>
      <c r="G98" s="327" t="s">
        <v>142</v>
      </c>
      <c r="H98" s="327" t="s">
        <v>16</v>
      </c>
      <c r="I98" s="327" t="s">
        <v>109</v>
      </c>
      <c r="J98" s="313">
        <f t="shared" si="7"/>
        <v>0</v>
      </c>
      <c r="K98" s="316" t="str">
        <f>IF(Inputs!G111="","",Inputs!G111)</f>
        <v/>
      </c>
      <c r="L98" s="314">
        <f>Inputs!H111*IF(Inputs!$E111="Real",1,M$5)/Data!$F10</f>
        <v>0</v>
      </c>
      <c r="M98" s="314">
        <f>Inputs!I111*IF(Inputs!$E111="Real",1,N$5)/Data!$F10</f>
        <v>0</v>
      </c>
      <c r="N98" s="314">
        <f>Inputs!J111*IF(Inputs!$E111="Real",1,O$5)/Data!$F10</f>
        <v>0</v>
      </c>
      <c r="O98" s="314">
        <f>Inputs!K111*IF(Inputs!$E111="Real",1,P$5)/Data!$F10</f>
        <v>0</v>
      </c>
      <c r="P98" s="314">
        <f>Inputs!L111*IF(Inputs!$E111="Real",1,Q$5)/Data!$F10</f>
        <v>0</v>
      </c>
      <c r="Q98" s="314">
        <f>Inputs!M111*IF(Inputs!$E111="Real",1,R$5)/Data!$F10</f>
        <v>0</v>
      </c>
      <c r="R98" s="314">
        <f>Inputs!N111*IF(Inputs!$E111="Real",1,S$5)/Data!$F10</f>
        <v>0</v>
      </c>
      <c r="S98" s="314">
        <f>Inputs!O111*IF(Inputs!$E111="Real",1,T$5)/Data!$F10</f>
        <v>0</v>
      </c>
      <c r="T98" s="314">
        <f>Inputs!P111*IF(Inputs!$E111="Real",1,U$5)/Data!$F10</f>
        <v>0</v>
      </c>
      <c r="U98" s="314">
        <f>Inputs!Q111*IF(Inputs!$E111="Real",1,V$5)/Data!$F10</f>
        <v>0</v>
      </c>
      <c r="V98" s="314">
        <f>Inputs!R111*IF(Inputs!$E111="Real",1,W$5)/Data!$F10</f>
        <v>0</v>
      </c>
      <c r="W98" s="314">
        <f>Inputs!S111*IF(Inputs!$E111="Real",1,X$5)/Data!$F10</f>
        <v>0</v>
      </c>
      <c r="X98" s="314">
        <f>Inputs!T111*IF(Inputs!$E111="Real",1,Y$5)/Data!$F10</f>
        <v>0</v>
      </c>
      <c r="Y98" s="314">
        <f>Inputs!U111*IF(Inputs!$E111="Real",1,Z$5)/Data!$F10</f>
        <v>0</v>
      </c>
      <c r="Z98" s="314">
        <f>Inputs!V111*IF(Inputs!$E111="Real",1,AA$5)/Data!$F10</f>
        <v>0</v>
      </c>
      <c r="AA98" s="314">
        <f>Inputs!W111*IF(Inputs!$E111="Real",1,AB$5)/Data!$F10</f>
        <v>0</v>
      </c>
      <c r="AB98" s="314">
        <f>Inputs!X111*IF(Inputs!$E111="Real",1,AC$5)/Data!$F10</f>
        <v>0</v>
      </c>
      <c r="AC98" s="314">
        <f>Inputs!Y111*IF(Inputs!$E111="Real",1,AD$5)/Data!$F10</f>
        <v>0</v>
      </c>
      <c r="AD98" s="314">
        <f>Inputs!Z111*IF(Inputs!$E111="Real",1,AE$5)/Data!$F10</f>
        <v>0</v>
      </c>
      <c r="AE98" s="314">
        <f>Inputs!AA111*IF(Inputs!$E111="Real",1,AF$5)/Data!$F10</f>
        <v>0</v>
      </c>
      <c r="AF98" s="314">
        <f>Inputs!AB111*IF(Inputs!$E111="Real",1,AG$5)/Data!$F10</f>
        <v>0</v>
      </c>
      <c r="AG98" s="314">
        <f>Inputs!AC111*IF(Inputs!$E111="Real",1,AH$5)/Data!$F10</f>
        <v>0</v>
      </c>
      <c r="AH98" s="314">
        <f>Inputs!AD111*IF(Inputs!$E111="Real",1,AI$5)/Data!$F10</f>
        <v>0</v>
      </c>
      <c r="AI98" s="314">
        <f>Inputs!AE111*IF(Inputs!$E111="Real",1,AJ$5)/Data!$F10</f>
        <v>0</v>
      </c>
      <c r="AJ98" s="314">
        <f>Inputs!AF111*IF(Inputs!$E111="Real",1,AK$5)/Data!$F10</f>
        <v>0</v>
      </c>
      <c r="AK98" s="314">
        <f>Inputs!AG111*IF(Inputs!$E111="Real",1,AL$5)/Data!$F10</f>
        <v>0</v>
      </c>
      <c r="AL98" s="314">
        <f>Inputs!AH111*IF(Inputs!$E111="Real",1,AM$5)/Data!$F10</f>
        <v>0</v>
      </c>
      <c r="AM98" s="314">
        <f>Inputs!AI111*IF(Inputs!$E111="Real",1,AN$5)/Data!$F10</f>
        <v>0</v>
      </c>
      <c r="AN98" s="314">
        <f>Inputs!AJ111*IF(Inputs!$E111="Real",1,AO$5)/Data!$F10</f>
        <v>0</v>
      </c>
      <c r="AO98" s="314">
        <f>Inputs!AK111*IF(Inputs!$E111="Real",1,AP$5)/Data!$F10</f>
        <v>0</v>
      </c>
      <c r="AP98" s="314">
        <f>Inputs!AL111*IF(Inputs!$E111="Real",1,AQ$5)/Data!$F10</f>
        <v>0</v>
      </c>
      <c r="AQ98" s="314">
        <f>Inputs!AM111*IF(Inputs!$E111="Real",1,AR$5)/Data!$F10</f>
        <v>0</v>
      </c>
      <c r="AR98" s="314">
        <f>Inputs!AN111*IF(Inputs!$E111="Real",1,AS$5)/Data!$F10</f>
        <v>0</v>
      </c>
      <c r="AS98" s="314">
        <f>Inputs!AO111*IF(Inputs!$E111="Real",1,AT$5)/Data!$F10</f>
        <v>0</v>
      </c>
      <c r="AT98" s="314">
        <f>Inputs!AP111*IF(Inputs!$E111="Real",1,AU$5)/Data!$F10</f>
        <v>0</v>
      </c>
      <c r="AU98" s="314">
        <f>Inputs!AQ111*IF(Inputs!$E111="Real",1,AV$5)/Data!$F10</f>
        <v>0</v>
      </c>
      <c r="AV98" s="314">
        <f>Inputs!AR111*IF(Inputs!$E111="Real",1,AW$5)/Data!$F10</f>
        <v>0</v>
      </c>
      <c r="AW98" s="314">
        <f>Inputs!AS111*IF(Inputs!$E111="Real",1,AX$5)/Data!$F10</f>
        <v>0</v>
      </c>
      <c r="AX98" s="314">
        <f>Inputs!AT111*IF(Inputs!$E111="Real",1,AY$5)/Data!$F10</f>
        <v>0</v>
      </c>
      <c r="AY98" s="314">
        <f>Inputs!AU111*IF(Inputs!$E111="Real",1,AZ$5)/Data!$F10</f>
        <v>0</v>
      </c>
      <c r="AZ98" s="314">
        <f>Inputs!AV111*IF(Inputs!$E111="Real",1,BA$5)/Data!$F10</f>
        <v>0</v>
      </c>
      <c r="BA98" s="314">
        <f>Inputs!AW111*IF(Inputs!$E111="Real",1,BB$5)/Data!$F10</f>
        <v>0</v>
      </c>
      <c r="BB98" s="314">
        <f>Inputs!AX111*IF(Inputs!$E111="Real",1,BC$5)/Data!$F10</f>
        <v>0</v>
      </c>
      <c r="BC98" s="314">
        <f>Inputs!AY111*IF(Inputs!$E111="Real",1,BD$5)/Data!$F10</f>
        <v>0</v>
      </c>
      <c r="BD98" s="314">
        <f>Inputs!AZ111*IF(Inputs!$E111="Real",1,BE$5)/Data!$F10</f>
        <v>0</v>
      </c>
      <c r="BE98" s="314">
        <f>Inputs!BA111*IF(Inputs!$E111="Real",1,BF$5)/Data!$F10</f>
        <v>0</v>
      </c>
    </row>
    <row r="99" spans="1:57" x14ac:dyDescent="0.35">
      <c r="A99" s="95"/>
      <c r="B99" s="95"/>
      <c r="C99" s="322">
        <f>'Project description'!$B$5</f>
        <v>0</v>
      </c>
      <c r="D99" s="323" t="str">
        <f>Lists!$B$34</f>
        <v/>
      </c>
      <c r="E99" s="327" t="s">
        <v>160</v>
      </c>
      <c r="F99" s="327" t="str">
        <f>Inputs!B112</f>
        <v>Heavy fuel oil</v>
      </c>
      <c r="G99" s="327" t="s">
        <v>142</v>
      </c>
      <c r="H99" s="327" t="s">
        <v>16</v>
      </c>
      <c r="I99" s="327" t="s">
        <v>109</v>
      </c>
      <c r="J99" s="313">
        <f t="shared" si="7"/>
        <v>0</v>
      </c>
      <c r="K99" s="316" t="str">
        <f>IF(Inputs!G112="","",Inputs!G112)</f>
        <v/>
      </c>
      <c r="L99" s="314">
        <f>Inputs!H112*IF(Inputs!$E112="Real",1,M$5)/Data!$F11</f>
        <v>0</v>
      </c>
      <c r="M99" s="314">
        <f>Inputs!I112*IF(Inputs!$E112="Real",1,N$5)/Data!$F11</f>
        <v>0</v>
      </c>
      <c r="N99" s="314">
        <f>Inputs!J112*IF(Inputs!$E112="Real",1,O$5)/Data!$F11</f>
        <v>0</v>
      </c>
      <c r="O99" s="314">
        <f>Inputs!K112*IF(Inputs!$E112="Real",1,P$5)/Data!$F11</f>
        <v>0</v>
      </c>
      <c r="P99" s="314">
        <f>Inputs!L112*IF(Inputs!$E112="Real",1,Q$5)/Data!$F11</f>
        <v>0</v>
      </c>
      <c r="Q99" s="314">
        <f>Inputs!M112*IF(Inputs!$E112="Real",1,R$5)/Data!$F11</f>
        <v>0</v>
      </c>
      <c r="R99" s="314">
        <f>Inputs!N112*IF(Inputs!$E112="Real",1,S$5)/Data!$F11</f>
        <v>0</v>
      </c>
      <c r="S99" s="314">
        <f>Inputs!O112*IF(Inputs!$E112="Real",1,T$5)/Data!$F11</f>
        <v>0</v>
      </c>
      <c r="T99" s="314">
        <f>Inputs!P112*IF(Inputs!$E112="Real",1,U$5)/Data!$F11</f>
        <v>0</v>
      </c>
      <c r="U99" s="314">
        <f>Inputs!Q112*IF(Inputs!$E112="Real",1,V$5)/Data!$F11</f>
        <v>0</v>
      </c>
      <c r="V99" s="314">
        <f>Inputs!R112*IF(Inputs!$E112="Real",1,W$5)/Data!$F11</f>
        <v>0</v>
      </c>
      <c r="W99" s="314">
        <f>Inputs!S112*IF(Inputs!$E112="Real",1,X$5)/Data!$F11</f>
        <v>0</v>
      </c>
      <c r="X99" s="314">
        <f>Inputs!T112*IF(Inputs!$E112="Real",1,Y$5)/Data!$F11</f>
        <v>0</v>
      </c>
      <c r="Y99" s="314">
        <f>Inputs!U112*IF(Inputs!$E112="Real",1,Z$5)/Data!$F11</f>
        <v>0</v>
      </c>
      <c r="Z99" s="314">
        <f>Inputs!V112*IF(Inputs!$E112="Real",1,AA$5)/Data!$F11</f>
        <v>0</v>
      </c>
      <c r="AA99" s="314">
        <f>Inputs!W112*IF(Inputs!$E112="Real",1,AB$5)/Data!$F11</f>
        <v>0</v>
      </c>
      <c r="AB99" s="314">
        <f>Inputs!X112*IF(Inputs!$E112="Real",1,AC$5)/Data!$F11</f>
        <v>0</v>
      </c>
      <c r="AC99" s="314">
        <f>Inputs!Y112*IF(Inputs!$E112="Real",1,AD$5)/Data!$F11</f>
        <v>0</v>
      </c>
      <c r="AD99" s="314">
        <f>Inputs!Z112*IF(Inputs!$E112="Real",1,AE$5)/Data!$F11</f>
        <v>0</v>
      </c>
      <c r="AE99" s="314">
        <f>Inputs!AA112*IF(Inputs!$E112="Real",1,AF$5)/Data!$F11</f>
        <v>0</v>
      </c>
      <c r="AF99" s="314">
        <f>Inputs!AB112*IF(Inputs!$E112="Real",1,AG$5)/Data!$F11</f>
        <v>0</v>
      </c>
      <c r="AG99" s="314">
        <f>Inputs!AC112*IF(Inputs!$E112="Real",1,AH$5)/Data!$F11</f>
        <v>0</v>
      </c>
      <c r="AH99" s="314">
        <f>Inputs!AD112*IF(Inputs!$E112="Real",1,AI$5)/Data!$F11</f>
        <v>0</v>
      </c>
      <c r="AI99" s="314">
        <f>Inputs!AE112*IF(Inputs!$E112="Real",1,AJ$5)/Data!$F11</f>
        <v>0</v>
      </c>
      <c r="AJ99" s="314">
        <f>Inputs!AF112*IF(Inputs!$E112="Real",1,AK$5)/Data!$F11</f>
        <v>0</v>
      </c>
      <c r="AK99" s="314">
        <f>Inputs!AG112*IF(Inputs!$E112="Real",1,AL$5)/Data!$F11</f>
        <v>0</v>
      </c>
      <c r="AL99" s="314">
        <f>Inputs!AH112*IF(Inputs!$E112="Real",1,AM$5)/Data!$F11</f>
        <v>0</v>
      </c>
      <c r="AM99" s="314">
        <f>Inputs!AI112*IF(Inputs!$E112="Real",1,AN$5)/Data!$F11</f>
        <v>0</v>
      </c>
      <c r="AN99" s="314">
        <f>Inputs!AJ112*IF(Inputs!$E112="Real",1,AO$5)/Data!$F11</f>
        <v>0</v>
      </c>
      <c r="AO99" s="314">
        <f>Inputs!AK112*IF(Inputs!$E112="Real",1,AP$5)/Data!$F11</f>
        <v>0</v>
      </c>
      <c r="AP99" s="314">
        <f>Inputs!AL112*IF(Inputs!$E112="Real",1,AQ$5)/Data!$F11</f>
        <v>0</v>
      </c>
      <c r="AQ99" s="314">
        <f>Inputs!AM112*IF(Inputs!$E112="Real",1,AR$5)/Data!$F11</f>
        <v>0</v>
      </c>
      <c r="AR99" s="314">
        <f>Inputs!AN112*IF(Inputs!$E112="Real",1,AS$5)/Data!$F11</f>
        <v>0</v>
      </c>
      <c r="AS99" s="314">
        <f>Inputs!AO112*IF(Inputs!$E112="Real",1,AT$5)/Data!$F11</f>
        <v>0</v>
      </c>
      <c r="AT99" s="314">
        <f>Inputs!AP112*IF(Inputs!$E112="Real",1,AU$5)/Data!$F11</f>
        <v>0</v>
      </c>
      <c r="AU99" s="314">
        <f>Inputs!AQ112*IF(Inputs!$E112="Real",1,AV$5)/Data!$F11</f>
        <v>0</v>
      </c>
      <c r="AV99" s="314">
        <f>Inputs!AR112*IF(Inputs!$E112="Real",1,AW$5)/Data!$F11</f>
        <v>0</v>
      </c>
      <c r="AW99" s="314">
        <f>Inputs!AS112*IF(Inputs!$E112="Real",1,AX$5)/Data!$F11</f>
        <v>0</v>
      </c>
      <c r="AX99" s="314">
        <f>Inputs!AT112*IF(Inputs!$E112="Real",1,AY$5)/Data!$F11</f>
        <v>0</v>
      </c>
      <c r="AY99" s="314">
        <f>Inputs!AU112*IF(Inputs!$E112="Real",1,AZ$5)/Data!$F11</f>
        <v>0</v>
      </c>
      <c r="AZ99" s="314">
        <f>Inputs!AV112*IF(Inputs!$E112="Real",1,BA$5)/Data!$F11</f>
        <v>0</v>
      </c>
      <c r="BA99" s="314">
        <f>Inputs!AW112*IF(Inputs!$E112="Real",1,BB$5)/Data!$F11</f>
        <v>0</v>
      </c>
      <c r="BB99" s="314">
        <f>Inputs!AX112*IF(Inputs!$E112="Real",1,BC$5)/Data!$F11</f>
        <v>0</v>
      </c>
      <c r="BC99" s="314">
        <f>Inputs!AY112*IF(Inputs!$E112="Real",1,BD$5)/Data!$F11</f>
        <v>0</v>
      </c>
      <c r="BD99" s="314">
        <f>Inputs!AZ112*IF(Inputs!$E112="Real",1,BE$5)/Data!$F11</f>
        <v>0</v>
      </c>
      <c r="BE99" s="314">
        <f>Inputs!BA112*IF(Inputs!$E112="Real",1,BF$5)/Data!$F11</f>
        <v>0</v>
      </c>
    </row>
    <row r="100" spans="1:57" x14ac:dyDescent="0.35">
      <c r="A100" s="95"/>
      <c r="B100" s="95"/>
      <c r="C100" s="322">
        <f>'Project description'!$B$5</f>
        <v>0</v>
      </c>
      <c r="D100" s="323" t="str">
        <f>Lists!$B$34</f>
        <v/>
      </c>
      <c r="E100" s="327" t="s">
        <v>160</v>
      </c>
      <c r="F100" s="327" t="str">
        <f>Inputs!B113</f>
        <v>Geothermal</v>
      </c>
      <c r="G100" s="327" t="s">
        <v>142</v>
      </c>
      <c r="H100" s="327" t="s">
        <v>16</v>
      </c>
      <c r="I100" s="327" t="s">
        <v>109</v>
      </c>
      <c r="J100" s="313">
        <f t="shared" si="7"/>
        <v>0</v>
      </c>
      <c r="K100" s="316" t="str">
        <f>IF(Inputs!G113="","",Inputs!G113)</f>
        <v/>
      </c>
      <c r="L100" s="314">
        <f>Inputs!H113*IF(Inputs!$E113="Real",1,M$5)/Data!$F12</f>
        <v>0</v>
      </c>
      <c r="M100" s="314">
        <f>Inputs!I113*IF(Inputs!$E113="Real",1,N$5)/Data!$F12</f>
        <v>0</v>
      </c>
      <c r="N100" s="314">
        <f>Inputs!J113*IF(Inputs!$E113="Real",1,O$5)/Data!$F12</f>
        <v>0</v>
      </c>
      <c r="O100" s="314">
        <f>Inputs!K113*IF(Inputs!$E113="Real",1,P$5)/Data!$F12</f>
        <v>0</v>
      </c>
      <c r="P100" s="314">
        <f>Inputs!L113*IF(Inputs!$E113="Real",1,Q$5)/Data!$F12</f>
        <v>0</v>
      </c>
      <c r="Q100" s="314">
        <f>Inputs!M113*IF(Inputs!$E113="Real",1,R$5)/Data!$F12</f>
        <v>0</v>
      </c>
      <c r="R100" s="314">
        <f>Inputs!N113*IF(Inputs!$E113="Real",1,S$5)/Data!$F12</f>
        <v>0</v>
      </c>
      <c r="S100" s="314">
        <f>Inputs!O113*IF(Inputs!$E113="Real",1,T$5)/Data!$F12</f>
        <v>0</v>
      </c>
      <c r="T100" s="314">
        <f>Inputs!P113*IF(Inputs!$E113="Real",1,U$5)/Data!$F12</f>
        <v>0</v>
      </c>
      <c r="U100" s="314">
        <f>Inputs!Q113*IF(Inputs!$E113="Real",1,V$5)/Data!$F12</f>
        <v>0</v>
      </c>
      <c r="V100" s="314">
        <f>Inputs!R113*IF(Inputs!$E113="Real",1,W$5)/Data!$F12</f>
        <v>0</v>
      </c>
      <c r="W100" s="314">
        <f>Inputs!S113*IF(Inputs!$E113="Real",1,X$5)/Data!$F12</f>
        <v>0</v>
      </c>
      <c r="X100" s="314">
        <f>Inputs!T113*IF(Inputs!$E113="Real",1,Y$5)/Data!$F12</f>
        <v>0</v>
      </c>
      <c r="Y100" s="314">
        <f>Inputs!U113*IF(Inputs!$E113="Real",1,Z$5)/Data!$F12</f>
        <v>0</v>
      </c>
      <c r="Z100" s="314">
        <f>Inputs!V113*IF(Inputs!$E113="Real",1,AA$5)/Data!$F12</f>
        <v>0</v>
      </c>
      <c r="AA100" s="314">
        <f>Inputs!W113*IF(Inputs!$E113="Real",1,AB$5)/Data!$F12</f>
        <v>0</v>
      </c>
      <c r="AB100" s="314">
        <f>Inputs!X113*IF(Inputs!$E113="Real",1,AC$5)/Data!$F12</f>
        <v>0</v>
      </c>
      <c r="AC100" s="314">
        <f>Inputs!Y113*IF(Inputs!$E113="Real",1,AD$5)/Data!$F12</f>
        <v>0</v>
      </c>
      <c r="AD100" s="314">
        <f>Inputs!Z113*IF(Inputs!$E113="Real",1,AE$5)/Data!$F12</f>
        <v>0</v>
      </c>
      <c r="AE100" s="314">
        <f>Inputs!AA113*IF(Inputs!$E113="Real",1,AF$5)/Data!$F12</f>
        <v>0</v>
      </c>
      <c r="AF100" s="314">
        <f>Inputs!AB113*IF(Inputs!$E113="Real",1,AG$5)/Data!$F12</f>
        <v>0</v>
      </c>
      <c r="AG100" s="314">
        <f>Inputs!AC113*IF(Inputs!$E113="Real",1,AH$5)/Data!$F12</f>
        <v>0</v>
      </c>
      <c r="AH100" s="314">
        <f>Inputs!AD113*IF(Inputs!$E113="Real",1,AI$5)/Data!$F12</f>
        <v>0</v>
      </c>
      <c r="AI100" s="314">
        <f>Inputs!AE113*IF(Inputs!$E113="Real",1,AJ$5)/Data!$F12</f>
        <v>0</v>
      </c>
      <c r="AJ100" s="314">
        <f>Inputs!AF113*IF(Inputs!$E113="Real",1,AK$5)/Data!$F12</f>
        <v>0</v>
      </c>
      <c r="AK100" s="314">
        <f>Inputs!AG113*IF(Inputs!$E113="Real",1,AL$5)/Data!$F12</f>
        <v>0</v>
      </c>
      <c r="AL100" s="314">
        <f>Inputs!AH113*IF(Inputs!$E113="Real",1,AM$5)/Data!$F12</f>
        <v>0</v>
      </c>
      <c r="AM100" s="314">
        <f>Inputs!AI113*IF(Inputs!$E113="Real",1,AN$5)/Data!$F12</f>
        <v>0</v>
      </c>
      <c r="AN100" s="314">
        <f>Inputs!AJ113*IF(Inputs!$E113="Real",1,AO$5)/Data!$F12</f>
        <v>0</v>
      </c>
      <c r="AO100" s="314">
        <f>Inputs!AK113*IF(Inputs!$E113="Real",1,AP$5)/Data!$F12</f>
        <v>0</v>
      </c>
      <c r="AP100" s="314">
        <f>Inputs!AL113*IF(Inputs!$E113="Real",1,AQ$5)/Data!$F12</f>
        <v>0</v>
      </c>
      <c r="AQ100" s="314">
        <f>Inputs!AM113*IF(Inputs!$E113="Real",1,AR$5)/Data!$F12</f>
        <v>0</v>
      </c>
      <c r="AR100" s="314">
        <f>Inputs!AN113*IF(Inputs!$E113="Real",1,AS$5)/Data!$F12</f>
        <v>0</v>
      </c>
      <c r="AS100" s="314">
        <f>Inputs!AO113*IF(Inputs!$E113="Real",1,AT$5)/Data!$F12</f>
        <v>0</v>
      </c>
      <c r="AT100" s="314">
        <f>Inputs!AP113*IF(Inputs!$E113="Real",1,AU$5)/Data!$F12</f>
        <v>0</v>
      </c>
      <c r="AU100" s="314">
        <f>Inputs!AQ113*IF(Inputs!$E113="Real",1,AV$5)/Data!$F12</f>
        <v>0</v>
      </c>
      <c r="AV100" s="314">
        <f>Inputs!AR113*IF(Inputs!$E113="Real",1,AW$5)/Data!$F12</f>
        <v>0</v>
      </c>
      <c r="AW100" s="314">
        <f>Inputs!AS113*IF(Inputs!$E113="Real",1,AX$5)/Data!$F12</f>
        <v>0</v>
      </c>
      <c r="AX100" s="314">
        <f>Inputs!AT113*IF(Inputs!$E113="Real",1,AY$5)/Data!$F12</f>
        <v>0</v>
      </c>
      <c r="AY100" s="314">
        <f>Inputs!AU113*IF(Inputs!$E113="Real",1,AZ$5)/Data!$F12</f>
        <v>0</v>
      </c>
      <c r="AZ100" s="314">
        <f>Inputs!AV113*IF(Inputs!$E113="Real",1,BA$5)/Data!$F12</f>
        <v>0</v>
      </c>
      <c r="BA100" s="314">
        <f>Inputs!AW113*IF(Inputs!$E113="Real",1,BB$5)/Data!$F12</f>
        <v>0</v>
      </c>
      <c r="BB100" s="314">
        <f>Inputs!AX113*IF(Inputs!$E113="Real",1,BC$5)/Data!$F12</f>
        <v>0</v>
      </c>
      <c r="BC100" s="314">
        <f>Inputs!AY113*IF(Inputs!$E113="Real",1,BD$5)/Data!$F12</f>
        <v>0</v>
      </c>
      <c r="BD100" s="314">
        <f>Inputs!AZ113*IF(Inputs!$E113="Real",1,BE$5)/Data!$F12</f>
        <v>0</v>
      </c>
      <c r="BE100" s="314">
        <f>Inputs!BA113*IF(Inputs!$E113="Real",1,BF$5)/Data!$F12</f>
        <v>0</v>
      </c>
    </row>
    <row r="101" spans="1:57" x14ac:dyDescent="0.35">
      <c r="A101" s="95"/>
      <c r="B101" s="95"/>
      <c r="C101" s="327">
        <f>'Project description'!$B$5</f>
        <v>0</v>
      </c>
      <c r="D101" s="323" t="str">
        <f>Lists!$B$34</f>
        <v/>
      </c>
      <c r="E101" s="327" t="s">
        <v>160</v>
      </c>
      <c r="F101" s="327" t="str">
        <f>Inputs!B114</f>
        <v>Wood or wood chips</v>
      </c>
      <c r="G101" s="327" t="s">
        <v>142</v>
      </c>
      <c r="H101" s="327" t="s">
        <v>16</v>
      </c>
      <c r="I101" s="327" t="s">
        <v>109</v>
      </c>
      <c r="J101" s="313">
        <f t="shared" si="7"/>
        <v>0</v>
      </c>
      <c r="K101" s="316" t="str">
        <f>IF(Inputs!G114="","",Inputs!G114)</f>
        <v/>
      </c>
      <c r="L101" s="314">
        <f>Inputs!H114*IF(Inputs!$E114="Real",1,M$5)/Data!$F13</f>
        <v>0</v>
      </c>
      <c r="M101" s="314">
        <f>Inputs!I114*IF(Inputs!$E114="Real",1,N$5)/Data!$F13</f>
        <v>0</v>
      </c>
      <c r="N101" s="314">
        <f>Inputs!J114*IF(Inputs!$E114="Real",1,O$5)/Data!$F13</f>
        <v>0</v>
      </c>
      <c r="O101" s="314">
        <f>Inputs!K114*IF(Inputs!$E114="Real",1,P$5)/Data!$F13</f>
        <v>0</v>
      </c>
      <c r="P101" s="314">
        <f>Inputs!L114*IF(Inputs!$E114="Real",1,Q$5)/Data!$F13</f>
        <v>0</v>
      </c>
      <c r="Q101" s="314">
        <f>Inputs!M114*IF(Inputs!$E114="Real",1,R$5)/Data!$F13</f>
        <v>0</v>
      </c>
      <c r="R101" s="314">
        <f>Inputs!N114*IF(Inputs!$E114="Real",1,S$5)/Data!$F13</f>
        <v>0</v>
      </c>
      <c r="S101" s="314">
        <f>Inputs!O114*IF(Inputs!$E114="Real",1,T$5)/Data!$F13</f>
        <v>0</v>
      </c>
      <c r="T101" s="314">
        <f>Inputs!P114*IF(Inputs!$E114="Real",1,U$5)/Data!$F13</f>
        <v>0</v>
      </c>
      <c r="U101" s="314">
        <f>Inputs!Q114*IF(Inputs!$E114="Real",1,V$5)/Data!$F13</f>
        <v>0</v>
      </c>
      <c r="V101" s="314">
        <f>Inputs!R114*IF(Inputs!$E114="Real",1,W$5)/Data!$F13</f>
        <v>0</v>
      </c>
      <c r="W101" s="314">
        <f>Inputs!S114*IF(Inputs!$E114="Real",1,X$5)/Data!$F13</f>
        <v>0</v>
      </c>
      <c r="X101" s="314">
        <f>Inputs!T114*IF(Inputs!$E114="Real",1,Y$5)/Data!$F13</f>
        <v>0</v>
      </c>
      <c r="Y101" s="314">
        <f>Inputs!U114*IF(Inputs!$E114="Real",1,Z$5)/Data!$F13</f>
        <v>0</v>
      </c>
      <c r="Z101" s="314">
        <f>Inputs!V114*IF(Inputs!$E114="Real",1,AA$5)/Data!$F13</f>
        <v>0</v>
      </c>
      <c r="AA101" s="314">
        <f>Inputs!W114*IF(Inputs!$E114="Real",1,AB$5)/Data!$F13</f>
        <v>0</v>
      </c>
      <c r="AB101" s="314">
        <f>Inputs!X114*IF(Inputs!$E114="Real",1,AC$5)/Data!$F13</f>
        <v>0</v>
      </c>
      <c r="AC101" s="314">
        <f>Inputs!Y114*IF(Inputs!$E114="Real",1,AD$5)/Data!$F13</f>
        <v>0</v>
      </c>
      <c r="AD101" s="314">
        <f>Inputs!Z114*IF(Inputs!$E114="Real",1,AE$5)/Data!$F13</f>
        <v>0</v>
      </c>
      <c r="AE101" s="314">
        <f>Inputs!AA114*IF(Inputs!$E114="Real",1,AF$5)/Data!$F13</f>
        <v>0</v>
      </c>
      <c r="AF101" s="314">
        <f>Inputs!AB114*IF(Inputs!$E114="Real",1,AG$5)/Data!$F13</f>
        <v>0</v>
      </c>
      <c r="AG101" s="314">
        <f>Inputs!AC114*IF(Inputs!$E114="Real",1,AH$5)/Data!$F13</f>
        <v>0</v>
      </c>
      <c r="AH101" s="314">
        <f>Inputs!AD114*IF(Inputs!$E114="Real",1,AI$5)/Data!$F13</f>
        <v>0</v>
      </c>
      <c r="AI101" s="314">
        <f>Inputs!AE114*IF(Inputs!$E114="Real",1,AJ$5)/Data!$F13</f>
        <v>0</v>
      </c>
      <c r="AJ101" s="314">
        <f>Inputs!AF114*IF(Inputs!$E114="Real",1,AK$5)/Data!$F13</f>
        <v>0</v>
      </c>
      <c r="AK101" s="314">
        <f>Inputs!AG114*IF(Inputs!$E114="Real",1,AL$5)/Data!$F13</f>
        <v>0</v>
      </c>
      <c r="AL101" s="314">
        <f>Inputs!AH114*IF(Inputs!$E114="Real",1,AM$5)/Data!$F13</f>
        <v>0</v>
      </c>
      <c r="AM101" s="314">
        <f>Inputs!AI114*IF(Inputs!$E114="Real",1,AN$5)/Data!$F13</f>
        <v>0</v>
      </c>
      <c r="AN101" s="314">
        <f>Inputs!AJ114*IF(Inputs!$E114="Real",1,AO$5)/Data!$F13</f>
        <v>0</v>
      </c>
      <c r="AO101" s="314">
        <f>Inputs!AK114*IF(Inputs!$E114="Real",1,AP$5)/Data!$F13</f>
        <v>0</v>
      </c>
      <c r="AP101" s="314">
        <f>Inputs!AL114*IF(Inputs!$E114="Real",1,AQ$5)/Data!$F13</f>
        <v>0</v>
      </c>
      <c r="AQ101" s="314">
        <f>Inputs!AM114*IF(Inputs!$E114="Real",1,AR$5)/Data!$F13</f>
        <v>0</v>
      </c>
      <c r="AR101" s="314">
        <f>Inputs!AN114*IF(Inputs!$E114="Real",1,AS$5)/Data!$F13</f>
        <v>0</v>
      </c>
      <c r="AS101" s="314">
        <f>Inputs!AO114*IF(Inputs!$E114="Real",1,AT$5)/Data!$F13</f>
        <v>0</v>
      </c>
      <c r="AT101" s="314">
        <f>Inputs!AP114*IF(Inputs!$E114="Real",1,AU$5)/Data!$F13</f>
        <v>0</v>
      </c>
      <c r="AU101" s="314">
        <f>Inputs!AQ114*IF(Inputs!$E114="Real",1,AV$5)/Data!$F13</f>
        <v>0</v>
      </c>
      <c r="AV101" s="314">
        <f>Inputs!AR114*IF(Inputs!$E114="Real",1,AW$5)/Data!$F13</f>
        <v>0</v>
      </c>
      <c r="AW101" s="314">
        <f>Inputs!AS114*IF(Inputs!$E114="Real",1,AX$5)/Data!$F13</f>
        <v>0</v>
      </c>
      <c r="AX101" s="314">
        <f>Inputs!AT114*IF(Inputs!$E114="Real",1,AY$5)/Data!$F13</f>
        <v>0</v>
      </c>
      <c r="AY101" s="314">
        <f>Inputs!AU114*IF(Inputs!$E114="Real",1,AZ$5)/Data!$F13</f>
        <v>0</v>
      </c>
      <c r="AZ101" s="314">
        <f>Inputs!AV114*IF(Inputs!$E114="Real",1,BA$5)/Data!$F13</f>
        <v>0</v>
      </c>
      <c r="BA101" s="314">
        <f>Inputs!AW114*IF(Inputs!$E114="Real",1,BB$5)/Data!$F13</f>
        <v>0</v>
      </c>
      <c r="BB101" s="314">
        <f>Inputs!AX114*IF(Inputs!$E114="Real",1,BC$5)/Data!$F13</f>
        <v>0</v>
      </c>
      <c r="BC101" s="314">
        <f>Inputs!AY114*IF(Inputs!$E114="Real",1,BD$5)/Data!$F13</f>
        <v>0</v>
      </c>
      <c r="BD101" s="314">
        <f>Inputs!AZ114*IF(Inputs!$E114="Real",1,BE$5)/Data!$F13</f>
        <v>0</v>
      </c>
      <c r="BE101" s="314">
        <f>Inputs!BA114*IF(Inputs!$E114="Real",1,BF$5)/Data!$F13</f>
        <v>0</v>
      </c>
    </row>
    <row r="102" spans="1:57" x14ac:dyDescent="0.35">
      <c r="A102" s="95"/>
      <c r="B102" s="95"/>
      <c r="C102" s="95"/>
      <c r="D102" s="95"/>
      <c r="E102" s="95"/>
      <c r="F102" s="2"/>
      <c r="G102" s="2"/>
      <c r="H102" s="2"/>
      <c r="I102" s="2"/>
      <c r="J102" s="113"/>
      <c r="K102" s="95"/>
      <c r="L102" s="95"/>
      <c r="M102" s="95"/>
      <c r="N102" s="95"/>
      <c r="O102" s="95"/>
      <c r="P102" s="95"/>
      <c r="Q102" s="95"/>
      <c r="R102" s="95"/>
      <c r="S102" s="95"/>
      <c r="T102" s="95"/>
      <c r="U102" s="95"/>
      <c r="V102" s="95"/>
      <c r="W102" s="95"/>
      <c r="X102" s="95"/>
      <c r="Y102" s="95"/>
      <c r="Z102" s="95"/>
      <c r="AA102" s="95"/>
      <c r="AB102" s="95"/>
      <c r="AC102" s="95"/>
      <c r="AD102" s="95"/>
      <c r="AE102" s="95"/>
      <c r="AF102" s="95"/>
      <c r="AG102" s="95"/>
      <c r="AH102" s="95"/>
      <c r="AI102" s="95"/>
      <c r="AJ102" s="95"/>
      <c r="AK102" s="95"/>
      <c r="AL102" s="95"/>
      <c r="AM102" s="95"/>
      <c r="AN102" s="95"/>
      <c r="AO102" s="95"/>
      <c r="AP102" s="95"/>
      <c r="AQ102" s="95"/>
      <c r="AR102" s="95"/>
      <c r="AS102" s="95"/>
      <c r="AT102" s="95"/>
      <c r="AU102" s="95"/>
      <c r="AV102" s="95"/>
      <c r="AW102" s="95"/>
      <c r="AX102" s="95"/>
      <c r="AY102" s="95"/>
      <c r="AZ102" s="95"/>
      <c r="BA102" s="95"/>
      <c r="BB102" s="95"/>
      <c r="BC102" s="95"/>
      <c r="BD102" s="95"/>
      <c r="BE102" s="95"/>
    </row>
    <row r="103" spans="1:57" x14ac:dyDescent="0.35">
      <c r="A103" s="1" t="s">
        <v>110</v>
      </c>
      <c r="B103" s="1"/>
      <c r="C103" s="1"/>
      <c r="D103" s="1"/>
      <c r="E103" s="1"/>
      <c r="F103" s="2"/>
      <c r="G103" s="2"/>
      <c r="H103" s="2"/>
      <c r="I103" s="2"/>
      <c r="J103" s="113"/>
      <c r="K103" s="95"/>
      <c r="L103" s="95"/>
      <c r="M103" s="95"/>
      <c r="N103" s="95"/>
      <c r="O103" s="95"/>
      <c r="P103" s="95"/>
      <c r="Q103" s="95"/>
      <c r="R103" s="95"/>
      <c r="S103" s="95"/>
      <c r="T103" s="95"/>
      <c r="U103" s="95"/>
      <c r="V103" s="95"/>
      <c r="W103" s="95"/>
      <c r="X103" s="95"/>
      <c r="Y103" s="95"/>
      <c r="Z103" s="95"/>
      <c r="AA103" s="95"/>
      <c r="AB103" s="95"/>
      <c r="AC103" s="95"/>
      <c r="AD103" s="95"/>
      <c r="AE103" s="95"/>
      <c r="AF103" s="95"/>
      <c r="AG103" s="95"/>
      <c r="AH103" s="95"/>
      <c r="AI103" s="95"/>
      <c r="AJ103" s="95"/>
      <c r="AK103" s="95"/>
      <c r="AL103" s="95"/>
      <c r="AM103" s="95"/>
      <c r="AN103" s="95"/>
      <c r="AO103" s="95"/>
      <c r="AP103" s="95"/>
      <c r="AQ103" s="95"/>
      <c r="AR103" s="95"/>
      <c r="AS103" s="95"/>
      <c r="AT103" s="95"/>
      <c r="AU103" s="95"/>
      <c r="AV103" s="95"/>
      <c r="AW103" s="95"/>
      <c r="AX103" s="95"/>
      <c r="AY103" s="95"/>
      <c r="AZ103" s="95"/>
      <c r="BA103" s="95"/>
      <c r="BB103" s="95"/>
      <c r="BC103" s="95"/>
      <c r="BD103" s="95"/>
      <c r="BE103" s="95"/>
    </row>
    <row r="104" spans="1:57" x14ac:dyDescent="0.35">
      <c r="A104" s="28" t="s">
        <v>111</v>
      </c>
      <c r="B104" s="28"/>
      <c r="C104" s="28"/>
      <c r="D104" s="28"/>
      <c r="E104" s="271" t="s">
        <v>329</v>
      </c>
      <c r="F104" s="338" t="s">
        <v>330</v>
      </c>
      <c r="G104" s="234" t="s">
        <v>328</v>
      </c>
      <c r="H104" s="234" t="s">
        <v>60</v>
      </c>
      <c r="I104" s="234" t="s">
        <v>35</v>
      </c>
      <c r="J104" s="338" t="s">
        <v>283</v>
      </c>
      <c r="K104" s="234" t="s">
        <v>39</v>
      </c>
      <c r="L104" s="127" t="s">
        <v>303</v>
      </c>
      <c r="M104" s="127" t="s">
        <v>62</v>
      </c>
      <c r="N104" s="127" t="s">
        <v>63</v>
      </c>
      <c r="O104" s="127" t="s">
        <v>64</v>
      </c>
      <c r="P104" s="127" t="s">
        <v>65</v>
      </c>
      <c r="Q104" s="127" t="s">
        <v>66</v>
      </c>
      <c r="R104" s="127" t="s">
        <v>67</v>
      </c>
      <c r="S104" s="127" t="s">
        <v>68</v>
      </c>
      <c r="T104" s="127" t="s">
        <v>69</v>
      </c>
      <c r="U104" s="127" t="s">
        <v>70</v>
      </c>
      <c r="V104" s="127" t="s">
        <v>71</v>
      </c>
      <c r="W104" s="127" t="s">
        <v>72</v>
      </c>
      <c r="X104" s="127" t="s">
        <v>73</v>
      </c>
      <c r="Y104" s="127" t="s">
        <v>74</v>
      </c>
      <c r="Z104" s="127" t="s">
        <v>75</v>
      </c>
      <c r="AA104" s="127" t="s">
        <v>76</v>
      </c>
      <c r="AB104" s="127" t="s">
        <v>77</v>
      </c>
      <c r="AC104" s="127" t="s">
        <v>78</v>
      </c>
      <c r="AD104" s="127" t="s">
        <v>79</v>
      </c>
      <c r="AE104" s="127" t="s">
        <v>80</v>
      </c>
      <c r="AF104" s="127" t="s">
        <v>81</v>
      </c>
      <c r="AG104" s="127" t="s">
        <v>82</v>
      </c>
      <c r="AH104" s="127" t="s">
        <v>83</v>
      </c>
      <c r="AI104" s="127" t="s">
        <v>84</v>
      </c>
      <c r="AJ104" s="127" t="s">
        <v>85</v>
      </c>
      <c r="AK104" s="127" t="s">
        <v>86</v>
      </c>
      <c r="AL104" s="127" t="s">
        <v>87</v>
      </c>
      <c r="AM104" s="127" t="s">
        <v>88</v>
      </c>
      <c r="AN104" s="127" t="s">
        <v>89</v>
      </c>
      <c r="AO104" s="127" t="s">
        <v>90</v>
      </c>
      <c r="AP104" s="127" t="s">
        <v>91</v>
      </c>
      <c r="AQ104" s="127" t="s">
        <v>92</v>
      </c>
      <c r="AR104" s="127" t="s">
        <v>93</v>
      </c>
      <c r="AS104" s="127" t="s">
        <v>94</v>
      </c>
      <c r="AT104" s="127" t="s">
        <v>95</v>
      </c>
      <c r="AU104" s="127" t="s">
        <v>96</v>
      </c>
      <c r="AV104" s="127" t="s">
        <v>97</v>
      </c>
      <c r="AW104" s="127" t="s">
        <v>98</v>
      </c>
      <c r="AX104" s="127" t="s">
        <v>99</v>
      </c>
      <c r="AY104" s="127" t="s">
        <v>100</v>
      </c>
      <c r="AZ104" s="127" t="s">
        <v>101</v>
      </c>
      <c r="BA104" s="127" t="s">
        <v>102</v>
      </c>
      <c r="BB104" s="127" t="s">
        <v>103</v>
      </c>
      <c r="BC104" s="127" t="s">
        <v>104</v>
      </c>
      <c r="BD104" s="127" t="s">
        <v>105</v>
      </c>
      <c r="BE104" s="127" t="s">
        <v>106</v>
      </c>
    </row>
    <row r="105" spans="1:57" x14ac:dyDescent="0.35">
      <c r="A105" s="95"/>
      <c r="B105" s="95"/>
      <c r="C105" s="95"/>
      <c r="D105" s="95"/>
      <c r="E105" s="330">
        <f>'Project description'!$B$5</f>
        <v>0</v>
      </c>
      <c r="F105" s="339" t="str">
        <f>Lists!$B$34</f>
        <v/>
      </c>
      <c r="G105" s="214" t="s">
        <v>148</v>
      </c>
      <c r="H105" s="214" t="str">
        <f t="shared" ref="H105:H115" si="8">IF(I51="&lt;Select&gt;","",I51)</f>
        <v>Electricity</v>
      </c>
      <c r="I105" s="214" t="str">
        <f>I78</f>
        <v>Real</v>
      </c>
      <c r="J105" s="215">
        <f t="shared" ref="J105:J115" si="9">Analysis_year</f>
        <v>0</v>
      </c>
      <c r="K105" s="216" t="str">
        <f>IF(Inputs!G118="","",Inputs!G118)</f>
        <v/>
      </c>
      <c r="L105" s="258">
        <f t="shared" ref="L105" si="10">L51*L78</f>
        <v>0</v>
      </c>
      <c r="M105" s="258">
        <f t="shared" ref="M105:AY105" si="11">M51*M78</f>
        <v>0</v>
      </c>
      <c r="N105" s="258">
        <f t="shared" si="11"/>
        <v>0</v>
      </c>
      <c r="O105" s="258">
        <f t="shared" si="11"/>
        <v>0</v>
      </c>
      <c r="P105" s="258">
        <f t="shared" si="11"/>
        <v>0</v>
      </c>
      <c r="Q105" s="258">
        <f t="shared" si="11"/>
        <v>0</v>
      </c>
      <c r="R105" s="258">
        <f t="shared" si="11"/>
        <v>0</v>
      </c>
      <c r="S105" s="258">
        <f t="shared" si="11"/>
        <v>0</v>
      </c>
      <c r="T105" s="258">
        <f t="shared" si="11"/>
        <v>0</v>
      </c>
      <c r="U105" s="258">
        <f t="shared" si="11"/>
        <v>0</v>
      </c>
      <c r="V105" s="258">
        <f t="shared" si="11"/>
        <v>0</v>
      </c>
      <c r="W105" s="258">
        <f t="shared" si="11"/>
        <v>0</v>
      </c>
      <c r="X105" s="258">
        <f t="shared" si="11"/>
        <v>0</v>
      </c>
      <c r="Y105" s="258">
        <f t="shared" si="11"/>
        <v>0</v>
      </c>
      <c r="Z105" s="258">
        <f t="shared" si="11"/>
        <v>0</v>
      </c>
      <c r="AA105" s="258">
        <f t="shared" si="11"/>
        <v>0</v>
      </c>
      <c r="AB105" s="258">
        <f t="shared" si="11"/>
        <v>0</v>
      </c>
      <c r="AC105" s="258">
        <f t="shared" si="11"/>
        <v>0</v>
      </c>
      <c r="AD105" s="258">
        <f t="shared" si="11"/>
        <v>0</v>
      </c>
      <c r="AE105" s="258">
        <f t="shared" si="11"/>
        <v>0</v>
      </c>
      <c r="AF105" s="258">
        <f t="shared" si="11"/>
        <v>0</v>
      </c>
      <c r="AG105" s="258">
        <f t="shared" si="11"/>
        <v>0</v>
      </c>
      <c r="AH105" s="258">
        <f t="shared" si="11"/>
        <v>0</v>
      </c>
      <c r="AI105" s="258">
        <f t="shared" si="11"/>
        <v>0</v>
      </c>
      <c r="AJ105" s="258">
        <f t="shared" si="11"/>
        <v>0</v>
      </c>
      <c r="AK105" s="258">
        <f t="shared" si="11"/>
        <v>0</v>
      </c>
      <c r="AL105" s="258">
        <f t="shared" si="11"/>
        <v>0</v>
      </c>
      <c r="AM105" s="258">
        <f t="shared" si="11"/>
        <v>0</v>
      </c>
      <c r="AN105" s="258">
        <f t="shared" si="11"/>
        <v>0</v>
      </c>
      <c r="AO105" s="258">
        <f t="shared" si="11"/>
        <v>0</v>
      </c>
      <c r="AP105" s="258">
        <f t="shared" si="11"/>
        <v>0</v>
      </c>
      <c r="AQ105" s="258">
        <f t="shared" si="11"/>
        <v>0</v>
      </c>
      <c r="AR105" s="258">
        <f t="shared" si="11"/>
        <v>0</v>
      </c>
      <c r="AS105" s="258">
        <f t="shared" si="11"/>
        <v>0</v>
      </c>
      <c r="AT105" s="258">
        <f t="shared" si="11"/>
        <v>0</v>
      </c>
      <c r="AU105" s="258">
        <f t="shared" si="11"/>
        <v>0</v>
      </c>
      <c r="AV105" s="258">
        <f t="shared" si="11"/>
        <v>0</v>
      </c>
      <c r="AW105" s="258">
        <f t="shared" si="11"/>
        <v>0</v>
      </c>
      <c r="AX105" s="258">
        <f t="shared" si="11"/>
        <v>0</v>
      </c>
      <c r="AY105" s="258">
        <f t="shared" si="11"/>
        <v>0</v>
      </c>
      <c r="AZ105" s="258">
        <f t="shared" ref="AZ105:BE105" si="12">AZ51*AZ78</f>
        <v>0</v>
      </c>
      <c r="BA105" s="258">
        <f t="shared" si="12"/>
        <v>0</v>
      </c>
      <c r="BB105" s="258">
        <f t="shared" si="12"/>
        <v>0</v>
      </c>
      <c r="BC105" s="258">
        <f t="shared" si="12"/>
        <v>0</v>
      </c>
      <c r="BD105" s="258">
        <f t="shared" si="12"/>
        <v>0</v>
      </c>
      <c r="BE105" s="258">
        <f t="shared" si="12"/>
        <v>0</v>
      </c>
    </row>
    <row r="106" spans="1:57" x14ac:dyDescent="0.35">
      <c r="A106" s="95"/>
      <c r="B106" s="95"/>
      <c r="C106" s="95"/>
      <c r="D106" s="95"/>
      <c r="E106" s="331">
        <f>'Project description'!$B$5</f>
        <v>0</v>
      </c>
      <c r="F106" s="340" t="str">
        <f>Lists!$B$34</f>
        <v/>
      </c>
      <c r="G106" s="218" t="s">
        <v>148</v>
      </c>
      <c r="H106" s="218" t="str">
        <f t="shared" si="8"/>
        <v>Natural Gas</v>
      </c>
      <c r="I106" s="218" t="str">
        <f t="shared" ref="I106:I115" si="13">I79</f>
        <v>Real</v>
      </c>
      <c r="J106" s="219">
        <f t="shared" si="9"/>
        <v>0</v>
      </c>
      <c r="K106" s="332" t="str">
        <f>IF(Inputs!G119="","",Inputs!G119)</f>
        <v/>
      </c>
      <c r="L106" s="260">
        <f t="shared" ref="L106" si="14">L52*L79</f>
        <v>0</v>
      </c>
      <c r="M106" s="260">
        <f t="shared" ref="M106:AY106" si="15">M52*M79</f>
        <v>0</v>
      </c>
      <c r="N106" s="260">
        <f t="shared" si="15"/>
        <v>0</v>
      </c>
      <c r="O106" s="260">
        <f t="shared" si="15"/>
        <v>0</v>
      </c>
      <c r="P106" s="260">
        <f t="shared" si="15"/>
        <v>0</v>
      </c>
      <c r="Q106" s="260">
        <f t="shared" si="15"/>
        <v>0</v>
      </c>
      <c r="R106" s="260">
        <f t="shared" si="15"/>
        <v>0</v>
      </c>
      <c r="S106" s="260">
        <f t="shared" si="15"/>
        <v>0</v>
      </c>
      <c r="T106" s="260">
        <f t="shared" si="15"/>
        <v>0</v>
      </c>
      <c r="U106" s="260">
        <f t="shared" si="15"/>
        <v>0</v>
      </c>
      <c r="V106" s="260">
        <f t="shared" si="15"/>
        <v>0</v>
      </c>
      <c r="W106" s="260">
        <f t="shared" si="15"/>
        <v>0</v>
      </c>
      <c r="X106" s="260">
        <f t="shared" si="15"/>
        <v>0</v>
      </c>
      <c r="Y106" s="260">
        <f t="shared" si="15"/>
        <v>0</v>
      </c>
      <c r="Z106" s="260">
        <f t="shared" si="15"/>
        <v>0</v>
      </c>
      <c r="AA106" s="260">
        <f t="shared" si="15"/>
        <v>0</v>
      </c>
      <c r="AB106" s="260">
        <f t="shared" si="15"/>
        <v>0</v>
      </c>
      <c r="AC106" s="260">
        <f t="shared" si="15"/>
        <v>0</v>
      </c>
      <c r="AD106" s="260">
        <f t="shared" si="15"/>
        <v>0</v>
      </c>
      <c r="AE106" s="260">
        <f t="shared" si="15"/>
        <v>0</v>
      </c>
      <c r="AF106" s="260">
        <f t="shared" si="15"/>
        <v>0</v>
      </c>
      <c r="AG106" s="260">
        <f t="shared" si="15"/>
        <v>0</v>
      </c>
      <c r="AH106" s="260">
        <f t="shared" si="15"/>
        <v>0</v>
      </c>
      <c r="AI106" s="260">
        <f t="shared" si="15"/>
        <v>0</v>
      </c>
      <c r="AJ106" s="260">
        <f t="shared" si="15"/>
        <v>0</v>
      </c>
      <c r="AK106" s="260">
        <f t="shared" si="15"/>
        <v>0</v>
      </c>
      <c r="AL106" s="260">
        <f t="shared" si="15"/>
        <v>0</v>
      </c>
      <c r="AM106" s="260">
        <f t="shared" si="15"/>
        <v>0</v>
      </c>
      <c r="AN106" s="260">
        <f t="shared" si="15"/>
        <v>0</v>
      </c>
      <c r="AO106" s="260">
        <f t="shared" si="15"/>
        <v>0</v>
      </c>
      <c r="AP106" s="260">
        <f t="shared" si="15"/>
        <v>0</v>
      </c>
      <c r="AQ106" s="260">
        <f t="shared" si="15"/>
        <v>0</v>
      </c>
      <c r="AR106" s="260">
        <f t="shared" si="15"/>
        <v>0</v>
      </c>
      <c r="AS106" s="260">
        <f t="shared" si="15"/>
        <v>0</v>
      </c>
      <c r="AT106" s="260">
        <f t="shared" si="15"/>
        <v>0</v>
      </c>
      <c r="AU106" s="260">
        <f t="shared" si="15"/>
        <v>0</v>
      </c>
      <c r="AV106" s="260">
        <f t="shared" si="15"/>
        <v>0</v>
      </c>
      <c r="AW106" s="260">
        <f t="shared" si="15"/>
        <v>0</v>
      </c>
      <c r="AX106" s="260">
        <f t="shared" si="15"/>
        <v>0</v>
      </c>
      <c r="AY106" s="260">
        <f t="shared" si="15"/>
        <v>0</v>
      </c>
      <c r="AZ106" s="260">
        <f t="shared" ref="AZ106:BE106" si="16">AZ52*AZ79</f>
        <v>0</v>
      </c>
      <c r="BA106" s="260">
        <f t="shared" si="16"/>
        <v>0</v>
      </c>
      <c r="BB106" s="260">
        <f t="shared" si="16"/>
        <v>0</v>
      </c>
      <c r="BC106" s="260">
        <f t="shared" si="16"/>
        <v>0</v>
      </c>
      <c r="BD106" s="260">
        <f t="shared" si="16"/>
        <v>0</v>
      </c>
      <c r="BE106" s="260">
        <f t="shared" si="16"/>
        <v>0</v>
      </c>
    </row>
    <row r="107" spans="1:57" x14ac:dyDescent="0.35">
      <c r="A107" s="95"/>
      <c r="B107" s="95"/>
      <c r="C107" s="95"/>
      <c r="D107" s="95"/>
      <c r="E107" s="333">
        <f>'Project description'!$B$5</f>
        <v>0</v>
      </c>
      <c r="F107" s="341" t="str">
        <f>Lists!$B$34</f>
        <v/>
      </c>
      <c r="G107" s="222" t="s">
        <v>148</v>
      </c>
      <c r="H107" s="222" t="str">
        <f t="shared" si="8"/>
        <v>Coal - sub bituminous</v>
      </c>
      <c r="I107" s="222" t="str">
        <f t="shared" si="13"/>
        <v>Real</v>
      </c>
      <c r="J107" s="223">
        <f t="shared" si="9"/>
        <v>0</v>
      </c>
      <c r="K107" s="334" t="str">
        <f>IF(Inputs!G120="","",Inputs!G120)</f>
        <v/>
      </c>
      <c r="L107" s="262">
        <f t="shared" ref="L107" si="17">L53*L80</f>
        <v>0</v>
      </c>
      <c r="M107" s="262">
        <f t="shared" ref="M107:AY107" si="18">M53*M80</f>
        <v>0</v>
      </c>
      <c r="N107" s="262">
        <f t="shared" si="18"/>
        <v>0</v>
      </c>
      <c r="O107" s="262">
        <f t="shared" si="18"/>
        <v>0</v>
      </c>
      <c r="P107" s="262">
        <f t="shared" si="18"/>
        <v>0</v>
      </c>
      <c r="Q107" s="262">
        <f t="shared" si="18"/>
        <v>0</v>
      </c>
      <c r="R107" s="262">
        <f t="shared" si="18"/>
        <v>0</v>
      </c>
      <c r="S107" s="262">
        <f t="shared" si="18"/>
        <v>0</v>
      </c>
      <c r="T107" s="262">
        <f t="shared" si="18"/>
        <v>0</v>
      </c>
      <c r="U107" s="262">
        <f t="shared" si="18"/>
        <v>0</v>
      </c>
      <c r="V107" s="262">
        <f t="shared" si="18"/>
        <v>0</v>
      </c>
      <c r="W107" s="262">
        <f t="shared" si="18"/>
        <v>0</v>
      </c>
      <c r="X107" s="262">
        <f t="shared" si="18"/>
        <v>0</v>
      </c>
      <c r="Y107" s="262">
        <f t="shared" si="18"/>
        <v>0</v>
      </c>
      <c r="Z107" s="262">
        <f t="shared" si="18"/>
        <v>0</v>
      </c>
      <c r="AA107" s="262">
        <f t="shared" si="18"/>
        <v>0</v>
      </c>
      <c r="AB107" s="262">
        <f t="shared" si="18"/>
        <v>0</v>
      </c>
      <c r="AC107" s="262">
        <f t="shared" si="18"/>
        <v>0</v>
      </c>
      <c r="AD107" s="262">
        <f t="shared" si="18"/>
        <v>0</v>
      </c>
      <c r="AE107" s="262">
        <f t="shared" si="18"/>
        <v>0</v>
      </c>
      <c r="AF107" s="262">
        <f t="shared" si="18"/>
        <v>0</v>
      </c>
      <c r="AG107" s="262">
        <f t="shared" si="18"/>
        <v>0</v>
      </c>
      <c r="AH107" s="262">
        <f t="shared" si="18"/>
        <v>0</v>
      </c>
      <c r="AI107" s="262">
        <f t="shared" si="18"/>
        <v>0</v>
      </c>
      <c r="AJ107" s="262">
        <f t="shared" si="18"/>
        <v>0</v>
      </c>
      <c r="AK107" s="262">
        <f t="shared" si="18"/>
        <v>0</v>
      </c>
      <c r="AL107" s="262">
        <f t="shared" si="18"/>
        <v>0</v>
      </c>
      <c r="AM107" s="262">
        <f t="shared" si="18"/>
        <v>0</v>
      </c>
      <c r="AN107" s="262">
        <f t="shared" si="18"/>
        <v>0</v>
      </c>
      <c r="AO107" s="262">
        <f t="shared" si="18"/>
        <v>0</v>
      </c>
      <c r="AP107" s="262">
        <f t="shared" si="18"/>
        <v>0</v>
      </c>
      <c r="AQ107" s="262">
        <f t="shared" si="18"/>
        <v>0</v>
      </c>
      <c r="AR107" s="262">
        <f t="shared" si="18"/>
        <v>0</v>
      </c>
      <c r="AS107" s="262">
        <f t="shared" si="18"/>
        <v>0</v>
      </c>
      <c r="AT107" s="262">
        <f t="shared" si="18"/>
        <v>0</v>
      </c>
      <c r="AU107" s="262">
        <f t="shared" si="18"/>
        <v>0</v>
      </c>
      <c r="AV107" s="262">
        <f t="shared" si="18"/>
        <v>0</v>
      </c>
      <c r="AW107" s="262">
        <f t="shared" si="18"/>
        <v>0</v>
      </c>
      <c r="AX107" s="262">
        <f t="shared" si="18"/>
        <v>0</v>
      </c>
      <c r="AY107" s="262">
        <f t="shared" si="18"/>
        <v>0</v>
      </c>
      <c r="AZ107" s="262">
        <f t="shared" ref="AZ107:BE107" si="19">AZ53*AZ80</f>
        <v>0</v>
      </c>
      <c r="BA107" s="262">
        <f t="shared" si="19"/>
        <v>0</v>
      </c>
      <c r="BB107" s="262">
        <f t="shared" si="19"/>
        <v>0</v>
      </c>
      <c r="BC107" s="262">
        <f t="shared" si="19"/>
        <v>0</v>
      </c>
      <c r="BD107" s="262">
        <f t="shared" si="19"/>
        <v>0</v>
      </c>
      <c r="BE107" s="262">
        <f t="shared" si="19"/>
        <v>0</v>
      </c>
    </row>
    <row r="108" spans="1:57" x14ac:dyDescent="0.35">
      <c r="A108" s="95"/>
      <c r="B108" s="95"/>
      <c r="C108" s="95"/>
      <c r="D108" s="95"/>
      <c r="E108" s="331">
        <f>'Project description'!$B$5</f>
        <v>0</v>
      </c>
      <c r="F108" s="340" t="str">
        <f>Lists!$B$34</f>
        <v/>
      </c>
      <c r="G108" s="218" t="s">
        <v>148</v>
      </c>
      <c r="H108" s="218" t="str">
        <f t="shared" si="8"/>
        <v>Coal - bituminous</v>
      </c>
      <c r="I108" s="218" t="str">
        <f t="shared" si="13"/>
        <v>Real</v>
      </c>
      <c r="J108" s="219">
        <f t="shared" si="9"/>
        <v>0</v>
      </c>
      <c r="K108" s="332" t="str">
        <f>IF(Inputs!G121="","",Inputs!G121)</f>
        <v/>
      </c>
      <c r="L108" s="260">
        <f t="shared" ref="L108" si="20">L54*L81</f>
        <v>0</v>
      </c>
      <c r="M108" s="260">
        <f t="shared" ref="M108:AY108" si="21">M54*M81</f>
        <v>0</v>
      </c>
      <c r="N108" s="260">
        <f t="shared" si="21"/>
        <v>0</v>
      </c>
      <c r="O108" s="260">
        <f t="shared" si="21"/>
        <v>0</v>
      </c>
      <c r="P108" s="260">
        <f t="shared" si="21"/>
        <v>0</v>
      </c>
      <c r="Q108" s="260">
        <f t="shared" si="21"/>
        <v>0</v>
      </c>
      <c r="R108" s="260">
        <f t="shared" si="21"/>
        <v>0</v>
      </c>
      <c r="S108" s="260">
        <f t="shared" si="21"/>
        <v>0</v>
      </c>
      <c r="T108" s="260">
        <f t="shared" si="21"/>
        <v>0</v>
      </c>
      <c r="U108" s="260">
        <f t="shared" si="21"/>
        <v>0</v>
      </c>
      <c r="V108" s="260">
        <f t="shared" si="21"/>
        <v>0</v>
      </c>
      <c r="W108" s="260">
        <f t="shared" si="21"/>
        <v>0</v>
      </c>
      <c r="X108" s="260">
        <f t="shared" si="21"/>
        <v>0</v>
      </c>
      <c r="Y108" s="260">
        <f t="shared" si="21"/>
        <v>0</v>
      </c>
      <c r="Z108" s="260">
        <f t="shared" si="21"/>
        <v>0</v>
      </c>
      <c r="AA108" s="260">
        <f t="shared" si="21"/>
        <v>0</v>
      </c>
      <c r="AB108" s="260">
        <f t="shared" si="21"/>
        <v>0</v>
      </c>
      <c r="AC108" s="260">
        <f t="shared" si="21"/>
        <v>0</v>
      </c>
      <c r="AD108" s="260">
        <f t="shared" si="21"/>
        <v>0</v>
      </c>
      <c r="AE108" s="260">
        <f t="shared" si="21"/>
        <v>0</v>
      </c>
      <c r="AF108" s="260">
        <f t="shared" si="21"/>
        <v>0</v>
      </c>
      <c r="AG108" s="260">
        <f t="shared" si="21"/>
        <v>0</v>
      </c>
      <c r="AH108" s="260">
        <f t="shared" si="21"/>
        <v>0</v>
      </c>
      <c r="AI108" s="260">
        <f t="shared" si="21"/>
        <v>0</v>
      </c>
      <c r="AJ108" s="260">
        <f t="shared" si="21"/>
        <v>0</v>
      </c>
      <c r="AK108" s="260">
        <f t="shared" si="21"/>
        <v>0</v>
      </c>
      <c r="AL108" s="260">
        <f t="shared" si="21"/>
        <v>0</v>
      </c>
      <c r="AM108" s="260">
        <f t="shared" si="21"/>
        <v>0</v>
      </c>
      <c r="AN108" s="260">
        <f t="shared" si="21"/>
        <v>0</v>
      </c>
      <c r="AO108" s="260">
        <f t="shared" si="21"/>
        <v>0</v>
      </c>
      <c r="AP108" s="260">
        <f t="shared" si="21"/>
        <v>0</v>
      </c>
      <c r="AQ108" s="260">
        <f t="shared" si="21"/>
        <v>0</v>
      </c>
      <c r="AR108" s="260">
        <f t="shared" si="21"/>
        <v>0</v>
      </c>
      <c r="AS108" s="260">
        <f t="shared" si="21"/>
        <v>0</v>
      </c>
      <c r="AT108" s="260">
        <f t="shared" si="21"/>
        <v>0</v>
      </c>
      <c r="AU108" s="260">
        <f t="shared" si="21"/>
        <v>0</v>
      </c>
      <c r="AV108" s="260">
        <f t="shared" si="21"/>
        <v>0</v>
      </c>
      <c r="AW108" s="260">
        <f t="shared" si="21"/>
        <v>0</v>
      </c>
      <c r="AX108" s="260">
        <f t="shared" si="21"/>
        <v>0</v>
      </c>
      <c r="AY108" s="260">
        <f t="shared" si="21"/>
        <v>0</v>
      </c>
      <c r="AZ108" s="260">
        <f t="shared" ref="AZ108:BE108" si="22">AZ54*AZ81</f>
        <v>0</v>
      </c>
      <c r="BA108" s="260">
        <f t="shared" si="22"/>
        <v>0</v>
      </c>
      <c r="BB108" s="260">
        <f t="shared" si="22"/>
        <v>0</v>
      </c>
      <c r="BC108" s="260">
        <f t="shared" si="22"/>
        <v>0</v>
      </c>
      <c r="BD108" s="260">
        <f t="shared" si="22"/>
        <v>0</v>
      </c>
      <c r="BE108" s="260">
        <f t="shared" si="22"/>
        <v>0</v>
      </c>
    </row>
    <row r="109" spans="1:57" x14ac:dyDescent="0.35">
      <c r="A109" s="95"/>
      <c r="B109" s="95"/>
      <c r="C109" s="95"/>
      <c r="D109" s="95"/>
      <c r="E109" s="333">
        <f>'Project description'!$B$5</f>
        <v>0</v>
      </c>
      <c r="F109" s="341" t="str">
        <f>Lists!$B$34</f>
        <v/>
      </c>
      <c r="G109" s="222" t="s">
        <v>148</v>
      </c>
      <c r="H109" s="222" t="str">
        <f t="shared" si="8"/>
        <v>Coal - lignite</v>
      </c>
      <c r="I109" s="222" t="str">
        <f t="shared" si="13"/>
        <v>Real</v>
      </c>
      <c r="J109" s="223">
        <f t="shared" si="9"/>
        <v>0</v>
      </c>
      <c r="K109" s="334" t="str">
        <f>IF(Inputs!G122="","",Inputs!G122)</f>
        <v/>
      </c>
      <c r="L109" s="262">
        <f t="shared" ref="L109" si="23">L55*L82</f>
        <v>0</v>
      </c>
      <c r="M109" s="262">
        <f t="shared" ref="M109:AY109" si="24">M55*M82</f>
        <v>0</v>
      </c>
      <c r="N109" s="262">
        <f t="shared" si="24"/>
        <v>0</v>
      </c>
      <c r="O109" s="262">
        <f t="shared" si="24"/>
        <v>0</v>
      </c>
      <c r="P109" s="262">
        <f t="shared" si="24"/>
        <v>0</v>
      </c>
      <c r="Q109" s="262">
        <f t="shared" si="24"/>
        <v>0</v>
      </c>
      <c r="R109" s="262">
        <f t="shared" si="24"/>
        <v>0</v>
      </c>
      <c r="S109" s="262">
        <f t="shared" si="24"/>
        <v>0</v>
      </c>
      <c r="T109" s="262">
        <f t="shared" si="24"/>
        <v>0</v>
      </c>
      <c r="U109" s="262">
        <f t="shared" si="24"/>
        <v>0</v>
      </c>
      <c r="V109" s="262">
        <f t="shared" si="24"/>
        <v>0</v>
      </c>
      <c r="W109" s="262">
        <f t="shared" si="24"/>
        <v>0</v>
      </c>
      <c r="X109" s="262">
        <f t="shared" si="24"/>
        <v>0</v>
      </c>
      <c r="Y109" s="262">
        <f t="shared" si="24"/>
        <v>0</v>
      </c>
      <c r="Z109" s="262">
        <f t="shared" si="24"/>
        <v>0</v>
      </c>
      <c r="AA109" s="262">
        <f t="shared" si="24"/>
        <v>0</v>
      </c>
      <c r="AB109" s="262">
        <f t="shared" si="24"/>
        <v>0</v>
      </c>
      <c r="AC109" s="262">
        <f t="shared" si="24"/>
        <v>0</v>
      </c>
      <c r="AD109" s="262">
        <f t="shared" si="24"/>
        <v>0</v>
      </c>
      <c r="AE109" s="262">
        <f t="shared" si="24"/>
        <v>0</v>
      </c>
      <c r="AF109" s="262">
        <f t="shared" si="24"/>
        <v>0</v>
      </c>
      <c r="AG109" s="262">
        <f t="shared" si="24"/>
        <v>0</v>
      </c>
      <c r="AH109" s="262">
        <f t="shared" si="24"/>
        <v>0</v>
      </c>
      <c r="AI109" s="262">
        <f t="shared" si="24"/>
        <v>0</v>
      </c>
      <c r="AJ109" s="262">
        <f t="shared" si="24"/>
        <v>0</v>
      </c>
      <c r="AK109" s="262">
        <f t="shared" si="24"/>
        <v>0</v>
      </c>
      <c r="AL109" s="262">
        <f t="shared" si="24"/>
        <v>0</v>
      </c>
      <c r="AM109" s="262">
        <f t="shared" si="24"/>
        <v>0</v>
      </c>
      <c r="AN109" s="262">
        <f t="shared" si="24"/>
        <v>0</v>
      </c>
      <c r="AO109" s="262">
        <f t="shared" si="24"/>
        <v>0</v>
      </c>
      <c r="AP109" s="262">
        <f t="shared" si="24"/>
        <v>0</v>
      </c>
      <c r="AQ109" s="262">
        <f t="shared" si="24"/>
        <v>0</v>
      </c>
      <c r="AR109" s="262">
        <f t="shared" si="24"/>
        <v>0</v>
      </c>
      <c r="AS109" s="262">
        <f t="shared" si="24"/>
        <v>0</v>
      </c>
      <c r="AT109" s="262">
        <f t="shared" si="24"/>
        <v>0</v>
      </c>
      <c r="AU109" s="262">
        <f t="shared" si="24"/>
        <v>0</v>
      </c>
      <c r="AV109" s="262">
        <f t="shared" si="24"/>
        <v>0</v>
      </c>
      <c r="AW109" s="262">
        <f t="shared" si="24"/>
        <v>0</v>
      </c>
      <c r="AX109" s="262">
        <f t="shared" si="24"/>
        <v>0</v>
      </c>
      <c r="AY109" s="262">
        <f t="shared" si="24"/>
        <v>0</v>
      </c>
      <c r="AZ109" s="262">
        <f t="shared" ref="AZ109:BE109" si="25">AZ55*AZ82</f>
        <v>0</v>
      </c>
      <c r="BA109" s="262">
        <f t="shared" si="25"/>
        <v>0</v>
      </c>
      <c r="BB109" s="262">
        <f t="shared" si="25"/>
        <v>0</v>
      </c>
      <c r="BC109" s="262">
        <f t="shared" si="25"/>
        <v>0</v>
      </c>
      <c r="BD109" s="262">
        <f t="shared" si="25"/>
        <v>0</v>
      </c>
      <c r="BE109" s="262">
        <f t="shared" si="25"/>
        <v>0</v>
      </c>
    </row>
    <row r="110" spans="1:57" x14ac:dyDescent="0.35">
      <c r="A110" s="95"/>
      <c r="B110" s="95"/>
      <c r="C110" s="95"/>
      <c r="D110" s="95"/>
      <c r="E110" s="331">
        <f>'Project description'!$B$5</f>
        <v>0</v>
      </c>
      <c r="F110" s="340" t="str">
        <f>Lists!$B$34</f>
        <v/>
      </c>
      <c r="G110" s="218" t="s">
        <v>148</v>
      </c>
      <c r="H110" s="218" t="str">
        <f t="shared" si="8"/>
        <v>Diesel</v>
      </c>
      <c r="I110" s="218" t="str">
        <f t="shared" si="13"/>
        <v>Real</v>
      </c>
      <c r="J110" s="219">
        <f t="shared" si="9"/>
        <v>0</v>
      </c>
      <c r="K110" s="332" t="str">
        <f>IF(Inputs!G123="","",Inputs!G123)</f>
        <v/>
      </c>
      <c r="L110" s="260">
        <f t="shared" ref="L110" si="26">L56*L83</f>
        <v>0</v>
      </c>
      <c r="M110" s="260">
        <f t="shared" ref="M110:AY110" si="27">M56*M83</f>
        <v>0</v>
      </c>
      <c r="N110" s="260">
        <f t="shared" si="27"/>
        <v>0</v>
      </c>
      <c r="O110" s="260">
        <f t="shared" si="27"/>
        <v>0</v>
      </c>
      <c r="P110" s="260">
        <f t="shared" si="27"/>
        <v>0</v>
      </c>
      <c r="Q110" s="260">
        <f t="shared" si="27"/>
        <v>0</v>
      </c>
      <c r="R110" s="260">
        <f t="shared" si="27"/>
        <v>0</v>
      </c>
      <c r="S110" s="260">
        <f t="shared" si="27"/>
        <v>0</v>
      </c>
      <c r="T110" s="260">
        <f t="shared" si="27"/>
        <v>0</v>
      </c>
      <c r="U110" s="260">
        <f t="shared" si="27"/>
        <v>0</v>
      </c>
      <c r="V110" s="260">
        <f t="shared" si="27"/>
        <v>0</v>
      </c>
      <c r="W110" s="260">
        <f t="shared" si="27"/>
        <v>0</v>
      </c>
      <c r="X110" s="260">
        <f t="shared" si="27"/>
        <v>0</v>
      </c>
      <c r="Y110" s="260">
        <f t="shared" si="27"/>
        <v>0</v>
      </c>
      <c r="Z110" s="260">
        <f t="shared" si="27"/>
        <v>0</v>
      </c>
      <c r="AA110" s="260">
        <f t="shared" si="27"/>
        <v>0</v>
      </c>
      <c r="AB110" s="260">
        <f t="shared" si="27"/>
        <v>0</v>
      </c>
      <c r="AC110" s="260">
        <f t="shared" si="27"/>
        <v>0</v>
      </c>
      <c r="AD110" s="260">
        <f t="shared" si="27"/>
        <v>0</v>
      </c>
      <c r="AE110" s="260">
        <f t="shared" si="27"/>
        <v>0</v>
      </c>
      <c r="AF110" s="260">
        <f t="shared" si="27"/>
        <v>0</v>
      </c>
      <c r="AG110" s="260">
        <f t="shared" si="27"/>
        <v>0</v>
      </c>
      <c r="AH110" s="260">
        <f t="shared" si="27"/>
        <v>0</v>
      </c>
      <c r="AI110" s="260">
        <f t="shared" si="27"/>
        <v>0</v>
      </c>
      <c r="AJ110" s="260">
        <f t="shared" si="27"/>
        <v>0</v>
      </c>
      <c r="AK110" s="260">
        <f t="shared" si="27"/>
        <v>0</v>
      </c>
      <c r="AL110" s="260">
        <f t="shared" si="27"/>
        <v>0</v>
      </c>
      <c r="AM110" s="260">
        <f t="shared" si="27"/>
        <v>0</v>
      </c>
      <c r="AN110" s="260">
        <f t="shared" si="27"/>
        <v>0</v>
      </c>
      <c r="AO110" s="260">
        <f t="shared" si="27"/>
        <v>0</v>
      </c>
      <c r="AP110" s="260">
        <f t="shared" si="27"/>
        <v>0</v>
      </c>
      <c r="AQ110" s="260">
        <f t="shared" si="27"/>
        <v>0</v>
      </c>
      <c r="AR110" s="260">
        <f t="shared" si="27"/>
        <v>0</v>
      </c>
      <c r="AS110" s="260">
        <f t="shared" si="27"/>
        <v>0</v>
      </c>
      <c r="AT110" s="260">
        <f t="shared" si="27"/>
        <v>0</v>
      </c>
      <c r="AU110" s="260">
        <f t="shared" si="27"/>
        <v>0</v>
      </c>
      <c r="AV110" s="260">
        <f t="shared" si="27"/>
        <v>0</v>
      </c>
      <c r="AW110" s="260">
        <f t="shared" si="27"/>
        <v>0</v>
      </c>
      <c r="AX110" s="260">
        <f t="shared" si="27"/>
        <v>0</v>
      </c>
      <c r="AY110" s="260">
        <f t="shared" si="27"/>
        <v>0</v>
      </c>
      <c r="AZ110" s="260">
        <f t="shared" ref="AZ110:BE110" si="28">AZ56*AZ83</f>
        <v>0</v>
      </c>
      <c r="BA110" s="260">
        <f t="shared" si="28"/>
        <v>0</v>
      </c>
      <c r="BB110" s="260">
        <f t="shared" si="28"/>
        <v>0</v>
      </c>
      <c r="BC110" s="260">
        <f t="shared" si="28"/>
        <v>0</v>
      </c>
      <c r="BD110" s="260">
        <f t="shared" si="28"/>
        <v>0</v>
      </c>
      <c r="BE110" s="260">
        <f t="shared" si="28"/>
        <v>0</v>
      </c>
    </row>
    <row r="111" spans="1:57" x14ac:dyDescent="0.35">
      <c r="A111" s="95"/>
      <c r="B111" s="95"/>
      <c r="C111" s="95"/>
      <c r="D111" s="95"/>
      <c r="E111" s="333">
        <f>'Project description'!$B$5</f>
        <v>0</v>
      </c>
      <c r="F111" s="341" t="str">
        <f>Lists!$B$34</f>
        <v/>
      </c>
      <c r="G111" s="222" t="s">
        <v>148</v>
      </c>
      <c r="H111" s="222" t="str">
        <f t="shared" si="8"/>
        <v>LPG</v>
      </c>
      <c r="I111" s="222" t="str">
        <f t="shared" si="13"/>
        <v>Real</v>
      </c>
      <c r="J111" s="223">
        <f t="shared" si="9"/>
        <v>0</v>
      </c>
      <c r="K111" s="334" t="str">
        <f>IF(Inputs!G124="","",Inputs!G124)</f>
        <v/>
      </c>
      <c r="L111" s="262">
        <f t="shared" ref="L111" si="29">L57*L84</f>
        <v>0</v>
      </c>
      <c r="M111" s="262">
        <f t="shared" ref="M111:AY111" si="30">M57*M84</f>
        <v>0</v>
      </c>
      <c r="N111" s="262">
        <f t="shared" si="30"/>
        <v>0</v>
      </c>
      <c r="O111" s="262">
        <f t="shared" si="30"/>
        <v>0</v>
      </c>
      <c r="P111" s="262">
        <f t="shared" si="30"/>
        <v>0</v>
      </c>
      <c r="Q111" s="262">
        <f t="shared" si="30"/>
        <v>0</v>
      </c>
      <c r="R111" s="262">
        <f t="shared" si="30"/>
        <v>0</v>
      </c>
      <c r="S111" s="262">
        <f t="shared" si="30"/>
        <v>0</v>
      </c>
      <c r="T111" s="262">
        <f t="shared" si="30"/>
        <v>0</v>
      </c>
      <c r="U111" s="262">
        <f t="shared" si="30"/>
        <v>0</v>
      </c>
      <c r="V111" s="262">
        <f t="shared" si="30"/>
        <v>0</v>
      </c>
      <c r="W111" s="262">
        <f t="shared" si="30"/>
        <v>0</v>
      </c>
      <c r="X111" s="262">
        <f t="shared" si="30"/>
        <v>0</v>
      </c>
      <c r="Y111" s="262">
        <f t="shared" si="30"/>
        <v>0</v>
      </c>
      <c r="Z111" s="262">
        <f t="shared" si="30"/>
        <v>0</v>
      </c>
      <c r="AA111" s="262">
        <f t="shared" si="30"/>
        <v>0</v>
      </c>
      <c r="AB111" s="262">
        <f t="shared" si="30"/>
        <v>0</v>
      </c>
      <c r="AC111" s="262">
        <f t="shared" si="30"/>
        <v>0</v>
      </c>
      <c r="AD111" s="262">
        <f t="shared" si="30"/>
        <v>0</v>
      </c>
      <c r="AE111" s="262">
        <f t="shared" si="30"/>
        <v>0</v>
      </c>
      <c r="AF111" s="262">
        <f t="shared" si="30"/>
        <v>0</v>
      </c>
      <c r="AG111" s="262">
        <f t="shared" si="30"/>
        <v>0</v>
      </c>
      <c r="AH111" s="262">
        <f t="shared" si="30"/>
        <v>0</v>
      </c>
      <c r="AI111" s="262">
        <f t="shared" si="30"/>
        <v>0</v>
      </c>
      <c r="AJ111" s="262">
        <f t="shared" si="30"/>
        <v>0</v>
      </c>
      <c r="AK111" s="262">
        <f t="shared" si="30"/>
        <v>0</v>
      </c>
      <c r="AL111" s="262">
        <f t="shared" si="30"/>
        <v>0</v>
      </c>
      <c r="AM111" s="262">
        <f t="shared" si="30"/>
        <v>0</v>
      </c>
      <c r="AN111" s="262">
        <f t="shared" si="30"/>
        <v>0</v>
      </c>
      <c r="AO111" s="262">
        <f t="shared" si="30"/>
        <v>0</v>
      </c>
      <c r="AP111" s="262">
        <f t="shared" si="30"/>
        <v>0</v>
      </c>
      <c r="AQ111" s="262">
        <f t="shared" si="30"/>
        <v>0</v>
      </c>
      <c r="AR111" s="262">
        <f t="shared" si="30"/>
        <v>0</v>
      </c>
      <c r="AS111" s="262">
        <f t="shared" si="30"/>
        <v>0</v>
      </c>
      <c r="AT111" s="262">
        <f t="shared" si="30"/>
        <v>0</v>
      </c>
      <c r="AU111" s="262">
        <f t="shared" si="30"/>
        <v>0</v>
      </c>
      <c r="AV111" s="262">
        <f t="shared" si="30"/>
        <v>0</v>
      </c>
      <c r="AW111" s="262">
        <f t="shared" si="30"/>
        <v>0</v>
      </c>
      <c r="AX111" s="262">
        <f t="shared" si="30"/>
        <v>0</v>
      </c>
      <c r="AY111" s="262">
        <f t="shared" si="30"/>
        <v>0</v>
      </c>
      <c r="AZ111" s="262">
        <f t="shared" ref="AZ111:BE111" si="31">AZ57*AZ84</f>
        <v>0</v>
      </c>
      <c r="BA111" s="262">
        <f t="shared" si="31"/>
        <v>0</v>
      </c>
      <c r="BB111" s="262">
        <f t="shared" si="31"/>
        <v>0</v>
      </c>
      <c r="BC111" s="262">
        <f t="shared" si="31"/>
        <v>0</v>
      </c>
      <c r="BD111" s="262">
        <f t="shared" si="31"/>
        <v>0</v>
      </c>
      <c r="BE111" s="262">
        <f t="shared" si="31"/>
        <v>0</v>
      </c>
    </row>
    <row r="112" spans="1:57" x14ac:dyDescent="0.35">
      <c r="A112" s="95"/>
      <c r="B112" s="95"/>
      <c r="C112" s="95"/>
      <c r="D112" s="95"/>
      <c r="E112" s="331">
        <f>'Project description'!$B$5</f>
        <v>0</v>
      </c>
      <c r="F112" s="340" t="str">
        <f>Lists!$B$34</f>
        <v/>
      </c>
      <c r="G112" s="218" t="s">
        <v>148</v>
      </c>
      <c r="H112" s="218" t="str">
        <f t="shared" si="8"/>
        <v>Light fuel oil</v>
      </c>
      <c r="I112" s="218" t="str">
        <f t="shared" si="13"/>
        <v>Real</v>
      </c>
      <c r="J112" s="219">
        <f t="shared" si="9"/>
        <v>0</v>
      </c>
      <c r="K112" s="332" t="str">
        <f>IF(Inputs!G125="","",Inputs!G125)</f>
        <v/>
      </c>
      <c r="L112" s="260">
        <f t="shared" ref="L112" si="32">L58*L85</f>
        <v>0</v>
      </c>
      <c r="M112" s="260">
        <f t="shared" ref="M112:AY112" si="33">M58*M85</f>
        <v>0</v>
      </c>
      <c r="N112" s="260">
        <f t="shared" si="33"/>
        <v>0</v>
      </c>
      <c r="O112" s="260">
        <f t="shared" si="33"/>
        <v>0</v>
      </c>
      <c r="P112" s="260">
        <f t="shared" si="33"/>
        <v>0</v>
      </c>
      <c r="Q112" s="260">
        <f t="shared" si="33"/>
        <v>0</v>
      </c>
      <c r="R112" s="260">
        <f t="shared" si="33"/>
        <v>0</v>
      </c>
      <c r="S112" s="260">
        <f t="shared" si="33"/>
        <v>0</v>
      </c>
      <c r="T112" s="260">
        <f t="shared" si="33"/>
        <v>0</v>
      </c>
      <c r="U112" s="260">
        <f t="shared" si="33"/>
        <v>0</v>
      </c>
      <c r="V112" s="260">
        <f t="shared" si="33"/>
        <v>0</v>
      </c>
      <c r="W112" s="260">
        <f t="shared" si="33"/>
        <v>0</v>
      </c>
      <c r="X112" s="260">
        <f t="shared" si="33"/>
        <v>0</v>
      </c>
      <c r="Y112" s="260">
        <f t="shared" si="33"/>
        <v>0</v>
      </c>
      <c r="Z112" s="260">
        <f t="shared" si="33"/>
        <v>0</v>
      </c>
      <c r="AA112" s="260">
        <f t="shared" si="33"/>
        <v>0</v>
      </c>
      <c r="AB112" s="260">
        <f t="shared" si="33"/>
        <v>0</v>
      </c>
      <c r="AC112" s="260">
        <f t="shared" si="33"/>
        <v>0</v>
      </c>
      <c r="AD112" s="260">
        <f t="shared" si="33"/>
        <v>0</v>
      </c>
      <c r="AE112" s="260">
        <f t="shared" si="33"/>
        <v>0</v>
      </c>
      <c r="AF112" s="260">
        <f t="shared" si="33"/>
        <v>0</v>
      </c>
      <c r="AG112" s="260">
        <f t="shared" si="33"/>
        <v>0</v>
      </c>
      <c r="AH112" s="260">
        <f t="shared" si="33"/>
        <v>0</v>
      </c>
      <c r="AI112" s="260">
        <f t="shared" si="33"/>
        <v>0</v>
      </c>
      <c r="AJ112" s="260">
        <f t="shared" si="33"/>
        <v>0</v>
      </c>
      <c r="AK112" s="260">
        <f t="shared" si="33"/>
        <v>0</v>
      </c>
      <c r="AL112" s="260">
        <f t="shared" si="33"/>
        <v>0</v>
      </c>
      <c r="AM112" s="260">
        <f t="shared" si="33"/>
        <v>0</v>
      </c>
      <c r="AN112" s="260">
        <f t="shared" si="33"/>
        <v>0</v>
      </c>
      <c r="AO112" s="260">
        <f t="shared" si="33"/>
        <v>0</v>
      </c>
      <c r="AP112" s="260">
        <f t="shared" si="33"/>
        <v>0</v>
      </c>
      <c r="AQ112" s="260">
        <f t="shared" si="33"/>
        <v>0</v>
      </c>
      <c r="AR112" s="260">
        <f t="shared" si="33"/>
        <v>0</v>
      </c>
      <c r="AS112" s="260">
        <f t="shared" si="33"/>
        <v>0</v>
      </c>
      <c r="AT112" s="260">
        <f t="shared" si="33"/>
        <v>0</v>
      </c>
      <c r="AU112" s="260">
        <f t="shared" si="33"/>
        <v>0</v>
      </c>
      <c r="AV112" s="260">
        <f t="shared" si="33"/>
        <v>0</v>
      </c>
      <c r="AW112" s="260">
        <f t="shared" si="33"/>
        <v>0</v>
      </c>
      <c r="AX112" s="260">
        <f t="shared" si="33"/>
        <v>0</v>
      </c>
      <c r="AY112" s="260">
        <f t="shared" si="33"/>
        <v>0</v>
      </c>
      <c r="AZ112" s="260">
        <f t="shared" ref="AZ112:BE112" si="34">AZ58*AZ85</f>
        <v>0</v>
      </c>
      <c r="BA112" s="260">
        <f t="shared" si="34"/>
        <v>0</v>
      </c>
      <c r="BB112" s="260">
        <f t="shared" si="34"/>
        <v>0</v>
      </c>
      <c r="BC112" s="260">
        <f t="shared" si="34"/>
        <v>0</v>
      </c>
      <c r="BD112" s="260">
        <f t="shared" si="34"/>
        <v>0</v>
      </c>
      <c r="BE112" s="260">
        <f t="shared" si="34"/>
        <v>0</v>
      </c>
    </row>
    <row r="113" spans="1:57" x14ac:dyDescent="0.35">
      <c r="A113" s="95"/>
      <c r="B113" s="95"/>
      <c r="C113" s="95"/>
      <c r="D113" s="95"/>
      <c r="E113" s="333">
        <f>'Project description'!$B$5</f>
        <v>0</v>
      </c>
      <c r="F113" s="341" t="str">
        <f>Lists!$B$34</f>
        <v/>
      </c>
      <c r="G113" s="222" t="s">
        <v>148</v>
      </c>
      <c r="H113" s="222" t="str">
        <f t="shared" si="8"/>
        <v>Heavy fuel oil</v>
      </c>
      <c r="I113" s="222" t="str">
        <f t="shared" si="13"/>
        <v>Real</v>
      </c>
      <c r="J113" s="223">
        <f t="shared" si="9"/>
        <v>0</v>
      </c>
      <c r="K113" s="334" t="str">
        <f>IF(Inputs!G126="","",Inputs!G126)</f>
        <v/>
      </c>
      <c r="L113" s="262">
        <f t="shared" ref="L113" si="35">L59*L86</f>
        <v>0</v>
      </c>
      <c r="M113" s="262">
        <f t="shared" ref="M113:AY113" si="36">M59*M86</f>
        <v>0</v>
      </c>
      <c r="N113" s="262">
        <f t="shared" si="36"/>
        <v>0</v>
      </c>
      <c r="O113" s="262">
        <f t="shared" si="36"/>
        <v>0</v>
      </c>
      <c r="P113" s="262">
        <f t="shared" si="36"/>
        <v>0</v>
      </c>
      <c r="Q113" s="262">
        <f t="shared" si="36"/>
        <v>0</v>
      </c>
      <c r="R113" s="262">
        <f t="shared" si="36"/>
        <v>0</v>
      </c>
      <c r="S113" s="262">
        <f t="shared" si="36"/>
        <v>0</v>
      </c>
      <c r="T113" s="262">
        <f t="shared" si="36"/>
        <v>0</v>
      </c>
      <c r="U113" s="262">
        <f t="shared" si="36"/>
        <v>0</v>
      </c>
      <c r="V113" s="262">
        <f t="shared" si="36"/>
        <v>0</v>
      </c>
      <c r="W113" s="262">
        <f t="shared" si="36"/>
        <v>0</v>
      </c>
      <c r="X113" s="262">
        <f t="shared" si="36"/>
        <v>0</v>
      </c>
      <c r="Y113" s="262">
        <f t="shared" si="36"/>
        <v>0</v>
      </c>
      <c r="Z113" s="262">
        <f t="shared" si="36"/>
        <v>0</v>
      </c>
      <c r="AA113" s="262">
        <f t="shared" si="36"/>
        <v>0</v>
      </c>
      <c r="AB113" s="262">
        <f t="shared" si="36"/>
        <v>0</v>
      </c>
      <c r="AC113" s="262">
        <f t="shared" si="36"/>
        <v>0</v>
      </c>
      <c r="AD113" s="262">
        <f t="shared" si="36"/>
        <v>0</v>
      </c>
      <c r="AE113" s="262">
        <f t="shared" si="36"/>
        <v>0</v>
      </c>
      <c r="AF113" s="262">
        <f t="shared" si="36"/>
        <v>0</v>
      </c>
      <c r="AG113" s="262">
        <f t="shared" si="36"/>
        <v>0</v>
      </c>
      <c r="AH113" s="262">
        <f t="shared" si="36"/>
        <v>0</v>
      </c>
      <c r="AI113" s="262">
        <f t="shared" si="36"/>
        <v>0</v>
      </c>
      <c r="AJ113" s="262">
        <f t="shared" si="36"/>
        <v>0</v>
      </c>
      <c r="AK113" s="262">
        <f t="shared" si="36"/>
        <v>0</v>
      </c>
      <c r="AL113" s="262">
        <f t="shared" si="36"/>
        <v>0</v>
      </c>
      <c r="AM113" s="262">
        <f t="shared" si="36"/>
        <v>0</v>
      </c>
      <c r="AN113" s="262">
        <f t="shared" si="36"/>
        <v>0</v>
      </c>
      <c r="AO113" s="262">
        <f t="shared" si="36"/>
        <v>0</v>
      </c>
      <c r="AP113" s="262">
        <f t="shared" si="36"/>
        <v>0</v>
      </c>
      <c r="AQ113" s="262">
        <f t="shared" si="36"/>
        <v>0</v>
      </c>
      <c r="AR113" s="262">
        <f t="shared" si="36"/>
        <v>0</v>
      </c>
      <c r="AS113" s="262">
        <f t="shared" si="36"/>
        <v>0</v>
      </c>
      <c r="AT113" s="262">
        <f t="shared" si="36"/>
        <v>0</v>
      </c>
      <c r="AU113" s="262">
        <f t="shared" si="36"/>
        <v>0</v>
      </c>
      <c r="AV113" s="262">
        <f t="shared" si="36"/>
        <v>0</v>
      </c>
      <c r="AW113" s="262">
        <f t="shared" si="36"/>
        <v>0</v>
      </c>
      <c r="AX113" s="262">
        <f t="shared" si="36"/>
        <v>0</v>
      </c>
      <c r="AY113" s="262">
        <f t="shared" si="36"/>
        <v>0</v>
      </c>
      <c r="AZ113" s="262">
        <f t="shared" ref="AZ113:BE113" si="37">AZ59*AZ86</f>
        <v>0</v>
      </c>
      <c r="BA113" s="262">
        <f t="shared" si="37"/>
        <v>0</v>
      </c>
      <c r="BB113" s="262">
        <f t="shared" si="37"/>
        <v>0</v>
      </c>
      <c r="BC113" s="262">
        <f t="shared" si="37"/>
        <v>0</v>
      </c>
      <c r="BD113" s="262">
        <f t="shared" si="37"/>
        <v>0</v>
      </c>
      <c r="BE113" s="262">
        <f t="shared" si="37"/>
        <v>0</v>
      </c>
    </row>
    <row r="114" spans="1:57" x14ac:dyDescent="0.35">
      <c r="A114" s="95"/>
      <c r="B114" s="95"/>
      <c r="C114" s="95"/>
      <c r="D114" s="95"/>
      <c r="E114" s="331">
        <f>'Project description'!$B$5</f>
        <v>0</v>
      </c>
      <c r="F114" s="340" t="str">
        <f>Lists!$B$34</f>
        <v/>
      </c>
      <c r="G114" s="218" t="s">
        <v>148</v>
      </c>
      <c r="H114" s="218" t="str">
        <f t="shared" si="8"/>
        <v>Geothermal</v>
      </c>
      <c r="I114" s="218" t="str">
        <f t="shared" si="13"/>
        <v>Real</v>
      </c>
      <c r="J114" s="219">
        <f t="shared" si="9"/>
        <v>0</v>
      </c>
      <c r="K114" s="332" t="str">
        <f>IF(Inputs!G127="","",Inputs!G127)</f>
        <v/>
      </c>
      <c r="L114" s="260">
        <f t="shared" ref="L114" si="38">L60*L87</f>
        <v>0</v>
      </c>
      <c r="M114" s="260">
        <f t="shared" ref="M114:AY114" si="39">M60*M87</f>
        <v>0</v>
      </c>
      <c r="N114" s="260">
        <f t="shared" si="39"/>
        <v>0</v>
      </c>
      <c r="O114" s="260">
        <f t="shared" si="39"/>
        <v>0</v>
      </c>
      <c r="P114" s="260">
        <f t="shared" si="39"/>
        <v>0</v>
      </c>
      <c r="Q114" s="260">
        <f t="shared" si="39"/>
        <v>0</v>
      </c>
      <c r="R114" s="260">
        <f t="shared" si="39"/>
        <v>0</v>
      </c>
      <c r="S114" s="260">
        <f t="shared" si="39"/>
        <v>0</v>
      </c>
      <c r="T114" s="260">
        <f t="shared" si="39"/>
        <v>0</v>
      </c>
      <c r="U114" s="260">
        <f t="shared" si="39"/>
        <v>0</v>
      </c>
      <c r="V114" s="260">
        <f t="shared" si="39"/>
        <v>0</v>
      </c>
      <c r="W114" s="260">
        <f t="shared" si="39"/>
        <v>0</v>
      </c>
      <c r="X114" s="260">
        <f t="shared" si="39"/>
        <v>0</v>
      </c>
      <c r="Y114" s="260">
        <f t="shared" si="39"/>
        <v>0</v>
      </c>
      <c r="Z114" s="260">
        <f t="shared" si="39"/>
        <v>0</v>
      </c>
      <c r="AA114" s="260">
        <f t="shared" si="39"/>
        <v>0</v>
      </c>
      <c r="AB114" s="260">
        <f t="shared" si="39"/>
        <v>0</v>
      </c>
      <c r="AC114" s="260">
        <f t="shared" si="39"/>
        <v>0</v>
      </c>
      <c r="AD114" s="260">
        <f t="shared" si="39"/>
        <v>0</v>
      </c>
      <c r="AE114" s="260">
        <f t="shared" si="39"/>
        <v>0</v>
      </c>
      <c r="AF114" s="260">
        <f t="shared" si="39"/>
        <v>0</v>
      </c>
      <c r="AG114" s="260">
        <f t="shared" si="39"/>
        <v>0</v>
      </c>
      <c r="AH114" s="260">
        <f t="shared" si="39"/>
        <v>0</v>
      </c>
      <c r="AI114" s="260">
        <f t="shared" si="39"/>
        <v>0</v>
      </c>
      <c r="AJ114" s="260">
        <f t="shared" si="39"/>
        <v>0</v>
      </c>
      <c r="AK114" s="260">
        <f t="shared" si="39"/>
        <v>0</v>
      </c>
      <c r="AL114" s="260">
        <f t="shared" si="39"/>
        <v>0</v>
      </c>
      <c r="AM114" s="260">
        <f t="shared" si="39"/>
        <v>0</v>
      </c>
      <c r="AN114" s="260">
        <f t="shared" si="39"/>
        <v>0</v>
      </c>
      <c r="AO114" s="260">
        <f t="shared" si="39"/>
        <v>0</v>
      </c>
      <c r="AP114" s="260">
        <f t="shared" si="39"/>
        <v>0</v>
      </c>
      <c r="AQ114" s="260">
        <f t="shared" si="39"/>
        <v>0</v>
      </c>
      <c r="AR114" s="260">
        <f t="shared" si="39"/>
        <v>0</v>
      </c>
      <c r="AS114" s="260">
        <f t="shared" si="39"/>
        <v>0</v>
      </c>
      <c r="AT114" s="260">
        <f t="shared" si="39"/>
        <v>0</v>
      </c>
      <c r="AU114" s="260">
        <f t="shared" si="39"/>
        <v>0</v>
      </c>
      <c r="AV114" s="260">
        <f t="shared" si="39"/>
        <v>0</v>
      </c>
      <c r="AW114" s="260">
        <f t="shared" si="39"/>
        <v>0</v>
      </c>
      <c r="AX114" s="260">
        <f t="shared" si="39"/>
        <v>0</v>
      </c>
      <c r="AY114" s="260">
        <f t="shared" si="39"/>
        <v>0</v>
      </c>
      <c r="AZ114" s="260">
        <f t="shared" ref="AZ114:BE114" si="40">AZ60*AZ87</f>
        <v>0</v>
      </c>
      <c r="BA114" s="260">
        <f t="shared" si="40"/>
        <v>0</v>
      </c>
      <c r="BB114" s="260">
        <f t="shared" si="40"/>
        <v>0</v>
      </c>
      <c r="BC114" s="260">
        <f t="shared" si="40"/>
        <v>0</v>
      </c>
      <c r="BD114" s="260">
        <f t="shared" si="40"/>
        <v>0</v>
      </c>
      <c r="BE114" s="260">
        <f t="shared" si="40"/>
        <v>0</v>
      </c>
    </row>
    <row r="115" spans="1:57" x14ac:dyDescent="0.35">
      <c r="A115" s="95"/>
      <c r="B115" s="95"/>
      <c r="C115" s="95"/>
      <c r="D115" s="95"/>
      <c r="E115" s="230">
        <f>'Project description'!$B$5</f>
        <v>0</v>
      </c>
      <c r="F115" s="342" t="str">
        <f>Lists!$B$34</f>
        <v/>
      </c>
      <c r="G115" s="226" t="s">
        <v>148</v>
      </c>
      <c r="H115" s="226" t="str">
        <f t="shared" si="8"/>
        <v>Wood or wood chips</v>
      </c>
      <c r="I115" s="226" t="str">
        <f t="shared" si="13"/>
        <v>Real</v>
      </c>
      <c r="J115" s="335">
        <f t="shared" si="9"/>
        <v>0</v>
      </c>
      <c r="K115" s="336" t="str">
        <f>IF(Inputs!G128="","",Inputs!G128)</f>
        <v/>
      </c>
      <c r="L115" s="337">
        <f t="shared" ref="L115" si="41">L61*L88</f>
        <v>0</v>
      </c>
      <c r="M115" s="337">
        <f t="shared" ref="M115:AY115" si="42">M61*M88</f>
        <v>0</v>
      </c>
      <c r="N115" s="337">
        <f t="shared" si="42"/>
        <v>0</v>
      </c>
      <c r="O115" s="337">
        <f t="shared" si="42"/>
        <v>0</v>
      </c>
      <c r="P115" s="337">
        <f t="shared" si="42"/>
        <v>0</v>
      </c>
      <c r="Q115" s="337">
        <f t="shared" si="42"/>
        <v>0</v>
      </c>
      <c r="R115" s="337">
        <f t="shared" si="42"/>
        <v>0</v>
      </c>
      <c r="S115" s="337">
        <f t="shared" si="42"/>
        <v>0</v>
      </c>
      <c r="T115" s="337">
        <f t="shared" si="42"/>
        <v>0</v>
      </c>
      <c r="U115" s="337">
        <f t="shared" si="42"/>
        <v>0</v>
      </c>
      <c r="V115" s="337">
        <f t="shared" si="42"/>
        <v>0</v>
      </c>
      <c r="W115" s="337">
        <f t="shared" si="42"/>
        <v>0</v>
      </c>
      <c r="X115" s="337">
        <f t="shared" si="42"/>
        <v>0</v>
      </c>
      <c r="Y115" s="337">
        <f t="shared" si="42"/>
        <v>0</v>
      </c>
      <c r="Z115" s="337">
        <f t="shared" si="42"/>
        <v>0</v>
      </c>
      <c r="AA115" s="337">
        <f t="shared" si="42"/>
        <v>0</v>
      </c>
      <c r="AB115" s="337">
        <f t="shared" si="42"/>
        <v>0</v>
      </c>
      <c r="AC115" s="337">
        <f t="shared" si="42"/>
        <v>0</v>
      </c>
      <c r="AD115" s="337">
        <f t="shared" si="42"/>
        <v>0</v>
      </c>
      <c r="AE115" s="337">
        <f t="shared" si="42"/>
        <v>0</v>
      </c>
      <c r="AF115" s="337">
        <f t="shared" si="42"/>
        <v>0</v>
      </c>
      <c r="AG115" s="337">
        <f t="shared" si="42"/>
        <v>0</v>
      </c>
      <c r="AH115" s="337">
        <f t="shared" si="42"/>
        <v>0</v>
      </c>
      <c r="AI115" s="337">
        <f t="shared" si="42"/>
        <v>0</v>
      </c>
      <c r="AJ115" s="337">
        <f t="shared" si="42"/>
        <v>0</v>
      </c>
      <c r="AK115" s="337">
        <f t="shared" si="42"/>
        <v>0</v>
      </c>
      <c r="AL115" s="337">
        <f t="shared" si="42"/>
        <v>0</v>
      </c>
      <c r="AM115" s="337">
        <f t="shared" si="42"/>
        <v>0</v>
      </c>
      <c r="AN115" s="337">
        <f t="shared" si="42"/>
        <v>0</v>
      </c>
      <c r="AO115" s="337">
        <f t="shared" si="42"/>
        <v>0</v>
      </c>
      <c r="AP115" s="337">
        <f t="shared" si="42"/>
        <v>0</v>
      </c>
      <c r="AQ115" s="337">
        <f t="shared" si="42"/>
        <v>0</v>
      </c>
      <c r="AR115" s="337">
        <f t="shared" si="42"/>
        <v>0</v>
      </c>
      <c r="AS115" s="337">
        <f t="shared" si="42"/>
        <v>0</v>
      </c>
      <c r="AT115" s="337">
        <f t="shared" si="42"/>
        <v>0</v>
      </c>
      <c r="AU115" s="337">
        <f t="shared" si="42"/>
        <v>0</v>
      </c>
      <c r="AV115" s="337">
        <f t="shared" si="42"/>
        <v>0</v>
      </c>
      <c r="AW115" s="337">
        <f t="shared" si="42"/>
        <v>0</v>
      </c>
      <c r="AX115" s="337">
        <f t="shared" si="42"/>
        <v>0</v>
      </c>
      <c r="AY115" s="337">
        <f t="shared" si="42"/>
        <v>0</v>
      </c>
      <c r="AZ115" s="337">
        <f t="shared" ref="AZ115:BE115" si="43">AZ61*AZ88</f>
        <v>0</v>
      </c>
      <c r="BA115" s="337">
        <f t="shared" si="43"/>
        <v>0</v>
      </c>
      <c r="BB115" s="337">
        <f t="shared" si="43"/>
        <v>0</v>
      </c>
      <c r="BC115" s="337">
        <f t="shared" si="43"/>
        <v>0</v>
      </c>
      <c r="BD115" s="337">
        <f t="shared" si="43"/>
        <v>0</v>
      </c>
      <c r="BE115" s="337">
        <f t="shared" si="43"/>
        <v>0</v>
      </c>
    </row>
    <row r="116" spans="1:57" x14ac:dyDescent="0.35">
      <c r="A116" s="95"/>
      <c r="B116" s="95"/>
      <c r="C116" s="95"/>
      <c r="D116" s="95"/>
      <c r="E116" s="95"/>
      <c r="F116" s="2"/>
      <c r="G116" s="2"/>
      <c r="H116" s="8" t="str">
        <f>"Total  fuel opex in "&amp;Analysis_year&amp;" dollars"</f>
        <v>Total  fuel opex in  dollars</v>
      </c>
      <c r="I116" s="8"/>
      <c r="J116" s="114"/>
      <c r="K116" s="114"/>
      <c r="L116" s="115">
        <f>SUBTOTAL(109,'Real values'!$L$105:$L$115)</f>
        <v>0</v>
      </c>
      <c r="M116" s="115">
        <f>SUBTOTAL(109,'Real values'!$M$105:$M$115)</f>
        <v>0</v>
      </c>
      <c r="N116" s="115">
        <f>SUBTOTAL(109,'Real values'!$N$105:$N$115)</f>
        <v>0</v>
      </c>
      <c r="O116" s="115">
        <f>SUBTOTAL(109,'Real values'!$O$105:$O$115)</f>
        <v>0</v>
      </c>
      <c r="P116" s="115">
        <f>SUBTOTAL(109,'Real values'!$P$105:$P$115)</f>
        <v>0</v>
      </c>
      <c r="Q116" s="115">
        <f>SUBTOTAL(109,'Real values'!$Q$105:$Q$115)</f>
        <v>0</v>
      </c>
      <c r="R116" s="115">
        <f>SUBTOTAL(109,'Real values'!$R$105:$R$115)</f>
        <v>0</v>
      </c>
      <c r="S116" s="115">
        <f>SUBTOTAL(109,'Real values'!$S$105:$S$115)</f>
        <v>0</v>
      </c>
      <c r="T116" s="115">
        <f>SUBTOTAL(109,'Real values'!$T$105:$T$115)</f>
        <v>0</v>
      </c>
      <c r="U116" s="115">
        <f>SUBTOTAL(109,'Real values'!$U$105:$U$115)</f>
        <v>0</v>
      </c>
      <c r="V116" s="115">
        <f>SUBTOTAL(109,'Real values'!$V$105:$V$115)</f>
        <v>0</v>
      </c>
      <c r="W116" s="115">
        <f>SUBTOTAL(109,'Real values'!$W$105:$W$115)</f>
        <v>0</v>
      </c>
      <c r="X116" s="115">
        <f>SUBTOTAL(109,'Real values'!$X$105:$X$115)</f>
        <v>0</v>
      </c>
      <c r="Y116" s="115">
        <f>SUBTOTAL(109,'Real values'!$Y$105:$Y$115)</f>
        <v>0</v>
      </c>
      <c r="Z116" s="115">
        <f>SUBTOTAL(109,'Real values'!$Z$105:$Z$115)</f>
        <v>0</v>
      </c>
      <c r="AA116" s="115">
        <f>SUBTOTAL(109,'Real values'!$AA$105:$AA$115)</f>
        <v>0</v>
      </c>
      <c r="AB116" s="115">
        <f>SUBTOTAL(109,'Real values'!$AB$105:$AB$115)</f>
        <v>0</v>
      </c>
      <c r="AC116" s="115">
        <f>SUBTOTAL(109,'Real values'!$AC$105:$AC$115)</f>
        <v>0</v>
      </c>
      <c r="AD116" s="115">
        <f>SUBTOTAL(109,'Real values'!$AD$105:$AD$115)</f>
        <v>0</v>
      </c>
      <c r="AE116" s="115">
        <f>SUBTOTAL(109,'Real values'!$AE$105:$AE$115)</f>
        <v>0</v>
      </c>
      <c r="AF116" s="115">
        <f>SUBTOTAL(109,'Real values'!$AF$105:$AF$115)</f>
        <v>0</v>
      </c>
      <c r="AG116" s="115">
        <f>SUBTOTAL(109,'Real values'!$AG$105:$AG$115)</f>
        <v>0</v>
      </c>
      <c r="AH116" s="115">
        <f>SUBTOTAL(109,'Real values'!$AH$105:$AH$115)</f>
        <v>0</v>
      </c>
      <c r="AI116" s="115">
        <f>SUBTOTAL(109,'Real values'!$AI$105:$AI$115)</f>
        <v>0</v>
      </c>
      <c r="AJ116" s="115">
        <f>SUBTOTAL(109,'Real values'!$AJ$105:$AJ$115)</f>
        <v>0</v>
      </c>
      <c r="AK116" s="115">
        <f>SUBTOTAL(109,'Real values'!$AK$105:$AK$115)</f>
        <v>0</v>
      </c>
      <c r="AL116" s="115">
        <f>SUBTOTAL(109,'Real values'!$AL$105:$AL$115)</f>
        <v>0</v>
      </c>
      <c r="AM116" s="115">
        <f>SUBTOTAL(109,'Real values'!$AM$105:$AM$115)</f>
        <v>0</v>
      </c>
      <c r="AN116" s="115">
        <f>SUBTOTAL(109,'Real values'!$AN$105:$AN$115)</f>
        <v>0</v>
      </c>
      <c r="AO116" s="115">
        <f>SUBTOTAL(109,'Real values'!$AO$105:$AO$115)</f>
        <v>0</v>
      </c>
      <c r="AP116" s="115">
        <f>SUBTOTAL(109,'Real values'!$AP$105:$AP$115)</f>
        <v>0</v>
      </c>
      <c r="AQ116" s="115">
        <f>SUBTOTAL(109,'Real values'!$AQ$105:$AQ$115)</f>
        <v>0</v>
      </c>
      <c r="AR116" s="115">
        <f>SUBTOTAL(109,'Real values'!$AR$105:$AR$115)</f>
        <v>0</v>
      </c>
      <c r="AS116" s="115">
        <f>SUBTOTAL(109,'Real values'!$AS$105:$AS$115)</f>
        <v>0</v>
      </c>
      <c r="AT116" s="115">
        <f>SUBTOTAL(109,'Real values'!$AT$105:$AT$115)</f>
        <v>0</v>
      </c>
      <c r="AU116" s="115">
        <f>SUBTOTAL(109,'Real values'!$AU$105:$AU$115)</f>
        <v>0</v>
      </c>
      <c r="AV116" s="115">
        <f>SUBTOTAL(109,'Real values'!$AV$105:$AV$115)</f>
        <v>0</v>
      </c>
      <c r="AW116" s="115">
        <f>SUBTOTAL(109,'Real values'!$AW$105:$AW$115)</f>
        <v>0</v>
      </c>
      <c r="AX116" s="115">
        <f>SUBTOTAL(109,'Real values'!$AX$105:$AX$115)</f>
        <v>0</v>
      </c>
      <c r="AY116" s="115">
        <f>SUBTOTAL(109,'Real values'!$AY$105:$AY$115)</f>
        <v>0</v>
      </c>
      <c r="AZ116" s="115">
        <f>SUBTOTAL(109,'Real values'!$AZ$105:$AZ$115)</f>
        <v>0</v>
      </c>
      <c r="BA116" s="115">
        <f>SUBTOTAL(109,'Real values'!$BA$105:$BA$115)</f>
        <v>0</v>
      </c>
      <c r="BB116" s="115">
        <f>SUBTOTAL(109,'Real values'!$BB$105:$BB$115)</f>
        <v>0</v>
      </c>
      <c r="BC116" s="115">
        <f>SUBTOTAL(109,'Real values'!$BC$105:$BC$115)</f>
        <v>0</v>
      </c>
      <c r="BD116" s="115">
        <f>SUBTOTAL(109,'Real values'!$BD$105:$BD$115)</f>
        <v>0</v>
      </c>
      <c r="BE116" s="115">
        <f>SUBTOTAL(109,'Real values'!$BE$105:$BE$115)</f>
        <v>0</v>
      </c>
    </row>
    <row r="117" spans="1:57" x14ac:dyDescent="0.35">
      <c r="A117" s="95"/>
      <c r="B117" s="95"/>
      <c r="C117" s="95"/>
      <c r="D117" s="95"/>
      <c r="E117" s="95"/>
      <c r="F117" s="2"/>
      <c r="G117" s="2"/>
      <c r="H117" s="2"/>
      <c r="I117" s="2"/>
      <c r="J117" s="111"/>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5"/>
      <c r="AT117" s="95"/>
      <c r="AU117" s="95"/>
      <c r="AV117" s="95"/>
      <c r="AW117" s="95"/>
      <c r="AX117" s="95"/>
      <c r="AY117" s="95"/>
      <c r="AZ117" s="95"/>
      <c r="BA117" s="95"/>
      <c r="BB117" s="95"/>
      <c r="BC117" s="95"/>
      <c r="BD117" s="95"/>
      <c r="BE117" s="95"/>
    </row>
    <row r="118" spans="1:57" x14ac:dyDescent="0.35">
      <c r="A118" s="27" t="s">
        <v>48</v>
      </c>
      <c r="B118" s="27"/>
      <c r="C118" s="27"/>
      <c r="D118" s="27"/>
      <c r="E118" s="27" t="s">
        <v>329</v>
      </c>
      <c r="F118" s="100" t="s">
        <v>330</v>
      </c>
      <c r="G118" s="256" t="s">
        <v>328</v>
      </c>
      <c r="H118" s="256" t="s">
        <v>60</v>
      </c>
      <c r="I118" s="256" t="s">
        <v>35</v>
      </c>
      <c r="J118" s="328" t="s">
        <v>283</v>
      </c>
      <c r="K118" s="256" t="s">
        <v>39</v>
      </c>
      <c r="L118" s="10" t="s">
        <v>303</v>
      </c>
      <c r="M118" s="10" t="s">
        <v>62</v>
      </c>
      <c r="N118" s="10" t="s">
        <v>63</v>
      </c>
      <c r="O118" s="10" t="s">
        <v>64</v>
      </c>
      <c r="P118" s="10" t="s">
        <v>65</v>
      </c>
      <c r="Q118" s="10" t="s">
        <v>66</v>
      </c>
      <c r="R118" s="10" t="s">
        <v>67</v>
      </c>
      <c r="S118" s="10" t="s">
        <v>68</v>
      </c>
      <c r="T118" s="10" t="s">
        <v>69</v>
      </c>
      <c r="U118" s="10" t="s">
        <v>70</v>
      </c>
      <c r="V118" s="10" t="s">
        <v>71</v>
      </c>
      <c r="W118" s="10" t="s">
        <v>72</v>
      </c>
      <c r="X118" s="10" t="s">
        <v>73</v>
      </c>
      <c r="Y118" s="10" t="s">
        <v>74</v>
      </c>
      <c r="Z118" s="10" t="s">
        <v>75</v>
      </c>
      <c r="AA118" s="10" t="s">
        <v>76</v>
      </c>
      <c r="AB118" s="10" t="s">
        <v>77</v>
      </c>
      <c r="AC118" s="10" t="s">
        <v>78</v>
      </c>
      <c r="AD118" s="10" t="s">
        <v>79</v>
      </c>
      <c r="AE118" s="10" t="s">
        <v>80</v>
      </c>
      <c r="AF118" s="10" t="s">
        <v>81</v>
      </c>
      <c r="AG118" s="10" t="s">
        <v>82</v>
      </c>
      <c r="AH118" s="10" t="s">
        <v>83</v>
      </c>
      <c r="AI118" s="10" t="s">
        <v>84</v>
      </c>
      <c r="AJ118" s="10" t="s">
        <v>85</v>
      </c>
      <c r="AK118" s="10" t="s">
        <v>86</v>
      </c>
      <c r="AL118" s="10" t="s">
        <v>87</v>
      </c>
      <c r="AM118" s="10" t="s">
        <v>88</v>
      </c>
      <c r="AN118" s="10" t="s">
        <v>89</v>
      </c>
      <c r="AO118" s="10" t="s">
        <v>90</v>
      </c>
      <c r="AP118" s="10" t="s">
        <v>91</v>
      </c>
      <c r="AQ118" s="10" t="s">
        <v>92</v>
      </c>
      <c r="AR118" s="10" t="s">
        <v>93</v>
      </c>
      <c r="AS118" s="10" t="s">
        <v>94</v>
      </c>
      <c r="AT118" s="10" t="s">
        <v>95</v>
      </c>
      <c r="AU118" s="10" t="s">
        <v>96</v>
      </c>
      <c r="AV118" s="10" t="s">
        <v>97</v>
      </c>
      <c r="AW118" s="10" t="s">
        <v>98</v>
      </c>
      <c r="AX118" s="10" t="s">
        <v>99</v>
      </c>
      <c r="AY118" s="10" t="s">
        <v>100</v>
      </c>
      <c r="AZ118" s="10" t="s">
        <v>101</v>
      </c>
      <c r="BA118" s="10" t="s">
        <v>102</v>
      </c>
      <c r="BB118" s="10" t="s">
        <v>103</v>
      </c>
      <c r="BC118" s="10" t="s">
        <v>104</v>
      </c>
      <c r="BD118" s="10" t="s">
        <v>105</v>
      </c>
      <c r="BE118" s="10" t="s">
        <v>106</v>
      </c>
    </row>
    <row r="119" spans="1:57" x14ac:dyDescent="0.35">
      <c r="A119" s="95"/>
      <c r="B119" s="95"/>
      <c r="C119" s="95"/>
      <c r="D119" s="95"/>
      <c r="E119" s="343">
        <f>'Project description'!$B$5</f>
        <v>0</v>
      </c>
      <c r="F119" s="343" t="str">
        <f>Lists!$B$34</f>
        <v/>
      </c>
      <c r="G119" s="242" t="s">
        <v>160</v>
      </c>
      <c r="H119" s="242" t="str">
        <f t="shared" ref="H119:H129" si="44">IF(I64="&lt;Select&gt;","",I64)</f>
        <v>Electricity</v>
      </c>
      <c r="I119" s="242" t="str">
        <f>I91</f>
        <v>Real</v>
      </c>
      <c r="J119" s="243">
        <f t="shared" ref="J119:J129" si="45">Analysis_year</f>
        <v>0</v>
      </c>
      <c r="K119" s="244" t="str">
        <f>IF(Inputs!G133="","",Inputs!G133)</f>
        <v/>
      </c>
      <c r="L119" s="276">
        <f t="shared" ref="L119" si="46">L64*L91</f>
        <v>0</v>
      </c>
      <c r="M119" s="276">
        <f t="shared" ref="M119:AY119" si="47">M64*M91</f>
        <v>0</v>
      </c>
      <c r="N119" s="276">
        <f t="shared" si="47"/>
        <v>0</v>
      </c>
      <c r="O119" s="276">
        <f t="shared" si="47"/>
        <v>0</v>
      </c>
      <c r="P119" s="276">
        <f t="shared" si="47"/>
        <v>0</v>
      </c>
      <c r="Q119" s="276">
        <f t="shared" si="47"/>
        <v>0</v>
      </c>
      <c r="R119" s="276">
        <f t="shared" si="47"/>
        <v>0</v>
      </c>
      <c r="S119" s="276">
        <f t="shared" si="47"/>
        <v>0</v>
      </c>
      <c r="T119" s="276">
        <f t="shared" si="47"/>
        <v>0</v>
      </c>
      <c r="U119" s="276">
        <f t="shared" si="47"/>
        <v>0</v>
      </c>
      <c r="V119" s="276">
        <f t="shared" si="47"/>
        <v>0</v>
      </c>
      <c r="W119" s="276">
        <f t="shared" si="47"/>
        <v>0</v>
      </c>
      <c r="X119" s="276">
        <f t="shared" si="47"/>
        <v>0</v>
      </c>
      <c r="Y119" s="276">
        <f t="shared" si="47"/>
        <v>0</v>
      </c>
      <c r="Z119" s="276">
        <f t="shared" si="47"/>
        <v>0</v>
      </c>
      <c r="AA119" s="276">
        <f t="shared" si="47"/>
        <v>0</v>
      </c>
      <c r="AB119" s="276">
        <f t="shared" si="47"/>
        <v>0</v>
      </c>
      <c r="AC119" s="276">
        <f t="shared" si="47"/>
        <v>0</v>
      </c>
      <c r="AD119" s="276">
        <f t="shared" si="47"/>
        <v>0</v>
      </c>
      <c r="AE119" s="276">
        <f t="shared" si="47"/>
        <v>0</v>
      </c>
      <c r="AF119" s="276">
        <f t="shared" si="47"/>
        <v>0</v>
      </c>
      <c r="AG119" s="276">
        <f t="shared" si="47"/>
        <v>0</v>
      </c>
      <c r="AH119" s="276">
        <f t="shared" si="47"/>
        <v>0</v>
      </c>
      <c r="AI119" s="276">
        <f t="shared" si="47"/>
        <v>0</v>
      </c>
      <c r="AJ119" s="276">
        <f t="shared" si="47"/>
        <v>0</v>
      </c>
      <c r="AK119" s="276">
        <f t="shared" si="47"/>
        <v>0</v>
      </c>
      <c r="AL119" s="276">
        <f t="shared" si="47"/>
        <v>0</v>
      </c>
      <c r="AM119" s="276">
        <f t="shared" si="47"/>
        <v>0</v>
      </c>
      <c r="AN119" s="276">
        <f t="shared" si="47"/>
        <v>0</v>
      </c>
      <c r="AO119" s="276">
        <f t="shared" si="47"/>
        <v>0</v>
      </c>
      <c r="AP119" s="276">
        <f t="shared" si="47"/>
        <v>0</v>
      </c>
      <c r="AQ119" s="276">
        <f t="shared" si="47"/>
        <v>0</v>
      </c>
      <c r="AR119" s="276">
        <f t="shared" si="47"/>
        <v>0</v>
      </c>
      <c r="AS119" s="276">
        <f t="shared" si="47"/>
        <v>0</v>
      </c>
      <c r="AT119" s="276">
        <f t="shared" si="47"/>
        <v>0</v>
      </c>
      <c r="AU119" s="276">
        <f t="shared" si="47"/>
        <v>0</v>
      </c>
      <c r="AV119" s="276">
        <f t="shared" si="47"/>
        <v>0</v>
      </c>
      <c r="AW119" s="276">
        <f t="shared" si="47"/>
        <v>0</v>
      </c>
      <c r="AX119" s="276">
        <f t="shared" si="47"/>
        <v>0</v>
      </c>
      <c r="AY119" s="276">
        <f t="shared" si="47"/>
        <v>0</v>
      </c>
      <c r="AZ119" s="276">
        <f t="shared" ref="AZ119:BE119" si="48">AZ64*AZ91</f>
        <v>0</v>
      </c>
      <c r="BA119" s="276">
        <f t="shared" si="48"/>
        <v>0</v>
      </c>
      <c r="BB119" s="276">
        <f t="shared" si="48"/>
        <v>0</v>
      </c>
      <c r="BC119" s="276">
        <f t="shared" si="48"/>
        <v>0</v>
      </c>
      <c r="BD119" s="276">
        <f t="shared" si="48"/>
        <v>0</v>
      </c>
      <c r="BE119" s="276">
        <f t="shared" si="48"/>
        <v>0</v>
      </c>
    </row>
    <row r="120" spans="1:57" x14ac:dyDescent="0.35">
      <c r="A120" s="95"/>
      <c r="B120" s="95"/>
      <c r="C120" s="95"/>
      <c r="D120" s="95"/>
      <c r="E120" s="344">
        <f>'Project description'!$B$5</f>
        <v>0</v>
      </c>
      <c r="F120" s="344" t="str">
        <f>Lists!$B$34</f>
        <v/>
      </c>
      <c r="G120" s="246" t="s">
        <v>160</v>
      </c>
      <c r="H120" s="246" t="str">
        <f t="shared" si="44"/>
        <v>Natural Gas</v>
      </c>
      <c r="I120" s="246" t="str">
        <f t="shared" ref="I120:I129" si="49">I92</f>
        <v>Real</v>
      </c>
      <c r="J120" s="247">
        <f t="shared" si="45"/>
        <v>0</v>
      </c>
      <c r="K120" s="248" t="str">
        <f>IF(Inputs!G134="","",Inputs!G134)</f>
        <v/>
      </c>
      <c r="L120" s="279">
        <f t="shared" ref="L120" si="50">L65*L92</f>
        <v>0</v>
      </c>
      <c r="M120" s="279">
        <f t="shared" ref="M120:AY120" si="51">M65*M92</f>
        <v>0</v>
      </c>
      <c r="N120" s="279">
        <f t="shared" si="51"/>
        <v>0</v>
      </c>
      <c r="O120" s="279">
        <f t="shared" si="51"/>
        <v>0</v>
      </c>
      <c r="P120" s="279">
        <f t="shared" si="51"/>
        <v>0</v>
      </c>
      <c r="Q120" s="279">
        <f t="shared" si="51"/>
        <v>0</v>
      </c>
      <c r="R120" s="279">
        <f t="shared" si="51"/>
        <v>0</v>
      </c>
      <c r="S120" s="279">
        <f t="shared" si="51"/>
        <v>0</v>
      </c>
      <c r="T120" s="279">
        <f t="shared" si="51"/>
        <v>0</v>
      </c>
      <c r="U120" s="279">
        <f t="shared" si="51"/>
        <v>0</v>
      </c>
      <c r="V120" s="279">
        <f t="shared" si="51"/>
        <v>0</v>
      </c>
      <c r="W120" s="279">
        <f t="shared" si="51"/>
        <v>0</v>
      </c>
      <c r="X120" s="279">
        <f t="shared" si="51"/>
        <v>0</v>
      </c>
      <c r="Y120" s="279">
        <f t="shared" si="51"/>
        <v>0</v>
      </c>
      <c r="Z120" s="279">
        <f t="shared" si="51"/>
        <v>0</v>
      </c>
      <c r="AA120" s="279">
        <f t="shared" si="51"/>
        <v>0</v>
      </c>
      <c r="AB120" s="279">
        <f t="shared" si="51"/>
        <v>0</v>
      </c>
      <c r="AC120" s="279">
        <f t="shared" si="51"/>
        <v>0</v>
      </c>
      <c r="AD120" s="279">
        <f t="shared" si="51"/>
        <v>0</v>
      </c>
      <c r="AE120" s="279">
        <f t="shared" si="51"/>
        <v>0</v>
      </c>
      <c r="AF120" s="279">
        <f t="shared" si="51"/>
        <v>0</v>
      </c>
      <c r="AG120" s="279">
        <f t="shared" si="51"/>
        <v>0</v>
      </c>
      <c r="AH120" s="279">
        <f t="shared" si="51"/>
        <v>0</v>
      </c>
      <c r="AI120" s="279">
        <f t="shared" si="51"/>
        <v>0</v>
      </c>
      <c r="AJ120" s="279">
        <f t="shared" si="51"/>
        <v>0</v>
      </c>
      <c r="AK120" s="279">
        <f t="shared" si="51"/>
        <v>0</v>
      </c>
      <c r="AL120" s="279">
        <f t="shared" si="51"/>
        <v>0</v>
      </c>
      <c r="AM120" s="279">
        <f t="shared" si="51"/>
        <v>0</v>
      </c>
      <c r="AN120" s="279">
        <f t="shared" si="51"/>
        <v>0</v>
      </c>
      <c r="AO120" s="279">
        <f t="shared" si="51"/>
        <v>0</v>
      </c>
      <c r="AP120" s="279">
        <f t="shared" si="51"/>
        <v>0</v>
      </c>
      <c r="AQ120" s="279">
        <f t="shared" si="51"/>
        <v>0</v>
      </c>
      <c r="AR120" s="279">
        <f t="shared" si="51"/>
        <v>0</v>
      </c>
      <c r="AS120" s="279">
        <f t="shared" si="51"/>
        <v>0</v>
      </c>
      <c r="AT120" s="279">
        <f t="shared" si="51"/>
        <v>0</v>
      </c>
      <c r="AU120" s="279">
        <f t="shared" si="51"/>
        <v>0</v>
      </c>
      <c r="AV120" s="279">
        <f t="shared" si="51"/>
        <v>0</v>
      </c>
      <c r="AW120" s="279">
        <f t="shared" si="51"/>
        <v>0</v>
      </c>
      <c r="AX120" s="279">
        <f t="shared" si="51"/>
        <v>0</v>
      </c>
      <c r="AY120" s="279">
        <f t="shared" si="51"/>
        <v>0</v>
      </c>
      <c r="AZ120" s="279">
        <f t="shared" ref="AZ120:BE120" si="52">AZ65*AZ92</f>
        <v>0</v>
      </c>
      <c r="BA120" s="279">
        <f t="shared" si="52"/>
        <v>0</v>
      </c>
      <c r="BB120" s="279">
        <f t="shared" si="52"/>
        <v>0</v>
      </c>
      <c r="BC120" s="279">
        <f t="shared" si="52"/>
        <v>0</v>
      </c>
      <c r="BD120" s="279">
        <f t="shared" si="52"/>
        <v>0</v>
      </c>
      <c r="BE120" s="279">
        <f t="shared" si="52"/>
        <v>0</v>
      </c>
    </row>
    <row r="121" spans="1:57" x14ac:dyDescent="0.35">
      <c r="A121" s="95"/>
      <c r="B121" s="95"/>
      <c r="C121" s="95"/>
      <c r="D121" s="95"/>
      <c r="E121" s="343">
        <f>'Project description'!$B$5</f>
        <v>0</v>
      </c>
      <c r="F121" s="343" t="str">
        <f>Lists!$B$34</f>
        <v/>
      </c>
      <c r="G121" s="250" t="s">
        <v>160</v>
      </c>
      <c r="H121" s="250" t="str">
        <f t="shared" si="44"/>
        <v>Coal - sub bituminous</v>
      </c>
      <c r="I121" s="250" t="str">
        <f t="shared" si="49"/>
        <v>Real</v>
      </c>
      <c r="J121" s="251">
        <f t="shared" si="45"/>
        <v>0</v>
      </c>
      <c r="K121" s="252" t="str">
        <f>IF(Inputs!G135="","",Inputs!G135)</f>
        <v/>
      </c>
      <c r="L121" s="282">
        <f t="shared" ref="L121" si="53">L66*L93</f>
        <v>0</v>
      </c>
      <c r="M121" s="282">
        <f t="shared" ref="M121:AY121" si="54">M66*M93</f>
        <v>0</v>
      </c>
      <c r="N121" s="282">
        <f t="shared" si="54"/>
        <v>0</v>
      </c>
      <c r="O121" s="282">
        <f t="shared" si="54"/>
        <v>0</v>
      </c>
      <c r="P121" s="282">
        <f t="shared" si="54"/>
        <v>0</v>
      </c>
      <c r="Q121" s="282">
        <f t="shared" si="54"/>
        <v>0</v>
      </c>
      <c r="R121" s="282">
        <f t="shared" si="54"/>
        <v>0</v>
      </c>
      <c r="S121" s="282">
        <f t="shared" si="54"/>
        <v>0</v>
      </c>
      <c r="T121" s="282">
        <f t="shared" si="54"/>
        <v>0</v>
      </c>
      <c r="U121" s="282">
        <f t="shared" si="54"/>
        <v>0</v>
      </c>
      <c r="V121" s="282">
        <f t="shared" si="54"/>
        <v>0</v>
      </c>
      <c r="W121" s="282">
        <f t="shared" si="54"/>
        <v>0</v>
      </c>
      <c r="X121" s="282">
        <f t="shared" si="54"/>
        <v>0</v>
      </c>
      <c r="Y121" s="282">
        <f t="shared" si="54"/>
        <v>0</v>
      </c>
      <c r="Z121" s="282">
        <f t="shared" si="54"/>
        <v>0</v>
      </c>
      <c r="AA121" s="282">
        <f t="shared" si="54"/>
        <v>0</v>
      </c>
      <c r="AB121" s="282">
        <f t="shared" si="54"/>
        <v>0</v>
      </c>
      <c r="AC121" s="282">
        <f t="shared" si="54"/>
        <v>0</v>
      </c>
      <c r="AD121" s="282">
        <f t="shared" si="54"/>
        <v>0</v>
      </c>
      <c r="AE121" s="282">
        <f t="shared" si="54"/>
        <v>0</v>
      </c>
      <c r="AF121" s="282">
        <f t="shared" si="54"/>
        <v>0</v>
      </c>
      <c r="AG121" s="282">
        <f t="shared" si="54"/>
        <v>0</v>
      </c>
      <c r="AH121" s="282">
        <f t="shared" si="54"/>
        <v>0</v>
      </c>
      <c r="AI121" s="282">
        <f t="shared" si="54"/>
        <v>0</v>
      </c>
      <c r="AJ121" s="282">
        <f t="shared" si="54"/>
        <v>0</v>
      </c>
      <c r="AK121" s="282">
        <f t="shared" si="54"/>
        <v>0</v>
      </c>
      <c r="AL121" s="282">
        <f t="shared" si="54"/>
        <v>0</v>
      </c>
      <c r="AM121" s="282">
        <f t="shared" si="54"/>
        <v>0</v>
      </c>
      <c r="AN121" s="282">
        <f t="shared" si="54"/>
        <v>0</v>
      </c>
      <c r="AO121" s="282">
        <f t="shared" si="54"/>
        <v>0</v>
      </c>
      <c r="AP121" s="282">
        <f t="shared" si="54"/>
        <v>0</v>
      </c>
      <c r="AQ121" s="282">
        <f t="shared" si="54"/>
        <v>0</v>
      </c>
      <c r="AR121" s="282">
        <f t="shared" si="54"/>
        <v>0</v>
      </c>
      <c r="AS121" s="282">
        <f t="shared" si="54"/>
        <v>0</v>
      </c>
      <c r="AT121" s="282">
        <f t="shared" si="54"/>
        <v>0</v>
      </c>
      <c r="AU121" s="282">
        <f t="shared" si="54"/>
        <v>0</v>
      </c>
      <c r="AV121" s="282">
        <f t="shared" si="54"/>
        <v>0</v>
      </c>
      <c r="AW121" s="282">
        <f t="shared" si="54"/>
        <v>0</v>
      </c>
      <c r="AX121" s="282">
        <f t="shared" si="54"/>
        <v>0</v>
      </c>
      <c r="AY121" s="282">
        <f t="shared" si="54"/>
        <v>0</v>
      </c>
      <c r="AZ121" s="282">
        <f t="shared" ref="AZ121:BE121" si="55">AZ66*AZ93</f>
        <v>0</v>
      </c>
      <c r="BA121" s="282">
        <f t="shared" si="55"/>
        <v>0</v>
      </c>
      <c r="BB121" s="282">
        <f t="shared" si="55"/>
        <v>0</v>
      </c>
      <c r="BC121" s="282">
        <f t="shared" si="55"/>
        <v>0</v>
      </c>
      <c r="BD121" s="282">
        <f t="shared" si="55"/>
        <v>0</v>
      </c>
      <c r="BE121" s="282">
        <f t="shared" si="55"/>
        <v>0</v>
      </c>
    </row>
    <row r="122" spans="1:57" x14ac:dyDescent="0.35">
      <c r="A122" s="95"/>
      <c r="B122" s="95"/>
      <c r="C122" s="95"/>
      <c r="D122" s="95"/>
      <c r="E122" s="344">
        <f>'Project description'!$B$5</f>
        <v>0</v>
      </c>
      <c r="F122" s="344" t="str">
        <f>Lists!$B$34</f>
        <v/>
      </c>
      <c r="G122" s="246" t="s">
        <v>160</v>
      </c>
      <c r="H122" s="246" t="str">
        <f t="shared" si="44"/>
        <v>Coal - bituminous</v>
      </c>
      <c r="I122" s="246" t="str">
        <f t="shared" si="49"/>
        <v>Real</v>
      </c>
      <c r="J122" s="247">
        <f t="shared" si="45"/>
        <v>0</v>
      </c>
      <c r="K122" s="248" t="str">
        <f>IF(Inputs!G136="","",Inputs!G136)</f>
        <v/>
      </c>
      <c r="L122" s="279">
        <f t="shared" ref="L122" si="56">L67*L94</f>
        <v>0</v>
      </c>
      <c r="M122" s="279">
        <f t="shared" ref="M122:AY122" si="57">M67*M94</f>
        <v>0</v>
      </c>
      <c r="N122" s="279">
        <f t="shared" si="57"/>
        <v>0</v>
      </c>
      <c r="O122" s="279">
        <f t="shared" si="57"/>
        <v>0</v>
      </c>
      <c r="P122" s="279">
        <f t="shared" si="57"/>
        <v>0</v>
      </c>
      <c r="Q122" s="279">
        <f t="shared" si="57"/>
        <v>0</v>
      </c>
      <c r="R122" s="279">
        <f t="shared" si="57"/>
        <v>0</v>
      </c>
      <c r="S122" s="279">
        <f t="shared" si="57"/>
        <v>0</v>
      </c>
      <c r="T122" s="279">
        <f t="shared" si="57"/>
        <v>0</v>
      </c>
      <c r="U122" s="279">
        <f t="shared" si="57"/>
        <v>0</v>
      </c>
      <c r="V122" s="279">
        <f t="shared" si="57"/>
        <v>0</v>
      </c>
      <c r="W122" s="279">
        <f t="shared" si="57"/>
        <v>0</v>
      </c>
      <c r="X122" s="279">
        <f t="shared" si="57"/>
        <v>0</v>
      </c>
      <c r="Y122" s="279">
        <f t="shared" si="57"/>
        <v>0</v>
      </c>
      <c r="Z122" s="279">
        <f t="shared" si="57"/>
        <v>0</v>
      </c>
      <c r="AA122" s="279">
        <f t="shared" si="57"/>
        <v>0</v>
      </c>
      <c r="AB122" s="279">
        <f t="shared" si="57"/>
        <v>0</v>
      </c>
      <c r="AC122" s="279">
        <f t="shared" si="57"/>
        <v>0</v>
      </c>
      <c r="AD122" s="279">
        <f t="shared" si="57"/>
        <v>0</v>
      </c>
      <c r="AE122" s="279">
        <f t="shared" si="57"/>
        <v>0</v>
      </c>
      <c r="AF122" s="279">
        <f t="shared" si="57"/>
        <v>0</v>
      </c>
      <c r="AG122" s="279">
        <f t="shared" si="57"/>
        <v>0</v>
      </c>
      <c r="AH122" s="279">
        <f t="shared" si="57"/>
        <v>0</v>
      </c>
      <c r="AI122" s="279">
        <f t="shared" si="57"/>
        <v>0</v>
      </c>
      <c r="AJ122" s="279">
        <f t="shared" si="57"/>
        <v>0</v>
      </c>
      <c r="AK122" s="279">
        <f t="shared" si="57"/>
        <v>0</v>
      </c>
      <c r="AL122" s="279">
        <f t="shared" si="57"/>
        <v>0</v>
      </c>
      <c r="AM122" s="279">
        <f t="shared" si="57"/>
        <v>0</v>
      </c>
      <c r="AN122" s="279">
        <f t="shared" si="57"/>
        <v>0</v>
      </c>
      <c r="AO122" s="279">
        <f t="shared" si="57"/>
        <v>0</v>
      </c>
      <c r="AP122" s="279">
        <f t="shared" si="57"/>
        <v>0</v>
      </c>
      <c r="AQ122" s="279">
        <f t="shared" si="57"/>
        <v>0</v>
      </c>
      <c r="AR122" s="279">
        <f t="shared" si="57"/>
        <v>0</v>
      </c>
      <c r="AS122" s="279">
        <f t="shared" si="57"/>
        <v>0</v>
      </c>
      <c r="AT122" s="279">
        <f t="shared" si="57"/>
        <v>0</v>
      </c>
      <c r="AU122" s="279">
        <f t="shared" si="57"/>
        <v>0</v>
      </c>
      <c r="AV122" s="279">
        <f t="shared" si="57"/>
        <v>0</v>
      </c>
      <c r="AW122" s="279">
        <f t="shared" si="57"/>
        <v>0</v>
      </c>
      <c r="AX122" s="279">
        <f t="shared" si="57"/>
        <v>0</v>
      </c>
      <c r="AY122" s="279">
        <f t="shared" si="57"/>
        <v>0</v>
      </c>
      <c r="AZ122" s="279">
        <f t="shared" ref="AZ122:BE122" si="58">AZ67*AZ94</f>
        <v>0</v>
      </c>
      <c r="BA122" s="279">
        <f t="shared" si="58"/>
        <v>0</v>
      </c>
      <c r="BB122" s="279">
        <f t="shared" si="58"/>
        <v>0</v>
      </c>
      <c r="BC122" s="279">
        <f t="shared" si="58"/>
        <v>0</v>
      </c>
      <c r="BD122" s="279">
        <f t="shared" si="58"/>
        <v>0</v>
      </c>
      <c r="BE122" s="279">
        <f t="shared" si="58"/>
        <v>0</v>
      </c>
    </row>
    <row r="123" spans="1:57" x14ac:dyDescent="0.35">
      <c r="A123" s="95"/>
      <c r="B123" s="95"/>
      <c r="C123" s="95"/>
      <c r="D123" s="95"/>
      <c r="E123" s="343">
        <f>'Project description'!$B$5</f>
        <v>0</v>
      </c>
      <c r="F123" s="343" t="str">
        <f>Lists!$B$34</f>
        <v/>
      </c>
      <c r="G123" s="250" t="s">
        <v>160</v>
      </c>
      <c r="H123" s="250" t="str">
        <f t="shared" si="44"/>
        <v>Coal - lignite</v>
      </c>
      <c r="I123" s="250" t="str">
        <f t="shared" si="49"/>
        <v>Real</v>
      </c>
      <c r="J123" s="251">
        <f t="shared" si="45"/>
        <v>0</v>
      </c>
      <c r="K123" s="252" t="str">
        <f>IF(Inputs!G137="","",Inputs!G137)</f>
        <v/>
      </c>
      <c r="L123" s="282">
        <f t="shared" ref="L123" si="59">L68*L95</f>
        <v>0</v>
      </c>
      <c r="M123" s="282">
        <f t="shared" ref="M123:AY123" si="60">M68*M95</f>
        <v>0</v>
      </c>
      <c r="N123" s="282">
        <f t="shared" si="60"/>
        <v>0</v>
      </c>
      <c r="O123" s="282">
        <f t="shared" si="60"/>
        <v>0</v>
      </c>
      <c r="P123" s="282">
        <f t="shared" si="60"/>
        <v>0</v>
      </c>
      <c r="Q123" s="282">
        <f t="shared" si="60"/>
        <v>0</v>
      </c>
      <c r="R123" s="282">
        <f t="shared" si="60"/>
        <v>0</v>
      </c>
      <c r="S123" s="282">
        <f t="shared" si="60"/>
        <v>0</v>
      </c>
      <c r="T123" s="282">
        <f t="shared" si="60"/>
        <v>0</v>
      </c>
      <c r="U123" s="282">
        <f t="shared" si="60"/>
        <v>0</v>
      </c>
      <c r="V123" s="282">
        <f t="shared" si="60"/>
        <v>0</v>
      </c>
      <c r="W123" s="282">
        <f t="shared" si="60"/>
        <v>0</v>
      </c>
      <c r="X123" s="282">
        <f t="shared" si="60"/>
        <v>0</v>
      </c>
      <c r="Y123" s="282">
        <f t="shared" si="60"/>
        <v>0</v>
      </c>
      <c r="Z123" s="282">
        <f t="shared" si="60"/>
        <v>0</v>
      </c>
      <c r="AA123" s="282">
        <f t="shared" si="60"/>
        <v>0</v>
      </c>
      <c r="AB123" s="282">
        <f t="shared" si="60"/>
        <v>0</v>
      </c>
      <c r="AC123" s="282">
        <f t="shared" si="60"/>
        <v>0</v>
      </c>
      <c r="AD123" s="282">
        <f t="shared" si="60"/>
        <v>0</v>
      </c>
      <c r="AE123" s="282">
        <f t="shared" si="60"/>
        <v>0</v>
      </c>
      <c r="AF123" s="282">
        <f t="shared" si="60"/>
        <v>0</v>
      </c>
      <c r="AG123" s="282">
        <f t="shared" si="60"/>
        <v>0</v>
      </c>
      <c r="AH123" s="282">
        <f t="shared" si="60"/>
        <v>0</v>
      </c>
      <c r="AI123" s="282">
        <f t="shared" si="60"/>
        <v>0</v>
      </c>
      <c r="AJ123" s="282">
        <f t="shared" si="60"/>
        <v>0</v>
      </c>
      <c r="AK123" s="282">
        <f t="shared" si="60"/>
        <v>0</v>
      </c>
      <c r="AL123" s="282">
        <f t="shared" si="60"/>
        <v>0</v>
      </c>
      <c r="AM123" s="282">
        <f t="shared" si="60"/>
        <v>0</v>
      </c>
      <c r="AN123" s="282">
        <f t="shared" si="60"/>
        <v>0</v>
      </c>
      <c r="AO123" s="282">
        <f t="shared" si="60"/>
        <v>0</v>
      </c>
      <c r="AP123" s="282">
        <f t="shared" si="60"/>
        <v>0</v>
      </c>
      <c r="AQ123" s="282">
        <f t="shared" si="60"/>
        <v>0</v>
      </c>
      <c r="AR123" s="282">
        <f t="shared" si="60"/>
        <v>0</v>
      </c>
      <c r="AS123" s="282">
        <f t="shared" si="60"/>
        <v>0</v>
      </c>
      <c r="AT123" s="282">
        <f t="shared" si="60"/>
        <v>0</v>
      </c>
      <c r="AU123" s="282">
        <f t="shared" si="60"/>
        <v>0</v>
      </c>
      <c r="AV123" s="282">
        <f t="shared" si="60"/>
        <v>0</v>
      </c>
      <c r="AW123" s="282">
        <f t="shared" si="60"/>
        <v>0</v>
      </c>
      <c r="AX123" s="282">
        <f t="shared" si="60"/>
        <v>0</v>
      </c>
      <c r="AY123" s="282">
        <f t="shared" si="60"/>
        <v>0</v>
      </c>
      <c r="AZ123" s="282">
        <f t="shared" ref="AZ123:BE123" si="61">AZ68*AZ95</f>
        <v>0</v>
      </c>
      <c r="BA123" s="282">
        <f t="shared" si="61"/>
        <v>0</v>
      </c>
      <c r="BB123" s="282">
        <f t="shared" si="61"/>
        <v>0</v>
      </c>
      <c r="BC123" s="282">
        <f t="shared" si="61"/>
        <v>0</v>
      </c>
      <c r="BD123" s="282">
        <f t="shared" si="61"/>
        <v>0</v>
      </c>
      <c r="BE123" s="282">
        <f t="shared" si="61"/>
        <v>0</v>
      </c>
    </row>
    <row r="124" spans="1:57" x14ac:dyDescent="0.35">
      <c r="A124" s="95"/>
      <c r="B124" s="95"/>
      <c r="C124" s="95"/>
      <c r="D124" s="95"/>
      <c r="E124" s="344">
        <f>'Project description'!$B$5</f>
        <v>0</v>
      </c>
      <c r="F124" s="344" t="str">
        <f>Lists!$B$34</f>
        <v/>
      </c>
      <c r="G124" s="246" t="s">
        <v>160</v>
      </c>
      <c r="H124" s="246" t="str">
        <f t="shared" si="44"/>
        <v>Diesel</v>
      </c>
      <c r="I124" s="246" t="str">
        <f t="shared" si="49"/>
        <v>Real</v>
      </c>
      <c r="J124" s="247">
        <f t="shared" si="45"/>
        <v>0</v>
      </c>
      <c r="K124" s="248" t="str">
        <f>IF(Inputs!G138="","",Inputs!G138)</f>
        <v/>
      </c>
      <c r="L124" s="279">
        <f t="shared" ref="L124" si="62">L69*L96</f>
        <v>0</v>
      </c>
      <c r="M124" s="279">
        <f t="shared" ref="M124:AY124" si="63">M69*M96</f>
        <v>0</v>
      </c>
      <c r="N124" s="279">
        <f t="shared" si="63"/>
        <v>0</v>
      </c>
      <c r="O124" s="279">
        <f t="shared" si="63"/>
        <v>0</v>
      </c>
      <c r="P124" s="279">
        <f t="shared" si="63"/>
        <v>0</v>
      </c>
      <c r="Q124" s="279">
        <f t="shared" si="63"/>
        <v>0</v>
      </c>
      <c r="R124" s="279">
        <f t="shared" si="63"/>
        <v>0</v>
      </c>
      <c r="S124" s="279">
        <f t="shared" si="63"/>
        <v>0</v>
      </c>
      <c r="T124" s="279">
        <f t="shared" si="63"/>
        <v>0</v>
      </c>
      <c r="U124" s="279">
        <f t="shared" si="63"/>
        <v>0</v>
      </c>
      <c r="V124" s="279">
        <f t="shared" si="63"/>
        <v>0</v>
      </c>
      <c r="W124" s="279">
        <f t="shared" si="63"/>
        <v>0</v>
      </c>
      <c r="X124" s="279">
        <f t="shared" si="63"/>
        <v>0</v>
      </c>
      <c r="Y124" s="279">
        <f t="shared" si="63"/>
        <v>0</v>
      </c>
      <c r="Z124" s="279">
        <f t="shared" si="63"/>
        <v>0</v>
      </c>
      <c r="AA124" s="279">
        <f t="shared" si="63"/>
        <v>0</v>
      </c>
      <c r="AB124" s="279">
        <f t="shared" si="63"/>
        <v>0</v>
      </c>
      <c r="AC124" s="279">
        <f t="shared" si="63"/>
        <v>0</v>
      </c>
      <c r="AD124" s="279">
        <f t="shared" si="63"/>
        <v>0</v>
      </c>
      <c r="AE124" s="279">
        <f t="shared" si="63"/>
        <v>0</v>
      </c>
      <c r="AF124" s="279">
        <f t="shared" si="63"/>
        <v>0</v>
      </c>
      <c r="AG124" s="279">
        <f t="shared" si="63"/>
        <v>0</v>
      </c>
      <c r="AH124" s="279">
        <f t="shared" si="63"/>
        <v>0</v>
      </c>
      <c r="AI124" s="279">
        <f t="shared" si="63"/>
        <v>0</v>
      </c>
      <c r="AJ124" s="279">
        <f t="shared" si="63"/>
        <v>0</v>
      </c>
      <c r="AK124" s="279">
        <f t="shared" si="63"/>
        <v>0</v>
      </c>
      <c r="AL124" s="279">
        <f t="shared" si="63"/>
        <v>0</v>
      </c>
      <c r="AM124" s="279">
        <f t="shared" si="63"/>
        <v>0</v>
      </c>
      <c r="AN124" s="279">
        <f t="shared" si="63"/>
        <v>0</v>
      </c>
      <c r="AO124" s="279">
        <f t="shared" si="63"/>
        <v>0</v>
      </c>
      <c r="AP124" s="279">
        <f t="shared" si="63"/>
        <v>0</v>
      </c>
      <c r="AQ124" s="279">
        <f t="shared" si="63"/>
        <v>0</v>
      </c>
      <c r="AR124" s="279">
        <f t="shared" si="63"/>
        <v>0</v>
      </c>
      <c r="AS124" s="279">
        <f t="shared" si="63"/>
        <v>0</v>
      </c>
      <c r="AT124" s="279">
        <f t="shared" si="63"/>
        <v>0</v>
      </c>
      <c r="AU124" s="279">
        <f t="shared" si="63"/>
        <v>0</v>
      </c>
      <c r="AV124" s="279">
        <f t="shared" si="63"/>
        <v>0</v>
      </c>
      <c r="AW124" s="279">
        <f t="shared" si="63"/>
        <v>0</v>
      </c>
      <c r="AX124" s="279">
        <f t="shared" si="63"/>
        <v>0</v>
      </c>
      <c r="AY124" s="279">
        <f t="shared" si="63"/>
        <v>0</v>
      </c>
      <c r="AZ124" s="279">
        <f t="shared" ref="AZ124:BE124" si="64">AZ69*AZ96</f>
        <v>0</v>
      </c>
      <c r="BA124" s="279">
        <f t="shared" si="64"/>
        <v>0</v>
      </c>
      <c r="BB124" s="279">
        <f t="shared" si="64"/>
        <v>0</v>
      </c>
      <c r="BC124" s="279">
        <f t="shared" si="64"/>
        <v>0</v>
      </c>
      <c r="BD124" s="279">
        <f t="shared" si="64"/>
        <v>0</v>
      </c>
      <c r="BE124" s="279">
        <f t="shared" si="64"/>
        <v>0</v>
      </c>
    </row>
    <row r="125" spans="1:57" x14ac:dyDescent="0.35">
      <c r="A125" s="95"/>
      <c r="B125" s="95"/>
      <c r="C125" s="95"/>
      <c r="D125" s="95"/>
      <c r="E125" s="343">
        <f>'Project description'!$B$5</f>
        <v>0</v>
      </c>
      <c r="F125" s="343" t="str">
        <f>Lists!$B$34</f>
        <v/>
      </c>
      <c r="G125" s="250" t="s">
        <v>160</v>
      </c>
      <c r="H125" s="250" t="str">
        <f t="shared" si="44"/>
        <v>LPG</v>
      </c>
      <c r="I125" s="250" t="str">
        <f t="shared" si="49"/>
        <v>Real</v>
      </c>
      <c r="J125" s="251">
        <f t="shared" si="45"/>
        <v>0</v>
      </c>
      <c r="K125" s="252" t="str">
        <f>IF(Inputs!G139="","",Inputs!G139)</f>
        <v/>
      </c>
      <c r="L125" s="282">
        <f t="shared" ref="L125" si="65">L70*L97</f>
        <v>0</v>
      </c>
      <c r="M125" s="282">
        <f t="shared" ref="M125:AY125" si="66">M70*M97</f>
        <v>0</v>
      </c>
      <c r="N125" s="282">
        <f t="shared" si="66"/>
        <v>0</v>
      </c>
      <c r="O125" s="282">
        <f t="shared" si="66"/>
        <v>0</v>
      </c>
      <c r="P125" s="282">
        <f t="shared" si="66"/>
        <v>0</v>
      </c>
      <c r="Q125" s="282">
        <f t="shared" si="66"/>
        <v>0</v>
      </c>
      <c r="R125" s="282">
        <f t="shared" si="66"/>
        <v>0</v>
      </c>
      <c r="S125" s="282">
        <f t="shared" si="66"/>
        <v>0</v>
      </c>
      <c r="T125" s="282">
        <f t="shared" si="66"/>
        <v>0</v>
      </c>
      <c r="U125" s="282">
        <f t="shared" si="66"/>
        <v>0</v>
      </c>
      <c r="V125" s="282">
        <f t="shared" si="66"/>
        <v>0</v>
      </c>
      <c r="W125" s="282">
        <f t="shared" si="66"/>
        <v>0</v>
      </c>
      <c r="X125" s="282">
        <f t="shared" si="66"/>
        <v>0</v>
      </c>
      <c r="Y125" s="282">
        <f t="shared" si="66"/>
        <v>0</v>
      </c>
      <c r="Z125" s="282">
        <f t="shared" si="66"/>
        <v>0</v>
      </c>
      <c r="AA125" s="282">
        <f t="shared" si="66"/>
        <v>0</v>
      </c>
      <c r="AB125" s="282">
        <f t="shared" si="66"/>
        <v>0</v>
      </c>
      <c r="AC125" s="282">
        <f t="shared" si="66"/>
        <v>0</v>
      </c>
      <c r="AD125" s="282">
        <f t="shared" si="66"/>
        <v>0</v>
      </c>
      <c r="AE125" s="282">
        <f t="shared" si="66"/>
        <v>0</v>
      </c>
      <c r="AF125" s="282">
        <f t="shared" si="66"/>
        <v>0</v>
      </c>
      <c r="AG125" s="282">
        <f t="shared" si="66"/>
        <v>0</v>
      </c>
      <c r="AH125" s="282">
        <f t="shared" si="66"/>
        <v>0</v>
      </c>
      <c r="AI125" s="282">
        <f t="shared" si="66"/>
        <v>0</v>
      </c>
      <c r="AJ125" s="282">
        <f t="shared" si="66"/>
        <v>0</v>
      </c>
      <c r="AK125" s="282">
        <f t="shared" si="66"/>
        <v>0</v>
      </c>
      <c r="AL125" s="282">
        <f t="shared" si="66"/>
        <v>0</v>
      </c>
      <c r="AM125" s="282">
        <f t="shared" si="66"/>
        <v>0</v>
      </c>
      <c r="AN125" s="282">
        <f t="shared" si="66"/>
        <v>0</v>
      </c>
      <c r="AO125" s="282">
        <f t="shared" si="66"/>
        <v>0</v>
      </c>
      <c r="AP125" s="282">
        <f t="shared" si="66"/>
        <v>0</v>
      </c>
      <c r="AQ125" s="282">
        <f t="shared" si="66"/>
        <v>0</v>
      </c>
      <c r="AR125" s="282">
        <f t="shared" si="66"/>
        <v>0</v>
      </c>
      <c r="AS125" s="282">
        <f t="shared" si="66"/>
        <v>0</v>
      </c>
      <c r="AT125" s="282">
        <f t="shared" si="66"/>
        <v>0</v>
      </c>
      <c r="AU125" s="282">
        <f t="shared" si="66"/>
        <v>0</v>
      </c>
      <c r="AV125" s="282">
        <f t="shared" si="66"/>
        <v>0</v>
      </c>
      <c r="AW125" s="282">
        <f t="shared" si="66"/>
        <v>0</v>
      </c>
      <c r="AX125" s="282">
        <f t="shared" si="66"/>
        <v>0</v>
      </c>
      <c r="AY125" s="282">
        <f t="shared" si="66"/>
        <v>0</v>
      </c>
      <c r="AZ125" s="282">
        <f t="shared" ref="AZ125:BE125" si="67">AZ70*AZ97</f>
        <v>0</v>
      </c>
      <c r="BA125" s="282">
        <f t="shared" si="67"/>
        <v>0</v>
      </c>
      <c r="BB125" s="282">
        <f t="shared" si="67"/>
        <v>0</v>
      </c>
      <c r="BC125" s="282">
        <f t="shared" si="67"/>
        <v>0</v>
      </c>
      <c r="BD125" s="282">
        <f t="shared" si="67"/>
        <v>0</v>
      </c>
      <c r="BE125" s="282">
        <f t="shared" si="67"/>
        <v>0</v>
      </c>
    </row>
    <row r="126" spans="1:57" x14ac:dyDescent="0.35">
      <c r="A126" s="95"/>
      <c r="B126" s="95"/>
      <c r="C126" s="95"/>
      <c r="D126" s="95"/>
      <c r="E126" s="344">
        <f>'Project description'!$B$5</f>
        <v>0</v>
      </c>
      <c r="F126" s="344" t="str">
        <f>Lists!$B$34</f>
        <v/>
      </c>
      <c r="G126" s="246" t="s">
        <v>160</v>
      </c>
      <c r="H126" s="246" t="str">
        <f t="shared" si="44"/>
        <v>Light fuel oil</v>
      </c>
      <c r="I126" s="246" t="str">
        <f t="shared" si="49"/>
        <v>Real</v>
      </c>
      <c r="J126" s="247">
        <f t="shared" si="45"/>
        <v>0</v>
      </c>
      <c r="K126" s="248" t="str">
        <f>IF(Inputs!G140="","",Inputs!G140)</f>
        <v/>
      </c>
      <c r="L126" s="279">
        <f t="shared" ref="L126" si="68">L71*L98</f>
        <v>0</v>
      </c>
      <c r="M126" s="279">
        <f t="shared" ref="M126:AY126" si="69">M71*M98</f>
        <v>0</v>
      </c>
      <c r="N126" s="279">
        <f t="shared" si="69"/>
        <v>0</v>
      </c>
      <c r="O126" s="279">
        <f t="shared" si="69"/>
        <v>0</v>
      </c>
      <c r="P126" s="279">
        <f t="shared" si="69"/>
        <v>0</v>
      </c>
      <c r="Q126" s="279">
        <f t="shared" si="69"/>
        <v>0</v>
      </c>
      <c r="R126" s="279">
        <f t="shared" si="69"/>
        <v>0</v>
      </c>
      <c r="S126" s="279">
        <f t="shared" si="69"/>
        <v>0</v>
      </c>
      <c r="T126" s="279">
        <f t="shared" si="69"/>
        <v>0</v>
      </c>
      <c r="U126" s="279">
        <f t="shared" si="69"/>
        <v>0</v>
      </c>
      <c r="V126" s="279">
        <f t="shared" si="69"/>
        <v>0</v>
      </c>
      <c r="W126" s="279">
        <f t="shared" si="69"/>
        <v>0</v>
      </c>
      <c r="X126" s="279">
        <f t="shared" si="69"/>
        <v>0</v>
      </c>
      <c r="Y126" s="279">
        <f t="shared" si="69"/>
        <v>0</v>
      </c>
      <c r="Z126" s="279">
        <f t="shared" si="69"/>
        <v>0</v>
      </c>
      <c r="AA126" s="279">
        <f t="shared" si="69"/>
        <v>0</v>
      </c>
      <c r="AB126" s="279">
        <f t="shared" si="69"/>
        <v>0</v>
      </c>
      <c r="AC126" s="279">
        <f t="shared" si="69"/>
        <v>0</v>
      </c>
      <c r="AD126" s="279">
        <f t="shared" si="69"/>
        <v>0</v>
      </c>
      <c r="AE126" s="279">
        <f t="shared" si="69"/>
        <v>0</v>
      </c>
      <c r="AF126" s="279">
        <f t="shared" si="69"/>
        <v>0</v>
      </c>
      <c r="AG126" s="279">
        <f t="shared" si="69"/>
        <v>0</v>
      </c>
      <c r="AH126" s="279">
        <f t="shared" si="69"/>
        <v>0</v>
      </c>
      <c r="AI126" s="279">
        <f t="shared" si="69"/>
        <v>0</v>
      </c>
      <c r="AJ126" s="279">
        <f t="shared" si="69"/>
        <v>0</v>
      </c>
      <c r="AK126" s="279">
        <f t="shared" si="69"/>
        <v>0</v>
      </c>
      <c r="AL126" s="279">
        <f t="shared" si="69"/>
        <v>0</v>
      </c>
      <c r="AM126" s="279">
        <f t="shared" si="69"/>
        <v>0</v>
      </c>
      <c r="AN126" s="279">
        <f t="shared" si="69"/>
        <v>0</v>
      </c>
      <c r="AO126" s="279">
        <f t="shared" si="69"/>
        <v>0</v>
      </c>
      <c r="AP126" s="279">
        <f t="shared" si="69"/>
        <v>0</v>
      </c>
      <c r="AQ126" s="279">
        <f t="shared" si="69"/>
        <v>0</v>
      </c>
      <c r="AR126" s="279">
        <f t="shared" si="69"/>
        <v>0</v>
      </c>
      <c r="AS126" s="279">
        <f t="shared" si="69"/>
        <v>0</v>
      </c>
      <c r="AT126" s="279">
        <f t="shared" si="69"/>
        <v>0</v>
      </c>
      <c r="AU126" s="279">
        <f t="shared" si="69"/>
        <v>0</v>
      </c>
      <c r="AV126" s="279">
        <f t="shared" si="69"/>
        <v>0</v>
      </c>
      <c r="AW126" s="279">
        <f t="shared" si="69"/>
        <v>0</v>
      </c>
      <c r="AX126" s="279">
        <f t="shared" si="69"/>
        <v>0</v>
      </c>
      <c r="AY126" s="279">
        <f t="shared" si="69"/>
        <v>0</v>
      </c>
      <c r="AZ126" s="279">
        <f t="shared" ref="AZ126:BE126" si="70">AZ71*AZ98</f>
        <v>0</v>
      </c>
      <c r="BA126" s="279">
        <f t="shared" si="70"/>
        <v>0</v>
      </c>
      <c r="BB126" s="279">
        <f t="shared" si="70"/>
        <v>0</v>
      </c>
      <c r="BC126" s="279">
        <f t="shared" si="70"/>
        <v>0</v>
      </c>
      <c r="BD126" s="279">
        <f t="shared" si="70"/>
        <v>0</v>
      </c>
      <c r="BE126" s="279">
        <f t="shared" si="70"/>
        <v>0</v>
      </c>
    </row>
    <row r="127" spans="1:57" x14ac:dyDescent="0.35">
      <c r="A127" s="95"/>
      <c r="B127" s="95"/>
      <c r="C127" s="95"/>
      <c r="D127" s="95"/>
      <c r="E127" s="343">
        <f>'Project description'!$B$5</f>
        <v>0</v>
      </c>
      <c r="F127" s="343" t="str">
        <f>Lists!$B$34</f>
        <v/>
      </c>
      <c r="G127" s="250" t="s">
        <v>160</v>
      </c>
      <c r="H127" s="250" t="str">
        <f t="shared" si="44"/>
        <v>Heavy fuel oil</v>
      </c>
      <c r="I127" s="250" t="str">
        <f t="shared" si="49"/>
        <v>Real</v>
      </c>
      <c r="J127" s="251">
        <f t="shared" si="45"/>
        <v>0</v>
      </c>
      <c r="K127" s="252" t="str">
        <f>IF(Inputs!G141="","",Inputs!G141)</f>
        <v/>
      </c>
      <c r="L127" s="282">
        <f t="shared" ref="L127" si="71">L72*L99</f>
        <v>0</v>
      </c>
      <c r="M127" s="282">
        <f t="shared" ref="M127:AY127" si="72">M72*M99</f>
        <v>0</v>
      </c>
      <c r="N127" s="282">
        <f t="shared" si="72"/>
        <v>0</v>
      </c>
      <c r="O127" s="282">
        <f t="shared" si="72"/>
        <v>0</v>
      </c>
      <c r="P127" s="282">
        <f t="shared" si="72"/>
        <v>0</v>
      </c>
      <c r="Q127" s="282">
        <f t="shared" si="72"/>
        <v>0</v>
      </c>
      <c r="R127" s="282">
        <f t="shared" si="72"/>
        <v>0</v>
      </c>
      <c r="S127" s="282">
        <f t="shared" si="72"/>
        <v>0</v>
      </c>
      <c r="T127" s="282">
        <f t="shared" si="72"/>
        <v>0</v>
      </c>
      <c r="U127" s="282">
        <f t="shared" si="72"/>
        <v>0</v>
      </c>
      <c r="V127" s="282">
        <f t="shared" si="72"/>
        <v>0</v>
      </c>
      <c r="W127" s="282">
        <f t="shared" si="72"/>
        <v>0</v>
      </c>
      <c r="X127" s="282">
        <f t="shared" si="72"/>
        <v>0</v>
      </c>
      <c r="Y127" s="282">
        <f t="shared" si="72"/>
        <v>0</v>
      </c>
      <c r="Z127" s="282">
        <f t="shared" si="72"/>
        <v>0</v>
      </c>
      <c r="AA127" s="282">
        <f t="shared" si="72"/>
        <v>0</v>
      </c>
      <c r="AB127" s="282">
        <f t="shared" si="72"/>
        <v>0</v>
      </c>
      <c r="AC127" s="282">
        <f t="shared" si="72"/>
        <v>0</v>
      </c>
      <c r="AD127" s="282">
        <f t="shared" si="72"/>
        <v>0</v>
      </c>
      <c r="AE127" s="282">
        <f t="shared" si="72"/>
        <v>0</v>
      </c>
      <c r="AF127" s="282">
        <f t="shared" si="72"/>
        <v>0</v>
      </c>
      <c r="AG127" s="282">
        <f t="shared" si="72"/>
        <v>0</v>
      </c>
      <c r="AH127" s="282">
        <f t="shared" si="72"/>
        <v>0</v>
      </c>
      <c r="AI127" s="282">
        <f t="shared" si="72"/>
        <v>0</v>
      </c>
      <c r="AJ127" s="282">
        <f t="shared" si="72"/>
        <v>0</v>
      </c>
      <c r="AK127" s="282">
        <f t="shared" si="72"/>
        <v>0</v>
      </c>
      <c r="AL127" s="282">
        <f t="shared" si="72"/>
        <v>0</v>
      </c>
      <c r="AM127" s="282">
        <f t="shared" si="72"/>
        <v>0</v>
      </c>
      <c r="AN127" s="282">
        <f t="shared" si="72"/>
        <v>0</v>
      </c>
      <c r="AO127" s="282">
        <f t="shared" si="72"/>
        <v>0</v>
      </c>
      <c r="AP127" s="282">
        <f t="shared" si="72"/>
        <v>0</v>
      </c>
      <c r="AQ127" s="282">
        <f t="shared" si="72"/>
        <v>0</v>
      </c>
      <c r="AR127" s="282">
        <f t="shared" si="72"/>
        <v>0</v>
      </c>
      <c r="AS127" s="282">
        <f t="shared" si="72"/>
        <v>0</v>
      </c>
      <c r="AT127" s="282">
        <f t="shared" si="72"/>
        <v>0</v>
      </c>
      <c r="AU127" s="282">
        <f t="shared" si="72"/>
        <v>0</v>
      </c>
      <c r="AV127" s="282">
        <f t="shared" si="72"/>
        <v>0</v>
      </c>
      <c r="AW127" s="282">
        <f t="shared" si="72"/>
        <v>0</v>
      </c>
      <c r="AX127" s="282">
        <f t="shared" si="72"/>
        <v>0</v>
      </c>
      <c r="AY127" s="282">
        <f t="shared" si="72"/>
        <v>0</v>
      </c>
      <c r="AZ127" s="282">
        <f t="shared" ref="AZ127:BE127" si="73">AZ72*AZ99</f>
        <v>0</v>
      </c>
      <c r="BA127" s="282">
        <f t="shared" si="73"/>
        <v>0</v>
      </c>
      <c r="BB127" s="282">
        <f t="shared" si="73"/>
        <v>0</v>
      </c>
      <c r="BC127" s="282">
        <f t="shared" si="73"/>
        <v>0</v>
      </c>
      <c r="BD127" s="282">
        <f t="shared" si="73"/>
        <v>0</v>
      </c>
      <c r="BE127" s="282">
        <f t="shared" si="73"/>
        <v>0</v>
      </c>
    </row>
    <row r="128" spans="1:57" x14ac:dyDescent="0.35">
      <c r="A128" s="95"/>
      <c r="B128" s="95"/>
      <c r="C128" s="95"/>
      <c r="D128" s="95"/>
      <c r="E128" s="344">
        <f>'Project description'!$B$5</f>
        <v>0</v>
      </c>
      <c r="F128" s="344" t="str">
        <f>Lists!$B$34</f>
        <v/>
      </c>
      <c r="G128" s="246" t="s">
        <v>160</v>
      </c>
      <c r="H128" s="246" t="str">
        <f t="shared" si="44"/>
        <v>Geothermal</v>
      </c>
      <c r="I128" s="246" t="str">
        <f t="shared" si="49"/>
        <v>Real</v>
      </c>
      <c r="J128" s="247">
        <f t="shared" si="45"/>
        <v>0</v>
      </c>
      <c r="K128" s="248" t="str">
        <f>IF(Inputs!G142="","",Inputs!G142)</f>
        <v/>
      </c>
      <c r="L128" s="279">
        <f t="shared" ref="L128" si="74">L73*L100</f>
        <v>0</v>
      </c>
      <c r="M128" s="279">
        <f t="shared" ref="M128:AY128" si="75">M73*M100</f>
        <v>0</v>
      </c>
      <c r="N128" s="279">
        <f t="shared" si="75"/>
        <v>0</v>
      </c>
      <c r="O128" s="279">
        <f t="shared" si="75"/>
        <v>0</v>
      </c>
      <c r="P128" s="279">
        <f t="shared" si="75"/>
        <v>0</v>
      </c>
      <c r="Q128" s="279">
        <f t="shared" si="75"/>
        <v>0</v>
      </c>
      <c r="R128" s="279">
        <f t="shared" si="75"/>
        <v>0</v>
      </c>
      <c r="S128" s="279">
        <f t="shared" si="75"/>
        <v>0</v>
      </c>
      <c r="T128" s="279">
        <f t="shared" si="75"/>
        <v>0</v>
      </c>
      <c r="U128" s="279">
        <f t="shared" si="75"/>
        <v>0</v>
      </c>
      <c r="V128" s="279">
        <f t="shared" si="75"/>
        <v>0</v>
      </c>
      <c r="W128" s="279">
        <f t="shared" si="75"/>
        <v>0</v>
      </c>
      <c r="X128" s="279">
        <f t="shared" si="75"/>
        <v>0</v>
      </c>
      <c r="Y128" s="279">
        <f t="shared" si="75"/>
        <v>0</v>
      </c>
      <c r="Z128" s="279">
        <f t="shared" si="75"/>
        <v>0</v>
      </c>
      <c r="AA128" s="279">
        <f t="shared" si="75"/>
        <v>0</v>
      </c>
      <c r="AB128" s="279">
        <f t="shared" si="75"/>
        <v>0</v>
      </c>
      <c r="AC128" s="279">
        <f t="shared" si="75"/>
        <v>0</v>
      </c>
      <c r="AD128" s="279">
        <f t="shared" si="75"/>
        <v>0</v>
      </c>
      <c r="AE128" s="279">
        <f t="shared" si="75"/>
        <v>0</v>
      </c>
      <c r="AF128" s="279">
        <f t="shared" si="75"/>
        <v>0</v>
      </c>
      <c r="AG128" s="279">
        <f t="shared" si="75"/>
        <v>0</v>
      </c>
      <c r="AH128" s="279">
        <f t="shared" si="75"/>
        <v>0</v>
      </c>
      <c r="AI128" s="279">
        <f t="shared" si="75"/>
        <v>0</v>
      </c>
      <c r="AJ128" s="279">
        <f t="shared" si="75"/>
        <v>0</v>
      </c>
      <c r="AK128" s="279">
        <f t="shared" si="75"/>
        <v>0</v>
      </c>
      <c r="AL128" s="279">
        <f t="shared" si="75"/>
        <v>0</v>
      </c>
      <c r="AM128" s="279">
        <f t="shared" si="75"/>
        <v>0</v>
      </c>
      <c r="AN128" s="279">
        <f t="shared" si="75"/>
        <v>0</v>
      </c>
      <c r="AO128" s="279">
        <f t="shared" si="75"/>
        <v>0</v>
      </c>
      <c r="AP128" s="279">
        <f t="shared" si="75"/>
        <v>0</v>
      </c>
      <c r="AQ128" s="279">
        <f t="shared" si="75"/>
        <v>0</v>
      </c>
      <c r="AR128" s="279">
        <f t="shared" si="75"/>
        <v>0</v>
      </c>
      <c r="AS128" s="279">
        <f t="shared" si="75"/>
        <v>0</v>
      </c>
      <c r="AT128" s="279">
        <f t="shared" si="75"/>
        <v>0</v>
      </c>
      <c r="AU128" s="279">
        <f t="shared" si="75"/>
        <v>0</v>
      </c>
      <c r="AV128" s="279">
        <f t="shared" si="75"/>
        <v>0</v>
      </c>
      <c r="AW128" s="279">
        <f t="shared" si="75"/>
        <v>0</v>
      </c>
      <c r="AX128" s="279">
        <f t="shared" si="75"/>
        <v>0</v>
      </c>
      <c r="AY128" s="279">
        <f t="shared" si="75"/>
        <v>0</v>
      </c>
      <c r="AZ128" s="279">
        <f t="shared" ref="AZ128:BE128" si="76">AZ73*AZ100</f>
        <v>0</v>
      </c>
      <c r="BA128" s="279">
        <f t="shared" si="76"/>
        <v>0</v>
      </c>
      <c r="BB128" s="279">
        <f t="shared" si="76"/>
        <v>0</v>
      </c>
      <c r="BC128" s="279">
        <f t="shared" si="76"/>
        <v>0</v>
      </c>
      <c r="BD128" s="279">
        <f t="shared" si="76"/>
        <v>0</v>
      </c>
      <c r="BE128" s="279">
        <f t="shared" si="76"/>
        <v>0</v>
      </c>
    </row>
    <row r="129" spans="1:57" x14ac:dyDescent="0.35">
      <c r="A129" s="95"/>
      <c r="B129" s="95"/>
      <c r="C129" s="95"/>
      <c r="D129" s="95"/>
      <c r="E129" s="250">
        <f>'Project description'!$B$5</f>
        <v>0</v>
      </c>
      <c r="F129" s="250" t="str">
        <f>Lists!$B$34</f>
        <v/>
      </c>
      <c r="G129" s="250" t="s">
        <v>160</v>
      </c>
      <c r="H129" s="250" t="str">
        <f t="shared" si="44"/>
        <v>Wood or wood chips</v>
      </c>
      <c r="I129" s="250" t="str">
        <f t="shared" si="49"/>
        <v>Real</v>
      </c>
      <c r="J129" s="251">
        <f t="shared" si="45"/>
        <v>0</v>
      </c>
      <c r="K129" s="252" t="str">
        <f>IF(Inputs!G143="","",Inputs!G143)</f>
        <v/>
      </c>
      <c r="L129" s="282">
        <f t="shared" ref="L129" si="77">L74*L101</f>
        <v>0</v>
      </c>
      <c r="M129" s="282">
        <f t="shared" ref="M129:AY129" si="78">M74*M101</f>
        <v>0</v>
      </c>
      <c r="N129" s="282">
        <f t="shared" si="78"/>
        <v>0</v>
      </c>
      <c r="O129" s="282">
        <f t="shared" si="78"/>
        <v>0</v>
      </c>
      <c r="P129" s="282">
        <f t="shared" si="78"/>
        <v>0</v>
      </c>
      <c r="Q129" s="282">
        <f t="shared" si="78"/>
        <v>0</v>
      </c>
      <c r="R129" s="282">
        <f t="shared" si="78"/>
        <v>0</v>
      </c>
      <c r="S129" s="282">
        <f t="shared" si="78"/>
        <v>0</v>
      </c>
      <c r="T129" s="282">
        <f t="shared" si="78"/>
        <v>0</v>
      </c>
      <c r="U129" s="282">
        <f t="shared" si="78"/>
        <v>0</v>
      </c>
      <c r="V129" s="282">
        <f t="shared" si="78"/>
        <v>0</v>
      </c>
      <c r="W129" s="282">
        <f t="shared" si="78"/>
        <v>0</v>
      </c>
      <c r="X129" s="282">
        <f t="shared" si="78"/>
        <v>0</v>
      </c>
      <c r="Y129" s="282">
        <f t="shared" si="78"/>
        <v>0</v>
      </c>
      <c r="Z129" s="282">
        <f t="shared" si="78"/>
        <v>0</v>
      </c>
      <c r="AA129" s="282">
        <f t="shared" si="78"/>
        <v>0</v>
      </c>
      <c r="AB129" s="282">
        <f t="shared" si="78"/>
        <v>0</v>
      </c>
      <c r="AC129" s="282">
        <f t="shared" si="78"/>
        <v>0</v>
      </c>
      <c r="AD129" s="282">
        <f t="shared" si="78"/>
        <v>0</v>
      </c>
      <c r="AE129" s="282">
        <f t="shared" si="78"/>
        <v>0</v>
      </c>
      <c r="AF129" s="282">
        <f t="shared" si="78"/>
        <v>0</v>
      </c>
      <c r="AG129" s="282">
        <f t="shared" si="78"/>
        <v>0</v>
      </c>
      <c r="AH129" s="282">
        <f t="shared" si="78"/>
        <v>0</v>
      </c>
      <c r="AI129" s="282">
        <f t="shared" si="78"/>
        <v>0</v>
      </c>
      <c r="AJ129" s="282">
        <f t="shared" si="78"/>
        <v>0</v>
      </c>
      <c r="AK129" s="282">
        <f t="shared" si="78"/>
        <v>0</v>
      </c>
      <c r="AL129" s="282">
        <f t="shared" si="78"/>
        <v>0</v>
      </c>
      <c r="AM129" s="282">
        <f t="shared" si="78"/>
        <v>0</v>
      </c>
      <c r="AN129" s="282">
        <f t="shared" si="78"/>
        <v>0</v>
      </c>
      <c r="AO129" s="282">
        <f t="shared" si="78"/>
        <v>0</v>
      </c>
      <c r="AP129" s="282">
        <f t="shared" si="78"/>
        <v>0</v>
      </c>
      <c r="AQ129" s="282">
        <f t="shared" si="78"/>
        <v>0</v>
      </c>
      <c r="AR129" s="282">
        <f t="shared" si="78"/>
        <v>0</v>
      </c>
      <c r="AS129" s="282">
        <f t="shared" si="78"/>
        <v>0</v>
      </c>
      <c r="AT129" s="282">
        <f t="shared" si="78"/>
        <v>0</v>
      </c>
      <c r="AU129" s="282">
        <f t="shared" si="78"/>
        <v>0</v>
      </c>
      <c r="AV129" s="282">
        <f t="shared" si="78"/>
        <v>0</v>
      </c>
      <c r="AW129" s="282">
        <f t="shared" si="78"/>
        <v>0</v>
      </c>
      <c r="AX129" s="282">
        <f t="shared" si="78"/>
        <v>0</v>
      </c>
      <c r="AY129" s="282">
        <f t="shared" si="78"/>
        <v>0</v>
      </c>
      <c r="AZ129" s="282">
        <f t="shared" ref="AZ129:BE129" si="79">AZ74*AZ101</f>
        <v>0</v>
      </c>
      <c r="BA129" s="282">
        <f t="shared" si="79"/>
        <v>0</v>
      </c>
      <c r="BB129" s="282">
        <f t="shared" si="79"/>
        <v>0</v>
      </c>
      <c r="BC129" s="282">
        <f t="shared" si="79"/>
        <v>0</v>
      </c>
      <c r="BD129" s="282">
        <f t="shared" si="79"/>
        <v>0</v>
      </c>
      <c r="BE129" s="282">
        <f t="shared" si="79"/>
        <v>0</v>
      </c>
    </row>
    <row r="130" spans="1:57" x14ac:dyDescent="0.35">
      <c r="A130" s="95"/>
      <c r="B130" s="95"/>
      <c r="C130" s="95"/>
      <c r="D130" s="95"/>
      <c r="E130" s="95"/>
      <c r="F130" s="2"/>
      <c r="G130" s="2"/>
      <c r="H130" s="4" t="str">
        <f>H116</f>
        <v>Total  fuel opex in  dollars</v>
      </c>
      <c r="I130" s="4"/>
      <c r="J130" s="116"/>
      <c r="K130" s="111"/>
      <c r="L130" s="117">
        <f>SUBTOTAL(109,'Real values'!$L$119:$L$129)</f>
        <v>0</v>
      </c>
      <c r="M130" s="117">
        <f>SUBTOTAL(109,'Real values'!$M$119:$M$129)</f>
        <v>0</v>
      </c>
      <c r="N130" s="117">
        <f>SUBTOTAL(109,'Real values'!$N$119:$N$129)</f>
        <v>0</v>
      </c>
      <c r="O130" s="117">
        <f>SUBTOTAL(109,'Real values'!$O$119:$O$129)</f>
        <v>0</v>
      </c>
      <c r="P130" s="117">
        <f>SUBTOTAL(109,'Real values'!$P$119:$P$129)</f>
        <v>0</v>
      </c>
      <c r="Q130" s="117">
        <f>SUBTOTAL(109,'Real values'!$Q$119:$Q$129)</f>
        <v>0</v>
      </c>
      <c r="R130" s="117">
        <f>SUBTOTAL(109,'Real values'!$R$119:$R$129)</f>
        <v>0</v>
      </c>
      <c r="S130" s="117">
        <f>SUBTOTAL(109,'Real values'!$S$119:$S$129)</f>
        <v>0</v>
      </c>
      <c r="T130" s="117">
        <f>SUBTOTAL(109,'Real values'!$T$119:$T$129)</f>
        <v>0</v>
      </c>
      <c r="U130" s="117">
        <f>SUBTOTAL(109,'Real values'!$U$119:$U$129)</f>
        <v>0</v>
      </c>
      <c r="V130" s="117">
        <f>SUBTOTAL(109,'Real values'!$V$119:$V$129)</f>
        <v>0</v>
      </c>
      <c r="W130" s="117">
        <f>SUBTOTAL(109,'Real values'!$W$119:$W$129)</f>
        <v>0</v>
      </c>
      <c r="X130" s="117">
        <f>SUBTOTAL(109,'Real values'!$X$119:$X$129)</f>
        <v>0</v>
      </c>
      <c r="Y130" s="117">
        <f>SUBTOTAL(109,'Real values'!$Y$119:$Y$129)</f>
        <v>0</v>
      </c>
      <c r="Z130" s="117">
        <f>SUBTOTAL(109,'Real values'!$Z$119:$Z$129)</f>
        <v>0</v>
      </c>
      <c r="AA130" s="117">
        <f>SUBTOTAL(109,'Real values'!$AA$119:$AA$129)</f>
        <v>0</v>
      </c>
      <c r="AB130" s="117">
        <f>SUBTOTAL(109,'Real values'!$AB$119:$AB$129)</f>
        <v>0</v>
      </c>
      <c r="AC130" s="117">
        <f>SUBTOTAL(109,'Real values'!$AC$119:$AC$129)</f>
        <v>0</v>
      </c>
      <c r="AD130" s="117">
        <f>SUBTOTAL(109,'Real values'!$AD$119:$AD$129)</f>
        <v>0</v>
      </c>
      <c r="AE130" s="117">
        <f>SUBTOTAL(109,'Real values'!$AE$119:$AE$129)</f>
        <v>0</v>
      </c>
      <c r="AF130" s="117">
        <f>SUBTOTAL(109,'Real values'!$AF$119:$AF$129)</f>
        <v>0</v>
      </c>
      <c r="AG130" s="117">
        <f>SUBTOTAL(109,'Real values'!$AG$119:$AG$129)</f>
        <v>0</v>
      </c>
      <c r="AH130" s="117">
        <f>SUBTOTAL(109,'Real values'!$AH$119:$AH$129)</f>
        <v>0</v>
      </c>
      <c r="AI130" s="117">
        <f>SUBTOTAL(109,'Real values'!$AI$119:$AI$129)</f>
        <v>0</v>
      </c>
      <c r="AJ130" s="117">
        <f>SUBTOTAL(109,'Real values'!$AJ$119:$AJ$129)</f>
        <v>0</v>
      </c>
      <c r="AK130" s="117">
        <f>SUBTOTAL(109,'Real values'!$AK$119:$AK$129)</f>
        <v>0</v>
      </c>
      <c r="AL130" s="117">
        <f>SUBTOTAL(109,'Real values'!$AL$119:$AL$129)</f>
        <v>0</v>
      </c>
      <c r="AM130" s="117">
        <f>SUBTOTAL(109,'Real values'!$AM$119:$AM$129)</f>
        <v>0</v>
      </c>
      <c r="AN130" s="117">
        <f>SUBTOTAL(109,'Real values'!$AN$119:$AN$129)</f>
        <v>0</v>
      </c>
      <c r="AO130" s="117">
        <f>SUBTOTAL(109,'Real values'!$AO$119:$AO$129)</f>
        <v>0</v>
      </c>
      <c r="AP130" s="117">
        <f>SUBTOTAL(109,'Real values'!$AP$119:$AP$129)</f>
        <v>0</v>
      </c>
      <c r="AQ130" s="117">
        <f>SUBTOTAL(109,'Real values'!$AQ$119:$AQ$129)</f>
        <v>0</v>
      </c>
      <c r="AR130" s="117">
        <f>SUBTOTAL(109,'Real values'!$AR$119:$AR$129)</f>
        <v>0</v>
      </c>
      <c r="AS130" s="117">
        <f>SUBTOTAL(109,'Real values'!$AS$119:$AS$129)</f>
        <v>0</v>
      </c>
      <c r="AT130" s="117">
        <f>SUBTOTAL(109,'Real values'!$AT$119:$AT$129)</f>
        <v>0</v>
      </c>
      <c r="AU130" s="117">
        <f>SUBTOTAL(109,'Real values'!$AU$119:$AU$129)</f>
        <v>0</v>
      </c>
      <c r="AV130" s="117">
        <f>SUBTOTAL(109,'Real values'!$AV$119:$AV$129)</f>
        <v>0</v>
      </c>
      <c r="AW130" s="117">
        <f>SUBTOTAL(109,'Real values'!$AW$119:$AW$129)</f>
        <v>0</v>
      </c>
      <c r="AX130" s="117">
        <f>SUBTOTAL(109,'Real values'!$AX$119:$AX$129)</f>
        <v>0</v>
      </c>
      <c r="AY130" s="117">
        <f>SUBTOTAL(109,'Real values'!$AY$119:$AY$129)</f>
        <v>0</v>
      </c>
      <c r="AZ130" s="117">
        <f>SUBTOTAL(109,'Real values'!$AZ$119:$AZ$129)</f>
        <v>0</v>
      </c>
      <c r="BA130" s="117">
        <f>SUBTOTAL(109,'Real values'!$BA$119:$BA$129)</f>
        <v>0</v>
      </c>
      <c r="BB130" s="117">
        <f>SUBTOTAL(109,'Real values'!$BB$119:$BB$129)</f>
        <v>0</v>
      </c>
      <c r="BC130" s="117">
        <f>SUBTOTAL(109,'Real values'!$BC$119:$BC$129)</f>
        <v>0</v>
      </c>
      <c r="BD130" s="117">
        <f>SUBTOTAL(109,'Real values'!$BD$119:$BD$129)</f>
        <v>0</v>
      </c>
      <c r="BE130" s="117">
        <f>SUBTOTAL(109,'Real values'!$BE$119:$BE$129)</f>
        <v>0</v>
      </c>
    </row>
    <row r="131" spans="1:57" x14ac:dyDescent="0.35">
      <c r="A131" s="2"/>
      <c r="B131" s="2"/>
      <c r="C131" s="2"/>
      <c r="D131" s="2"/>
      <c r="E131" s="2"/>
      <c r="F131" s="2"/>
      <c r="G131" s="2"/>
      <c r="H131" s="2"/>
      <c r="I131" s="2"/>
      <c r="J131" s="111"/>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row>
    <row r="132" spans="1:57" ht="18.5" x14ac:dyDescent="0.45">
      <c r="A132" s="7" t="s">
        <v>113</v>
      </c>
      <c r="B132" s="7"/>
      <c r="C132" s="7"/>
      <c r="D132" s="7"/>
      <c r="E132" s="7"/>
      <c r="F132" s="7"/>
      <c r="G132" s="2"/>
      <c r="H132" s="2"/>
      <c r="I132" s="2"/>
      <c r="J132" s="111"/>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row>
    <row r="133" spans="1:57" x14ac:dyDescent="0.35">
      <c r="A133" s="28" t="s">
        <v>37</v>
      </c>
      <c r="B133" s="28"/>
      <c r="C133" s="28"/>
      <c r="D133" s="28"/>
      <c r="E133" s="271" t="s">
        <v>329</v>
      </c>
      <c r="F133" s="127" t="s">
        <v>330</v>
      </c>
      <c r="G133" s="127" t="s">
        <v>328</v>
      </c>
      <c r="H133" s="127" t="s">
        <v>143</v>
      </c>
      <c r="I133" s="127" t="s">
        <v>35</v>
      </c>
      <c r="J133" s="358" t="s">
        <v>283</v>
      </c>
      <c r="K133" s="234" t="s">
        <v>39</v>
      </c>
      <c r="L133" s="127" t="s">
        <v>303</v>
      </c>
      <c r="M133" s="127" t="s">
        <v>62</v>
      </c>
      <c r="N133" s="127" t="s">
        <v>63</v>
      </c>
      <c r="O133" s="127" t="s">
        <v>64</v>
      </c>
      <c r="P133" s="127" t="s">
        <v>65</v>
      </c>
      <c r="Q133" s="127" t="s">
        <v>66</v>
      </c>
      <c r="R133" s="127" t="s">
        <v>67</v>
      </c>
      <c r="S133" s="127" t="s">
        <v>68</v>
      </c>
      <c r="T133" s="127" t="s">
        <v>69</v>
      </c>
      <c r="U133" s="127" t="s">
        <v>70</v>
      </c>
      <c r="V133" s="127" t="s">
        <v>71</v>
      </c>
      <c r="W133" s="127" t="s">
        <v>72</v>
      </c>
      <c r="X133" s="127" t="s">
        <v>73</v>
      </c>
      <c r="Y133" s="127" t="s">
        <v>74</v>
      </c>
      <c r="Z133" s="127" t="s">
        <v>75</v>
      </c>
      <c r="AA133" s="127" t="s">
        <v>76</v>
      </c>
      <c r="AB133" s="127" t="s">
        <v>77</v>
      </c>
      <c r="AC133" s="127" t="s">
        <v>78</v>
      </c>
      <c r="AD133" s="127" t="s">
        <v>79</v>
      </c>
      <c r="AE133" s="127" t="s">
        <v>80</v>
      </c>
      <c r="AF133" s="127" t="s">
        <v>81</v>
      </c>
      <c r="AG133" s="127" t="s">
        <v>82</v>
      </c>
      <c r="AH133" s="127" t="s">
        <v>83</v>
      </c>
      <c r="AI133" s="127" t="s">
        <v>84</v>
      </c>
      <c r="AJ133" s="127" t="s">
        <v>85</v>
      </c>
      <c r="AK133" s="127" t="s">
        <v>86</v>
      </c>
      <c r="AL133" s="127" t="s">
        <v>87</v>
      </c>
      <c r="AM133" s="127" t="s">
        <v>88</v>
      </c>
      <c r="AN133" s="127" t="s">
        <v>89</v>
      </c>
      <c r="AO133" s="127" t="s">
        <v>90</v>
      </c>
      <c r="AP133" s="127" t="s">
        <v>91</v>
      </c>
      <c r="AQ133" s="127" t="s">
        <v>92</v>
      </c>
      <c r="AR133" s="127" t="s">
        <v>93</v>
      </c>
      <c r="AS133" s="127" t="s">
        <v>94</v>
      </c>
      <c r="AT133" s="127" t="s">
        <v>95</v>
      </c>
      <c r="AU133" s="127" t="s">
        <v>96</v>
      </c>
      <c r="AV133" s="127" t="s">
        <v>97</v>
      </c>
      <c r="AW133" s="127" t="s">
        <v>98</v>
      </c>
      <c r="AX133" s="127" t="s">
        <v>99</v>
      </c>
      <c r="AY133" s="127" t="s">
        <v>100</v>
      </c>
      <c r="AZ133" s="127" t="s">
        <v>101</v>
      </c>
      <c r="BA133" s="127" t="s">
        <v>102</v>
      </c>
      <c r="BB133" s="127" t="s">
        <v>103</v>
      </c>
      <c r="BC133" s="127" t="s">
        <v>104</v>
      </c>
      <c r="BD133" s="127" t="s">
        <v>105</v>
      </c>
      <c r="BE133" s="359" t="s">
        <v>106</v>
      </c>
    </row>
    <row r="134" spans="1:57" x14ac:dyDescent="0.35">
      <c r="A134" s="13"/>
      <c r="B134" s="13"/>
      <c r="C134" s="13"/>
      <c r="D134" s="13"/>
      <c r="E134" s="345">
        <f>'Project description'!$B$5</f>
        <v>0</v>
      </c>
      <c r="F134" s="96" t="str">
        <f>Lists!$B$34</f>
        <v/>
      </c>
      <c r="G134" s="96" t="s">
        <v>148</v>
      </c>
      <c r="H134" s="96" t="s">
        <v>116</v>
      </c>
      <c r="I134" s="96" t="s">
        <v>109</v>
      </c>
      <c r="J134" s="346">
        <f t="shared" ref="J134:J141" si="80">Analysis_year</f>
        <v>0</v>
      </c>
      <c r="K134" s="216" t="str">
        <f>IF(Inputs!G150="","",Inputs!G150)</f>
        <v/>
      </c>
      <c r="L134" s="347">
        <f>Inputs!H150*L$5</f>
        <v>0</v>
      </c>
      <c r="M134" s="347">
        <f>Inputs!I150*M$5</f>
        <v>0</v>
      </c>
      <c r="N134" s="347">
        <f>Inputs!J150*N$5</f>
        <v>0</v>
      </c>
      <c r="O134" s="347">
        <f>Inputs!K150*O$5</f>
        <v>0</v>
      </c>
      <c r="P134" s="347">
        <f>Inputs!L150*P$5</f>
        <v>0</v>
      </c>
      <c r="Q134" s="347">
        <f>Inputs!M150*Q$5</f>
        <v>0</v>
      </c>
      <c r="R134" s="347">
        <f>Inputs!N150*R$5</f>
        <v>0</v>
      </c>
      <c r="S134" s="347">
        <f>Inputs!O150*S$5</f>
        <v>0</v>
      </c>
      <c r="T134" s="347">
        <f>Inputs!P150*T$5</f>
        <v>0</v>
      </c>
      <c r="U134" s="347">
        <f>Inputs!Q150*U$5</f>
        <v>0</v>
      </c>
      <c r="V134" s="347">
        <f>Inputs!R150*V$5</f>
        <v>0</v>
      </c>
      <c r="W134" s="347">
        <f>Inputs!S150*W$5</f>
        <v>0</v>
      </c>
      <c r="X134" s="347">
        <f>Inputs!T150*X$5</f>
        <v>0</v>
      </c>
      <c r="Y134" s="347">
        <f>Inputs!U150*Y$5</f>
        <v>0</v>
      </c>
      <c r="Z134" s="347">
        <f>Inputs!V150*Z$5</f>
        <v>0</v>
      </c>
      <c r="AA134" s="347">
        <f>Inputs!W150*AA$5</f>
        <v>0</v>
      </c>
      <c r="AB134" s="347">
        <f>Inputs!X150*AB$5</f>
        <v>0</v>
      </c>
      <c r="AC134" s="347">
        <f>Inputs!Y150*AC$5</f>
        <v>0</v>
      </c>
      <c r="AD134" s="347">
        <f>Inputs!Z150*AD$5</f>
        <v>0</v>
      </c>
      <c r="AE134" s="347">
        <f>Inputs!AA150*AE$5</f>
        <v>0</v>
      </c>
      <c r="AF134" s="347">
        <f>Inputs!AB150*AF$5</f>
        <v>0</v>
      </c>
      <c r="AG134" s="347">
        <f>Inputs!AC150*AG$5</f>
        <v>0</v>
      </c>
      <c r="AH134" s="347">
        <f>Inputs!AD150*AH$5</f>
        <v>0</v>
      </c>
      <c r="AI134" s="347">
        <f>Inputs!AE150*AI$5</f>
        <v>0</v>
      </c>
      <c r="AJ134" s="347">
        <f>Inputs!AF150*AJ$5</f>
        <v>0</v>
      </c>
      <c r="AK134" s="347">
        <f>Inputs!AG150*AK$5</f>
        <v>0</v>
      </c>
      <c r="AL134" s="347">
        <f>Inputs!AH150*AL$5</f>
        <v>0</v>
      </c>
      <c r="AM134" s="347">
        <f>Inputs!AI150*AM$5</f>
        <v>0</v>
      </c>
      <c r="AN134" s="347">
        <f>Inputs!AJ150*AN$5</f>
        <v>0</v>
      </c>
      <c r="AO134" s="347">
        <f>Inputs!AK150*AO$5</f>
        <v>0</v>
      </c>
      <c r="AP134" s="347">
        <f>Inputs!AL150*AP$5</f>
        <v>0</v>
      </c>
      <c r="AQ134" s="347">
        <f>Inputs!AM150*AQ$5</f>
        <v>0</v>
      </c>
      <c r="AR134" s="347">
        <f>Inputs!AN150*AR$5</f>
        <v>0</v>
      </c>
      <c r="AS134" s="347">
        <f>Inputs!AO150*AS$5</f>
        <v>0</v>
      </c>
      <c r="AT134" s="347">
        <f>Inputs!AP150*AT$5</f>
        <v>0</v>
      </c>
      <c r="AU134" s="347">
        <f>Inputs!AQ150*AU$5</f>
        <v>0</v>
      </c>
      <c r="AV134" s="347">
        <f>Inputs!AR150*AV$5</f>
        <v>0</v>
      </c>
      <c r="AW134" s="347">
        <f>Inputs!AS150*AW$5</f>
        <v>0</v>
      </c>
      <c r="AX134" s="347">
        <f>Inputs!AT150*AX$5</f>
        <v>0</v>
      </c>
      <c r="AY134" s="347">
        <f>Inputs!AU150*AY$5</f>
        <v>0</v>
      </c>
      <c r="AZ134" s="347">
        <f>Inputs!AV150*AZ$5</f>
        <v>0</v>
      </c>
      <c r="BA134" s="347">
        <f>Inputs!AW150*BA$5</f>
        <v>0</v>
      </c>
      <c r="BB134" s="347">
        <f>Inputs!AX150*BB$5</f>
        <v>0</v>
      </c>
      <c r="BC134" s="347">
        <f>Inputs!AY150*BC$5</f>
        <v>0</v>
      </c>
      <c r="BD134" s="347">
        <f>Inputs!AZ150*BD$5</f>
        <v>0</v>
      </c>
      <c r="BE134" s="347">
        <f>Inputs!BA150*BE$5</f>
        <v>0</v>
      </c>
    </row>
    <row r="135" spans="1:57" x14ac:dyDescent="0.35">
      <c r="A135" s="2"/>
      <c r="B135" s="2"/>
      <c r="C135" s="2"/>
      <c r="D135" s="2"/>
      <c r="E135" s="348">
        <f>'Project description'!$B$5</f>
        <v>0</v>
      </c>
      <c r="F135" s="349" t="str">
        <f>Lists!$B$34</f>
        <v/>
      </c>
      <c r="G135" s="349" t="s">
        <v>148</v>
      </c>
      <c r="H135" s="349" t="s">
        <v>117</v>
      </c>
      <c r="I135" s="349" t="s">
        <v>109</v>
      </c>
      <c r="J135" s="350">
        <f t="shared" si="80"/>
        <v>0</v>
      </c>
      <c r="K135" s="220" t="str">
        <f>IF(Inputs!G151="","",Inputs!G151)</f>
        <v/>
      </c>
      <c r="L135" s="351">
        <f>Inputs!H151*L$5</f>
        <v>0</v>
      </c>
      <c r="M135" s="351">
        <f>Inputs!I151*M$5</f>
        <v>0</v>
      </c>
      <c r="N135" s="351">
        <f>Inputs!J151*N$5</f>
        <v>0</v>
      </c>
      <c r="O135" s="351">
        <f>Inputs!K151*O$5</f>
        <v>0</v>
      </c>
      <c r="P135" s="351">
        <f>Inputs!L151*P$5</f>
        <v>0</v>
      </c>
      <c r="Q135" s="351">
        <f>Inputs!M151*Q$5</f>
        <v>0</v>
      </c>
      <c r="R135" s="351">
        <f>Inputs!N151*R$5</f>
        <v>0</v>
      </c>
      <c r="S135" s="351">
        <f>Inputs!O151*S$5</f>
        <v>0</v>
      </c>
      <c r="T135" s="351">
        <f>Inputs!P151*T$5</f>
        <v>0</v>
      </c>
      <c r="U135" s="351">
        <f>Inputs!Q151*U$5</f>
        <v>0</v>
      </c>
      <c r="V135" s="351">
        <f>Inputs!R151*V$5</f>
        <v>0</v>
      </c>
      <c r="W135" s="351">
        <f>Inputs!S151*W$5</f>
        <v>0</v>
      </c>
      <c r="X135" s="351">
        <f>Inputs!T151*X$5</f>
        <v>0</v>
      </c>
      <c r="Y135" s="351">
        <f>Inputs!U151*Y$5</f>
        <v>0</v>
      </c>
      <c r="Z135" s="351">
        <f>Inputs!V151*Z$5</f>
        <v>0</v>
      </c>
      <c r="AA135" s="351">
        <f>Inputs!W151*AA$5</f>
        <v>0</v>
      </c>
      <c r="AB135" s="351">
        <f>Inputs!X151*AB$5</f>
        <v>0</v>
      </c>
      <c r="AC135" s="351">
        <f>Inputs!Y151*AC$5</f>
        <v>0</v>
      </c>
      <c r="AD135" s="351">
        <f>Inputs!Z151*AD$5</f>
        <v>0</v>
      </c>
      <c r="AE135" s="351">
        <f>Inputs!AA151*AE$5</f>
        <v>0</v>
      </c>
      <c r="AF135" s="351">
        <f>Inputs!AB151*AF$5</f>
        <v>0</v>
      </c>
      <c r="AG135" s="351">
        <f>Inputs!AC151*AG$5</f>
        <v>0</v>
      </c>
      <c r="AH135" s="351">
        <f>Inputs!AD151*AH$5</f>
        <v>0</v>
      </c>
      <c r="AI135" s="351">
        <f>Inputs!AE151*AI$5</f>
        <v>0</v>
      </c>
      <c r="AJ135" s="351">
        <f>Inputs!AF151*AJ$5</f>
        <v>0</v>
      </c>
      <c r="AK135" s="351">
        <f>Inputs!AG151*AK$5</f>
        <v>0</v>
      </c>
      <c r="AL135" s="351">
        <f>Inputs!AH151*AL$5</f>
        <v>0</v>
      </c>
      <c r="AM135" s="351">
        <f>Inputs!AI151*AM$5</f>
        <v>0</v>
      </c>
      <c r="AN135" s="351">
        <f>Inputs!AJ151*AN$5</f>
        <v>0</v>
      </c>
      <c r="AO135" s="351">
        <f>Inputs!AK151*AO$5</f>
        <v>0</v>
      </c>
      <c r="AP135" s="351">
        <f>Inputs!AL151*AP$5</f>
        <v>0</v>
      </c>
      <c r="AQ135" s="351">
        <f>Inputs!AM151*AQ$5</f>
        <v>0</v>
      </c>
      <c r="AR135" s="351">
        <f>Inputs!AN151*AR$5</f>
        <v>0</v>
      </c>
      <c r="AS135" s="351">
        <f>Inputs!AO151*AS$5</f>
        <v>0</v>
      </c>
      <c r="AT135" s="351">
        <f>Inputs!AP151*AT$5</f>
        <v>0</v>
      </c>
      <c r="AU135" s="351">
        <f>Inputs!AQ151*AU$5</f>
        <v>0</v>
      </c>
      <c r="AV135" s="351">
        <f>Inputs!AR151*AV$5</f>
        <v>0</v>
      </c>
      <c r="AW135" s="351">
        <f>Inputs!AS151*AW$5</f>
        <v>0</v>
      </c>
      <c r="AX135" s="351">
        <f>Inputs!AT151*AX$5</f>
        <v>0</v>
      </c>
      <c r="AY135" s="351">
        <f>Inputs!AU151*AY$5</f>
        <v>0</v>
      </c>
      <c r="AZ135" s="351">
        <f>Inputs!AV151*AZ$5</f>
        <v>0</v>
      </c>
      <c r="BA135" s="351">
        <f>Inputs!AW151*BA$5</f>
        <v>0</v>
      </c>
      <c r="BB135" s="351">
        <f>Inputs!AX151*BB$5</f>
        <v>0</v>
      </c>
      <c r="BC135" s="351">
        <f>Inputs!AY151*BC$5</f>
        <v>0</v>
      </c>
      <c r="BD135" s="351">
        <f>Inputs!AZ151*BD$5</f>
        <v>0</v>
      </c>
      <c r="BE135" s="351">
        <f>Inputs!BA151*BE$5</f>
        <v>0</v>
      </c>
    </row>
    <row r="136" spans="1:57" x14ac:dyDescent="0.35">
      <c r="A136" s="2"/>
      <c r="B136" s="2"/>
      <c r="C136" s="2"/>
      <c r="D136" s="2"/>
      <c r="E136" s="348">
        <f>'Project description'!$B$5</f>
        <v>0</v>
      </c>
      <c r="F136" s="349" t="str">
        <f>Lists!$B$34</f>
        <v/>
      </c>
      <c r="G136" s="349" t="s">
        <v>148</v>
      </c>
      <c r="H136" s="349" t="s">
        <v>119</v>
      </c>
      <c r="I136" s="349" t="s">
        <v>109</v>
      </c>
      <c r="J136" s="350">
        <f t="shared" si="80"/>
        <v>0</v>
      </c>
      <c r="K136" s="224" t="str">
        <f>IF(Inputs!G153="","",Inputs!G153)</f>
        <v/>
      </c>
      <c r="L136" s="352">
        <f>Inputs!H153*L$5</f>
        <v>0</v>
      </c>
      <c r="M136" s="352">
        <f>Inputs!I153*M$5</f>
        <v>0</v>
      </c>
      <c r="N136" s="352">
        <f>Inputs!J153*N$5</f>
        <v>0</v>
      </c>
      <c r="O136" s="352">
        <f>Inputs!K153*O$5</f>
        <v>0</v>
      </c>
      <c r="P136" s="352">
        <f>Inputs!L153*P$5</f>
        <v>0</v>
      </c>
      <c r="Q136" s="352">
        <f>Inputs!M153*Q$5</f>
        <v>0</v>
      </c>
      <c r="R136" s="352">
        <f>Inputs!N153*R$5</f>
        <v>0</v>
      </c>
      <c r="S136" s="352">
        <f>Inputs!O153*S$5</f>
        <v>0</v>
      </c>
      <c r="T136" s="352">
        <f>Inputs!P153*T$5</f>
        <v>0</v>
      </c>
      <c r="U136" s="352">
        <f>Inputs!Q153*U$5</f>
        <v>0</v>
      </c>
      <c r="V136" s="352">
        <f>Inputs!R153*V$5</f>
        <v>0</v>
      </c>
      <c r="W136" s="352">
        <f>Inputs!S153*W$5</f>
        <v>0</v>
      </c>
      <c r="X136" s="352">
        <f>Inputs!T153*X$5</f>
        <v>0</v>
      </c>
      <c r="Y136" s="352">
        <f>Inputs!U153*Y$5</f>
        <v>0</v>
      </c>
      <c r="Z136" s="352">
        <f>Inputs!V153*Z$5</f>
        <v>0</v>
      </c>
      <c r="AA136" s="352">
        <f>Inputs!W153*AA$5</f>
        <v>0</v>
      </c>
      <c r="AB136" s="352">
        <f>Inputs!X153*AB$5</f>
        <v>0</v>
      </c>
      <c r="AC136" s="352">
        <f>Inputs!Y153*AC$5</f>
        <v>0</v>
      </c>
      <c r="AD136" s="352">
        <f>Inputs!Z153*AD$5</f>
        <v>0</v>
      </c>
      <c r="AE136" s="352">
        <f>Inputs!AA153*AE$5</f>
        <v>0</v>
      </c>
      <c r="AF136" s="352">
        <f>Inputs!AB153*AF$5</f>
        <v>0</v>
      </c>
      <c r="AG136" s="352">
        <f>Inputs!AC153*AG$5</f>
        <v>0</v>
      </c>
      <c r="AH136" s="352">
        <f>Inputs!AD153*AH$5</f>
        <v>0</v>
      </c>
      <c r="AI136" s="352">
        <f>Inputs!AE153*AI$5</f>
        <v>0</v>
      </c>
      <c r="AJ136" s="352">
        <f>Inputs!AF153*AJ$5</f>
        <v>0</v>
      </c>
      <c r="AK136" s="352">
        <f>Inputs!AG153*AK$5</f>
        <v>0</v>
      </c>
      <c r="AL136" s="352">
        <f>Inputs!AH153*AL$5</f>
        <v>0</v>
      </c>
      <c r="AM136" s="352">
        <f>Inputs!AI153*AM$5</f>
        <v>0</v>
      </c>
      <c r="AN136" s="352">
        <f>Inputs!AJ153*AN$5</f>
        <v>0</v>
      </c>
      <c r="AO136" s="352">
        <f>Inputs!AK153*AO$5</f>
        <v>0</v>
      </c>
      <c r="AP136" s="352">
        <f>Inputs!AL153*AP$5</f>
        <v>0</v>
      </c>
      <c r="AQ136" s="352">
        <f>Inputs!AM153*AQ$5</f>
        <v>0</v>
      </c>
      <c r="AR136" s="352">
        <f>Inputs!AN153*AR$5</f>
        <v>0</v>
      </c>
      <c r="AS136" s="352">
        <f>Inputs!AO153*AS$5</f>
        <v>0</v>
      </c>
      <c r="AT136" s="352">
        <f>Inputs!AP153*AT$5</f>
        <v>0</v>
      </c>
      <c r="AU136" s="352">
        <f>Inputs!AQ153*AU$5</f>
        <v>0</v>
      </c>
      <c r="AV136" s="352">
        <f>Inputs!AR153*AV$5</f>
        <v>0</v>
      </c>
      <c r="AW136" s="352">
        <f>Inputs!AS153*AW$5</f>
        <v>0</v>
      </c>
      <c r="AX136" s="352">
        <f>Inputs!AT153*AX$5</f>
        <v>0</v>
      </c>
      <c r="AY136" s="352">
        <f>Inputs!AU153*AY$5</f>
        <v>0</v>
      </c>
      <c r="AZ136" s="352">
        <f>Inputs!AV153*AZ$5</f>
        <v>0</v>
      </c>
      <c r="BA136" s="352">
        <f>Inputs!AW153*BA$5</f>
        <v>0</v>
      </c>
      <c r="BB136" s="352">
        <f>Inputs!AX153*BB$5</f>
        <v>0</v>
      </c>
      <c r="BC136" s="352">
        <f>Inputs!AY153*BC$5</f>
        <v>0</v>
      </c>
      <c r="BD136" s="352">
        <f>Inputs!AZ153*BD$5</f>
        <v>0</v>
      </c>
      <c r="BE136" s="352">
        <f>Inputs!BA153*BE$5</f>
        <v>0</v>
      </c>
    </row>
    <row r="137" spans="1:57" x14ac:dyDescent="0.35">
      <c r="A137" s="2"/>
      <c r="B137" s="2"/>
      <c r="C137" s="2"/>
      <c r="D137" s="2"/>
      <c r="E137" s="348">
        <f>'Project description'!$B$5</f>
        <v>0</v>
      </c>
      <c r="F137" s="349" t="str">
        <f>Lists!$B$34</f>
        <v/>
      </c>
      <c r="G137" s="349" t="s">
        <v>148</v>
      </c>
      <c r="H137" s="349" t="s">
        <v>120</v>
      </c>
      <c r="I137" s="349" t="s">
        <v>109</v>
      </c>
      <c r="J137" s="350">
        <f t="shared" si="80"/>
        <v>0</v>
      </c>
      <c r="K137" s="220" t="str">
        <f>IF(Inputs!G154="","",Inputs!G154)</f>
        <v/>
      </c>
      <c r="L137" s="351">
        <f>Inputs!H154*L$5</f>
        <v>0</v>
      </c>
      <c r="M137" s="351">
        <f>Inputs!I154*M$5</f>
        <v>0</v>
      </c>
      <c r="N137" s="351">
        <f>Inputs!J154*N$5</f>
        <v>0</v>
      </c>
      <c r="O137" s="351">
        <f>Inputs!K154*O$5</f>
        <v>0</v>
      </c>
      <c r="P137" s="351">
        <f>Inputs!L154*P$5</f>
        <v>0</v>
      </c>
      <c r="Q137" s="351">
        <f>Inputs!M154*Q$5</f>
        <v>0</v>
      </c>
      <c r="R137" s="351">
        <f>Inputs!N154*R$5</f>
        <v>0</v>
      </c>
      <c r="S137" s="351">
        <f>Inputs!O154*S$5</f>
        <v>0</v>
      </c>
      <c r="T137" s="351">
        <f>Inputs!P154*T$5</f>
        <v>0</v>
      </c>
      <c r="U137" s="351">
        <f>Inputs!Q154*U$5</f>
        <v>0</v>
      </c>
      <c r="V137" s="351">
        <f>Inputs!R154*V$5</f>
        <v>0</v>
      </c>
      <c r="W137" s="351">
        <f>Inputs!S154*W$5</f>
        <v>0</v>
      </c>
      <c r="X137" s="351">
        <f>Inputs!T154*X$5</f>
        <v>0</v>
      </c>
      <c r="Y137" s="351">
        <f>Inputs!U154*Y$5</f>
        <v>0</v>
      </c>
      <c r="Z137" s="351">
        <f>Inputs!V154*Z$5</f>
        <v>0</v>
      </c>
      <c r="AA137" s="351">
        <f>Inputs!W154*AA$5</f>
        <v>0</v>
      </c>
      <c r="AB137" s="351">
        <f>Inputs!X154*AB$5</f>
        <v>0</v>
      </c>
      <c r="AC137" s="351">
        <f>Inputs!Y154*AC$5</f>
        <v>0</v>
      </c>
      <c r="AD137" s="351">
        <f>Inputs!Z154*AD$5</f>
        <v>0</v>
      </c>
      <c r="AE137" s="351">
        <f>Inputs!AA154*AE$5</f>
        <v>0</v>
      </c>
      <c r="AF137" s="351">
        <f>Inputs!AB154*AF$5</f>
        <v>0</v>
      </c>
      <c r="AG137" s="351">
        <f>Inputs!AC154*AG$5</f>
        <v>0</v>
      </c>
      <c r="AH137" s="351">
        <f>Inputs!AD154*AH$5</f>
        <v>0</v>
      </c>
      <c r="AI137" s="351">
        <f>Inputs!AE154*AI$5</f>
        <v>0</v>
      </c>
      <c r="AJ137" s="351">
        <f>Inputs!AF154*AJ$5</f>
        <v>0</v>
      </c>
      <c r="AK137" s="351">
        <f>Inputs!AG154*AK$5</f>
        <v>0</v>
      </c>
      <c r="AL137" s="351">
        <f>Inputs!AH154*AL$5</f>
        <v>0</v>
      </c>
      <c r="AM137" s="351">
        <f>Inputs!AI154*AM$5</f>
        <v>0</v>
      </c>
      <c r="AN137" s="351">
        <f>Inputs!AJ154*AN$5</f>
        <v>0</v>
      </c>
      <c r="AO137" s="351">
        <f>Inputs!AK154*AO$5</f>
        <v>0</v>
      </c>
      <c r="AP137" s="351">
        <f>Inputs!AL154*AP$5</f>
        <v>0</v>
      </c>
      <c r="AQ137" s="351">
        <f>Inputs!AM154*AQ$5</f>
        <v>0</v>
      </c>
      <c r="AR137" s="351">
        <f>Inputs!AN154*AR$5</f>
        <v>0</v>
      </c>
      <c r="AS137" s="351">
        <f>Inputs!AO154*AS$5</f>
        <v>0</v>
      </c>
      <c r="AT137" s="351">
        <f>Inputs!AP154*AT$5</f>
        <v>0</v>
      </c>
      <c r="AU137" s="351">
        <f>Inputs!AQ154*AU$5</f>
        <v>0</v>
      </c>
      <c r="AV137" s="351">
        <f>Inputs!AR154*AV$5</f>
        <v>0</v>
      </c>
      <c r="AW137" s="351">
        <f>Inputs!AS154*AW$5</f>
        <v>0</v>
      </c>
      <c r="AX137" s="351">
        <f>Inputs!AT154*AX$5</f>
        <v>0</v>
      </c>
      <c r="AY137" s="351">
        <f>Inputs!AU154*AY$5</f>
        <v>0</v>
      </c>
      <c r="AZ137" s="351">
        <f>Inputs!AV154*AZ$5</f>
        <v>0</v>
      </c>
      <c r="BA137" s="351">
        <f>Inputs!AW154*BA$5</f>
        <v>0</v>
      </c>
      <c r="BB137" s="351">
        <f>Inputs!AX154*BB$5</f>
        <v>0</v>
      </c>
      <c r="BC137" s="351">
        <f>Inputs!AY154*BC$5</f>
        <v>0</v>
      </c>
      <c r="BD137" s="351">
        <f>Inputs!AZ154*BD$5</f>
        <v>0</v>
      </c>
      <c r="BE137" s="351">
        <f>Inputs!BA154*BE$5</f>
        <v>0</v>
      </c>
    </row>
    <row r="138" spans="1:57" x14ac:dyDescent="0.35">
      <c r="A138" s="2"/>
      <c r="B138" s="2"/>
      <c r="C138" s="2"/>
      <c r="D138" s="2"/>
      <c r="E138" s="348">
        <f>'Project description'!$B$5</f>
        <v>0</v>
      </c>
      <c r="F138" s="349" t="str">
        <f>Lists!$B$34</f>
        <v/>
      </c>
      <c r="G138" s="349" t="s">
        <v>148</v>
      </c>
      <c r="H138" s="349" t="s">
        <v>122</v>
      </c>
      <c r="I138" s="349" t="s">
        <v>109</v>
      </c>
      <c r="J138" s="350">
        <f t="shared" si="80"/>
        <v>0</v>
      </c>
      <c r="K138" s="224" t="str">
        <f>IF(Inputs!G157="","",Inputs!G157)</f>
        <v/>
      </c>
      <c r="L138" s="352">
        <f>Inputs!H157*L$5</f>
        <v>0</v>
      </c>
      <c r="M138" s="352">
        <f>Inputs!I157*M$5</f>
        <v>0</v>
      </c>
      <c r="N138" s="352">
        <f>Inputs!J157*N$5</f>
        <v>0</v>
      </c>
      <c r="O138" s="352">
        <f>Inputs!K157*O$5</f>
        <v>0</v>
      </c>
      <c r="P138" s="352">
        <f>Inputs!L157*P$5</f>
        <v>0</v>
      </c>
      <c r="Q138" s="352">
        <f>Inputs!M157*Q$5</f>
        <v>0</v>
      </c>
      <c r="R138" s="352">
        <f>Inputs!N157*R$5</f>
        <v>0</v>
      </c>
      <c r="S138" s="352">
        <f>Inputs!O157*S$5</f>
        <v>0</v>
      </c>
      <c r="T138" s="352">
        <f>Inputs!P157*T$5</f>
        <v>0</v>
      </c>
      <c r="U138" s="352">
        <f>Inputs!Q157*U$5</f>
        <v>0</v>
      </c>
      <c r="V138" s="352">
        <f>Inputs!R157*V$5</f>
        <v>0</v>
      </c>
      <c r="W138" s="352">
        <f>Inputs!S157*W$5</f>
        <v>0</v>
      </c>
      <c r="X138" s="352">
        <f>Inputs!T157*X$5</f>
        <v>0</v>
      </c>
      <c r="Y138" s="352">
        <f>Inputs!U157*Y$5</f>
        <v>0</v>
      </c>
      <c r="Z138" s="352">
        <f>Inputs!V157*Z$5</f>
        <v>0</v>
      </c>
      <c r="AA138" s="352">
        <f>Inputs!W157*AA$5</f>
        <v>0</v>
      </c>
      <c r="AB138" s="352">
        <f>Inputs!X157*AB$5</f>
        <v>0</v>
      </c>
      <c r="AC138" s="352">
        <f>Inputs!Y157*AC$5</f>
        <v>0</v>
      </c>
      <c r="AD138" s="352">
        <f>Inputs!Z157*AD$5</f>
        <v>0</v>
      </c>
      <c r="AE138" s="352">
        <f>Inputs!AA157*AE$5</f>
        <v>0</v>
      </c>
      <c r="AF138" s="352">
        <f>Inputs!AB157*AF$5</f>
        <v>0</v>
      </c>
      <c r="AG138" s="352">
        <f>Inputs!AC157*AG$5</f>
        <v>0</v>
      </c>
      <c r="AH138" s="352">
        <f>Inputs!AD157*AH$5</f>
        <v>0</v>
      </c>
      <c r="AI138" s="352">
        <f>Inputs!AE157*AI$5</f>
        <v>0</v>
      </c>
      <c r="AJ138" s="352">
        <f>Inputs!AF157*AJ$5</f>
        <v>0</v>
      </c>
      <c r="AK138" s="352">
        <f>Inputs!AG157*AK$5</f>
        <v>0</v>
      </c>
      <c r="AL138" s="352">
        <f>Inputs!AH157*AL$5</f>
        <v>0</v>
      </c>
      <c r="AM138" s="352">
        <f>Inputs!AI157*AM$5</f>
        <v>0</v>
      </c>
      <c r="AN138" s="352">
        <f>Inputs!AJ157*AN$5</f>
        <v>0</v>
      </c>
      <c r="AO138" s="352">
        <f>Inputs!AK157*AO$5</f>
        <v>0</v>
      </c>
      <c r="AP138" s="352">
        <f>Inputs!AL157*AP$5</f>
        <v>0</v>
      </c>
      <c r="AQ138" s="352">
        <f>Inputs!AM157*AQ$5</f>
        <v>0</v>
      </c>
      <c r="AR138" s="352">
        <f>Inputs!AN157*AR$5</f>
        <v>0</v>
      </c>
      <c r="AS138" s="352">
        <f>Inputs!AO157*AS$5</f>
        <v>0</v>
      </c>
      <c r="AT138" s="352">
        <f>Inputs!AP157*AT$5</f>
        <v>0</v>
      </c>
      <c r="AU138" s="352">
        <f>Inputs!AQ157*AU$5</f>
        <v>0</v>
      </c>
      <c r="AV138" s="352">
        <f>Inputs!AR157*AV$5</f>
        <v>0</v>
      </c>
      <c r="AW138" s="352">
        <f>Inputs!AS157*AW$5</f>
        <v>0</v>
      </c>
      <c r="AX138" s="352">
        <f>Inputs!AT157*AX$5</f>
        <v>0</v>
      </c>
      <c r="AY138" s="352">
        <f>Inputs!AU157*AY$5</f>
        <v>0</v>
      </c>
      <c r="AZ138" s="352">
        <f>Inputs!AV157*AZ$5</f>
        <v>0</v>
      </c>
      <c r="BA138" s="352">
        <f>Inputs!AW157*BA$5</f>
        <v>0</v>
      </c>
      <c r="BB138" s="352">
        <f>Inputs!AX157*BB$5</f>
        <v>0</v>
      </c>
      <c r="BC138" s="352">
        <f>Inputs!AY157*BC$5</f>
        <v>0</v>
      </c>
      <c r="BD138" s="352">
        <f>Inputs!AZ157*BD$5</f>
        <v>0</v>
      </c>
      <c r="BE138" s="352">
        <f>Inputs!BA157*BE$5</f>
        <v>0</v>
      </c>
    </row>
    <row r="139" spans="1:57" x14ac:dyDescent="0.35">
      <c r="A139" s="2"/>
      <c r="B139" s="2"/>
      <c r="C139" s="2"/>
      <c r="D139" s="2"/>
      <c r="E139" s="353">
        <f>'Project description'!$B$5</f>
        <v>0</v>
      </c>
      <c r="F139" s="354" t="str">
        <f>Lists!$B$34</f>
        <v/>
      </c>
      <c r="G139" s="354" t="s">
        <v>148</v>
      </c>
      <c r="H139" s="354" t="s">
        <v>117</v>
      </c>
      <c r="I139" s="354" t="s">
        <v>109</v>
      </c>
      <c r="J139" s="355">
        <f t="shared" si="80"/>
        <v>0</v>
      </c>
      <c r="K139" s="356" t="str">
        <f>IF(Inputs!G158="","",Inputs!G158)</f>
        <v/>
      </c>
      <c r="L139" s="357">
        <f>Inputs!H158*L$5</f>
        <v>0</v>
      </c>
      <c r="M139" s="357">
        <f>Inputs!I158*M$5</f>
        <v>0</v>
      </c>
      <c r="N139" s="357">
        <f>Inputs!J158*N$5</f>
        <v>0</v>
      </c>
      <c r="O139" s="357">
        <f>Inputs!K158*O$5</f>
        <v>0</v>
      </c>
      <c r="P139" s="357">
        <f>Inputs!L158*P$5</f>
        <v>0</v>
      </c>
      <c r="Q139" s="357">
        <f>Inputs!M158*Q$5</f>
        <v>0</v>
      </c>
      <c r="R139" s="357">
        <f>Inputs!N158*R$5</f>
        <v>0</v>
      </c>
      <c r="S139" s="357">
        <f>Inputs!O158*S$5</f>
        <v>0</v>
      </c>
      <c r="T139" s="357">
        <f>Inputs!P158*T$5</f>
        <v>0</v>
      </c>
      <c r="U139" s="357">
        <f>Inputs!Q158*U$5</f>
        <v>0</v>
      </c>
      <c r="V139" s="357">
        <f>Inputs!R158*V$5</f>
        <v>0</v>
      </c>
      <c r="W139" s="357">
        <f>Inputs!S158*W$5</f>
        <v>0</v>
      </c>
      <c r="X139" s="357">
        <f>Inputs!T158*X$5</f>
        <v>0</v>
      </c>
      <c r="Y139" s="357">
        <f>Inputs!U158*Y$5</f>
        <v>0</v>
      </c>
      <c r="Z139" s="357">
        <f>Inputs!V158*Z$5</f>
        <v>0</v>
      </c>
      <c r="AA139" s="357">
        <f>Inputs!W158*AA$5</f>
        <v>0</v>
      </c>
      <c r="AB139" s="357">
        <f>Inputs!X158*AB$5</f>
        <v>0</v>
      </c>
      <c r="AC139" s="357">
        <f>Inputs!Y158*AC$5</f>
        <v>0</v>
      </c>
      <c r="AD139" s="357">
        <f>Inputs!Z158*AD$5</f>
        <v>0</v>
      </c>
      <c r="AE139" s="357">
        <f>Inputs!AA158*AE$5</f>
        <v>0</v>
      </c>
      <c r="AF139" s="357">
        <f>Inputs!AB158*AF$5</f>
        <v>0</v>
      </c>
      <c r="AG139" s="357">
        <f>Inputs!AC158*AG$5</f>
        <v>0</v>
      </c>
      <c r="AH139" s="357">
        <f>Inputs!AD158*AH$5</f>
        <v>0</v>
      </c>
      <c r="AI139" s="357">
        <f>Inputs!AE158*AI$5</f>
        <v>0</v>
      </c>
      <c r="AJ139" s="357">
        <f>Inputs!AF158*AJ$5</f>
        <v>0</v>
      </c>
      <c r="AK139" s="357">
        <f>Inputs!AG158*AK$5</f>
        <v>0</v>
      </c>
      <c r="AL139" s="357">
        <f>Inputs!AH158*AL$5</f>
        <v>0</v>
      </c>
      <c r="AM139" s="357">
        <f>Inputs!AI158*AM$5</f>
        <v>0</v>
      </c>
      <c r="AN139" s="357">
        <f>Inputs!AJ158*AN$5</f>
        <v>0</v>
      </c>
      <c r="AO139" s="357">
        <f>Inputs!AK158*AO$5</f>
        <v>0</v>
      </c>
      <c r="AP139" s="357">
        <f>Inputs!AL158*AP$5</f>
        <v>0</v>
      </c>
      <c r="AQ139" s="357">
        <f>Inputs!AM158*AQ$5</f>
        <v>0</v>
      </c>
      <c r="AR139" s="357">
        <f>Inputs!AN158*AR$5</f>
        <v>0</v>
      </c>
      <c r="AS139" s="357">
        <f>Inputs!AO158*AS$5</f>
        <v>0</v>
      </c>
      <c r="AT139" s="357">
        <f>Inputs!AP158*AT$5</f>
        <v>0</v>
      </c>
      <c r="AU139" s="357">
        <f>Inputs!AQ158*AU$5</f>
        <v>0</v>
      </c>
      <c r="AV139" s="357">
        <f>Inputs!AR158*AV$5</f>
        <v>0</v>
      </c>
      <c r="AW139" s="357">
        <f>Inputs!AS158*AW$5</f>
        <v>0</v>
      </c>
      <c r="AX139" s="357">
        <f>Inputs!AT158*AX$5</f>
        <v>0</v>
      </c>
      <c r="AY139" s="357">
        <f>Inputs!AU158*AY$5</f>
        <v>0</v>
      </c>
      <c r="AZ139" s="357">
        <f>Inputs!AV158*AZ$5</f>
        <v>0</v>
      </c>
      <c r="BA139" s="357">
        <f>Inputs!AW158*BA$5</f>
        <v>0</v>
      </c>
      <c r="BB139" s="357">
        <f>Inputs!AX158*BB$5</f>
        <v>0</v>
      </c>
      <c r="BC139" s="357">
        <f>Inputs!AY158*BC$5</f>
        <v>0</v>
      </c>
      <c r="BD139" s="357">
        <f>Inputs!AZ158*BD$5</f>
        <v>0</v>
      </c>
      <c r="BE139" s="357">
        <f>Inputs!BA158*BE$5</f>
        <v>0</v>
      </c>
    </row>
    <row r="140" spans="1:57" x14ac:dyDescent="0.35">
      <c r="A140" s="2"/>
      <c r="B140" s="2"/>
      <c r="C140" s="2"/>
      <c r="D140" s="2"/>
      <c r="E140" s="8">
        <f>'Project description'!$B$5</f>
        <v>0</v>
      </c>
      <c r="F140" s="8" t="str">
        <f>Lists!$B$34</f>
        <v/>
      </c>
      <c r="G140" s="8" t="s">
        <v>148</v>
      </c>
      <c r="H140" s="8" t="s">
        <v>118</v>
      </c>
      <c r="I140" s="8" t="s">
        <v>109</v>
      </c>
      <c r="J140" s="176">
        <f t="shared" si="80"/>
        <v>0</v>
      </c>
      <c r="K140" s="177" t="str">
        <f>IF(Inputs!G152="","",Inputs!G152)</f>
        <v/>
      </c>
      <c r="L140" s="119">
        <f>L134-L135</f>
        <v>0</v>
      </c>
      <c r="M140" s="119">
        <f t="shared" ref="M140:AY140" si="81">L140+M134-M135</f>
        <v>0</v>
      </c>
      <c r="N140" s="119">
        <f t="shared" si="81"/>
        <v>0</v>
      </c>
      <c r="O140" s="119">
        <f t="shared" si="81"/>
        <v>0</v>
      </c>
      <c r="P140" s="119">
        <f t="shared" si="81"/>
        <v>0</v>
      </c>
      <c r="Q140" s="119">
        <f t="shared" si="81"/>
        <v>0</v>
      </c>
      <c r="R140" s="119">
        <f t="shared" si="81"/>
        <v>0</v>
      </c>
      <c r="S140" s="119">
        <f t="shared" si="81"/>
        <v>0</v>
      </c>
      <c r="T140" s="119">
        <f t="shared" si="81"/>
        <v>0</v>
      </c>
      <c r="U140" s="119">
        <f t="shared" si="81"/>
        <v>0</v>
      </c>
      <c r="V140" s="119">
        <f t="shared" si="81"/>
        <v>0</v>
      </c>
      <c r="W140" s="119">
        <f t="shared" si="81"/>
        <v>0</v>
      </c>
      <c r="X140" s="119">
        <f t="shared" si="81"/>
        <v>0</v>
      </c>
      <c r="Y140" s="119">
        <f t="shared" si="81"/>
        <v>0</v>
      </c>
      <c r="Z140" s="119">
        <f t="shared" si="81"/>
        <v>0</v>
      </c>
      <c r="AA140" s="119">
        <f t="shared" si="81"/>
        <v>0</v>
      </c>
      <c r="AB140" s="119">
        <f t="shared" si="81"/>
        <v>0</v>
      </c>
      <c r="AC140" s="119">
        <f t="shared" si="81"/>
        <v>0</v>
      </c>
      <c r="AD140" s="119">
        <f t="shared" si="81"/>
        <v>0</v>
      </c>
      <c r="AE140" s="119">
        <f t="shared" si="81"/>
        <v>0</v>
      </c>
      <c r="AF140" s="119">
        <f t="shared" si="81"/>
        <v>0</v>
      </c>
      <c r="AG140" s="119">
        <f t="shared" si="81"/>
        <v>0</v>
      </c>
      <c r="AH140" s="119">
        <f t="shared" si="81"/>
        <v>0</v>
      </c>
      <c r="AI140" s="119">
        <f t="shared" si="81"/>
        <v>0</v>
      </c>
      <c r="AJ140" s="119">
        <f t="shared" si="81"/>
        <v>0</v>
      </c>
      <c r="AK140" s="119">
        <f t="shared" si="81"/>
        <v>0</v>
      </c>
      <c r="AL140" s="119">
        <f t="shared" si="81"/>
        <v>0</v>
      </c>
      <c r="AM140" s="119">
        <f t="shared" si="81"/>
        <v>0</v>
      </c>
      <c r="AN140" s="119">
        <f t="shared" si="81"/>
        <v>0</v>
      </c>
      <c r="AO140" s="119">
        <f t="shared" si="81"/>
        <v>0</v>
      </c>
      <c r="AP140" s="119">
        <f t="shared" si="81"/>
        <v>0</v>
      </c>
      <c r="AQ140" s="119">
        <f t="shared" si="81"/>
        <v>0</v>
      </c>
      <c r="AR140" s="119">
        <f t="shared" si="81"/>
        <v>0</v>
      </c>
      <c r="AS140" s="119">
        <f t="shared" si="81"/>
        <v>0</v>
      </c>
      <c r="AT140" s="119">
        <f t="shared" si="81"/>
        <v>0</v>
      </c>
      <c r="AU140" s="119">
        <f t="shared" si="81"/>
        <v>0</v>
      </c>
      <c r="AV140" s="119">
        <f t="shared" si="81"/>
        <v>0</v>
      </c>
      <c r="AW140" s="119">
        <f t="shared" si="81"/>
        <v>0</v>
      </c>
      <c r="AX140" s="119">
        <f t="shared" si="81"/>
        <v>0</v>
      </c>
      <c r="AY140" s="119">
        <f t="shared" si="81"/>
        <v>0</v>
      </c>
      <c r="AZ140" s="119">
        <f t="shared" ref="AZ140" si="82">AY140+AZ134-AZ135</f>
        <v>0</v>
      </c>
      <c r="BA140" s="119">
        <f t="shared" ref="BA140" si="83">AZ140+BA134-BA135</f>
        <v>0</v>
      </c>
      <c r="BB140" s="119">
        <f t="shared" ref="BB140" si="84">BA140+BB134-BB135</f>
        <v>0</v>
      </c>
      <c r="BC140" s="119">
        <f t="shared" ref="BC140" si="85">BB140+BC134-BC135</f>
        <v>0</v>
      </c>
      <c r="BD140" s="119">
        <f t="shared" ref="BD140" si="86">BC140+BD134-BD135</f>
        <v>0</v>
      </c>
      <c r="BE140" s="119">
        <f>BD140+BE134-BE135</f>
        <v>0</v>
      </c>
    </row>
    <row r="141" spans="1:57" x14ac:dyDescent="0.35">
      <c r="A141" s="2"/>
      <c r="B141" s="2"/>
      <c r="C141" s="2"/>
      <c r="D141" s="2"/>
      <c r="E141" s="8">
        <f>'Project description'!$B$5</f>
        <v>0</v>
      </c>
      <c r="F141" s="8" t="str">
        <f>Lists!$B$34</f>
        <v/>
      </c>
      <c r="G141" s="8" t="s">
        <v>148</v>
      </c>
      <c r="H141" s="8" t="str">
        <f>"Costs of debt in "&amp;Analysis_year&amp;" dollars"</f>
        <v>Costs of debt in  dollars</v>
      </c>
      <c r="I141" s="8" t="s">
        <v>109</v>
      </c>
      <c r="J141" s="176">
        <f t="shared" si="80"/>
        <v>0</v>
      </c>
      <c r="K141" s="176"/>
      <c r="L141" s="360">
        <f>L136+L137</f>
        <v>0</v>
      </c>
      <c r="M141" s="360">
        <f t="shared" ref="M141:AY141" si="87">M136+M137</f>
        <v>0</v>
      </c>
      <c r="N141" s="360">
        <f t="shared" si="87"/>
        <v>0</v>
      </c>
      <c r="O141" s="360">
        <f t="shared" si="87"/>
        <v>0</v>
      </c>
      <c r="P141" s="360">
        <f t="shared" si="87"/>
        <v>0</v>
      </c>
      <c r="Q141" s="360">
        <f t="shared" si="87"/>
        <v>0</v>
      </c>
      <c r="R141" s="360">
        <f t="shared" si="87"/>
        <v>0</v>
      </c>
      <c r="S141" s="360">
        <f t="shared" si="87"/>
        <v>0</v>
      </c>
      <c r="T141" s="360">
        <f t="shared" si="87"/>
        <v>0</v>
      </c>
      <c r="U141" s="360">
        <f t="shared" si="87"/>
        <v>0</v>
      </c>
      <c r="V141" s="360">
        <f t="shared" si="87"/>
        <v>0</v>
      </c>
      <c r="W141" s="360">
        <f t="shared" si="87"/>
        <v>0</v>
      </c>
      <c r="X141" s="360">
        <f t="shared" si="87"/>
        <v>0</v>
      </c>
      <c r="Y141" s="360">
        <f t="shared" si="87"/>
        <v>0</v>
      </c>
      <c r="Z141" s="360">
        <f t="shared" si="87"/>
        <v>0</v>
      </c>
      <c r="AA141" s="360">
        <f t="shared" si="87"/>
        <v>0</v>
      </c>
      <c r="AB141" s="360">
        <f t="shared" si="87"/>
        <v>0</v>
      </c>
      <c r="AC141" s="360">
        <f t="shared" si="87"/>
        <v>0</v>
      </c>
      <c r="AD141" s="360">
        <f t="shared" si="87"/>
        <v>0</v>
      </c>
      <c r="AE141" s="360">
        <f t="shared" si="87"/>
        <v>0</v>
      </c>
      <c r="AF141" s="360">
        <f t="shared" si="87"/>
        <v>0</v>
      </c>
      <c r="AG141" s="360">
        <f t="shared" si="87"/>
        <v>0</v>
      </c>
      <c r="AH141" s="360">
        <f t="shared" si="87"/>
        <v>0</v>
      </c>
      <c r="AI141" s="360">
        <f t="shared" si="87"/>
        <v>0</v>
      </c>
      <c r="AJ141" s="360">
        <f t="shared" si="87"/>
        <v>0</v>
      </c>
      <c r="AK141" s="360">
        <f t="shared" si="87"/>
        <v>0</v>
      </c>
      <c r="AL141" s="360">
        <f t="shared" si="87"/>
        <v>0</v>
      </c>
      <c r="AM141" s="360">
        <f t="shared" si="87"/>
        <v>0</v>
      </c>
      <c r="AN141" s="360">
        <f t="shared" si="87"/>
        <v>0</v>
      </c>
      <c r="AO141" s="360">
        <f t="shared" si="87"/>
        <v>0</v>
      </c>
      <c r="AP141" s="360">
        <f t="shared" si="87"/>
        <v>0</v>
      </c>
      <c r="AQ141" s="360">
        <f t="shared" si="87"/>
        <v>0</v>
      </c>
      <c r="AR141" s="360">
        <f t="shared" si="87"/>
        <v>0</v>
      </c>
      <c r="AS141" s="360">
        <f t="shared" si="87"/>
        <v>0</v>
      </c>
      <c r="AT141" s="360">
        <f t="shared" si="87"/>
        <v>0</v>
      </c>
      <c r="AU141" s="360">
        <f t="shared" si="87"/>
        <v>0</v>
      </c>
      <c r="AV141" s="360">
        <f t="shared" si="87"/>
        <v>0</v>
      </c>
      <c r="AW141" s="360">
        <f t="shared" si="87"/>
        <v>0</v>
      </c>
      <c r="AX141" s="360">
        <f t="shared" si="87"/>
        <v>0</v>
      </c>
      <c r="AY141" s="360">
        <f t="shared" si="87"/>
        <v>0</v>
      </c>
      <c r="AZ141" s="360">
        <f t="shared" ref="AZ141:BC141" si="88">AZ136+AZ137</f>
        <v>0</v>
      </c>
      <c r="BA141" s="360">
        <f t="shared" si="88"/>
        <v>0</v>
      </c>
      <c r="BB141" s="360">
        <f t="shared" si="88"/>
        <v>0</v>
      </c>
      <c r="BC141" s="360">
        <f t="shared" si="88"/>
        <v>0</v>
      </c>
      <c r="BD141" s="360">
        <f>BD136+BD137</f>
        <v>0</v>
      </c>
      <c r="BE141" s="360">
        <f>BE136+BE137</f>
        <v>0</v>
      </c>
    </row>
    <row r="142" spans="1:57" x14ac:dyDescent="0.35">
      <c r="A142" s="2"/>
      <c r="B142" s="2"/>
      <c r="C142" s="2"/>
      <c r="D142" s="2"/>
      <c r="E142" s="2"/>
      <c r="F142" s="2"/>
      <c r="G142" s="2"/>
      <c r="H142" s="2"/>
      <c r="I142" s="2"/>
      <c r="J142" s="111"/>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95"/>
      <c r="AO142" s="95"/>
      <c r="AP142" s="95"/>
      <c r="AQ142" s="95"/>
      <c r="AR142" s="95"/>
      <c r="AS142" s="95"/>
      <c r="AT142" s="95"/>
      <c r="AU142" s="95"/>
      <c r="AV142" s="95"/>
      <c r="AW142" s="95"/>
      <c r="AX142" s="95"/>
      <c r="AY142" s="95"/>
      <c r="AZ142" s="95"/>
      <c r="BA142" s="95"/>
      <c r="BB142" s="95"/>
      <c r="BC142" s="95"/>
      <c r="BD142" s="95"/>
      <c r="BE142" s="95"/>
    </row>
    <row r="143" spans="1:57" x14ac:dyDescent="0.35">
      <c r="A143" s="27" t="s">
        <v>48</v>
      </c>
      <c r="B143" s="27"/>
      <c r="C143" s="27"/>
      <c r="D143" s="27"/>
      <c r="E143" s="288" t="s">
        <v>329</v>
      </c>
      <c r="F143" s="10" t="s">
        <v>330</v>
      </c>
      <c r="G143" s="10" t="s">
        <v>328</v>
      </c>
      <c r="H143" s="10" t="s">
        <v>143</v>
      </c>
      <c r="I143" s="10" t="s">
        <v>35</v>
      </c>
      <c r="J143" s="376" t="s">
        <v>283</v>
      </c>
      <c r="K143" s="256" t="s">
        <v>39</v>
      </c>
      <c r="L143" s="10" t="s">
        <v>303</v>
      </c>
      <c r="M143" s="10" t="s">
        <v>62</v>
      </c>
      <c r="N143" s="10" t="s">
        <v>63</v>
      </c>
      <c r="O143" s="10" t="s">
        <v>64</v>
      </c>
      <c r="P143" s="10" t="s">
        <v>65</v>
      </c>
      <c r="Q143" s="10" t="s">
        <v>66</v>
      </c>
      <c r="R143" s="10" t="s">
        <v>67</v>
      </c>
      <c r="S143" s="10" t="s">
        <v>68</v>
      </c>
      <c r="T143" s="10" t="s">
        <v>69</v>
      </c>
      <c r="U143" s="10" t="s">
        <v>70</v>
      </c>
      <c r="V143" s="10" t="s">
        <v>71</v>
      </c>
      <c r="W143" s="10" t="s">
        <v>72</v>
      </c>
      <c r="X143" s="10" t="s">
        <v>73</v>
      </c>
      <c r="Y143" s="10" t="s">
        <v>74</v>
      </c>
      <c r="Z143" s="10" t="s">
        <v>75</v>
      </c>
      <c r="AA143" s="10" t="s">
        <v>76</v>
      </c>
      <c r="AB143" s="10" t="s">
        <v>77</v>
      </c>
      <c r="AC143" s="10" t="s">
        <v>78</v>
      </c>
      <c r="AD143" s="10" t="s">
        <v>79</v>
      </c>
      <c r="AE143" s="10" t="s">
        <v>80</v>
      </c>
      <c r="AF143" s="10" t="s">
        <v>81</v>
      </c>
      <c r="AG143" s="10" t="s">
        <v>82</v>
      </c>
      <c r="AH143" s="10" t="s">
        <v>83</v>
      </c>
      <c r="AI143" s="10" t="s">
        <v>84</v>
      </c>
      <c r="AJ143" s="10" t="s">
        <v>85</v>
      </c>
      <c r="AK143" s="10" t="s">
        <v>86</v>
      </c>
      <c r="AL143" s="10" t="s">
        <v>87</v>
      </c>
      <c r="AM143" s="10" t="s">
        <v>88</v>
      </c>
      <c r="AN143" s="10" t="s">
        <v>89</v>
      </c>
      <c r="AO143" s="10" t="s">
        <v>90</v>
      </c>
      <c r="AP143" s="10" t="s">
        <v>91</v>
      </c>
      <c r="AQ143" s="10" t="s">
        <v>92</v>
      </c>
      <c r="AR143" s="10" t="s">
        <v>93</v>
      </c>
      <c r="AS143" s="10" t="s">
        <v>94</v>
      </c>
      <c r="AT143" s="10" t="s">
        <v>95</v>
      </c>
      <c r="AU143" s="10" t="s">
        <v>96</v>
      </c>
      <c r="AV143" s="10" t="s">
        <v>97</v>
      </c>
      <c r="AW143" s="10" t="s">
        <v>98</v>
      </c>
      <c r="AX143" s="10" t="s">
        <v>99</v>
      </c>
      <c r="AY143" s="10" t="s">
        <v>100</v>
      </c>
      <c r="AZ143" s="10" t="s">
        <v>101</v>
      </c>
      <c r="BA143" s="10" t="s">
        <v>102</v>
      </c>
      <c r="BB143" s="10" t="s">
        <v>103</v>
      </c>
      <c r="BC143" s="10" t="s">
        <v>104</v>
      </c>
      <c r="BD143" s="10" t="s">
        <v>105</v>
      </c>
      <c r="BE143" s="377" t="s">
        <v>106</v>
      </c>
    </row>
    <row r="144" spans="1:57" x14ac:dyDescent="0.35">
      <c r="A144" s="2"/>
      <c r="B144" s="2"/>
      <c r="C144" s="2"/>
      <c r="D144" s="2"/>
      <c r="E144" s="361">
        <f>'Project description'!$B$5</f>
        <v>0</v>
      </c>
      <c r="F144" s="189" t="str">
        <f>Lists!$B$34</f>
        <v/>
      </c>
      <c r="G144" s="189" t="s">
        <v>160</v>
      </c>
      <c r="H144" s="189" t="s">
        <v>123</v>
      </c>
      <c r="I144" s="189" t="s">
        <v>109</v>
      </c>
      <c r="J144" s="362">
        <f t="shared" ref="J144:J149" si="89">Analysis_year</f>
        <v>0</v>
      </c>
      <c r="K144" s="244" t="str">
        <f>IF(Inputs!G161="","",Inputs!G161)</f>
        <v/>
      </c>
      <c r="L144" s="363">
        <f>Inputs!H161*'Real values'!L$5</f>
        <v>0</v>
      </c>
      <c r="M144" s="363">
        <f>Inputs!I161*'Real values'!M$5</f>
        <v>0</v>
      </c>
      <c r="N144" s="363">
        <f>Inputs!J161*'Real values'!N$5</f>
        <v>0</v>
      </c>
      <c r="O144" s="363">
        <f>Inputs!K161*'Real values'!O$5</f>
        <v>0</v>
      </c>
      <c r="P144" s="363">
        <f>Inputs!L161*'Real values'!P$5</f>
        <v>0</v>
      </c>
      <c r="Q144" s="363">
        <f>Inputs!M161*'Real values'!Q$5</f>
        <v>0</v>
      </c>
      <c r="R144" s="363">
        <f>Inputs!N161*'Real values'!R$5</f>
        <v>0</v>
      </c>
      <c r="S144" s="363">
        <f>Inputs!O161*'Real values'!S$5</f>
        <v>0</v>
      </c>
      <c r="T144" s="363">
        <f>Inputs!P161*'Real values'!T$5</f>
        <v>0</v>
      </c>
      <c r="U144" s="363">
        <f>Inputs!Q161*'Real values'!U$5</f>
        <v>0</v>
      </c>
      <c r="V144" s="363">
        <f>Inputs!R161*'Real values'!V$5</f>
        <v>0</v>
      </c>
      <c r="W144" s="363">
        <f>Inputs!S161*'Real values'!W$5</f>
        <v>0</v>
      </c>
      <c r="X144" s="363">
        <f>Inputs!T161*'Real values'!X$5</f>
        <v>0</v>
      </c>
      <c r="Y144" s="363">
        <f>Inputs!U161*'Real values'!Y$5</f>
        <v>0</v>
      </c>
      <c r="Z144" s="363">
        <f>Inputs!V161*'Real values'!Z$5</f>
        <v>0</v>
      </c>
      <c r="AA144" s="363">
        <f>Inputs!W161*'Real values'!AA$5</f>
        <v>0</v>
      </c>
      <c r="AB144" s="363">
        <f>Inputs!X161*'Real values'!AB$5</f>
        <v>0</v>
      </c>
      <c r="AC144" s="363">
        <f>Inputs!Y161*'Real values'!AC$5</f>
        <v>0</v>
      </c>
      <c r="AD144" s="363">
        <f>Inputs!Z161*'Real values'!AD$5</f>
        <v>0</v>
      </c>
      <c r="AE144" s="363">
        <f>Inputs!AA161*'Real values'!AE$5</f>
        <v>0</v>
      </c>
      <c r="AF144" s="363">
        <f>Inputs!AB161*'Real values'!AF$5</f>
        <v>0</v>
      </c>
      <c r="AG144" s="363">
        <f>Inputs!AC161*'Real values'!AG$5</f>
        <v>0</v>
      </c>
      <c r="AH144" s="363">
        <f>Inputs!AD161*'Real values'!AH$5</f>
        <v>0</v>
      </c>
      <c r="AI144" s="363">
        <f>Inputs!AE161*'Real values'!AI$5</f>
        <v>0</v>
      </c>
      <c r="AJ144" s="363">
        <f>Inputs!AF161*'Real values'!AJ$5</f>
        <v>0</v>
      </c>
      <c r="AK144" s="363">
        <f>Inputs!AG161*'Real values'!AK$5</f>
        <v>0</v>
      </c>
      <c r="AL144" s="363">
        <f>Inputs!AH161*'Real values'!AL$5</f>
        <v>0</v>
      </c>
      <c r="AM144" s="363">
        <f>Inputs!AI161*'Real values'!AM$5</f>
        <v>0</v>
      </c>
      <c r="AN144" s="363">
        <f>Inputs!AJ161*'Real values'!AN$5</f>
        <v>0</v>
      </c>
      <c r="AO144" s="363">
        <f>Inputs!AK161*'Real values'!AO$5</f>
        <v>0</v>
      </c>
      <c r="AP144" s="363">
        <f>Inputs!AL161*'Real values'!AP$5</f>
        <v>0</v>
      </c>
      <c r="AQ144" s="363">
        <f>Inputs!AM161*'Real values'!AQ$5</f>
        <v>0</v>
      </c>
      <c r="AR144" s="363">
        <f>Inputs!AN161*'Real values'!AR$5</f>
        <v>0</v>
      </c>
      <c r="AS144" s="363">
        <f>Inputs!AO161*'Real values'!AS$5</f>
        <v>0</v>
      </c>
      <c r="AT144" s="363">
        <f>Inputs!AP161*'Real values'!AT$5</f>
        <v>0</v>
      </c>
      <c r="AU144" s="363">
        <f>Inputs!AQ161*'Real values'!AU$5</f>
        <v>0</v>
      </c>
      <c r="AV144" s="363">
        <f>Inputs!AR161*'Real values'!AV$5</f>
        <v>0</v>
      </c>
      <c r="AW144" s="363">
        <f>Inputs!AS161*'Real values'!AW$5</f>
        <v>0</v>
      </c>
      <c r="AX144" s="363">
        <f>Inputs!AT161*'Real values'!AX$5</f>
        <v>0</v>
      </c>
      <c r="AY144" s="363">
        <f>Inputs!AU161*'Real values'!AY$5</f>
        <v>0</v>
      </c>
      <c r="AZ144" s="363">
        <f>Inputs!AV161*'Real values'!AZ$5</f>
        <v>0</v>
      </c>
      <c r="BA144" s="363">
        <f>Inputs!AW161*'Real values'!BA$5</f>
        <v>0</v>
      </c>
      <c r="BB144" s="363">
        <f>Inputs!AX161*'Real values'!BB$5</f>
        <v>0</v>
      </c>
      <c r="BC144" s="363">
        <f>Inputs!AY161*'Real values'!BC$5</f>
        <v>0</v>
      </c>
      <c r="BD144" s="363">
        <f>Inputs!AZ161*'Real values'!BD$5</f>
        <v>0</v>
      </c>
      <c r="BE144" s="363">
        <f>Inputs!BA161*'Real values'!BE$5</f>
        <v>0</v>
      </c>
    </row>
    <row r="145" spans="1:57" x14ac:dyDescent="0.35">
      <c r="A145" s="2"/>
      <c r="B145" s="2"/>
      <c r="C145" s="2"/>
      <c r="D145" s="2"/>
      <c r="E145" s="364">
        <f>'Project description'!$B$5</f>
        <v>0</v>
      </c>
      <c r="F145" s="365" t="str">
        <f>Lists!$B$34</f>
        <v/>
      </c>
      <c r="G145" s="365" t="s">
        <v>160</v>
      </c>
      <c r="H145" s="365" t="s">
        <v>117</v>
      </c>
      <c r="I145" s="365" t="s">
        <v>109</v>
      </c>
      <c r="J145" s="366">
        <f t="shared" si="89"/>
        <v>0</v>
      </c>
      <c r="K145" s="367" t="str">
        <f>IF(Inputs!G162="","",Inputs!G162)</f>
        <v/>
      </c>
      <c r="L145" s="368">
        <f>Inputs!H162*'Real values'!L$5</f>
        <v>0</v>
      </c>
      <c r="M145" s="368">
        <f>Inputs!I162*'Real values'!M$5</f>
        <v>0</v>
      </c>
      <c r="N145" s="368">
        <f>Inputs!J162*'Real values'!N$5</f>
        <v>0</v>
      </c>
      <c r="O145" s="368">
        <f>Inputs!K162*'Real values'!O$5</f>
        <v>0</v>
      </c>
      <c r="P145" s="368">
        <f>Inputs!L162*'Real values'!P$5</f>
        <v>0</v>
      </c>
      <c r="Q145" s="368">
        <f>Inputs!M162*'Real values'!Q$5</f>
        <v>0</v>
      </c>
      <c r="R145" s="368">
        <f>Inputs!N162*'Real values'!R$5</f>
        <v>0</v>
      </c>
      <c r="S145" s="368">
        <f>Inputs!O162*'Real values'!S$5</f>
        <v>0</v>
      </c>
      <c r="T145" s="368">
        <f>Inputs!P162*'Real values'!T$5</f>
        <v>0</v>
      </c>
      <c r="U145" s="368">
        <f>Inputs!Q162*'Real values'!U$5</f>
        <v>0</v>
      </c>
      <c r="V145" s="368">
        <f>Inputs!R162*'Real values'!V$5</f>
        <v>0</v>
      </c>
      <c r="W145" s="368">
        <f>Inputs!S162*'Real values'!W$5</f>
        <v>0</v>
      </c>
      <c r="X145" s="368">
        <f>Inputs!T162*'Real values'!X$5</f>
        <v>0</v>
      </c>
      <c r="Y145" s="368">
        <f>Inputs!U162*'Real values'!Y$5</f>
        <v>0</v>
      </c>
      <c r="Z145" s="368">
        <f>Inputs!V162*'Real values'!Z$5</f>
        <v>0</v>
      </c>
      <c r="AA145" s="368">
        <f>Inputs!W162*'Real values'!AA$5</f>
        <v>0</v>
      </c>
      <c r="AB145" s="368">
        <f>Inputs!X162*'Real values'!AB$5</f>
        <v>0</v>
      </c>
      <c r="AC145" s="368">
        <f>Inputs!Y162*'Real values'!AC$5</f>
        <v>0</v>
      </c>
      <c r="AD145" s="368">
        <f>Inputs!Z162*'Real values'!AD$5</f>
        <v>0</v>
      </c>
      <c r="AE145" s="368">
        <f>Inputs!AA162*'Real values'!AE$5</f>
        <v>0</v>
      </c>
      <c r="AF145" s="368">
        <f>Inputs!AB162*'Real values'!AF$5</f>
        <v>0</v>
      </c>
      <c r="AG145" s="368">
        <f>Inputs!AC162*'Real values'!AG$5</f>
        <v>0</v>
      </c>
      <c r="AH145" s="368">
        <f>Inputs!AD162*'Real values'!AH$5</f>
        <v>0</v>
      </c>
      <c r="AI145" s="368">
        <f>Inputs!AE162*'Real values'!AI$5</f>
        <v>0</v>
      </c>
      <c r="AJ145" s="368">
        <f>Inputs!AF162*'Real values'!AJ$5</f>
        <v>0</v>
      </c>
      <c r="AK145" s="368">
        <f>Inputs!AG162*'Real values'!AK$5</f>
        <v>0</v>
      </c>
      <c r="AL145" s="368">
        <f>Inputs!AH162*'Real values'!AL$5</f>
        <v>0</v>
      </c>
      <c r="AM145" s="368">
        <f>Inputs!AI162*'Real values'!AM$5</f>
        <v>0</v>
      </c>
      <c r="AN145" s="368">
        <f>Inputs!AJ162*'Real values'!AN$5</f>
        <v>0</v>
      </c>
      <c r="AO145" s="368">
        <f>Inputs!AK162*'Real values'!AO$5</f>
        <v>0</v>
      </c>
      <c r="AP145" s="368">
        <f>Inputs!AL162*'Real values'!AP$5</f>
        <v>0</v>
      </c>
      <c r="AQ145" s="368">
        <f>Inputs!AM162*'Real values'!AQ$5</f>
        <v>0</v>
      </c>
      <c r="AR145" s="368">
        <f>Inputs!AN162*'Real values'!AR$5</f>
        <v>0</v>
      </c>
      <c r="AS145" s="368">
        <f>Inputs!AO162*'Real values'!AS$5</f>
        <v>0</v>
      </c>
      <c r="AT145" s="368">
        <f>Inputs!AP162*'Real values'!AT$5</f>
        <v>0</v>
      </c>
      <c r="AU145" s="368">
        <f>Inputs!AQ162*'Real values'!AU$5</f>
        <v>0</v>
      </c>
      <c r="AV145" s="368">
        <f>Inputs!AR162*'Real values'!AV$5</f>
        <v>0</v>
      </c>
      <c r="AW145" s="368">
        <f>Inputs!AS162*'Real values'!AW$5</f>
        <v>0</v>
      </c>
      <c r="AX145" s="368">
        <f>Inputs!AT162*'Real values'!AX$5</f>
        <v>0</v>
      </c>
      <c r="AY145" s="368">
        <f>Inputs!AU162*'Real values'!AY$5</f>
        <v>0</v>
      </c>
      <c r="AZ145" s="368">
        <f>Inputs!AV162*'Real values'!AZ$5</f>
        <v>0</v>
      </c>
      <c r="BA145" s="368">
        <f>Inputs!AW162*'Real values'!BA$5</f>
        <v>0</v>
      </c>
      <c r="BB145" s="368">
        <f>Inputs!AX162*'Real values'!BB$5</f>
        <v>0</v>
      </c>
      <c r="BC145" s="368">
        <f>Inputs!AY162*'Real values'!BC$5</f>
        <v>0</v>
      </c>
      <c r="BD145" s="368">
        <f>Inputs!AZ162*'Real values'!BD$5</f>
        <v>0</v>
      </c>
      <c r="BE145" s="368">
        <f>Inputs!BA162*'Real values'!BE$5</f>
        <v>0</v>
      </c>
    </row>
    <row r="146" spans="1:57" x14ac:dyDescent="0.35">
      <c r="A146" s="2"/>
      <c r="B146" s="2"/>
      <c r="C146" s="2"/>
      <c r="D146" s="2"/>
      <c r="E146" s="364">
        <f>'Project description'!$B$5</f>
        <v>0</v>
      </c>
      <c r="F146" s="365" t="str">
        <f>Lists!$B$34</f>
        <v/>
      </c>
      <c r="G146" s="365" t="s">
        <v>160</v>
      </c>
      <c r="H146" s="365" t="s">
        <v>119</v>
      </c>
      <c r="I146" s="365" t="s">
        <v>109</v>
      </c>
      <c r="J146" s="366">
        <f t="shared" si="89"/>
        <v>0</v>
      </c>
      <c r="K146" s="369" t="str">
        <f>IF(Inputs!G164="","",Inputs!G164)</f>
        <v/>
      </c>
      <c r="L146" s="370">
        <f>Inputs!H164*'Real values'!L$5</f>
        <v>0</v>
      </c>
      <c r="M146" s="370">
        <f>Inputs!I164*'Real values'!M$5</f>
        <v>0</v>
      </c>
      <c r="N146" s="370">
        <f>Inputs!J164*'Real values'!N$5</f>
        <v>0</v>
      </c>
      <c r="O146" s="370">
        <f>Inputs!K164*'Real values'!O$5</f>
        <v>0</v>
      </c>
      <c r="P146" s="370">
        <f>Inputs!L164*'Real values'!P$5</f>
        <v>0</v>
      </c>
      <c r="Q146" s="370">
        <f>Inputs!M164*'Real values'!Q$5</f>
        <v>0</v>
      </c>
      <c r="R146" s="370">
        <f>Inputs!N164*'Real values'!R$5</f>
        <v>0</v>
      </c>
      <c r="S146" s="370">
        <f>Inputs!O164*'Real values'!S$5</f>
        <v>0</v>
      </c>
      <c r="T146" s="370">
        <f>Inputs!P164*'Real values'!T$5</f>
        <v>0</v>
      </c>
      <c r="U146" s="370">
        <f>Inputs!Q164*'Real values'!U$5</f>
        <v>0</v>
      </c>
      <c r="V146" s="370">
        <f>Inputs!R164*'Real values'!V$5</f>
        <v>0</v>
      </c>
      <c r="W146" s="370">
        <f>Inputs!S164*'Real values'!W$5</f>
        <v>0</v>
      </c>
      <c r="X146" s="370">
        <f>Inputs!T164*'Real values'!X$5</f>
        <v>0</v>
      </c>
      <c r="Y146" s="370">
        <f>Inputs!U164*'Real values'!Y$5</f>
        <v>0</v>
      </c>
      <c r="Z146" s="370">
        <f>Inputs!V164*'Real values'!Z$5</f>
        <v>0</v>
      </c>
      <c r="AA146" s="370">
        <f>Inputs!W164*'Real values'!AA$5</f>
        <v>0</v>
      </c>
      <c r="AB146" s="370">
        <f>Inputs!X164*'Real values'!AB$5</f>
        <v>0</v>
      </c>
      <c r="AC146" s="370">
        <f>Inputs!Y164*'Real values'!AC$5</f>
        <v>0</v>
      </c>
      <c r="AD146" s="370">
        <f>Inputs!Z164*'Real values'!AD$5</f>
        <v>0</v>
      </c>
      <c r="AE146" s="370">
        <f>Inputs!AA164*'Real values'!AE$5</f>
        <v>0</v>
      </c>
      <c r="AF146" s="370">
        <f>Inputs!AB164*'Real values'!AF$5</f>
        <v>0</v>
      </c>
      <c r="AG146" s="370">
        <f>Inputs!AC164*'Real values'!AG$5</f>
        <v>0</v>
      </c>
      <c r="AH146" s="370">
        <f>Inputs!AD164*'Real values'!AH$5</f>
        <v>0</v>
      </c>
      <c r="AI146" s="370">
        <f>Inputs!AE164*'Real values'!AI$5</f>
        <v>0</v>
      </c>
      <c r="AJ146" s="370">
        <f>Inputs!AF164*'Real values'!AJ$5</f>
        <v>0</v>
      </c>
      <c r="AK146" s="370">
        <f>Inputs!AG164*'Real values'!AK$5</f>
        <v>0</v>
      </c>
      <c r="AL146" s="370">
        <f>Inputs!AH164*'Real values'!AL$5</f>
        <v>0</v>
      </c>
      <c r="AM146" s="370">
        <f>Inputs!AI164*'Real values'!AM$5</f>
        <v>0</v>
      </c>
      <c r="AN146" s="370">
        <f>Inputs!AJ164*'Real values'!AN$5</f>
        <v>0</v>
      </c>
      <c r="AO146" s="370">
        <f>Inputs!AK164*'Real values'!AO$5</f>
        <v>0</v>
      </c>
      <c r="AP146" s="370">
        <f>Inputs!AL164*'Real values'!AP$5</f>
        <v>0</v>
      </c>
      <c r="AQ146" s="370">
        <f>Inputs!AM164*'Real values'!AQ$5</f>
        <v>0</v>
      </c>
      <c r="AR146" s="370">
        <f>Inputs!AN164*'Real values'!AR$5</f>
        <v>0</v>
      </c>
      <c r="AS146" s="370">
        <f>Inputs!AO164*'Real values'!AS$5</f>
        <v>0</v>
      </c>
      <c r="AT146" s="370">
        <f>Inputs!AP164*'Real values'!AT$5</f>
        <v>0</v>
      </c>
      <c r="AU146" s="370">
        <f>Inputs!AQ164*'Real values'!AU$5</f>
        <v>0</v>
      </c>
      <c r="AV146" s="370">
        <f>Inputs!AR164*'Real values'!AV$5</f>
        <v>0</v>
      </c>
      <c r="AW146" s="370">
        <f>Inputs!AS164*'Real values'!AW$5</f>
        <v>0</v>
      </c>
      <c r="AX146" s="370">
        <f>Inputs!AT164*'Real values'!AX$5</f>
        <v>0</v>
      </c>
      <c r="AY146" s="370">
        <f>Inputs!AU164*'Real values'!AY$5</f>
        <v>0</v>
      </c>
      <c r="AZ146" s="370">
        <f>Inputs!AV164*'Real values'!AZ$5</f>
        <v>0</v>
      </c>
      <c r="BA146" s="370">
        <f>Inputs!AW164*'Real values'!BA$5</f>
        <v>0</v>
      </c>
      <c r="BB146" s="370">
        <f>Inputs!AX164*'Real values'!BB$5</f>
        <v>0</v>
      </c>
      <c r="BC146" s="370">
        <f>Inputs!AY164*'Real values'!BC$5</f>
        <v>0</v>
      </c>
      <c r="BD146" s="370">
        <f>Inputs!AZ164*'Real values'!BD$5</f>
        <v>0</v>
      </c>
      <c r="BE146" s="370">
        <f>Inputs!BA164*'Real values'!BE$5</f>
        <v>0</v>
      </c>
    </row>
    <row r="147" spans="1:57" x14ac:dyDescent="0.35">
      <c r="A147" s="2"/>
      <c r="B147" s="2"/>
      <c r="C147" s="2"/>
      <c r="D147" s="2"/>
      <c r="E147" s="371">
        <f>'Project description'!$B$5</f>
        <v>0</v>
      </c>
      <c r="F147" s="372" t="str">
        <f>Lists!$B$34</f>
        <v/>
      </c>
      <c r="G147" s="372" t="s">
        <v>160</v>
      </c>
      <c r="H147" s="372" t="s">
        <v>120</v>
      </c>
      <c r="I147" s="372" t="s">
        <v>109</v>
      </c>
      <c r="J147" s="373">
        <f t="shared" si="89"/>
        <v>0</v>
      </c>
      <c r="K147" s="374" t="str">
        <f>IF(Inputs!G165="","",Inputs!G165)</f>
        <v/>
      </c>
      <c r="L147" s="375">
        <f>Inputs!H165*'Real values'!L$5</f>
        <v>0</v>
      </c>
      <c r="M147" s="375">
        <f>Inputs!I165*'Real values'!M$5</f>
        <v>0</v>
      </c>
      <c r="N147" s="375">
        <f>Inputs!J165*'Real values'!N$5</f>
        <v>0</v>
      </c>
      <c r="O147" s="375">
        <f>Inputs!K165*'Real values'!O$5</f>
        <v>0</v>
      </c>
      <c r="P147" s="375">
        <f>Inputs!L165*'Real values'!P$5</f>
        <v>0</v>
      </c>
      <c r="Q147" s="375">
        <f>Inputs!M165*'Real values'!Q$5</f>
        <v>0</v>
      </c>
      <c r="R147" s="375">
        <f>Inputs!N165*'Real values'!R$5</f>
        <v>0</v>
      </c>
      <c r="S147" s="375">
        <f>Inputs!O165*'Real values'!S$5</f>
        <v>0</v>
      </c>
      <c r="T147" s="375">
        <f>Inputs!P165*'Real values'!T$5</f>
        <v>0</v>
      </c>
      <c r="U147" s="375">
        <f>Inputs!Q165*'Real values'!U$5</f>
        <v>0</v>
      </c>
      <c r="V147" s="375">
        <f>Inputs!R165*'Real values'!V$5</f>
        <v>0</v>
      </c>
      <c r="W147" s="375">
        <f>Inputs!S165*'Real values'!W$5</f>
        <v>0</v>
      </c>
      <c r="X147" s="375">
        <f>Inputs!T165*'Real values'!X$5</f>
        <v>0</v>
      </c>
      <c r="Y147" s="375">
        <f>Inputs!U165*'Real values'!Y$5</f>
        <v>0</v>
      </c>
      <c r="Z147" s="375">
        <f>Inputs!V165*'Real values'!Z$5</f>
        <v>0</v>
      </c>
      <c r="AA147" s="375">
        <f>Inputs!W165*'Real values'!AA$5</f>
        <v>0</v>
      </c>
      <c r="AB147" s="375">
        <f>Inputs!X165*'Real values'!AB$5</f>
        <v>0</v>
      </c>
      <c r="AC147" s="375">
        <f>Inputs!Y165*'Real values'!AC$5</f>
        <v>0</v>
      </c>
      <c r="AD147" s="375">
        <f>Inputs!Z165*'Real values'!AD$5</f>
        <v>0</v>
      </c>
      <c r="AE147" s="375">
        <f>Inputs!AA165*'Real values'!AE$5</f>
        <v>0</v>
      </c>
      <c r="AF147" s="375">
        <f>Inputs!AB165*'Real values'!AF$5</f>
        <v>0</v>
      </c>
      <c r="AG147" s="375">
        <f>Inputs!AC165*'Real values'!AG$5</f>
        <v>0</v>
      </c>
      <c r="AH147" s="375">
        <f>Inputs!AD165*'Real values'!AH$5</f>
        <v>0</v>
      </c>
      <c r="AI147" s="375">
        <f>Inputs!AE165*'Real values'!AI$5</f>
        <v>0</v>
      </c>
      <c r="AJ147" s="375">
        <f>Inputs!AF165*'Real values'!AJ$5</f>
        <v>0</v>
      </c>
      <c r="AK147" s="375">
        <f>Inputs!AG165*'Real values'!AK$5</f>
        <v>0</v>
      </c>
      <c r="AL147" s="375">
        <f>Inputs!AH165*'Real values'!AL$5</f>
        <v>0</v>
      </c>
      <c r="AM147" s="375">
        <f>Inputs!AI165*'Real values'!AM$5</f>
        <v>0</v>
      </c>
      <c r="AN147" s="375">
        <f>Inputs!AJ165*'Real values'!AN$5</f>
        <v>0</v>
      </c>
      <c r="AO147" s="375">
        <f>Inputs!AK165*'Real values'!AO$5</f>
        <v>0</v>
      </c>
      <c r="AP147" s="375">
        <f>Inputs!AL165*'Real values'!AP$5</f>
        <v>0</v>
      </c>
      <c r="AQ147" s="375">
        <f>Inputs!AM165*'Real values'!AQ$5</f>
        <v>0</v>
      </c>
      <c r="AR147" s="375">
        <f>Inputs!AN165*'Real values'!AR$5</f>
        <v>0</v>
      </c>
      <c r="AS147" s="375">
        <f>Inputs!AO165*'Real values'!AS$5</f>
        <v>0</v>
      </c>
      <c r="AT147" s="375">
        <f>Inputs!AP165*'Real values'!AT$5</f>
        <v>0</v>
      </c>
      <c r="AU147" s="375">
        <f>Inputs!AQ165*'Real values'!AU$5</f>
        <v>0</v>
      </c>
      <c r="AV147" s="375">
        <f>Inputs!AR165*'Real values'!AV$5</f>
        <v>0</v>
      </c>
      <c r="AW147" s="375">
        <f>Inputs!AS165*'Real values'!AW$5</f>
        <v>0</v>
      </c>
      <c r="AX147" s="375">
        <f>Inputs!AT165*'Real values'!AX$5</f>
        <v>0</v>
      </c>
      <c r="AY147" s="375">
        <f>Inputs!AU165*'Real values'!AY$5</f>
        <v>0</v>
      </c>
      <c r="AZ147" s="375">
        <f>Inputs!AV165*'Real values'!AZ$5</f>
        <v>0</v>
      </c>
      <c r="BA147" s="375">
        <f>Inputs!AW165*'Real values'!BA$5</f>
        <v>0</v>
      </c>
      <c r="BB147" s="375">
        <f>Inputs!AX165*'Real values'!BB$5</f>
        <v>0</v>
      </c>
      <c r="BC147" s="375">
        <f>Inputs!AY165*'Real values'!BC$5</f>
        <v>0</v>
      </c>
      <c r="BD147" s="375">
        <f>Inputs!AZ165*'Real values'!BD$5</f>
        <v>0</v>
      </c>
      <c r="BE147" s="375">
        <f>Inputs!BA165*'Real values'!BE$5</f>
        <v>0</v>
      </c>
    </row>
    <row r="148" spans="1:57" x14ac:dyDescent="0.35">
      <c r="A148" s="2"/>
      <c r="B148" s="2"/>
      <c r="C148" s="2"/>
      <c r="D148" s="2"/>
      <c r="E148" s="4">
        <f>'Project description'!$B$5</f>
        <v>0</v>
      </c>
      <c r="F148" s="4" t="str">
        <f>Lists!$B$34</f>
        <v/>
      </c>
      <c r="G148" s="4" t="s">
        <v>160</v>
      </c>
      <c r="H148" s="4" t="s">
        <v>124</v>
      </c>
      <c r="I148" s="4" t="s">
        <v>109</v>
      </c>
      <c r="J148" s="121">
        <f t="shared" si="89"/>
        <v>0</v>
      </c>
      <c r="K148" s="177" t="str">
        <f>IF(Inputs!G163="","",Inputs!G163)</f>
        <v/>
      </c>
      <c r="L148" s="123">
        <f>L144-L145</f>
        <v>0</v>
      </c>
      <c r="M148" s="123">
        <f t="shared" ref="M148:AY148" si="90">L148+M144-M145</f>
        <v>0</v>
      </c>
      <c r="N148" s="123">
        <f t="shared" si="90"/>
        <v>0</v>
      </c>
      <c r="O148" s="123">
        <f t="shared" si="90"/>
        <v>0</v>
      </c>
      <c r="P148" s="123">
        <f t="shared" si="90"/>
        <v>0</v>
      </c>
      <c r="Q148" s="123">
        <f t="shared" si="90"/>
        <v>0</v>
      </c>
      <c r="R148" s="123">
        <f t="shared" si="90"/>
        <v>0</v>
      </c>
      <c r="S148" s="123">
        <f t="shared" si="90"/>
        <v>0</v>
      </c>
      <c r="T148" s="123">
        <f t="shared" si="90"/>
        <v>0</v>
      </c>
      <c r="U148" s="123">
        <f t="shared" si="90"/>
        <v>0</v>
      </c>
      <c r="V148" s="123">
        <f t="shared" si="90"/>
        <v>0</v>
      </c>
      <c r="W148" s="123">
        <f t="shared" si="90"/>
        <v>0</v>
      </c>
      <c r="X148" s="123">
        <f t="shared" si="90"/>
        <v>0</v>
      </c>
      <c r="Y148" s="123">
        <f t="shared" si="90"/>
        <v>0</v>
      </c>
      <c r="Z148" s="123">
        <f t="shared" si="90"/>
        <v>0</v>
      </c>
      <c r="AA148" s="123">
        <f t="shared" si="90"/>
        <v>0</v>
      </c>
      <c r="AB148" s="123">
        <f t="shared" si="90"/>
        <v>0</v>
      </c>
      <c r="AC148" s="123">
        <f t="shared" si="90"/>
        <v>0</v>
      </c>
      <c r="AD148" s="123">
        <f t="shared" si="90"/>
        <v>0</v>
      </c>
      <c r="AE148" s="123">
        <f t="shared" si="90"/>
        <v>0</v>
      </c>
      <c r="AF148" s="123">
        <f t="shared" si="90"/>
        <v>0</v>
      </c>
      <c r="AG148" s="123">
        <f t="shared" si="90"/>
        <v>0</v>
      </c>
      <c r="AH148" s="123">
        <f t="shared" si="90"/>
        <v>0</v>
      </c>
      <c r="AI148" s="123">
        <f t="shared" si="90"/>
        <v>0</v>
      </c>
      <c r="AJ148" s="123">
        <f t="shared" si="90"/>
        <v>0</v>
      </c>
      <c r="AK148" s="123">
        <f t="shared" si="90"/>
        <v>0</v>
      </c>
      <c r="AL148" s="123">
        <f t="shared" si="90"/>
        <v>0</v>
      </c>
      <c r="AM148" s="123">
        <f t="shared" si="90"/>
        <v>0</v>
      </c>
      <c r="AN148" s="123">
        <f t="shared" si="90"/>
        <v>0</v>
      </c>
      <c r="AO148" s="123">
        <f t="shared" si="90"/>
        <v>0</v>
      </c>
      <c r="AP148" s="123">
        <f t="shared" si="90"/>
        <v>0</v>
      </c>
      <c r="AQ148" s="123">
        <f t="shared" si="90"/>
        <v>0</v>
      </c>
      <c r="AR148" s="123">
        <f t="shared" si="90"/>
        <v>0</v>
      </c>
      <c r="AS148" s="123">
        <f t="shared" si="90"/>
        <v>0</v>
      </c>
      <c r="AT148" s="123">
        <f t="shared" si="90"/>
        <v>0</v>
      </c>
      <c r="AU148" s="123">
        <f t="shared" si="90"/>
        <v>0</v>
      </c>
      <c r="AV148" s="123">
        <f t="shared" si="90"/>
        <v>0</v>
      </c>
      <c r="AW148" s="123">
        <f t="shared" si="90"/>
        <v>0</v>
      </c>
      <c r="AX148" s="123">
        <f t="shared" si="90"/>
        <v>0</v>
      </c>
      <c r="AY148" s="123">
        <f t="shared" si="90"/>
        <v>0</v>
      </c>
      <c r="AZ148" s="123">
        <f t="shared" ref="AZ148" si="91">AY148+AZ144-AZ145</f>
        <v>0</v>
      </c>
      <c r="BA148" s="123">
        <f t="shared" ref="BA148" si="92">AZ148+BA144-BA145</f>
        <v>0</v>
      </c>
      <c r="BB148" s="123">
        <f t="shared" ref="BB148" si="93">BA148+BB144-BB145</f>
        <v>0</v>
      </c>
      <c r="BC148" s="123">
        <f t="shared" ref="BC148" si="94">BB148+BC144-BC145</f>
        <v>0</v>
      </c>
      <c r="BD148" s="123">
        <f t="shared" ref="BD148" si="95">BC148+BD144-BD145</f>
        <v>0</v>
      </c>
      <c r="BE148" s="123">
        <f>BD148+BE144-BE145</f>
        <v>0</v>
      </c>
    </row>
    <row r="149" spans="1:57" x14ac:dyDescent="0.35">
      <c r="A149" s="2"/>
      <c r="B149" s="2"/>
      <c r="C149" s="2"/>
      <c r="D149" s="2"/>
      <c r="E149" s="4">
        <f>'Project description'!$B$5</f>
        <v>0</v>
      </c>
      <c r="F149" s="4" t="str">
        <f>Lists!$B$34</f>
        <v/>
      </c>
      <c r="G149" s="4" t="s">
        <v>160</v>
      </c>
      <c r="H149" s="4" t="str">
        <f>"Costs of debt in "&amp;Analysis_year&amp;" dollars"</f>
        <v>Costs of debt in  dollars</v>
      </c>
      <c r="I149" s="4" t="s">
        <v>109</v>
      </c>
      <c r="J149" s="121">
        <f t="shared" si="89"/>
        <v>0</v>
      </c>
      <c r="K149" s="2"/>
      <c r="L149" s="378">
        <f>L146+L147</f>
        <v>0</v>
      </c>
      <c r="M149" s="378">
        <f t="shared" ref="M149:AY149" si="96">M146+M147</f>
        <v>0</v>
      </c>
      <c r="N149" s="378">
        <f t="shared" si="96"/>
        <v>0</v>
      </c>
      <c r="O149" s="378">
        <f t="shared" si="96"/>
        <v>0</v>
      </c>
      <c r="P149" s="378">
        <f t="shared" si="96"/>
        <v>0</v>
      </c>
      <c r="Q149" s="378">
        <f t="shared" si="96"/>
        <v>0</v>
      </c>
      <c r="R149" s="378">
        <f t="shared" si="96"/>
        <v>0</v>
      </c>
      <c r="S149" s="378">
        <f t="shared" si="96"/>
        <v>0</v>
      </c>
      <c r="T149" s="378">
        <f t="shared" si="96"/>
        <v>0</v>
      </c>
      <c r="U149" s="378">
        <f t="shared" si="96"/>
        <v>0</v>
      </c>
      <c r="V149" s="378">
        <f t="shared" si="96"/>
        <v>0</v>
      </c>
      <c r="W149" s="378">
        <f t="shared" si="96"/>
        <v>0</v>
      </c>
      <c r="X149" s="378">
        <f t="shared" si="96"/>
        <v>0</v>
      </c>
      <c r="Y149" s="378">
        <f t="shared" si="96"/>
        <v>0</v>
      </c>
      <c r="Z149" s="378">
        <f t="shared" si="96"/>
        <v>0</v>
      </c>
      <c r="AA149" s="378">
        <f t="shared" si="96"/>
        <v>0</v>
      </c>
      <c r="AB149" s="378">
        <f t="shared" si="96"/>
        <v>0</v>
      </c>
      <c r="AC149" s="378">
        <f t="shared" si="96"/>
        <v>0</v>
      </c>
      <c r="AD149" s="378">
        <f t="shared" si="96"/>
        <v>0</v>
      </c>
      <c r="AE149" s="378">
        <f t="shared" si="96"/>
        <v>0</v>
      </c>
      <c r="AF149" s="378">
        <f t="shared" si="96"/>
        <v>0</v>
      </c>
      <c r="AG149" s="378">
        <f t="shared" si="96"/>
        <v>0</v>
      </c>
      <c r="AH149" s="378">
        <f t="shared" si="96"/>
        <v>0</v>
      </c>
      <c r="AI149" s="378">
        <f t="shared" si="96"/>
        <v>0</v>
      </c>
      <c r="AJ149" s="378">
        <f t="shared" si="96"/>
        <v>0</v>
      </c>
      <c r="AK149" s="378">
        <f t="shared" si="96"/>
        <v>0</v>
      </c>
      <c r="AL149" s="378">
        <f t="shared" si="96"/>
        <v>0</v>
      </c>
      <c r="AM149" s="378">
        <f t="shared" si="96"/>
        <v>0</v>
      </c>
      <c r="AN149" s="378">
        <f t="shared" si="96"/>
        <v>0</v>
      </c>
      <c r="AO149" s="378">
        <f t="shared" si="96"/>
        <v>0</v>
      </c>
      <c r="AP149" s="378">
        <f t="shared" si="96"/>
        <v>0</v>
      </c>
      <c r="AQ149" s="378">
        <f t="shared" si="96"/>
        <v>0</v>
      </c>
      <c r="AR149" s="378">
        <f t="shared" si="96"/>
        <v>0</v>
      </c>
      <c r="AS149" s="378">
        <f t="shared" si="96"/>
        <v>0</v>
      </c>
      <c r="AT149" s="378">
        <f t="shared" si="96"/>
        <v>0</v>
      </c>
      <c r="AU149" s="378">
        <f t="shared" si="96"/>
        <v>0</v>
      </c>
      <c r="AV149" s="378">
        <f t="shared" si="96"/>
        <v>0</v>
      </c>
      <c r="AW149" s="378">
        <f t="shared" si="96"/>
        <v>0</v>
      </c>
      <c r="AX149" s="378">
        <f t="shared" si="96"/>
        <v>0</v>
      </c>
      <c r="AY149" s="378">
        <f t="shared" si="96"/>
        <v>0</v>
      </c>
      <c r="AZ149" s="378">
        <f t="shared" ref="AZ149:BD149" si="97">AZ146+AZ147</f>
        <v>0</v>
      </c>
      <c r="BA149" s="378">
        <f t="shared" si="97"/>
        <v>0</v>
      </c>
      <c r="BB149" s="378">
        <f t="shared" si="97"/>
        <v>0</v>
      </c>
      <c r="BC149" s="378">
        <f t="shared" si="97"/>
        <v>0</v>
      </c>
      <c r="BD149" s="378">
        <f t="shared" si="97"/>
        <v>0</v>
      </c>
      <c r="BE149" s="378">
        <f>BE146+BE147</f>
        <v>0</v>
      </c>
    </row>
    <row r="150" spans="1:57" x14ac:dyDescent="0.35">
      <c r="A150" s="2"/>
      <c r="B150" s="2"/>
      <c r="C150" s="2"/>
      <c r="D150" s="2"/>
      <c r="E150" s="2"/>
      <c r="F150" s="2"/>
      <c r="G150" s="3"/>
      <c r="H150" s="4"/>
      <c r="I150" s="4"/>
      <c r="J150" s="3"/>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row>
    <row r="151" spans="1:57" x14ac:dyDescent="0.35">
      <c r="A151" s="2"/>
      <c r="B151" s="2"/>
      <c r="C151" s="2"/>
      <c r="D151" s="2"/>
      <c r="E151" s="2"/>
      <c r="F151" s="2"/>
      <c r="G151" s="3"/>
      <c r="H151" s="3"/>
      <c r="I151" s="3"/>
      <c r="J151" s="3"/>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row>
    <row r="152" spans="1:57"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row>
    <row r="153" spans="1:57" ht="18.5" x14ac:dyDescent="0.45">
      <c r="A153" s="7" t="s">
        <v>125</v>
      </c>
      <c r="B153" s="7"/>
      <c r="C153" s="7"/>
      <c r="D153" s="7"/>
      <c r="E153" s="2"/>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row>
    <row r="154" spans="1:57" ht="69.5" customHeight="1" x14ac:dyDescent="0.45">
      <c r="A154" s="404" t="s">
        <v>126</v>
      </c>
      <c r="B154" s="404"/>
      <c r="C154" s="404"/>
      <c r="D154" s="404"/>
      <c r="E154" s="404"/>
      <c r="F154" s="404"/>
      <c r="G154" s="404"/>
      <c r="H154" s="404"/>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row>
    <row r="155" spans="1:57" ht="18.5" x14ac:dyDescent="0.45">
      <c r="A155" s="126"/>
      <c r="B155" s="126"/>
      <c r="C155" s="126"/>
      <c r="D155" s="126"/>
      <c r="E155" s="126"/>
      <c r="F155" s="2"/>
      <c r="G155" s="127"/>
      <c r="H155" s="126"/>
      <c r="I155" s="126"/>
      <c r="J155" s="126"/>
      <c r="K155" s="126"/>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row>
    <row r="156" spans="1:57" x14ac:dyDescent="0.35">
      <c r="A156" s="28" t="s">
        <v>37</v>
      </c>
      <c r="B156" s="28"/>
      <c r="C156" s="28"/>
      <c r="D156" s="28"/>
      <c r="E156" s="382" t="s">
        <v>329</v>
      </c>
      <c r="F156" s="382" t="s">
        <v>330</v>
      </c>
      <c r="G156" s="234" t="s">
        <v>328</v>
      </c>
      <c r="H156" s="234" t="s">
        <v>127</v>
      </c>
      <c r="I156" s="234" t="s">
        <v>35</v>
      </c>
      <c r="J156" s="234" t="s">
        <v>283</v>
      </c>
      <c r="K156" s="234" t="s">
        <v>39</v>
      </c>
      <c r="L156" s="127" t="s">
        <v>303</v>
      </c>
      <c r="M156" s="127" t="s">
        <v>62</v>
      </c>
      <c r="N156" s="127" t="s">
        <v>63</v>
      </c>
      <c r="O156" s="127" t="s">
        <v>64</v>
      </c>
      <c r="P156" s="127" t="s">
        <v>65</v>
      </c>
      <c r="Q156" s="127" t="s">
        <v>66</v>
      </c>
      <c r="R156" s="127" t="s">
        <v>67</v>
      </c>
      <c r="S156" s="127" t="s">
        <v>68</v>
      </c>
      <c r="T156" s="127" t="s">
        <v>69</v>
      </c>
      <c r="U156" s="127" t="s">
        <v>70</v>
      </c>
      <c r="V156" s="127" t="s">
        <v>71</v>
      </c>
      <c r="W156" s="127" t="s">
        <v>72</v>
      </c>
      <c r="X156" s="127" t="s">
        <v>73</v>
      </c>
      <c r="Y156" s="127" t="s">
        <v>74</v>
      </c>
      <c r="Z156" s="127" t="s">
        <v>75</v>
      </c>
      <c r="AA156" s="127" t="s">
        <v>76</v>
      </c>
      <c r="AB156" s="127" t="s">
        <v>77</v>
      </c>
      <c r="AC156" s="127" t="s">
        <v>78</v>
      </c>
      <c r="AD156" s="127" t="s">
        <v>79</v>
      </c>
      <c r="AE156" s="127" t="s">
        <v>80</v>
      </c>
      <c r="AF156" s="127" t="s">
        <v>81</v>
      </c>
      <c r="AG156" s="127" t="s">
        <v>82</v>
      </c>
      <c r="AH156" s="127" t="s">
        <v>83</v>
      </c>
      <c r="AI156" s="127" t="s">
        <v>84</v>
      </c>
      <c r="AJ156" s="127" t="s">
        <v>85</v>
      </c>
      <c r="AK156" s="127" t="s">
        <v>86</v>
      </c>
      <c r="AL156" s="127" t="s">
        <v>87</v>
      </c>
      <c r="AM156" s="127" t="s">
        <v>88</v>
      </c>
      <c r="AN156" s="127" t="s">
        <v>89</v>
      </c>
      <c r="AO156" s="127" t="s">
        <v>90</v>
      </c>
      <c r="AP156" s="127" t="s">
        <v>91</v>
      </c>
      <c r="AQ156" s="127" t="s">
        <v>92</v>
      </c>
      <c r="AR156" s="127" t="s">
        <v>93</v>
      </c>
      <c r="AS156" s="127" t="s">
        <v>94</v>
      </c>
      <c r="AT156" s="127" t="s">
        <v>95</v>
      </c>
      <c r="AU156" s="127" t="s">
        <v>96</v>
      </c>
      <c r="AV156" s="127" t="s">
        <v>97</v>
      </c>
      <c r="AW156" s="127" t="s">
        <v>98</v>
      </c>
      <c r="AX156" s="127" t="s">
        <v>99</v>
      </c>
      <c r="AY156" s="127" t="s">
        <v>100</v>
      </c>
      <c r="AZ156" s="127" t="s">
        <v>101</v>
      </c>
      <c r="BA156" s="127" t="s">
        <v>102</v>
      </c>
      <c r="BB156" s="127" t="s">
        <v>103</v>
      </c>
      <c r="BC156" s="127" t="s">
        <v>104</v>
      </c>
      <c r="BD156" s="127" t="s">
        <v>105</v>
      </c>
      <c r="BE156" s="127" t="s">
        <v>106</v>
      </c>
    </row>
    <row r="157" spans="1:57" x14ac:dyDescent="0.35">
      <c r="A157" s="2"/>
      <c r="B157" s="2"/>
      <c r="C157" s="2"/>
      <c r="D157" s="2"/>
      <c r="E157" s="96">
        <f>'Project description'!$B$5</f>
        <v>0</v>
      </c>
      <c r="F157" s="96" t="str">
        <f>Lists!$B$34</f>
        <v/>
      </c>
      <c r="G157" s="96" t="s">
        <v>148</v>
      </c>
      <c r="H157" s="96" t="s">
        <v>128</v>
      </c>
      <c r="I157" s="96" t="s">
        <v>109</v>
      </c>
      <c r="J157" s="346">
        <f>Analysis_year</f>
        <v>0</v>
      </c>
      <c r="K157" s="244" t="str">
        <f>IF(Inputs!G174="","",Inputs!G174)</f>
        <v/>
      </c>
      <c r="L157" s="383">
        <f>Inputs!H174*IF(Inputs!$E174="Real",1,L$5)</f>
        <v>0</v>
      </c>
      <c r="M157" s="383">
        <f>Inputs!I174*IF(Inputs!$E174="Real",1,M$5)</f>
        <v>0</v>
      </c>
      <c r="N157" s="383">
        <f>Inputs!J174*IF(Inputs!$E174="Real",1,N$5)</f>
        <v>0</v>
      </c>
      <c r="O157" s="383">
        <f>Inputs!K174*IF(Inputs!$E174="Real",1,O$5)</f>
        <v>0</v>
      </c>
      <c r="P157" s="383">
        <f>Inputs!L174*IF(Inputs!$E174="Real",1,P$5)</f>
        <v>0</v>
      </c>
      <c r="Q157" s="383">
        <f>Inputs!M174*IF(Inputs!$E174="Real",1,Q$5)</f>
        <v>0</v>
      </c>
      <c r="R157" s="383">
        <f>Inputs!N174*IF(Inputs!$E174="Real",1,R$5)</f>
        <v>0</v>
      </c>
      <c r="S157" s="383">
        <f>Inputs!O174*IF(Inputs!$E174="Real",1,S$5)</f>
        <v>0</v>
      </c>
      <c r="T157" s="383">
        <f>Inputs!P174*IF(Inputs!$E174="Real",1,T$5)</f>
        <v>0</v>
      </c>
      <c r="U157" s="383">
        <f>Inputs!Q174*IF(Inputs!$E174="Real",1,U$5)</f>
        <v>0</v>
      </c>
      <c r="V157" s="383">
        <f>Inputs!R174*IF(Inputs!$E174="Real",1,V$5)</f>
        <v>0</v>
      </c>
      <c r="W157" s="383">
        <f>Inputs!S174*IF(Inputs!$E174="Real",1,W$5)</f>
        <v>0</v>
      </c>
      <c r="X157" s="383">
        <f>Inputs!T174*IF(Inputs!$E174="Real",1,X$5)</f>
        <v>0</v>
      </c>
      <c r="Y157" s="383">
        <f>Inputs!U174*IF(Inputs!$E174="Real",1,Y$5)</f>
        <v>0</v>
      </c>
      <c r="Z157" s="383">
        <f>Inputs!V174*IF(Inputs!$E174="Real",1,Z$5)</f>
        <v>0</v>
      </c>
      <c r="AA157" s="383">
        <f>Inputs!W174*IF(Inputs!$E174="Real",1,AA$5)</f>
        <v>0</v>
      </c>
      <c r="AB157" s="383">
        <f>Inputs!X174*IF(Inputs!$E174="Real",1,AB$5)</f>
        <v>0</v>
      </c>
      <c r="AC157" s="383">
        <f>Inputs!Y174*IF(Inputs!$E174="Real",1,AC$5)</f>
        <v>0</v>
      </c>
      <c r="AD157" s="383">
        <f>Inputs!Z174*IF(Inputs!$E174="Real",1,AD$5)</f>
        <v>0</v>
      </c>
      <c r="AE157" s="383">
        <f>Inputs!AA174*IF(Inputs!$E174="Real",1,AE$5)</f>
        <v>0</v>
      </c>
      <c r="AF157" s="383">
        <f>Inputs!AB174*IF(Inputs!$E174="Real",1,AF$5)</f>
        <v>0</v>
      </c>
      <c r="AG157" s="383">
        <f>Inputs!AC174*IF(Inputs!$E174="Real",1,AG$5)</f>
        <v>0</v>
      </c>
      <c r="AH157" s="383">
        <f>Inputs!AD174*IF(Inputs!$E174="Real",1,AH$5)</f>
        <v>0</v>
      </c>
      <c r="AI157" s="383">
        <f>Inputs!AE174*IF(Inputs!$E174="Real",1,AI$5)</f>
        <v>0</v>
      </c>
      <c r="AJ157" s="383">
        <f>Inputs!AF174*IF(Inputs!$E174="Real",1,AJ$5)</f>
        <v>0</v>
      </c>
      <c r="AK157" s="383">
        <f>Inputs!AG174*IF(Inputs!$E174="Real",1,AK$5)</f>
        <v>0</v>
      </c>
      <c r="AL157" s="383">
        <f>Inputs!AH174*IF(Inputs!$E174="Real",1,AL$5)</f>
        <v>0</v>
      </c>
      <c r="AM157" s="383">
        <f>Inputs!AI174*IF(Inputs!$E174="Real",1,AM$5)</f>
        <v>0</v>
      </c>
      <c r="AN157" s="383">
        <f>Inputs!AJ174*IF(Inputs!$E174="Real",1,AN$5)</f>
        <v>0</v>
      </c>
      <c r="AO157" s="383">
        <f>Inputs!AK174*IF(Inputs!$E174="Real",1,AO$5)</f>
        <v>0</v>
      </c>
      <c r="AP157" s="383">
        <f>Inputs!AL174*IF(Inputs!$E174="Real",1,AP$5)</f>
        <v>0</v>
      </c>
      <c r="AQ157" s="383">
        <f>Inputs!AM174*IF(Inputs!$E174="Real",1,AQ$5)</f>
        <v>0</v>
      </c>
      <c r="AR157" s="383">
        <f>Inputs!AN174*IF(Inputs!$E174="Real",1,AR$5)</f>
        <v>0</v>
      </c>
      <c r="AS157" s="383">
        <f>Inputs!AO174*IF(Inputs!$E174="Real",1,AS$5)</f>
        <v>0</v>
      </c>
      <c r="AT157" s="383">
        <f>Inputs!AP174*IF(Inputs!$E174="Real",1,AT$5)</f>
        <v>0</v>
      </c>
      <c r="AU157" s="383">
        <f>Inputs!AQ174*IF(Inputs!$E174="Real",1,AU$5)</f>
        <v>0</v>
      </c>
      <c r="AV157" s="383">
        <f>Inputs!AR174*IF(Inputs!$E174="Real",1,AV$5)</f>
        <v>0</v>
      </c>
      <c r="AW157" s="383">
        <f>Inputs!AS174*IF(Inputs!$E174="Real",1,AW$5)</f>
        <v>0</v>
      </c>
      <c r="AX157" s="383">
        <f>Inputs!AT174*IF(Inputs!$E174="Real",1,AX$5)</f>
        <v>0</v>
      </c>
      <c r="AY157" s="383">
        <f>Inputs!AU174*IF(Inputs!$E174="Real",1,AY$5)</f>
        <v>0</v>
      </c>
      <c r="AZ157" s="383">
        <f>Inputs!AV174*IF(Inputs!$E174="Real",1,AZ$5)</f>
        <v>0</v>
      </c>
      <c r="BA157" s="383">
        <f>Inputs!AW174*IF(Inputs!$E174="Real",1,BA$5)</f>
        <v>0</v>
      </c>
      <c r="BB157" s="383">
        <f>Inputs!AX174*IF(Inputs!$E174="Real",1,BB$5)</f>
        <v>0</v>
      </c>
      <c r="BC157" s="383">
        <f>Inputs!AY174*IF(Inputs!$E174="Real",1,BC$5)</f>
        <v>0</v>
      </c>
      <c r="BD157" s="383">
        <f>Inputs!AZ174*IF(Inputs!$E174="Real",1,BD$5)</f>
        <v>0</v>
      </c>
      <c r="BE157" s="383">
        <f>Inputs!BA174*IF(Inputs!$E174="Real",1,BE$5)</f>
        <v>0</v>
      </c>
    </row>
    <row r="158" spans="1:57" x14ac:dyDescent="0.35">
      <c r="A158" s="2"/>
      <c r="B158" s="2"/>
      <c r="C158" s="2"/>
      <c r="D158" s="2"/>
      <c r="E158" s="2"/>
      <c r="F158" s="2"/>
      <c r="G158" s="2"/>
      <c r="H158" s="2"/>
      <c r="I158" s="2"/>
      <c r="J158" s="111"/>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row>
    <row r="159" spans="1:57" x14ac:dyDescent="0.35">
      <c r="A159" s="27" t="s">
        <v>48</v>
      </c>
      <c r="B159" s="27"/>
      <c r="C159" s="27"/>
      <c r="D159" s="27"/>
      <c r="E159" s="386" t="s">
        <v>329</v>
      </c>
      <c r="F159" s="386" t="s">
        <v>330</v>
      </c>
      <c r="G159" s="256" t="s">
        <v>328</v>
      </c>
      <c r="H159" s="256" t="s">
        <v>127</v>
      </c>
      <c r="I159" s="256" t="s">
        <v>35</v>
      </c>
      <c r="J159" s="328" t="s">
        <v>283</v>
      </c>
      <c r="K159" s="256" t="s">
        <v>39</v>
      </c>
      <c r="L159" s="10" t="s">
        <v>303</v>
      </c>
      <c r="M159" s="10" t="s">
        <v>62</v>
      </c>
      <c r="N159" s="10" t="s">
        <v>63</v>
      </c>
      <c r="O159" s="10" t="s">
        <v>64</v>
      </c>
      <c r="P159" s="10" t="s">
        <v>65</v>
      </c>
      <c r="Q159" s="10" t="s">
        <v>66</v>
      </c>
      <c r="R159" s="10" t="s">
        <v>67</v>
      </c>
      <c r="S159" s="10" t="s">
        <v>68</v>
      </c>
      <c r="T159" s="10" t="s">
        <v>69</v>
      </c>
      <c r="U159" s="10" t="s">
        <v>70</v>
      </c>
      <c r="V159" s="10" t="s">
        <v>71</v>
      </c>
      <c r="W159" s="10" t="s">
        <v>72</v>
      </c>
      <c r="X159" s="10" t="s">
        <v>73</v>
      </c>
      <c r="Y159" s="10" t="s">
        <v>74</v>
      </c>
      <c r="Z159" s="10" t="s">
        <v>75</v>
      </c>
      <c r="AA159" s="10" t="s">
        <v>76</v>
      </c>
      <c r="AB159" s="10" t="s">
        <v>77</v>
      </c>
      <c r="AC159" s="10" t="s">
        <v>78</v>
      </c>
      <c r="AD159" s="10" t="s">
        <v>79</v>
      </c>
      <c r="AE159" s="10" t="s">
        <v>80</v>
      </c>
      <c r="AF159" s="10" t="s">
        <v>81</v>
      </c>
      <c r="AG159" s="10" t="s">
        <v>82</v>
      </c>
      <c r="AH159" s="10" t="s">
        <v>83</v>
      </c>
      <c r="AI159" s="10" t="s">
        <v>84</v>
      </c>
      <c r="AJ159" s="10" t="s">
        <v>85</v>
      </c>
      <c r="AK159" s="10" t="s">
        <v>86</v>
      </c>
      <c r="AL159" s="10" t="s">
        <v>87</v>
      </c>
      <c r="AM159" s="10" t="s">
        <v>88</v>
      </c>
      <c r="AN159" s="10" t="s">
        <v>89</v>
      </c>
      <c r="AO159" s="10" t="s">
        <v>90</v>
      </c>
      <c r="AP159" s="10" t="s">
        <v>91</v>
      </c>
      <c r="AQ159" s="10" t="s">
        <v>92</v>
      </c>
      <c r="AR159" s="10" t="s">
        <v>93</v>
      </c>
      <c r="AS159" s="10" t="s">
        <v>94</v>
      </c>
      <c r="AT159" s="10" t="s">
        <v>95</v>
      </c>
      <c r="AU159" s="10" t="s">
        <v>96</v>
      </c>
      <c r="AV159" s="10" t="s">
        <v>97</v>
      </c>
      <c r="AW159" s="10" t="s">
        <v>98</v>
      </c>
      <c r="AX159" s="10" t="s">
        <v>99</v>
      </c>
      <c r="AY159" s="10" t="s">
        <v>100</v>
      </c>
      <c r="AZ159" s="10" t="s">
        <v>101</v>
      </c>
      <c r="BA159" s="10" t="s">
        <v>102</v>
      </c>
      <c r="BB159" s="10" t="s">
        <v>103</v>
      </c>
      <c r="BC159" s="10" t="s">
        <v>104</v>
      </c>
      <c r="BD159" s="10" t="s">
        <v>105</v>
      </c>
      <c r="BE159" s="10" t="s">
        <v>106</v>
      </c>
    </row>
    <row r="160" spans="1:57" x14ac:dyDescent="0.35">
      <c r="A160" s="10"/>
      <c r="B160" s="10"/>
      <c r="C160" s="10"/>
      <c r="D160" s="10"/>
      <c r="E160" s="189">
        <f>'Project description'!$B$5</f>
        <v>0</v>
      </c>
      <c r="F160" s="189" t="str">
        <f>Lists!$B$34</f>
        <v/>
      </c>
      <c r="G160" s="196" t="s">
        <v>160</v>
      </c>
      <c r="H160" s="196" t="s">
        <v>128</v>
      </c>
      <c r="I160" s="196" t="s">
        <v>109</v>
      </c>
      <c r="J160" s="387">
        <f>Analysis_year</f>
        <v>0</v>
      </c>
      <c r="K160" s="244" t="str">
        <f>IF(Inputs!G177="","",Inputs!G177)</f>
        <v/>
      </c>
      <c r="L160" s="388">
        <f>Inputs!H177*IF(Inputs!$E177="Real",1,L$5)</f>
        <v>0</v>
      </c>
      <c r="M160" s="388">
        <f>Inputs!I177*IF(Inputs!$E177="Real",1,M$5)</f>
        <v>0</v>
      </c>
      <c r="N160" s="388">
        <f>Inputs!J177*IF(Inputs!$E177="Real",1,N$5)</f>
        <v>0</v>
      </c>
      <c r="O160" s="388">
        <f>Inputs!K177*IF(Inputs!$E177="Real",1,O$5)</f>
        <v>0</v>
      </c>
      <c r="P160" s="388">
        <f>Inputs!L177*IF(Inputs!$E177="Real",1,P$5)</f>
        <v>0</v>
      </c>
      <c r="Q160" s="388">
        <f>Inputs!M177*IF(Inputs!$E177="Real",1,Q$5)</f>
        <v>0</v>
      </c>
      <c r="R160" s="388">
        <f>Inputs!N177*IF(Inputs!$E177="Real",1,R$5)</f>
        <v>0</v>
      </c>
      <c r="S160" s="388">
        <f>Inputs!O177*IF(Inputs!$E177="Real",1,S$5)</f>
        <v>0</v>
      </c>
      <c r="T160" s="388">
        <f>Inputs!P177*IF(Inputs!$E177="Real",1,T$5)</f>
        <v>0</v>
      </c>
      <c r="U160" s="388">
        <f>Inputs!Q177*IF(Inputs!$E177="Real",1,U$5)</f>
        <v>0</v>
      </c>
      <c r="V160" s="388">
        <f>Inputs!R177*IF(Inputs!$E177="Real",1,V$5)</f>
        <v>0</v>
      </c>
      <c r="W160" s="388">
        <f>Inputs!S177*IF(Inputs!$E177="Real",1,W$5)</f>
        <v>0</v>
      </c>
      <c r="X160" s="388">
        <f>Inputs!T177*IF(Inputs!$E177="Real",1,X$5)</f>
        <v>0</v>
      </c>
      <c r="Y160" s="388">
        <f>Inputs!U177*IF(Inputs!$E177="Real",1,Y$5)</f>
        <v>0</v>
      </c>
      <c r="Z160" s="388">
        <f>Inputs!V177*IF(Inputs!$E177="Real",1,Z$5)</f>
        <v>0</v>
      </c>
      <c r="AA160" s="388">
        <f>Inputs!W177*IF(Inputs!$E177="Real",1,AA$5)</f>
        <v>0</v>
      </c>
      <c r="AB160" s="388">
        <f>Inputs!X177*IF(Inputs!$E177="Real",1,AB$5)</f>
        <v>0</v>
      </c>
      <c r="AC160" s="388">
        <f>Inputs!Y177*IF(Inputs!$E177="Real",1,AC$5)</f>
        <v>0</v>
      </c>
      <c r="AD160" s="388">
        <f>Inputs!Z177*IF(Inputs!$E177="Real",1,AD$5)</f>
        <v>0</v>
      </c>
      <c r="AE160" s="388">
        <f>Inputs!AA177*IF(Inputs!$E177="Real",1,AE$5)</f>
        <v>0</v>
      </c>
      <c r="AF160" s="388">
        <f>Inputs!AB177*IF(Inputs!$E177="Real",1,AF$5)</f>
        <v>0</v>
      </c>
      <c r="AG160" s="388">
        <f>Inputs!AC177*IF(Inputs!$E177="Real",1,AG$5)</f>
        <v>0</v>
      </c>
      <c r="AH160" s="388">
        <f>Inputs!AD177*IF(Inputs!$E177="Real",1,AH$5)</f>
        <v>0</v>
      </c>
      <c r="AI160" s="388">
        <f>Inputs!AE177*IF(Inputs!$E177="Real",1,AI$5)</f>
        <v>0</v>
      </c>
      <c r="AJ160" s="388">
        <f>Inputs!AF177*IF(Inputs!$E177="Real",1,AJ$5)</f>
        <v>0</v>
      </c>
      <c r="AK160" s="388">
        <f>Inputs!AG177*IF(Inputs!$E177="Real",1,AK$5)</f>
        <v>0</v>
      </c>
      <c r="AL160" s="388">
        <f>Inputs!AH177*IF(Inputs!$E177="Real",1,AL$5)</f>
        <v>0</v>
      </c>
      <c r="AM160" s="388">
        <f>Inputs!AI177*IF(Inputs!$E177="Real",1,AM$5)</f>
        <v>0</v>
      </c>
      <c r="AN160" s="388">
        <f>Inputs!AJ177*IF(Inputs!$E177="Real",1,AN$5)</f>
        <v>0</v>
      </c>
      <c r="AO160" s="388">
        <f>Inputs!AK177*IF(Inputs!$E177="Real",1,AO$5)</f>
        <v>0</v>
      </c>
      <c r="AP160" s="388">
        <f>Inputs!AL177*IF(Inputs!$E177="Real",1,AP$5)</f>
        <v>0</v>
      </c>
      <c r="AQ160" s="388">
        <f>Inputs!AM177*IF(Inputs!$E177="Real",1,AQ$5)</f>
        <v>0</v>
      </c>
      <c r="AR160" s="388">
        <f>Inputs!AN177*IF(Inputs!$E177="Real",1,AR$5)</f>
        <v>0</v>
      </c>
      <c r="AS160" s="388">
        <f>Inputs!AO177*IF(Inputs!$E177="Real",1,AS$5)</f>
        <v>0</v>
      </c>
      <c r="AT160" s="388">
        <f>Inputs!AP177*IF(Inputs!$E177="Real",1,AT$5)</f>
        <v>0</v>
      </c>
      <c r="AU160" s="388">
        <f>Inputs!AQ177*IF(Inputs!$E177="Real",1,AU$5)</f>
        <v>0</v>
      </c>
      <c r="AV160" s="388">
        <f>Inputs!AR177*IF(Inputs!$E177="Real",1,AV$5)</f>
        <v>0</v>
      </c>
      <c r="AW160" s="388">
        <f>Inputs!AS177*IF(Inputs!$E177="Real",1,AW$5)</f>
        <v>0</v>
      </c>
      <c r="AX160" s="388">
        <f>Inputs!AT177*IF(Inputs!$E177="Real",1,AX$5)</f>
        <v>0</v>
      </c>
      <c r="AY160" s="388">
        <f>Inputs!AU177*IF(Inputs!$E177="Real",1,AY$5)</f>
        <v>0</v>
      </c>
      <c r="AZ160" s="388">
        <f>Inputs!AV177*IF(Inputs!$E177="Real",1,AZ$5)</f>
        <v>0</v>
      </c>
      <c r="BA160" s="388">
        <f>Inputs!AW177*IF(Inputs!$E177="Real",1,BA$5)</f>
        <v>0</v>
      </c>
      <c r="BB160" s="388">
        <f>Inputs!AX177*IF(Inputs!$E177="Real",1,BB$5)</f>
        <v>0</v>
      </c>
      <c r="BC160" s="388">
        <f>Inputs!AY177*IF(Inputs!$E177="Real",1,BC$5)</f>
        <v>0</v>
      </c>
      <c r="BD160" s="388">
        <f>Inputs!AZ177*IF(Inputs!$E177="Real",1,BD$5)</f>
        <v>0</v>
      </c>
      <c r="BE160" s="388">
        <f>Inputs!BA177*IF(Inputs!$E177="Real",1,BE$5)</f>
        <v>0</v>
      </c>
    </row>
    <row r="161" spans="1:57" x14ac:dyDescent="0.35">
      <c r="A161" s="10"/>
      <c r="B161" s="10"/>
      <c r="C161" s="10"/>
      <c r="D161" s="10"/>
      <c r="E161" s="10"/>
      <c r="F161" s="2"/>
      <c r="G161" s="4"/>
      <c r="H161" s="4"/>
      <c r="I161" s="129"/>
      <c r="J161" s="130"/>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c r="BA161" s="129"/>
      <c r="BB161" s="129"/>
      <c r="BC161" s="129"/>
      <c r="BD161" s="129"/>
      <c r="BE161" s="129"/>
    </row>
    <row r="162" spans="1:57" ht="18.5" x14ac:dyDescent="0.45">
      <c r="A162" s="7" t="s">
        <v>129</v>
      </c>
      <c r="B162" s="7"/>
      <c r="C162" s="7"/>
      <c r="D162" s="7"/>
      <c r="E162" s="7"/>
      <c r="F162" s="2"/>
      <c r="G162" s="10"/>
      <c r="H162" s="4"/>
      <c r="I162" s="129"/>
      <c r="J162" s="130"/>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c r="BA162" s="129"/>
      <c r="BB162" s="129"/>
      <c r="BC162" s="129"/>
      <c r="BD162" s="129"/>
      <c r="BE162" s="129"/>
    </row>
    <row r="163" spans="1:57" x14ac:dyDescent="0.35">
      <c r="A163" s="28" t="s">
        <v>37</v>
      </c>
      <c r="B163" s="28"/>
      <c r="C163" s="28"/>
      <c r="D163" s="28"/>
      <c r="E163" s="382" t="s">
        <v>329</v>
      </c>
      <c r="F163" s="382" t="s">
        <v>330</v>
      </c>
      <c r="G163" s="212" t="s">
        <v>328</v>
      </c>
      <c r="H163" s="212" t="s">
        <v>144</v>
      </c>
      <c r="I163" s="212" t="s">
        <v>35</v>
      </c>
      <c r="J163" s="329" t="s">
        <v>283</v>
      </c>
      <c r="K163" s="212" t="s">
        <v>39</v>
      </c>
      <c r="L163" s="213" t="s">
        <v>303</v>
      </c>
      <c r="M163" s="213" t="s">
        <v>62</v>
      </c>
      <c r="N163" s="213" t="s">
        <v>63</v>
      </c>
      <c r="O163" s="213" t="s">
        <v>64</v>
      </c>
      <c r="P163" s="213" t="s">
        <v>65</v>
      </c>
      <c r="Q163" s="213" t="s">
        <v>66</v>
      </c>
      <c r="R163" s="213" t="s">
        <v>67</v>
      </c>
      <c r="S163" s="213" t="s">
        <v>68</v>
      </c>
      <c r="T163" s="213" t="s">
        <v>69</v>
      </c>
      <c r="U163" s="213" t="s">
        <v>70</v>
      </c>
      <c r="V163" s="213" t="s">
        <v>71</v>
      </c>
      <c r="W163" s="213" t="s">
        <v>72</v>
      </c>
      <c r="X163" s="213" t="s">
        <v>73</v>
      </c>
      <c r="Y163" s="213" t="s">
        <v>74</v>
      </c>
      <c r="Z163" s="213" t="s">
        <v>75</v>
      </c>
      <c r="AA163" s="213" t="s">
        <v>76</v>
      </c>
      <c r="AB163" s="213" t="s">
        <v>77</v>
      </c>
      <c r="AC163" s="213" t="s">
        <v>78</v>
      </c>
      <c r="AD163" s="213" t="s">
        <v>79</v>
      </c>
      <c r="AE163" s="213" t="s">
        <v>80</v>
      </c>
      <c r="AF163" s="213" t="s">
        <v>81</v>
      </c>
      <c r="AG163" s="213" t="s">
        <v>82</v>
      </c>
      <c r="AH163" s="213" t="s">
        <v>83</v>
      </c>
      <c r="AI163" s="213" t="s">
        <v>84</v>
      </c>
      <c r="AJ163" s="213" t="s">
        <v>85</v>
      </c>
      <c r="AK163" s="213" t="s">
        <v>86</v>
      </c>
      <c r="AL163" s="213" t="s">
        <v>87</v>
      </c>
      <c r="AM163" s="213" t="s">
        <v>88</v>
      </c>
      <c r="AN163" s="213" t="s">
        <v>89</v>
      </c>
      <c r="AO163" s="213" t="s">
        <v>90</v>
      </c>
      <c r="AP163" s="213" t="s">
        <v>91</v>
      </c>
      <c r="AQ163" s="213" t="s">
        <v>92</v>
      </c>
      <c r="AR163" s="213" t="s">
        <v>93</v>
      </c>
      <c r="AS163" s="213" t="s">
        <v>94</v>
      </c>
      <c r="AT163" s="213" t="s">
        <v>95</v>
      </c>
      <c r="AU163" s="213" t="s">
        <v>96</v>
      </c>
      <c r="AV163" s="213" t="s">
        <v>97</v>
      </c>
      <c r="AW163" s="213" t="s">
        <v>98</v>
      </c>
      <c r="AX163" s="213" t="s">
        <v>99</v>
      </c>
      <c r="AY163" s="213" t="s">
        <v>100</v>
      </c>
      <c r="AZ163" s="213" t="s">
        <v>101</v>
      </c>
      <c r="BA163" s="213" t="s">
        <v>102</v>
      </c>
      <c r="BB163" s="213" t="s">
        <v>103</v>
      </c>
      <c r="BC163" s="213" t="s">
        <v>104</v>
      </c>
      <c r="BD163" s="213" t="s">
        <v>105</v>
      </c>
      <c r="BE163" s="213" t="s">
        <v>106</v>
      </c>
    </row>
    <row r="164" spans="1:57" x14ac:dyDescent="0.35">
      <c r="A164" s="10"/>
      <c r="B164" s="10"/>
      <c r="C164" s="10"/>
      <c r="D164" s="10"/>
      <c r="E164" s="96">
        <f>'Project description'!$B$5</f>
        <v>0</v>
      </c>
      <c r="F164" s="96" t="str">
        <f>Lists!$B$34</f>
        <v/>
      </c>
      <c r="G164" s="389" t="s">
        <v>148</v>
      </c>
      <c r="H164" s="389" t="s">
        <v>130</v>
      </c>
      <c r="I164" s="389" t="s">
        <v>109</v>
      </c>
      <c r="J164" s="380">
        <f>Analysis_year</f>
        <v>0</v>
      </c>
      <c r="K164" s="381" t="str">
        <f>IF(Inputs!G181="","",Inputs!G181)</f>
        <v/>
      </c>
      <c r="L164" s="390">
        <f>Inputs!H181*L$5</f>
        <v>0</v>
      </c>
      <c r="M164" s="390">
        <f>Inputs!I181*M$5</f>
        <v>0</v>
      </c>
      <c r="N164" s="390">
        <f>Inputs!J181*N$5</f>
        <v>0</v>
      </c>
      <c r="O164" s="390">
        <f>Inputs!K181*O$5</f>
        <v>0</v>
      </c>
      <c r="P164" s="390">
        <f>Inputs!L181*P$5</f>
        <v>0</v>
      </c>
      <c r="Q164" s="390">
        <f>Inputs!M181*Q$5</f>
        <v>0</v>
      </c>
      <c r="R164" s="390">
        <f>Inputs!N181*R$5</f>
        <v>0</v>
      </c>
      <c r="S164" s="390">
        <f>Inputs!O181*S$5</f>
        <v>0</v>
      </c>
      <c r="T164" s="390">
        <f>Inputs!P181*T$5</f>
        <v>0</v>
      </c>
      <c r="U164" s="390">
        <f>Inputs!Q181*U$5</f>
        <v>0</v>
      </c>
      <c r="V164" s="390">
        <f>Inputs!R181*V$5</f>
        <v>0</v>
      </c>
      <c r="W164" s="390">
        <f>Inputs!S181*W$5</f>
        <v>0</v>
      </c>
      <c r="X164" s="390">
        <f>Inputs!T181*X$5</f>
        <v>0</v>
      </c>
      <c r="Y164" s="390">
        <f>Inputs!U181*Y$5</f>
        <v>0</v>
      </c>
      <c r="Z164" s="390">
        <f>Inputs!V181*Z$5</f>
        <v>0</v>
      </c>
      <c r="AA164" s="390">
        <f>Inputs!W181*AA$5</f>
        <v>0</v>
      </c>
      <c r="AB164" s="390">
        <f>Inputs!X181*AB$5</f>
        <v>0</v>
      </c>
      <c r="AC164" s="390">
        <f>Inputs!Y181*AC$5</f>
        <v>0</v>
      </c>
      <c r="AD164" s="390">
        <f>Inputs!Z181*AD$5</f>
        <v>0</v>
      </c>
      <c r="AE164" s="390">
        <f>Inputs!AA181*AE$5</f>
        <v>0</v>
      </c>
      <c r="AF164" s="390">
        <f>Inputs!AB181*AF$5</f>
        <v>0</v>
      </c>
      <c r="AG164" s="390">
        <f>Inputs!AC181*AG$5</f>
        <v>0</v>
      </c>
      <c r="AH164" s="390">
        <f>Inputs!AD181*AH$5</f>
        <v>0</v>
      </c>
      <c r="AI164" s="390">
        <f>Inputs!AE181*AI$5</f>
        <v>0</v>
      </c>
      <c r="AJ164" s="390">
        <f>Inputs!AF181*AJ$5</f>
        <v>0</v>
      </c>
      <c r="AK164" s="390">
        <f>Inputs!AG181*AK$5</f>
        <v>0</v>
      </c>
      <c r="AL164" s="390">
        <f>Inputs!AH181*AL$5</f>
        <v>0</v>
      </c>
      <c r="AM164" s="390">
        <f>Inputs!AI181*AM$5</f>
        <v>0</v>
      </c>
      <c r="AN164" s="390">
        <f>Inputs!AJ181*AN$5</f>
        <v>0</v>
      </c>
      <c r="AO164" s="390">
        <f>Inputs!AK181*AO$5</f>
        <v>0</v>
      </c>
      <c r="AP164" s="390">
        <f>Inputs!AL181*AP$5</f>
        <v>0</v>
      </c>
      <c r="AQ164" s="390">
        <f>Inputs!AM181*AQ$5</f>
        <v>0</v>
      </c>
      <c r="AR164" s="390">
        <f>Inputs!AN181*AR$5</f>
        <v>0</v>
      </c>
      <c r="AS164" s="390">
        <f>Inputs!AO181*AS$5</f>
        <v>0</v>
      </c>
      <c r="AT164" s="390">
        <f>Inputs!AP181*AT$5</f>
        <v>0</v>
      </c>
      <c r="AU164" s="390">
        <f>Inputs!AQ181*AU$5</f>
        <v>0</v>
      </c>
      <c r="AV164" s="390">
        <f>Inputs!AR181*AV$5</f>
        <v>0</v>
      </c>
      <c r="AW164" s="390">
        <f>Inputs!AS181*AW$5</f>
        <v>0</v>
      </c>
      <c r="AX164" s="390">
        <f>Inputs!AT181*AX$5</f>
        <v>0</v>
      </c>
      <c r="AY164" s="390">
        <f>Inputs!AU181*AY$5</f>
        <v>0</v>
      </c>
      <c r="AZ164" s="390">
        <f>Inputs!AV181*AZ$5</f>
        <v>0</v>
      </c>
      <c r="BA164" s="390">
        <f>Inputs!AW181*BA$5</f>
        <v>0</v>
      </c>
      <c r="BB164" s="390">
        <f>Inputs!AX181*BB$5</f>
        <v>0</v>
      </c>
      <c r="BC164" s="390">
        <f>Inputs!AY181*BC$5</f>
        <v>0</v>
      </c>
      <c r="BD164" s="390">
        <f>Inputs!AZ181*BD$5</f>
        <v>0</v>
      </c>
      <c r="BE164" s="390">
        <f>Inputs!BA181*BE$5</f>
        <v>0</v>
      </c>
    </row>
    <row r="165" spans="1:57" x14ac:dyDescent="0.35">
      <c r="A165" s="10"/>
      <c r="B165" s="10"/>
      <c r="C165" s="10"/>
      <c r="D165" s="10"/>
      <c r="E165" s="2"/>
      <c r="F165" s="2"/>
      <c r="G165" s="2"/>
      <c r="H165" s="4"/>
      <c r="I165" s="129"/>
      <c r="J165" s="130"/>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c r="BA165" s="129"/>
      <c r="BB165" s="129"/>
      <c r="BC165" s="129"/>
      <c r="BD165" s="129"/>
      <c r="BE165" s="129"/>
    </row>
    <row r="166" spans="1:57" x14ac:dyDescent="0.35">
      <c r="A166" s="27" t="s">
        <v>48</v>
      </c>
      <c r="B166" s="27"/>
      <c r="C166" s="27"/>
      <c r="D166" s="27"/>
      <c r="E166" s="386" t="s">
        <v>329</v>
      </c>
      <c r="F166" s="386" t="s">
        <v>330</v>
      </c>
      <c r="G166" s="256" t="s">
        <v>328</v>
      </c>
      <c r="H166" s="273" t="s">
        <v>144</v>
      </c>
      <c r="I166" s="240" t="s">
        <v>35</v>
      </c>
      <c r="J166" s="324" t="s">
        <v>283</v>
      </c>
      <c r="K166" s="240" t="s">
        <v>39</v>
      </c>
      <c r="L166" s="241" t="s">
        <v>303</v>
      </c>
      <c r="M166" s="241" t="s">
        <v>62</v>
      </c>
      <c r="N166" s="241" t="s">
        <v>63</v>
      </c>
      <c r="O166" s="241" t="s">
        <v>64</v>
      </c>
      <c r="P166" s="241" t="s">
        <v>65</v>
      </c>
      <c r="Q166" s="241" t="s">
        <v>66</v>
      </c>
      <c r="R166" s="241" t="s">
        <v>67</v>
      </c>
      <c r="S166" s="241" t="s">
        <v>68</v>
      </c>
      <c r="T166" s="241" t="s">
        <v>69</v>
      </c>
      <c r="U166" s="241" t="s">
        <v>70</v>
      </c>
      <c r="V166" s="241" t="s">
        <v>71</v>
      </c>
      <c r="W166" s="241" t="s">
        <v>72</v>
      </c>
      <c r="X166" s="241" t="s">
        <v>73</v>
      </c>
      <c r="Y166" s="241" t="s">
        <v>74</v>
      </c>
      <c r="Z166" s="241" t="s">
        <v>75</v>
      </c>
      <c r="AA166" s="241" t="s">
        <v>76</v>
      </c>
      <c r="AB166" s="241" t="s">
        <v>77</v>
      </c>
      <c r="AC166" s="241" t="s">
        <v>78</v>
      </c>
      <c r="AD166" s="241" t="s">
        <v>79</v>
      </c>
      <c r="AE166" s="241" t="s">
        <v>80</v>
      </c>
      <c r="AF166" s="241" t="s">
        <v>81</v>
      </c>
      <c r="AG166" s="241" t="s">
        <v>82</v>
      </c>
      <c r="AH166" s="241" t="s">
        <v>83</v>
      </c>
      <c r="AI166" s="241" t="s">
        <v>84</v>
      </c>
      <c r="AJ166" s="241" t="s">
        <v>85</v>
      </c>
      <c r="AK166" s="241" t="s">
        <v>86</v>
      </c>
      <c r="AL166" s="241" t="s">
        <v>87</v>
      </c>
      <c r="AM166" s="241" t="s">
        <v>88</v>
      </c>
      <c r="AN166" s="241" t="s">
        <v>89</v>
      </c>
      <c r="AO166" s="241" t="s">
        <v>90</v>
      </c>
      <c r="AP166" s="241" t="s">
        <v>91</v>
      </c>
      <c r="AQ166" s="241" t="s">
        <v>92</v>
      </c>
      <c r="AR166" s="241" t="s">
        <v>93</v>
      </c>
      <c r="AS166" s="241" t="s">
        <v>94</v>
      </c>
      <c r="AT166" s="241" t="s">
        <v>95</v>
      </c>
      <c r="AU166" s="241" t="s">
        <v>96</v>
      </c>
      <c r="AV166" s="241" t="s">
        <v>97</v>
      </c>
      <c r="AW166" s="241" t="s">
        <v>98</v>
      </c>
      <c r="AX166" s="241" t="s">
        <v>99</v>
      </c>
      <c r="AY166" s="241" t="s">
        <v>100</v>
      </c>
      <c r="AZ166" s="241" t="s">
        <v>101</v>
      </c>
      <c r="BA166" s="241" t="s">
        <v>102</v>
      </c>
      <c r="BB166" s="241" t="s">
        <v>103</v>
      </c>
      <c r="BC166" s="241" t="s">
        <v>104</v>
      </c>
      <c r="BD166" s="241" t="s">
        <v>105</v>
      </c>
      <c r="BE166" s="241" t="s">
        <v>106</v>
      </c>
    </row>
    <row r="167" spans="1:57" x14ac:dyDescent="0.35">
      <c r="A167" s="10"/>
      <c r="B167" s="10"/>
      <c r="C167" s="10"/>
      <c r="D167" s="10"/>
      <c r="E167" s="189">
        <f>'Project description'!$B$5</f>
        <v>0</v>
      </c>
      <c r="F167" s="189" t="str">
        <f>Lists!$B$34</f>
        <v/>
      </c>
      <c r="G167" s="196" t="s">
        <v>160</v>
      </c>
      <c r="H167" s="379" t="s">
        <v>130</v>
      </c>
      <c r="I167" s="384" t="s">
        <v>109</v>
      </c>
      <c r="J167" s="385">
        <f>Analysis_year</f>
        <v>0</v>
      </c>
      <c r="K167" s="381" t="str">
        <f>IF(Inputs!G184="","",Inputs!G184)</f>
        <v/>
      </c>
      <c r="L167" s="391">
        <f>Inputs!H184*L$5</f>
        <v>0</v>
      </c>
      <c r="M167" s="391">
        <f>Inputs!I184*M$5</f>
        <v>0</v>
      </c>
      <c r="N167" s="391">
        <f>Inputs!J184*N$5</f>
        <v>0</v>
      </c>
      <c r="O167" s="391">
        <f>Inputs!K184*O$5</f>
        <v>0</v>
      </c>
      <c r="P167" s="391">
        <f>Inputs!L184*P$5</f>
        <v>0</v>
      </c>
      <c r="Q167" s="391">
        <f>Inputs!M184*Q$5</f>
        <v>0</v>
      </c>
      <c r="R167" s="391">
        <f>Inputs!N184*R$5</f>
        <v>0</v>
      </c>
      <c r="S167" s="391">
        <f>Inputs!O184*S$5</f>
        <v>0</v>
      </c>
      <c r="T167" s="391">
        <f>Inputs!P184*T$5</f>
        <v>0</v>
      </c>
      <c r="U167" s="391">
        <f>Inputs!Q184*U$5</f>
        <v>0</v>
      </c>
      <c r="V167" s="391">
        <f>Inputs!R184*V$5</f>
        <v>0</v>
      </c>
      <c r="W167" s="391">
        <f>Inputs!S184*W$5</f>
        <v>0</v>
      </c>
      <c r="X167" s="391">
        <f>Inputs!T184*X$5</f>
        <v>0</v>
      </c>
      <c r="Y167" s="391">
        <f>Inputs!U184*Y$5</f>
        <v>0</v>
      </c>
      <c r="Z167" s="391">
        <f>Inputs!V184*Z$5</f>
        <v>0</v>
      </c>
      <c r="AA167" s="391">
        <f>Inputs!W184*AA$5</f>
        <v>0</v>
      </c>
      <c r="AB167" s="391">
        <f>Inputs!X184*AB$5</f>
        <v>0</v>
      </c>
      <c r="AC167" s="391">
        <f>Inputs!Y184*AC$5</f>
        <v>0</v>
      </c>
      <c r="AD167" s="391">
        <f>Inputs!Z184*AD$5</f>
        <v>0</v>
      </c>
      <c r="AE167" s="391">
        <f>Inputs!AA184*AE$5</f>
        <v>0</v>
      </c>
      <c r="AF167" s="391">
        <f>Inputs!AB184*AF$5</f>
        <v>0</v>
      </c>
      <c r="AG167" s="391">
        <f>Inputs!AC184*AG$5</f>
        <v>0</v>
      </c>
      <c r="AH167" s="391">
        <f>Inputs!AD184*AH$5</f>
        <v>0</v>
      </c>
      <c r="AI167" s="391">
        <f>Inputs!AE184*AI$5</f>
        <v>0</v>
      </c>
      <c r="AJ167" s="391">
        <f>Inputs!AF184*AJ$5</f>
        <v>0</v>
      </c>
      <c r="AK167" s="391">
        <f>Inputs!AG184*AK$5</f>
        <v>0</v>
      </c>
      <c r="AL167" s="391">
        <f>Inputs!AH184*AL$5</f>
        <v>0</v>
      </c>
      <c r="AM167" s="391">
        <f>Inputs!AI184*AM$5</f>
        <v>0</v>
      </c>
      <c r="AN167" s="391">
        <f>Inputs!AJ184*AN$5</f>
        <v>0</v>
      </c>
      <c r="AO167" s="391">
        <f>Inputs!AK184*AO$5</f>
        <v>0</v>
      </c>
      <c r="AP167" s="391">
        <f>Inputs!AL184*AP$5</f>
        <v>0</v>
      </c>
      <c r="AQ167" s="391">
        <f>Inputs!AM184*AQ$5</f>
        <v>0</v>
      </c>
      <c r="AR167" s="391">
        <f>Inputs!AN184*AR$5</f>
        <v>0</v>
      </c>
      <c r="AS167" s="391">
        <f>Inputs!AO184*AS$5</f>
        <v>0</v>
      </c>
      <c r="AT167" s="391">
        <f>Inputs!AP184*AT$5</f>
        <v>0</v>
      </c>
      <c r="AU167" s="391">
        <f>Inputs!AQ184*AU$5</f>
        <v>0</v>
      </c>
      <c r="AV167" s="391">
        <f>Inputs!AR184*AV$5</f>
        <v>0</v>
      </c>
      <c r="AW167" s="391">
        <f>Inputs!AS184*AW$5</f>
        <v>0</v>
      </c>
      <c r="AX167" s="391">
        <f>Inputs!AT184*AX$5</f>
        <v>0</v>
      </c>
      <c r="AY167" s="391">
        <f>Inputs!AU184*AY$5</f>
        <v>0</v>
      </c>
      <c r="AZ167" s="391">
        <f>Inputs!AV184*AZ$5</f>
        <v>0</v>
      </c>
      <c r="BA167" s="391">
        <f>Inputs!AW184*BA$5</f>
        <v>0</v>
      </c>
      <c r="BB167" s="391">
        <f>Inputs!AX184*BB$5</f>
        <v>0</v>
      </c>
      <c r="BC167" s="391">
        <f>Inputs!AY184*BC$5</f>
        <v>0</v>
      </c>
      <c r="BD167" s="391">
        <f>Inputs!AZ184*BD$5</f>
        <v>0</v>
      </c>
      <c r="BE167" s="391">
        <f>Inputs!BA184*BE$5</f>
        <v>0</v>
      </c>
    </row>
    <row r="168" spans="1:57" x14ac:dyDescent="0.35">
      <c r="A168" s="10"/>
      <c r="B168" s="10"/>
      <c r="C168" s="10"/>
      <c r="D168" s="10"/>
      <c r="E168" s="10"/>
      <c r="F168" s="10"/>
      <c r="G168" s="4"/>
      <c r="H168" s="4"/>
      <c r="I168" s="129"/>
      <c r="J168" s="130"/>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c r="BA168" s="129"/>
      <c r="BB168" s="129"/>
      <c r="BC168" s="129"/>
      <c r="BD168" s="129"/>
      <c r="BE168" s="129"/>
    </row>
  </sheetData>
  <sheetProtection algorithmName="SHA-512" hashValue="G7eCkN16YHFU/X/JvTOKIUXkj0HX7l9QgRpWgBJkQJnG9upqw74IFwY5ZFMEjHHjFETVyNyyCIcVRwCQzqDdLQ==" saltValue="x9Z0sa84o7b/C7Mo97qsAg==" spinCount="100000" sheet="1" objects="1" scenarios="1"/>
  <mergeCells count="1">
    <mergeCell ref="A154:H154"/>
  </mergeCells>
  <phoneticPr fontId="20" type="noConversion"/>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B909-7939-4024-AC91-656A76886714}">
  <dimension ref="A1:AV50"/>
  <sheetViews>
    <sheetView topLeftCell="A7" zoomScale="80" zoomScaleNormal="90" workbookViewId="0">
      <selection activeCell="A48" sqref="A48"/>
    </sheetView>
  </sheetViews>
  <sheetFormatPr defaultRowHeight="14.5" x14ac:dyDescent="0.35"/>
  <cols>
    <col min="1" max="1" width="20.81640625" bestFit="1" customWidth="1"/>
    <col min="2" max="2" width="17.7265625" bestFit="1" customWidth="1"/>
    <col min="3" max="3" width="18.08984375" bestFit="1" customWidth="1"/>
    <col min="4" max="24" width="12.7265625" bestFit="1" customWidth="1"/>
    <col min="25" max="47" width="6.6328125" customWidth="1"/>
  </cols>
  <sheetData>
    <row r="1" spans="1:3" x14ac:dyDescent="0.35">
      <c r="A1" s="5" t="str">
        <f>'Project description'!B4</f>
        <v>&lt;Select&gt;</v>
      </c>
      <c r="B1" s="5" t="s">
        <v>312</v>
      </c>
      <c r="C1">
        <f>Analysis_year-Start_Yr</f>
        <v>0</v>
      </c>
    </row>
    <row r="2" spans="1:3" x14ac:dyDescent="0.35">
      <c r="A2" s="5"/>
    </row>
    <row r="3" spans="1:3" x14ac:dyDescent="0.35">
      <c r="A3" s="13" t="s">
        <v>193</v>
      </c>
      <c r="B3" s="2"/>
      <c r="C3" s="2"/>
    </row>
    <row r="4" spans="1:3" x14ac:dyDescent="0.35">
      <c r="A4" s="34" t="s">
        <v>175</v>
      </c>
      <c r="B4" s="86" t="s">
        <v>285</v>
      </c>
      <c r="C4" s="86" t="s">
        <v>286</v>
      </c>
    </row>
    <row r="5" spans="1:3" x14ac:dyDescent="0.35">
      <c r="A5" s="38" t="s">
        <v>176</v>
      </c>
      <c r="B5" s="65">
        <f>Calculations!F65</f>
        <v>0</v>
      </c>
      <c r="C5" s="65">
        <f>Calculations!G65</f>
        <v>0</v>
      </c>
    </row>
    <row r="6" spans="1:3" x14ac:dyDescent="0.35">
      <c r="A6" s="38" t="s">
        <v>160</v>
      </c>
      <c r="B6" s="65">
        <f>Calculations!F66</f>
        <v>0</v>
      </c>
      <c r="C6" s="65">
        <f>Calculations!G66</f>
        <v>0</v>
      </c>
    </row>
    <row r="7" spans="1:3" x14ac:dyDescent="0.35">
      <c r="A7" s="72" t="s">
        <v>177</v>
      </c>
      <c r="B7" s="73" t="str">
        <f>IF(B5&gt;B6,$A5,$A6)</f>
        <v>BC</v>
      </c>
      <c r="C7" s="73" t="str">
        <f>IF(C5&gt;C6,$A5,$A6)</f>
        <v>BC</v>
      </c>
    </row>
    <row r="10" spans="1:3" x14ac:dyDescent="0.35">
      <c r="A10" s="13" t="s">
        <v>194</v>
      </c>
      <c r="B10" s="2"/>
      <c r="C10" s="2"/>
    </row>
    <row r="11" spans="1:3" x14ac:dyDescent="0.35">
      <c r="A11" s="12" t="s">
        <v>181</v>
      </c>
      <c r="B11" s="12" t="s">
        <v>25</v>
      </c>
      <c r="C11" s="87" t="s">
        <v>195</v>
      </c>
    </row>
    <row r="12" spans="1:3" x14ac:dyDescent="0.35">
      <c r="A12" s="13"/>
      <c r="B12" s="13" t="str">
        <f>ReturnType</f>
        <v>&lt;Select&gt;</v>
      </c>
      <c r="C12" s="66"/>
    </row>
    <row r="13" spans="1:3" x14ac:dyDescent="0.35">
      <c r="A13" s="145" t="s">
        <v>176</v>
      </c>
      <c r="B13" s="146">
        <f ca="1">Calculations!E76</f>
        <v>0</v>
      </c>
      <c r="C13" s="147" t="str">
        <f ca="1">Calculations!F76</f>
        <v>No feasible solution</v>
      </c>
    </row>
    <row r="14" spans="1:3" x14ac:dyDescent="0.35">
      <c r="A14" s="148" t="s">
        <v>160</v>
      </c>
      <c r="B14" s="65">
        <f ca="1">Calculations!E77</f>
        <v>0</v>
      </c>
      <c r="C14" s="149" t="str">
        <f ca="1">Calculations!F77</f>
        <v>No feasible solution</v>
      </c>
    </row>
    <row r="15" spans="1:3" x14ac:dyDescent="0.35">
      <c r="A15" s="150" t="s">
        <v>177</v>
      </c>
      <c r="B15" s="151" t="str">
        <f ca="1">IF(B13&gt;B14,$A13,$A14)</f>
        <v>BC</v>
      </c>
      <c r="C15" s="152" t="str">
        <f ca="1">IF(C13&gt;C14,$A13,$A14)</f>
        <v>BC</v>
      </c>
    </row>
    <row r="18" spans="1:48" x14ac:dyDescent="0.35">
      <c r="A18" s="15" t="s">
        <v>289</v>
      </c>
      <c r="B18" s="182" t="s">
        <v>288</v>
      </c>
      <c r="C18" s="182" t="s">
        <v>303</v>
      </c>
      <c r="D18" s="182" t="s">
        <v>62</v>
      </c>
      <c r="E18" s="182" t="s">
        <v>63</v>
      </c>
      <c r="F18" s="182" t="s">
        <v>64</v>
      </c>
      <c r="G18" s="182" t="s">
        <v>65</v>
      </c>
      <c r="H18" s="182" t="s">
        <v>66</v>
      </c>
      <c r="I18" s="182" t="s">
        <v>67</v>
      </c>
      <c r="J18" s="182" t="s">
        <v>68</v>
      </c>
      <c r="K18" s="182" t="s">
        <v>69</v>
      </c>
      <c r="L18" s="182" t="s">
        <v>70</v>
      </c>
      <c r="M18" s="182" t="s">
        <v>71</v>
      </c>
      <c r="N18" s="182" t="s">
        <v>72</v>
      </c>
      <c r="O18" s="182" t="s">
        <v>73</v>
      </c>
      <c r="P18" s="182" t="s">
        <v>74</v>
      </c>
      <c r="Q18" s="182" t="s">
        <v>75</v>
      </c>
      <c r="R18" s="182" t="s">
        <v>76</v>
      </c>
      <c r="S18" s="182" t="s">
        <v>77</v>
      </c>
      <c r="T18" s="182" t="s">
        <v>78</v>
      </c>
      <c r="U18" s="182" t="s">
        <v>79</v>
      </c>
      <c r="V18" s="182" t="s">
        <v>80</v>
      </c>
      <c r="W18" s="182" t="s">
        <v>81</v>
      </c>
      <c r="X18" s="182" t="s">
        <v>82</v>
      </c>
      <c r="Y18" s="182" t="s">
        <v>83</v>
      </c>
      <c r="Z18" s="182" t="s">
        <v>84</v>
      </c>
      <c r="AA18" s="182" t="s">
        <v>85</v>
      </c>
      <c r="AB18" s="182" t="s">
        <v>86</v>
      </c>
      <c r="AC18" s="182" t="s">
        <v>87</v>
      </c>
      <c r="AD18" s="182" t="s">
        <v>88</v>
      </c>
      <c r="AE18" s="182" t="s">
        <v>89</v>
      </c>
      <c r="AF18" s="182" t="s">
        <v>90</v>
      </c>
      <c r="AG18" s="182" t="s">
        <v>91</v>
      </c>
      <c r="AH18" s="182" t="s">
        <v>92</v>
      </c>
      <c r="AI18" s="182" t="s">
        <v>93</v>
      </c>
      <c r="AJ18" s="182" t="s">
        <v>94</v>
      </c>
      <c r="AK18" s="182" t="s">
        <v>95</v>
      </c>
      <c r="AL18" s="182" t="s">
        <v>96</v>
      </c>
      <c r="AM18" s="182" t="s">
        <v>97</v>
      </c>
      <c r="AN18" s="182" t="s">
        <v>98</v>
      </c>
      <c r="AO18" s="182" t="s">
        <v>99</v>
      </c>
      <c r="AP18" s="182" t="s">
        <v>100</v>
      </c>
      <c r="AQ18" s="182" t="s">
        <v>101</v>
      </c>
      <c r="AR18" s="182" t="s">
        <v>102</v>
      </c>
      <c r="AS18" s="182" t="s">
        <v>103</v>
      </c>
      <c r="AT18" s="182" t="s">
        <v>104</v>
      </c>
      <c r="AU18" s="182" t="s">
        <v>105</v>
      </c>
      <c r="AV18" s="182" t="s">
        <v>106</v>
      </c>
    </row>
    <row r="19" spans="1:48" x14ac:dyDescent="0.35">
      <c r="A19" s="77" t="s">
        <v>149</v>
      </c>
      <c r="B19" s="76">
        <f>SUM(C19:AU19)</f>
        <v>0</v>
      </c>
      <c r="C19" s="76">
        <f>'Real values'!L64-'Real values'!L51</f>
        <v>0</v>
      </c>
      <c r="D19" s="76">
        <f>'Real values'!M64-'Real values'!M51</f>
        <v>0</v>
      </c>
      <c r="E19" s="76">
        <f>'Real values'!N64-'Real values'!N51</f>
        <v>0</v>
      </c>
      <c r="F19" s="76">
        <f>'Real values'!O64-'Real values'!O51</f>
        <v>0</v>
      </c>
      <c r="G19" s="76">
        <f>'Real values'!P64-'Real values'!P51</f>
        <v>0</v>
      </c>
      <c r="H19" s="76">
        <f>'Real values'!Q64-'Real values'!Q51</f>
        <v>0</v>
      </c>
      <c r="I19" s="76">
        <f>'Real values'!R64-'Real values'!R51</f>
        <v>0</v>
      </c>
      <c r="J19" s="76">
        <f>'Real values'!S64-'Real values'!S51</f>
        <v>0</v>
      </c>
      <c r="K19" s="76">
        <f>'Real values'!T64-'Real values'!T51</f>
        <v>0</v>
      </c>
      <c r="L19" s="76">
        <f>'Real values'!U64-'Real values'!U51</f>
        <v>0</v>
      </c>
      <c r="M19" s="76">
        <f>'Real values'!V64-'Real values'!V51</f>
        <v>0</v>
      </c>
      <c r="N19" s="76">
        <f>'Real values'!W64-'Real values'!W51</f>
        <v>0</v>
      </c>
      <c r="O19" s="76">
        <f>'Real values'!X64-'Real values'!X51</f>
        <v>0</v>
      </c>
      <c r="P19" s="76">
        <f>'Real values'!Y64-'Real values'!Y51</f>
        <v>0</v>
      </c>
      <c r="Q19" s="76">
        <f>'Real values'!Z64-'Real values'!Z51</f>
        <v>0</v>
      </c>
      <c r="R19" s="76">
        <f>'Real values'!AA64-'Real values'!AA51</f>
        <v>0</v>
      </c>
      <c r="S19" s="76">
        <f>'Real values'!AB64-'Real values'!AB51</f>
        <v>0</v>
      </c>
      <c r="T19" s="76">
        <f>'Real values'!AC64-'Real values'!AC51</f>
        <v>0</v>
      </c>
      <c r="U19" s="76">
        <f>'Real values'!AD64-'Real values'!AD51</f>
        <v>0</v>
      </c>
      <c r="V19" s="76">
        <f>'Real values'!AE64-'Real values'!AE51</f>
        <v>0</v>
      </c>
      <c r="W19" s="76">
        <f>'Real values'!AF64-'Real values'!AF51</f>
        <v>0</v>
      </c>
      <c r="X19" s="76">
        <f>'Real values'!AG64-'Real values'!AG51</f>
        <v>0</v>
      </c>
      <c r="Y19" s="76">
        <f>'Real values'!AH64-'Real values'!AH51</f>
        <v>0</v>
      </c>
      <c r="Z19" s="76">
        <f>'Real values'!AI64-'Real values'!AI51</f>
        <v>0</v>
      </c>
      <c r="AA19" s="76">
        <f>'Real values'!AJ64-'Real values'!AJ51</f>
        <v>0</v>
      </c>
      <c r="AB19" s="76">
        <f>'Real values'!AK64-'Real values'!AK51</f>
        <v>0</v>
      </c>
      <c r="AC19" s="76">
        <f>'Real values'!AL64-'Real values'!AL51</f>
        <v>0</v>
      </c>
      <c r="AD19" s="76">
        <f>'Real values'!AM64-'Real values'!AM51</f>
        <v>0</v>
      </c>
      <c r="AE19" s="76">
        <f>'Real values'!AN64-'Real values'!AN51</f>
        <v>0</v>
      </c>
      <c r="AF19" s="76">
        <f>'Real values'!AO64-'Real values'!AO51</f>
        <v>0</v>
      </c>
      <c r="AG19" s="76">
        <f>'Real values'!AP64-'Real values'!AP51</f>
        <v>0</v>
      </c>
      <c r="AH19" s="76">
        <f>'Real values'!AQ64-'Real values'!AQ51</f>
        <v>0</v>
      </c>
      <c r="AI19" s="76">
        <f>'Real values'!AR64-'Real values'!AR51</f>
        <v>0</v>
      </c>
      <c r="AJ19" s="76">
        <f>'Real values'!AS64-'Real values'!AS51</f>
        <v>0</v>
      </c>
      <c r="AK19" s="76">
        <f>'Real values'!AT64-'Real values'!AT51</f>
        <v>0</v>
      </c>
      <c r="AL19" s="76">
        <f>'Real values'!AU64-'Real values'!AU51</f>
        <v>0</v>
      </c>
      <c r="AM19" s="76">
        <f>'Real values'!AV64-'Real values'!AV51</f>
        <v>0</v>
      </c>
      <c r="AN19" s="76">
        <f>'Real values'!AW64-'Real values'!AW51</f>
        <v>0</v>
      </c>
      <c r="AO19" s="76">
        <f>'Real values'!AX64-'Real values'!AX51</f>
        <v>0</v>
      </c>
      <c r="AP19" s="76">
        <f>'Real values'!AY64-'Real values'!AY51</f>
        <v>0</v>
      </c>
      <c r="AQ19" s="76">
        <f>'Real values'!AZ64-'Real values'!AZ51</f>
        <v>0</v>
      </c>
      <c r="AR19" s="76">
        <f>'Real values'!BA64-'Real values'!BA51</f>
        <v>0</v>
      </c>
      <c r="AS19" s="76">
        <f>'Real values'!BC64-'Real values'!BC51</f>
        <v>0</v>
      </c>
      <c r="AT19" s="76">
        <f>'Real values'!BD64-'Real values'!BD51</f>
        <v>0</v>
      </c>
      <c r="AU19" s="76">
        <f>'Real values'!BE64-'Real values'!BE51</f>
        <v>0</v>
      </c>
      <c r="AV19" s="76">
        <f>'Real values'!BF64-'Real values'!BF51</f>
        <v>0</v>
      </c>
    </row>
    <row r="20" spans="1:48" x14ac:dyDescent="0.35">
      <c r="A20" s="75" t="s">
        <v>150</v>
      </c>
      <c r="B20" s="76">
        <f t="shared" ref="B20:B29" si="0">SUM(C20:AU20)</f>
        <v>0</v>
      </c>
      <c r="C20" s="76">
        <f>'Real values'!L65-'Real values'!L52</f>
        <v>0</v>
      </c>
      <c r="D20" s="76">
        <f>'Real values'!M65-'Real values'!M52</f>
        <v>0</v>
      </c>
      <c r="E20" s="76">
        <f>'Real values'!N65-'Real values'!N52</f>
        <v>0</v>
      </c>
      <c r="F20" s="76">
        <f>'Real values'!O65-'Real values'!O52</f>
        <v>0</v>
      </c>
      <c r="G20" s="76">
        <f>'Real values'!P65-'Real values'!P52</f>
        <v>0</v>
      </c>
      <c r="H20" s="76">
        <f>'Real values'!Q65-'Real values'!Q52</f>
        <v>0</v>
      </c>
      <c r="I20" s="76">
        <f>'Real values'!R65-'Real values'!R52</f>
        <v>0</v>
      </c>
      <c r="J20" s="76">
        <f>'Real values'!S65-'Real values'!S52</f>
        <v>0</v>
      </c>
      <c r="K20" s="76">
        <f>'Real values'!T65-'Real values'!T52</f>
        <v>0</v>
      </c>
      <c r="L20" s="76">
        <f>'Real values'!U65-'Real values'!U52</f>
        <v>0</v>
      </c>
      <c r="M20" s="76">
        <f>'Real values'!V65-'Real values'!V52</f>
        <v>0</v>
      </c>
      <c r="N20" s="76">
        <f>'Real values'!W65-'Real values'!W52</f>
        <v>0</v>
      </c>
      <c r="O20" s="76">
        <f>'Real values'!X65-'Real values'!X52</f>
        <v>0</v>
      </c>
      <c r="P20" s="76">
        <f>'Real values'!Y65-'Real values'!Y52</f>
        <v>0</v>
      </c>
      <c r="Q20" s="76">
        <f>'Real values'!Z65-'Real values'!Z52</f>
        <v>0</v>
      </c>
      <c r="R20" s="76">
        <f>'Real values'!AA65-'Real values'!AA52</f>
        <v>0</v>
      </c>
      <c r="S20" s="76">
        <f>'Real values'!AB65-'Real values'!AB52</f>
        <v>0</v>
      </c>
      <c r="T20" s="76">
        <f>'Real values'!AC65-'Real values'!AC52</f>
        <v>0</v>
      </c>
      <c r="U20" s="76">
        <f>'Real values'!AD65-'Real values'!AD52</f>
        <v>0</v>
      </c>
      <c r="V20" s="76">
        <f>'Real values'!AE65-'Real values'!AE52</f>
        <v>0</v>
      </c>
      <c r="W20" s="76">
        <f>'Real values'!AF65-'Real values'!AF52</f>
        <v>0</v>
      </c>
      <c r="X20" s="76">
        <f>'Real values'!AG65-'Real values'!AG52</f>
        <v>0</v>
      </c>
      <c r="Y20" s="76">
        <f>'Real values'!AH65-'Real values'!AH52</f>
        <v>0</v>
      </c>
      <c r="Z20" s="76">
        <f>'Real values'!AI65-'Real values'!AI52</f>
        <v>0</v>
      </c>
      <c r="AA20" s="76">
        <f>'Real values'!AJ65-'Real values'!AJ52</f>
        <v>0</v>
      </c>
      <c r="AB20" s="76">
        <f>'Real values'!AK65-'Real values'!AK52</f>
        <v>0</v>
      </c>
      <c r="AC20" s="76">
        <f>'Real values'!AL65-'Real values'!AL52</f>
        <v>0</v>
      </c>
      <c r="AD20" s="76">
        <f>'Real values'!AM65-'Real values'!AM52</f>
        <v>0</v>
      </c>
      <c r="AE20" s="76">
        <f>'Real values'!AN65-'Real values'!AN52</f>
        <v>0</v>
      </c>
      <c r="AF20" s="76">
        <f>'Real values'!AO65-'Real values'!AO52</f>
        <v>0</v>
      </c>
      <c r="AG20" s="76">
        <f>'Real values'!AP65-'Real values'!AP52</f>
        <v>0</v>
      </c>
      <c r="AH20" s="76">
        <f>'Real values'!AQ65-'Real values'!AQ52</f>
        <v>0</v>
      </c>
      <c r="AI20" s="76">
        <f>'Real values'!AR65-'Real values'!AR52</f>
        <v>0</v>
      </c>
      <c r="AJ20" s="76">
        <f>'Real values'!AS65-'Real values'!AS52</f>
        <v>0</v>
      </c>
      <c r="AK20" s="76">
        <f>'Real values'!AT65-'Real values'!AT52</f>
        <v>0</v>
      </c>
      <c r="AL20" s="76">
        <f>'Real values'!AU65-'Real values'!AU52</f>
        <v>0</v>
      </c>
      <c r="AM20" s="76">
        <f>'Real values'!AV65-'Real values'!AV52</f>
        <v>0</v>
      </c>
      <c r="AN20" s="76">
        <f>'Real values'!AW65-'Real values'!AW52</f>
        <v>0</v>
      </c>
      <c r="AO20" s="76">
        <f>'Real values'!AX65-'Real values'!AX52</f>
        <v>0</v>
      </c>
      <c r="AP20" s="76">
        <f>'Real values'!AY65-'Real values'!AY52</f>
        <v>0</v>
      </c>
      <c r="AQ20" s="76">
        <f>'Real values'!AZ65-'Real values'!AZ52</f>
        <v>0</v>
      </c>
      <c r="AR20" s="76">
        <f>'Real values'!BA65-'Real values'!BA52</f>
        <v>0</v>
      </c>
      <c r="AS20" s="76">
        <f>'Real values'!BC65-'Real values'!BC52</f>
        <v>0</v>
      </c>
      <c r="AT20" s="76">
        <f>'Real values'!BD65-'Real values'!BD52</f>
        <v>0</v>
      </c>
      <c r="AU20" s="76">
        <f>'Real values'!BE65-'Real values'!BE52</f>
        <v>0</v>
      </c>
      <c r="AV20" s="76">
        <f>'Real values'!BF65-'Real values'!BF52</f>
        <v>0</v>
      </c>
    </row>
    <row r="21" spans="1:48" x14ac:dyDescent="0.35">
      <c r="A21" s="74" t="s">
        <v>151</v>
      </c>
      <c r="B21" s="76">
        <f t="shared" si="0"/>
        <v>0</v>
      </c>
      <c r="C21" s="76">
        <f>'Real values'!L66-'Real values'!L53</f>
        <v>0</v>
      </c>
      <c r="D21" s="76">
        <f>'Real values'!M66-'Real values'!M53</f>
        <v>0</v>
      </c>
      <c r="E21" s="76">
        <f>'Real values'!N66-'Real values'!N53</f>
        <v>0</v>
      </c>
      <c r="F21" s="76">
        <f>'Real values'!O66-'Real values'!O53</f>
        <v>0</v>
      </c>
      <c r="G21" s="76">
        <f>'Real values'!P66-'Real values'!P53</f>
        <v>0</v>
      </c>
      <c r="H21" s="76">
        <f>'Real values'!Q66-'Real values'!Q53</f>
        <v>0</v>
      </c>
      <c r="I21" s="76">
        <f>'Real values'!R66-'Real values'!R53</f>
        <v>0</v>
      </c>
      <c r="J21" s="76">
        <f>'Real values'!S66-'Real values'!S53</f>
        <v>0</v>
      </c>
      <c r="K21" s="76">
        <f>'Real values'!T66-'Real values'!T53</f>
        <v>0</v>
      </c>
      <c r="L21" s="76">
        <f>'Real values'!U66-'Real values'!U53</f>
        <v>0</v>
      </c>
      <c r="M21" s="76">
        <f>'Real values'!V66-'Real values'!V53</f>
        <v>0</v>
      </c>
      <c r="N21" s="76">
        <f>'Real values'!W66-'Real values'!W53</f>
        <v>0</v>
      </c>
      <c r="O21" s="76">
        <f>'Real values'!X66-'Real values'!X53</f>
        <v>0</v>
      </c>
      <c r="P21" s="76">
        <f>'Real values'!Y66-'Real values'!Y53</f>
        <v>0</v>
      </c>
      <c r="Q21" s="76">
        <f>'Real values'!Z66-'Real values'!Z53</f>
        <v>0</v>
      </c>
      <c r="R21" s="76">
        <f>'Real values'!AA66-'Real values'!AA53</f>
        <v>0</v>
      </c>
      <c r="S21" s="76">
        <f>'Real values'!AB66-'Real values'!AB53</f>
        <v>0</v>
      </c>
      <c r="T21" s="76">
        <f>'Real values'!AC66-'Real values'!AC53</f>
        <v>0</v>
      </c>
      <c r="U21" s="76">
        <f>'Real values'!AD66-'Real values'!AD53</f>
        <v>0</v>
      </c>
      <c r="V21" s="76">
        <f>'Real values'!AE66-'Real values'!AE53</f>
        <v>0</v>
      </c>
      <c r="W21" s="76">
        <f>'Real values'!AF66-'Real values'!AF53</f>
        <v>0</v>
      </c>
      <c r="X21" s="76">
        <f>'Real values'!AG66-'Real values'!AG53</f>
        <v>0</v>
      </c>
      <c r="Y21" s="76">
        <f>'Real values'!AH66-'Real values'!AH53</f>
        <v>0</v>
      </c>
      <c r="Z21" s="76">
        <f>'Real values'!AI66-'Real values'!AI53</f>
        <v>0</v>
      </c>
      <c r="AA21" s="76">
        <f>'Real values'!AJ66-'Real values'!AJ53</f>
        <v>0</v>
      </c>
      <c r="AB21" s="76">
        <f>'Real values'!AK66-'Real values'!AK53</f>
        <v>0</v>
      </c>
      <c r="AC21" s="76">
        <f>'Real values'!AL66-'Real values'!AL53</f>
        <v>0</v>
      </c>
      <c r="AD21" s="76">
        <f>'Real values'!AM66-'Real values'!AM53</f>
        <v>0</v>
      </c>
      <c r="AE21" s="76">
        <f>'Real values'!AN66-'Real values'!AN53</f>
        <v>0</v>
      </c>
      <c r="AF21" s="76">
        <f>'Real values'!AO66-'Real values'!AO53</f>
        <v>0</v>
      </c>
      <c r="AG21" s="76">
        <f>'Real values'!AP66-'Real values'!AP53</f>
        <v>0</v>
      </c>
      <c r="AH21" s="76">
        <f>'Real values'!AQ66-'Real values'!AQ53</f>
        <v>0</v>
      </c>
      <c r="AI21" s="76">
        <f>'Real values'!AR66-'Real values'!AR53</f>
        <v>0</v>
      </c>
      <c r="AJ21" s="76">
        <f>'Real values'!AS66-'Real values'!AS53</f>
        <v>0</v>
      </c>
      <c r="AK21" s="76">
        <f>'Real values'!AT66-'Real values'!AT53</f>
        <v>0</v>
      </c>
      <c r="AL21" s="76">
        <f>'Real values'!AU66-'Real values'!AU53</f>
        <v>0</v>
      </c>
      <c r="AM21" s="76">
        <f>'Real values'!AV66-'Real values'!AV53</f>
        <v>0</v>
      </c>
      <c r="AN21" s="76">
        <f>'Real values'!AW66-'Real values'!AW53</f>
        <v>0</v>
      </c>
      <c r="AO21" s="76">
        <f>'Real values'!AX66-'Real values'!AX53</f>
        <v>0</v>
      </c>
      <c r="AP21" s="76">
        <f>'Real values'!AY66-'Real values'!AY53</f>
        <v>0</v>
      </c>
      <c r="AQ21" s="76">
        <f>'Real values'!AZ66-'Real values'!AZ53</f>
        <v>0</v>
      </c>
      <c r="AR21" s="76">
        <f>'Real values'!BA66-'Real values'!BA53</f>
        <v>0</v>
      </c>
      <c r="AS21" s="76">
        <f>'Real values'!BC66-'Real values'!BC53</f>
        <v>0</v>
      </c>
      <c r="AT21" s="76">
        <f>'Real values'!BD66-'Real values'!BD53</f>
        <v>0</v>
      </c>
      <c r="AU21" s="76">
        <f>'Real values'!BE66-'Real values'!BE53</f>
        <v>0</v>
      </c>
      <c r="AV21" s="76">
        <f>'Real values'!BF66-'Real values'!BF53</f>
        <v>0</v>
      </c>
    </row>
    <row r="22" spans="1:48" x14ac:dyDescent="0.35">
      <c r="A22" s="75" t="s">
        <v>152</v>
      </c>
      <c r="B22" s="76">
        <f t="shared" si="0"/>
        <v>0</v>
      </c>
      <c r="C22" s="76">
        <f>'Real values'!L67-'Real values'!L54</f>
        <v>0</v>
      </c>
      <c r="D22" s="76">
        <f>'Real values'!M67-'Real values'!M54</f>
        <v>0</v>
      </c>
      <c r="E22" s="76">
        <f>'Real values'!N67-'Real values'!N54</f>
        <v>0</v>
      </c>
      <c r="F22" s="76">
        <f>'Real values'!O67-'Real values'!O54</f>
        <v>0</v>
      </c>
      <c r="G22" s="76">
        <f>'Real values'!P67-'Real values'!P54</f>
        <v>0</v>
      </c>
      <c r="H22" s="76">
        <f>'Real values'!Q67-'Real values'!Q54</f>
        <v>0</v>
      </c>
      <c r="I22" s="76">
        <f>'Real values'!R67-'Real values'!R54</f>
        <v>0</v>
      </c>
      <c r="J22" s="76">
        <f>'Real values'!S67-'Real values'!S54</f>
        <v>0</v>
      </c>
      <c r="K22" s="76">
        <f>'Real values'!T67-'Real values'!T54</f>
        <v>0</v>
      </c>
      <c r="L22" s="76">
        <f>'Real values'!U67-'Real values'!U54</f>
        <v>0</v>
      </c>
      <c r="M22" s="76">
        <f>'Real values'!V67-'Real values'!V54</f>
        <v>0</v>
      </c>
      <c r="N22" s="76">
        <f>'Real values'!W67-'Real values'!W54</f>
        <v>0</v>
      </c>
      <c r="O22" s="76">
        <f>'Real values'!X67-'Real values'!X54</f>
        <v>0</v>
      </c>
      <c r="P22" s="76">
        <f>'Real values'!Y67-'Real values'!Y54</f>
        <v>0</v>
      </c>
      <c r="Q22" s="76">
        <f>'Real values'!Z67-'Real values'!Z54</f>
        <v>0</v>
      </c>
      <c r="R22" s="76">
        <f>'Real values'!AA67-'Real values'!AA54</f>
        <v>0</v>
      </c>
      <c r="S22" s="76">
        <f>'Real values'!AB67-'Real values'!AB54</f>
        <v>0</v>
      </c>
      <c r="T22" s="76">
        <f>'Real values'!AC67-'Real values'!AC54</f>
        <v>0</v>
      </c>
      <c r="U22" s="76">
        <f>'Real values'!AD67-'Real values'!AD54</f>
        <v>0</v>
      </c>
      <c r="V22" s="76">
        <f>'Real values'!AE67-'Real values'!AE54</f>
        <v>0</v>
      </c>
      <c r="W22" s="76">
        <f>'Real values'!AF67-'Real values'!AF54</f>
        <v>0</v>
      </c>
      <c r="X22" s="76">
        <f>'Real values'!AG67-'Real values'!AG54</f>
        <v>0</v>
      </c>
      <c r="Y22" s="76">
        <f>'Real values'!AH67-'Real values'!AH54</f>
        <v>0</v>
      </c>
      <c r="Z22" s="76">
        <f>'Real values'!AI67-'Real values'!AI54</f>
        <v>0</v>
      </c>
      <c r="AA22" s="76">
        <f>'Real values'!AJ67-'Real values'!AJ54</f>
        <v>0</v>
      </c>
      <c r="AB22" s="76">
        <f>'Real values'!AK67-'Real values'!AK54</f>
        <v>0</v>
      </c>
      <c r="AC22" s="76">
        <f>'Real values'!AL67-'Real values'!AL54</f>
        <v>0</v>
      </c>
      <c r="AD22" s="76">
        <f>'Real values'!AM67-'Real values'!AM54</f>
        <v>0</v>
      </c>
      <c r="AE22" s="76">
        <f>'Real values'!AN67-'Real values'!AN54</f>
        <v>0</v>
      </c>
      <c r="AF22" s="76">
        <f>'Real values'!AO67-'Real values'!AO54</f>
        <v>0</v>
      </c>
      <c r="AG22" s="76">
        <f>'Real values'!AP67-'Real values'!AP54</f>
        <v>0</v>
      </c>
      <c r="AH22" s="76">
        <f>'Real values'!AQ67-'Real values'!AQ54</f>
        <v>0</v>
      </c>
      <c r="AI22" s="76">
        <f>'Real values'!AR67-'Real values'!AR54</f>
        <v>0</v>
      </c>
      <c r="AJ22" s="76">
        <f>'Real values'!AS67-'Real values'!AS54</f>
        <v>0</v>
      </c>
      <c r="AK22" s="76">
        <f>'Real values'!AT67-'Real values'!AT54</f>
        <v>0</v>
      </c>
      <c r="AL22" s="76">
        <f>'Real values'!AU67-'Real values'!AU54</f>
        <v>0</v>
      </c>
      <c r="AM22" s="76">
        <f>'Real values'!AV67-'Real values'!AV54</f>
        <v>0</v>
      </c>
      <c r="AN22" s="76">
        <f>'Real values'!AW67-'Real values'!AW54</f>
        <v>0</v>
      </c>
      <c r="AO22" s="76">
        <f>'Real values'!AX67-'Real values'!AX54</f>
        <v>0</v>
      </c>
      <c r="AP22" s="76">
        <f>'Real values'!AY67-'Real values'!AY54</f>
        <v>0</v>
      </c>
      <c r="AQ22" s="76">
        <f>'Real values'!AZ67-'Real values'!AZ54</f>
        <v>0</v>
      </c>
      <c r="AR22" s="76">
        <f>'Real values'!BA67-'Real values'!BA54</f>
        <v>0</v>
      </c>
      <c r="AS22" s="76">
        <f>'Real values'!BC67-'Real values'!BC54</f>
        <v>0</v>
      </c>
      <c r="AT22" s="76">
        <f>'Real values'!BD67-'Real values'!BD54</f>
        <v>0</v>
      </c>
      <c r="AU22" s="76">
        <f>'Real values'!BE67-'Real values'!BE54</f>
        <v>0</v>
      </c>
      <c r="AV22" s="76">
        <f>'Real values'!BF67-'Real values'!BF54</f>
        <v>0</v>
      </c>
    </row>
    <row r="23" spans="1:48" x14ac:dyDescent="0.35">
      <c r="A23" s="74" t="s">
        <v>153</v>
      </c>
      <c r="B23" s="76">
        <f t="shared" si="0"/>
        <v>0</v>
      </c>
      <c r="C23" s="76">
        <f>'Real values'!L68-'Real values'!L55</f>
        <v>0</v>
      </c>
      <c r="D23" s="76">
        <f>'Real values'!M68-'Real values'!M55</f>
        <v>0</v>
      </c>
      <c r="E23" s="76">
        <f>'Real values'!N68-'Real values'!N55</f>
        <v>0</v>
      </c>
      <c r="F23" s="76">
        <f>'Real values'!O68-'Real values'!O55</f>
        <v>0</v>
      </c>
      <c r="G23" s="76">
        <f>'Real values'!P68-'Real values'!P55</f>
        <v>0</v>
      </c>
      <c r="H23" s="76">
        <f>'Real values'!Q68-'Real values'!Q55</f>
        <v>0</v>
      </c>
      <c r="I23" s="76">
        <f>'Real values'!R68-'Real values'!R55</f>
        <v>0</v>
      </c>
      <c r="J23" s="76">
        <f>'Real values'!S68-'Real values'!S55</f>
        <v>0</v>
      </c>
      <c r="K23" s="76">
        <f>'Real values'!T68-'Real values'!T55</f>
        <v>0</v>
      </c>
      <c r="L23" s="76">
        <f>'Real values'!U68-'Real values'!U55</f>
        <v>0</v>
      </c>
      <c r="M23" s="76">
        <f>'Real values'!V68-'Real values'!V55</f>
        <v>0</v>
      </c>
      <c r="N23" s="76">
        <f>'Real values'!W68-'Real values'!W55</f>
        <v>0</v>
      </c>
      <c r="O23" s="76">
        <f>'Real values'!X68-'Real values'!X55</f>
        <v>0</v>
      </c>
      <c r="P23" s="76">
        <f>'Real values'!Y68-'Real values'!Y55</f>
        <v>0</v>
      </c>
      <c r="Q23" s="76">
        <f>'Real values'!Z68-'Real values'!Z55</f>
        <v>0</v>
      </c>
      <c r="R23" s="76">
        <f>'Real values'!AA68-'Real values'!AA55</f>
        <v>0</v>
      </c>
      <c r="S23" s="76">
        <f>'Real values'!AB68-'Real values'!AB55</f>
        <v>0</v>
      </c>
      <c r="T23" s="76">
        <f>'Real values'!AC68-'Real values'!AC55</f>
        <v>0</v>
      </c>
      <c r="U23" s="76">
        <f>'Real values'!AD68-'Real values'!AD55</f>
        <v>0</v>
      </c>
      <c r="V23" s="76">
        <f>'Real values'!AE68-'Real values'!AE55</f>
        <v>0</v>
      </c>
      <c r="W23" s="76">
        <f>'Real values'!AF68-'Real values'!AF55</f>
        <v>0</v>
      </c>
      <c r="X23" s="76">
        <f>'Real values'!AG68-'Real values'!AG55</f>
        <v>0</v>
      </c>
      <c r="Y23" s="76">
        <f>'Real values'!AH68-'Real values'!AH55</f>
        <v>0</v>
      </c>
      <c r="Z23" s="76">
        <f>'Real values'!AI68-'Real values'!AI55</f>
        <v>0</v>
      </c>
      <c r="AA23" s="76">
        <f>'Real values'!AJ68-'Real values'!AJ55</f>
        <v>0</v>
      </c>
      <c r="AB23" s="76">
        <f>'Real values'!AK68-'Real values'!AK55</f>
        <v>0</v>
      </c>
      <c r="AC23" s="76">
        <f>'Real values'!AL68-'Real values'!AL55</f>
        <v>0</v>
      </c>
      <c r="AD23" s="76">
        <f>'Real values'!AM68-'Real values'!AM55</f>
        <v>0</v>
      </c>
      <c r="AE23" s="76">
        <f>'Real values'!AN68-'Real values'!AN55</f>
        <v>0</v>
      </c>
      <c r="AF23" s="76">
        <f>'Real values'!AO68-'Real values'!AO55</f>
        <v>0</v>
      </c>
      <c r="AG23" s="76">
        <f>'Real values'!AP68-'Real values'!AP55</f>
        <v>0</v>
      </c>
      <c r="AH23" s="76">
        <f>'Real values'!AQ68-'Real values'!AQ55</f>
        <v>0</v>
      </c>
      <c r="AI23" s="76">
        <f>'Real values'!AR68-'Real values'!AR55</f>
        <v>0</v>
      </c>
      <c r="AJ23" s="76">
        <f>'Real values'!AS68-'Real values'!AS55</f>
        <v>0</v>
      </c>
      <c r="AK23" s="76">
        <f>'Real values'!AT68-'Real values'!AT55</f>
        <v>0</v>
      </c>
      <c r="AL23" s="76">
        <f>'Real values'!AU68-'Real values'!AU55</f>
        <v>0</v>
      </c>
      <c r="AM23" s="76">
        <f>'Real values'!AV68-'Real values'!AV55</f>
        <v>0</v>
      </c>
      <c r="AN23" s="76">
        <f>'Real values'!AW68-'Real values'!AW55</f>
        <v>0</v>
      </c>
      <c r="AO23" s="76">
        <f>'Real values'!AX68-'Real values'!AX55</f>
        <v>0</v>
      </c>
      <c r="AP23" s="76">
        <f>'Real values'!AY68-'Real values'!AY55</f>
        <v>0</v>
      </c>
      <c r="AQ23" s="76">
        <f>'Real values'!AZ68-'Real values'!AZ55</f>
        <v>0</v>
      </c>
      <c r="AR23" s="76">
        <f>'Real values'!BA68-'Real values'!BA55</f>
        <v>0</v>
      </c>
      <c r="AS23" s="76">
        <f>'Real values'!BC68-'Real values'!BC55</f>
        <v>0</v>
      </c>
      <c r="AT23" s="76">
        <f>'Real values'!BD68-'Real values'!BD55</f>
        <v>0</v>
      </c>
      <c r="AU23" s="76">
        <f>'Real values'!BE68-'Real values'!BE55</f>
        <v>0</v>
      </c>
      <c r="AV23" s="76">
        <f>'Real values'!BF68-'Real values'!BF55</f>
        <v>0</v>
      </c>
    </row>
    <row r="24" spans="1:48" x14ac:dyDescent="0.35">
      <c r="A24" s="75" t="s">
        <v>154</v>
      </c>
      <c r="B24" s="76">
        <f t="shared" si="0"/>
        <v>0</v>
      </c>
      <c r="C24" s="76">
        <f>'Real values'!L69-'Real values'!L56</f>
        <v>0</v>
      </c>
      <c r="D24" s="76">
        <f>'Real values'!M69-'Real values'!M56</f>
        <v>0</v>
      </c>
      <c r="E24" s="76">
        <f>'Real values'!N69-'Real values'!N56</f>
        <v>0</v>
      </c>
      <c r="F24" s="76">
        <f>'Real values'!O69-'Real values'!O56</f>
        <v>0</v>
      </c>
      <c r="G24" s="76">
        <f>'Real values'!P69-'Real values'!P56</f>
        <v>0</v>
      </c>
      <c r="H24" s="76">
        <f>'Real values'!Q69-'Real values'!Q56</f>
        <v>0</v>
      </c>
      <c r="I24" s="76">
        <f>'Real values'!R69-'Real values'!R56</f>
        <v>0</v>
      </c>
      <c r="J24" s="76">
        <f>'Real values'!S69-'Real values'!S56</f>
        <v>0</v>
      </c>
      <c r="K24" s="76">
        <f>'Real values'!T69-'Real values'!T56</f>
        <v>0</v>
      </c>
      <c r="L24" s="76">
        <f>'Real values'!U69-'Real values'!U56</f>
        <v>0</v>
      </c>
      <c r="M24" s="76">
        <f>'Real values'!V69-'Real values'!V56</f>
        <v>0</v>
      </c>
      <c r="N24" s="76">
        <f>'Real values'!W69-'Real values'!W56</f>
        <v>0</v>
      </c>
      <c r="O24" s="76">
        <f>'Real values'!X69-'Real values'!X56</f>
        <v>0</v>
      </c>
      <c r="P24" s="76">
        <f>'Real values'!Y69-'Real values'!Y56</f>
        <v>0</v>
      </c>
      <c r="Q24" s="76">
        <f>'Real values'!Z69-'Real values'!Z56</f>
        <v>0</v>
      </c>
      <c r="R24" s="76">
        <f>'Real values'!AA69-'Real values'!AA56</f>
        <v>0</v>
      </c>
      <c r="S24" s="76">
        <f>'Real values'!AB69-'Real values'!AB56</f>
        <v>0</v>
      </c>
      <c r="T24" s="76">
        <f>'Real values'!AC69-'Real values'!AC56</f>
        <v>0</v>
      </c>
      <c r="U24" s="76">
        <f>'Real values'!AD69-'Real values'!AD56</f>
        <v>0</v>
      </c>
      <c r="V24" s="76">
        <f>'Real values'!AE69-'Real values'!AE56</f>
        <v>0</v>
      </c>
      <c r="W24" s="76">
        <f>'Real values'!AF69-'Real values'!AF56</f>
        <v>0</v>
      </c>
      <c r="X24" s="76">
        <f>'Real values'!AG69-'Real values'!AG56</f>
        <v>0</v>
      </c>
      <c r="Y24" s="76">
        <f>'Real values'!AH69-'Real values'!AH56</f>
        <v>0</v>
      </c>
      <c r="Z24" s="76">
        <f>'Real values'!AI69-'Real values'!AI56</f>
        <v>0</v>
      </c>
      <c r="AA24" s="76">
        <f>'Real values'!AJ69-'Real values'!AJ56</f>
        <v>0</v>
      </c>
      <c r="AB24" s="76">
        <f>'Real values'!AK69-'Real values'!AK56</f>
        <v>0</v>
      </c>
      <c r="AC24" s="76">
        <f>'Real values'!AL69-'Real values'!AL56</f>
        <v>0</v>
      </c>
      <c r="AD24" s="76">
        <f>'Real values'!AM69-'Real values'!AM56</f>
        <v>0</v>
      </c>
      <c r="AE24" s="76">
        <f>'Real values'!AN69-'Real values'!AN56</f>
        <v>0</v>
      </c>
      <c r="AF24" s="76">
        <f>'Real values'!AO69-'Real values'!AO56</f>
        <v>0</v>
      </c>
      <c r="AG24" s="76">
        <f>'Real values'!AP69-'Real values'!AP56</f>
        <v>0</v>
      </c>
      <c r="AH24" s="76">
        <f>'Real values'!AQ69-'Real values'!AQ56</f>
        <v>0</v>
      </c>
      <c r="AI24" s="76">
        <f>'Real values'!AR69-'Real values'!AR56</f>
        <v>0</v>
      </c>
      <c r="AJ24" s="76">
        <f>'Real values'!AS69-'Real values'!AS56</f>
        <v>0</v>
      </c>
      <c r="AK24" s="76">
        <f>'Real values'!AT69-'Real values'!AT56</f>
        <v>0</v>
      </c>
      <c r="AL24" s="76">
        <f>'Real values'!AU69-'Real values'!AU56</f>
        <v>0</v>
      </c>
      <c r="AM24" s="76">
        <f>'Real values'!AV69-'Real values'!AV56</f>
        <v>0</v>
      </c>
      <c r="AN24" s="76">
        <f>'Real values'!AW69-'Real values'!AW56</f>
        <v>0</v>
      </c>
      <c r="AO24" s="76">
        <f>'Real values'!AX69-'Real values'!AX56</f>
        <v>0</v>
      </c>
      <c r="AP24" s="76">
        <f>'Real values'!AY69-'Real values'!AY56</f>
        <v>0</v>
      </c>
      <c r="AQ24" s="76">
        <f>'Real values'!AZ69-'Real values'!AZ56</f>
        <v>0</v>
      </c>
      <c r="AR24" s="76">
        <f>'Real values'!BA69-'Real values'!BA56</f>
        <v>0</v>
      </c>
      <c r="AS24" s="76">
        <f>'Real values'!BC69-'Real values'!BC56</f>
        <v>0</v>
      </c>
      <c r="AT24" s="76">
        <f>'Real values'!BD69-'Real values'!BD56</f>
        <v>0</v>
      </c>
      <c r="AU24" s="76">
        <f>'Real values'!BE69-'Real values'!BE56</f>
        <v>0</v>
      </c>
      <c r="AV24" s="76">
        <f>'Real values'!BF69-'Real values'!BF56</f>
        <v>0</v>
      </c>
    </row>
    <row r="25" spans="1:48" x14ac:dyDescent="0.35">
      <c r="A25" s="74" t="s">
        <v>155</v>
      </c>
      <c r="B25" s="76">
        <f t="shared" si="0"/>
        <v>0</v>
      </c>
      <c r="C25" s="76">
        <f>'Real values'!L70-'Real values'!L57</f>
        <v>0</v>
      </c>
      <c r="D25" s="76">
        <f>'Real values'!M70-'Real values'!M57</f>
        <v>0</v>
      </c>
      <c r="E25" s="76">
        <f>'Real values'!N70-'Real values'!N57</f>
        <v>0</v>
      </c>
      <c r="F25" s="76">
        <f>'Real values'!O70-'Real values'!O57</f>
        <v>0</v>
      </c>
      <c r="G25" s="76">
        <f>'Real values'!P70-'Real values'!P57</f>
        <v>0</v>
      </c>
      <c r="H25" s="76">
        <f>'Real values'!Q70-'Real values'!Q57</f>
        <v>0</v>
      </c>
      <c r="I25" s="76">
        <f>'Real values'!R70-'Real values'!R57</f>
        <v>0</v>
      </c>
      <c r="J25" s="76">
        <f>'Real values'!S70-'Real values'!S57</f>
        <v>0</v>
      </c>
      <c r="K25" s="76">
        <f>'Real values'!T70-'Real values'!T57</f>
        <v>0</v>
      </c>
      <c r="L25" s="76">
        <f>'Real values'!U70-'Real values'!U57</f>
        <v>0</v>
      </c>
      <c r="M25" s="76">
        <f>'Real values'!V70-'Real values'!V57</f>
        <v>0</v>
      </c>
      <c r="N25" s="76">
        <f>'Real values'!W70-'Real values'!W57</f>
        <v>0</v>
      </c>
      <c r="O25" s="76">
        <f>'Real values'!X70-'Real values'!X57</f>
        <v>0</v>
      </c>
      <c r="P25" s="76">
        <f>'Real values'!Y70-'Real values'!Y57</f>
        <v>0</v>
      </c>
      <c r="Q25" s="76">
        <f>'Real values'!Z70-'Real values'!Z57</f>
        <v>0</v>
      </c>
      <c r="R25" s="76">
        <f>'Real values'!AA70-'Real values'!AA57</f>
        <v>0</v>
      </c>
      <c r="S25" s="76">
        <f>'Real values'!AB70-'Real values'!AB57</f>
        <v>0</v>
      </c>
      <c r="T25" s="76">
        <f>'Real values'!AC70-'Real values'!AC57</f>
        <v>0</v>
      </c>
      <c r="U25" s="76">
        <f>'Real values'!AD70-'Real values'!AD57</f>
        <v>0</v>
      </c>
      <c r="V25" s="76">
        <f>'Real values'!AE70-'Real values'!AE57</f>
        <v>0</v>
      </c>
      <c r="W25" s="76">
        <f>'Real values'!AF70-'Real values'!AF57</f>
        <v>0</v>
      </c>
      <c r="X25" s="76">
        <f>'Real values'!AG70-'Real values'!AG57</f>
        <v>0</v>
      </c>
      <c r="Y25" s="76">
        <f>'Real values'!AH70-'Real values'!AH57</f>
        <v>0</v>
      </c>
      <c r="Z25" s="76">
        <f>'Real values'!AI70-'Real values'!AI57</f>
        <v>0</v>
      </c>
      <c r="AA25" s="76">
        <f>'Real values'!AJ70-'Real values'!AJ57</f>
        <v>0</v>
      </c>
      <c r="AB25" s="76">
        <f>'Real values'!AK70-'Real values'!AK57</f>
        <v>0</v>
      </c>
      <c r="AC25" s="76">
        <f>'Real values'!AL70-'Real values'!AL57</f>
        <v>0</v>
      </c>
      <c r="AD25" s="76">
        <f>'Real values'!AM70-'Real values'!AM57</f>
        <v>0</v>
      </c>
      <c r="AE25" s="76">
        <f>'Real values'!AN70-'Real values'!AN57</f>
        <v>0</v>
      </c>
      <c r="AF25" s="76">
        <f>'Real values'!AO70-'Real values'!AO57</f>
        <v>0</v>
      </c>
      <c r="AG25" s="76">
        <f>'Real values'!AP70-'Real values'!AP57</f>
        <v>0</v>
      </c>
      <c r="AH25" s="76">
        <f>'Real values'!AQ70-'Real values'!AQ57</f>
        <v>0</v>
      </c>
      <c r="AI25" s="76">
        <f>'Real values'!AR70-'Real values'!AR57</f>
        <v>0</v>
      </c>
      <c r="AJ25" s="76">
        <f>'Real values'!AS70-'Real values'!AS57</f>
        <v>0</v>
      </c>
      <c r="AK25" s="76">
        <f>'Real values'!AT70-'Real values'!AT57</f>
        <v>0</v>
      </c>
      <c r="AL25" s="76">
        <f>'Real values'!AU70-'Real values'!AU57</f>
        <v>0</v>
      </c>
      <c r="AM25" s="76">
        <f>'Real values'!AV70-'Real values'!AV57</f>
        <v>0</v>
      </c>
      <c r="AN25" s="76">
        <f>'Real values'!AW70-'Real values'!AW57</f>
        <v>0</v>
      </c>
      <c r="AO25" s="76">
        <f>'Real values'!AX70-'Real values'!AX57</f>
        <v>0</v>
      </c>
      <c r="AP25" s="76">
        <f>'Real values'!AY70-'Real values'!AY57</f>
        <v>0</v>
      </c>
      <c r="AQ25" s="76">
        <f>'Real values'!AZ70-'Real values'!AZ57</f>
        <v>0</v>
      </c>
      <c r="AR25" s="76">
        <f>'Real values'!BA70-'Real values'!BA57</f>
        <v>0</v>
      </c>
      <c r="AS25" s="76">
        <f>'Real values'!BC70-'Real values'!BC57</f>
        <v>0</v>
      </c>
      <c r="AT25" s="76">
        <f>'Real values'!BD70-'Real values'!BD57</f>
        <v>0</v>
      </c>
      <c r="AU25" s="76">
        <f>'Real values'!BE70-'Real values'!BE57</f>
        <v>0</v>
      </c>
      <c r="AV25" s="76">
        <f>'Real values'!BF70-'Real values'!BF57</f>
        <v>0</v>
      </c>
    </row>
    <row r="26" spans="1:48" x14ac:dyDescent="0.35">
      <c r="A26" s="75" t="s">
        <v>156</v>
      </c>
      <c r="B26" s="76">
        <f t="shared" si="0"/>
        <v>0</v>
      </c>
      <c r="C26" s="76">
        <f>'Real values'!L71-'Real values'!L58</f>
        <v>0</v>
      </c>
      <c r="D26" s="76">
        <f>'Real values'!M71-'Real values'!M58</f>
        <v>0</v>
      </c>
      <c r="E26" s="76">
        <f>'Real values'!N71-'Real values'!N58</f>
        <v>0</v>
      </c>
      <c r="F26" s="76">
        <f>'Real values'!O71-'Real values'!O58</f>
        <v>0</v>
      </c>
      <c r="G26" s="76">
        <f>'Real values'!P71-'Real values'!P58</f>
        <v>0</v>
      </c>
      <c r="H26" s="76">
        <f>'Real values'!Q71-'Real values'!Q58</f>
        <v>0</v>
      </c>
      <c r="I26" s="76">
        <f>'Real values'!R71-'Real values'!R58</f>
        <v>0</v>
      </c>
      <c r="J26" s="76">
        <f>'Real values'!S71-'Real values'!S58</f>
        <v>0</v>
      </c>
      <c r="K26" s="76">
        <f>'Real values'!T71-'Real values'!T58</f>
        <v>0</v>
      </c>
      <c r="L26" s="76">
        <f>'Real values'!U71-'Real values'!U58</f>
        <v>0</v>
      </c>
      <c r="M26" s="76">
        <f>'Real values'!V71-'Real values'!V58</f>
        <v>0</v>
      </c>
      <c r="N26" s="76">
        <f>'Real values'!W71-'Real values'!W58</f>
        <v>0</v>
      </c>
      <c r="O26" s="76">
        <f>'Real values'!X71-'Real values'!X58</f>
        <v>0</v>
      </c>
      <c r="P26" s="76">
        <f>'Real values'!Y71-'Real values'!Y58</f>
        <v>0</v>
      </c>
      <c r="Q26" s="76">
        <f>'Real values'!Z71-'Real values'!Z58</f>
        <v>0</v>
      </c>
      <c r="R26" s="76">
        <f>'Real values'!AA71-'Real values'!AA58</f>
        <v>0</v>
      </c>
      <c r="S26" s="76">
        <f>'Real values'!AB71-'Real values'!AB58</f>
        <v>0</v>
      </c>
      <c r="T26" s="76">
        <f>'Real values'!AC71-'Real values'!AC58</f>
        <v>0</v>
      </c>
      <c r="U26" s="76">
        <f>'Real values'!AD71-'Real values'!AD58</f>
        <v>0</v>
      </c>
      <c r="V26" s="76">
        <f>'Real values'!AE71-'Real values'!AE58</f>
        <v>0</v>
      </c>
      <c r="W26" s="76">
        <f>'Real values'!AF71-'Real values'!AF58</f>
        <v>0</v>
      </c>
      <c r="X26" s="76">
        <f>'Real values'!AG71-'Real values'!AG58</f>
        <v>0</v>
      </c>
      <c r="Y26" s="76">
        <f>'Real values'!AH71-'Real values'!AH58</f>
        <v>0</v>
      </c>
      <c r="Z26" s="76">
        <f>'Real values'!AI71-'Real values'!AI58</f>
        <v>0</v>
      </c>
      <c r="AA26" s="76">
        <f>'Real values'!AJ71-'Real values'!AJ58</f>
        <v>0</v>
      </c>
      <c r="AB26" s="76">
        <f>'Real values'!AK71-'Real values'!AK58</f>
        <v>0</v>
      </c>
      <c r="AC26" s="76">
        <f>'Real values'!AL71-'Real values'!AL58</f>
        <v>0</v>
      </c>
      <c r="AD26" s="76">
        <f>'Real values'!AM71-'Real values'!AM58</f>
        <v>0</v>
      </c>
      <c r="AE26" s="76">
        <f>'Real values'!AN71-'Real values'!AN58</f>
        <v>0</v>
      </c>
      <c r="AF26" s="76">
        <f>'Real values'!AO71-'Real values'!AO58</f>
        <v>0</v>
      </c>
      <c r="AG26" s="76">
        <f>'Real values'!AP71-'Real values'!AP58</f>
        <v>0</v>
      </c>
      <c r="AH26" s="76">
        <f>'Real values'!AQ71-'Real values'!AQ58</f>
        <v>0</v>
      </c>
      <c r="AI26" s="76">
        <f>'Real values'!AR71-'Real values'!AR58</f>
        <v>0</v>
      </c>
      <c r="AJ26" s="76">
        <f>'Real values'!AS71-'Real values'!AS58</f>
        <v>0</v>
      </c>
      <c r="AK26" s="76">
        <f>'Real values'!AT71-'Real values'!AT58</f>
        <v>0</v>
      </c>
      <c r="AL26" s="76">
        <f>'Real values'!AU71-'Real values'!AU58</f>
        <v>0</v>
      </c>
      <c r="AM26" s="76">
        <f>'Real values'!AV71-'Real values'!AV58</f>
        <v>0</v>
      </c>
      <c r="AN26" s="76">
        <f>'Real values'!AW71-'Real values'!AW58</f>
        <v>0</v>
      </c>
      <c r="AO26" s="76">
        <f>'Real values'!AX71-'Real values'!AX58</f>
        <v>0</v>
      </c>
      <c r="AP26" s="76">
        <f>'Real values'!AY71-'Real values'!AY58</f>
        <v>0</v>
      </c>
      <c r="AQ26" s="76">
        <f>'Real values'!AZ71-'Real values'!AZ58</f>
        <v>0</v>
      </c>
      <c r="AR26" s="76">
        <f>'Real values'!BA71-'Real values'!BA58</f>
        <v>0</v>
      </c>
      <c r="AS26" s="76">
        <f>'Real values'!BC71-'Real values'!BC58</f>
        <v>0</v>
      </c>
      <c r="AT26" s="76">
        <f>'Real values'!BD71-'Real values'!BD58</f>
        <v>0</v>
      </c>
      <c r="AU26" s="76">
        <f>'Real values'!BE71-'Real values'!BE58</f>
        <v>0</v>
      </c>
      <c r="AV26" s="76">
        <f>'Real values'!BF71-'Real values'!BF58</f>
        <v>0</v>
      </c>
    </row>
    <row r="27" spans="1:48" x14ac:dyDescent="0.35">
      <c r="A27" s="74" t="s">
        <v>157</v>
      </c>
      <c r="B27" s="76">
        <f t="shared" si="0"/>
        <v>0</v>
      </c>
      <c r="C27" s="76">
        <f>'Real values'!L72-'Real values'!L59</f>
        <v>0</v>
      </c>
      <c r="D27" s="76">
        <f>'Real values'!M72-'Real values'!M59</f>
        <v>0</v>
      </c>
      <c r="E27" s="76">
        <f>'Real values'!N72-'Real values'!N59</f>
        <v>0</v>
      </c>
      <c r="F27" s="76">
        <f>'Real values'!O72-'Real values'!O59</f>
        <v>0</v>
      </c>
      <c r="G27" s="76">
        <f>'Real values'!P72-'Real values'!P59</f>
        <v>0</v>
      </c>
      <c r="H27" s="76">
        <f>'Real values'!Q72-'Real values'!Q59</f>
        <v>0</v>
      </c>
      <c r="I27" s="76">
        <f>'Real values'!R72-'Real values'!R59</f>
        <v>0</v>
      </c>
      <c r="J27" s="76">
        <f>'Real values'!S72-'Real values'!S59</f>
        <v>0</v>
      </c>
      <c r="K27" s="76">
        <f>'Real values'!T72-'Real values'!T59</f>
        <v>0</v>
      </c>
      <c r="L27" s="76">
        <f>'Real values'!U72-'Real values'!U59</f>
        <v>0</v>
      </c>
      <c r="M27" s="76">
        <f>'Real values'!V72-'Real values'!V59</f>
        <v>0</v>
      </c>
      <c r="N27" s="76">
        <f>'Real values'!W72-'Real values'!W59</f>
        <v>0</v>
      </c>
      <c r="O27" s="76">
        <f>'Real values'!X72-'Real values'!X59</f>
        <v>0</v>
      </c>
      <c r="P27" s="76">
        <f>'Real values'!Y72-'Real values'!Y59</f>
        <v>0</v>
      </c>
      <c r="Q27" s="76">
        <f>'Real values'!Z72-'Real values'!Z59</f>
        <v>0</v>
      </c>
      <c r="R27" s="76">
        <f>'Real values'!AA72-'Real values'!AA59</f>
        <v>0</v>
      </c>
      <c r="S27" s="76">
        <f>'Real values'!AB72-'Real values'!AB59</f>
        <v>0</v>
      </c>
      <c r="T27" s="76">
        <f>'Real values'!AC72-'Real values'!AC59</f>
        <v>0</v>
      </c>
      <c r="U27" s="76">
        <f>'Real values'!AD72-'Real values'!AD59</f>
        <v>0</v>
      </c>
      <c r="V27" s="76">
        <f>'Real values'!AE72-'Real values'!AE59</f>
        <v>0</v>
      </c>
      <c r="W27" s="76">
        <f>'Real values'!AF72-'Real values'!AF59</f>
        <v>0</v>
      </c>
      <c r="X27" s="76">
        <f>'Real values'!AG72-'Real values'!AG59</f>
        <v>0</v>
      </c>
      <c r="Y27" s="76">
        <f>'Real values'!AH72-'Real values'!AH59</f>
        <v>0</v>
      </c>
      <c r="Z27" s="76">
        <f>'Real values'!AI72-'Real values'!AI59</f>
        <v>0</v>
      </c>
      <c r="AA27" s="76">
        <f>'Real values'!AJ72-'Real values'!AJ59</f>
        <v>0</v>
      </c>
      <c r="AB27" s="76">
        <f>'Real values'!AK72-'Real values'!AK59</f>
        <v>0</v>
      </c>
      <c r="AC27" s="76">
        <f>'Real values'!AL72-'Real values'!AL59</f>
        <v>0</v>
      </c>
      <c r="AD27" s="76">
        <f>'Real values'!AM72-'Real values'!AM59</f>
        <v>0</v>
      </c>
      <c r="AE27" s="76">
        <f>'Real values'!AN72-'Real values'!AN59</f>
        <v>0</v>
      </c>
      <c r="AF27" s="76">
        <f>'Real values'!AO72-'Real values'!AO59</f>
        <v>0</v>
      </c>
      <c r="AG27" s="76">
        <f>'Real values'!AP72-'Real values'!AP59</f>
        <v>0</v>
      </c>
      <c r="AH27" s="76">
        <f>'Real values'!AQ72-'Real values'!AQ59</f>
        <v>0</v>
      </c>
      <c r="AI27" s="76">
        <f>'Real values'!AR72-'Real values'!AR59</f>
        <v>0</v>
      </c>
      <c r="AJ27" s="76">
        <f>'Real values'!AS72-'Real values'!AS59</f>
        <v>0</v>
      </c>
      <c r="AK27" s="76">
        <f>'Real values'!AT72-'Real values'!AT59</f>
        <v>0</v>
      </c>
      <c r="AL27" s="76">
        <f>'Real values'!AU72-'Real values'!AU59</f>
        <v>0</v>
      </c>
      <c r="AM27" s="76">
        <f>'Real values'!AV72-'Real values'!AV59</f>
        <v>0</v>
      </c>
      <c r="AN27" s="76">
        <f>'Real values'!AW72-'Real values'!AW59</f>
        <v>0</v>
      </c>
      <c r="AO27" s="76">
        <f>'Real values'!AX72-'Real values'!AX59</f>
        <v>0</v>
      </c>
      <c r="AP27" s="76">
        <f>'Real values'!AY72-'Real values'!AY59</f>
        <v>0</v>
      </c>
      <c r="AQ27" s="76">
        <f>'Real values'!AZ72-'Real values'!AZ59</f>
        <v>0</v>
      </c>
      <c r="AR27" s="76">
        <f>'Real values'!BA72-'Real values'!BA59</f>
        <v>0</v>
      </c>
      <c r="AS27" s="76">
        <f>'Real values'!BC72-'Real values'!BC59</f>
        <v>0</v>
      </c>
      <c r="AT27" s="76">
        <f>'Real values'!BD72-'Real values'!BD59</f>
        <v>0</v>
      </c>
      <c r="AU27" s="76">
        <f>'Real values'!BE72-'Real values'!BE59</f>
        <v>0</v>
      </c>
      <c r="AV27" s="76">
        <f>'Real values'!BF72-'Real values'!BF59</f>
        <v>0</v>
      </c>
    </row>
    <row r="28" spans="1:48" x14ac:dyDescent="0.35">
      <c r="A28" s="75" t="s">
        <v>158</v>
      </c>
      <c r="B28" s="76">
        <f t="shared" si="0"/>
        <v>0</v>
      </c>
      <c r="C28" s="76">
        <f>'Real values'!L73-'Real values'!L60</f>
        <v>0</v>
      </c>
      <c r="D28" s="76">
        <f>'Real values'!M73-'Real values'!M60</f>
        <v>0</v>
      </c>
      <c r="E28" s="76">
        <f>'Real values'!N73-'Real values'!N60</f>
        <v>0</v>
      </c>
      <c r="F28" s="76">
        <f>'Real values'!O73-'Real values'!O60</f>
        <v>0</v>
      </c>
      <c r="G28" s="76">
        <f>'Real values'!P73-'Real values'!P60</f>
        <v>0</v>
      </c>
      <c r="H28" s="76">
        <f>'Real values'!Q73-'Real values'!Q60</f>
        <v>0</v>
      </c>
      <c r="I28" s="76">
        <f>'Real values'!R73-'Real values'!R60</f>
        <v>0</v>
      </c>
      <c r="J28" s="76">
        <f>'Real values'!S73-'Real values'!S60</f>
        <v>0</v>
      </c>
      <c r="K28" s="76">
        <f>'Real values'!T73-'Real values'!T60</f>
        <v>0</v>
      </c>
      <c r="L28" s="76">
        <f>'Real values'!U73-'Real values'!U60</f>
        <v>0</v>
      </c>
      <c r="M28" s="76">
        <f>'Real values'!V73-'Real values'!V60</f>
        <v>0</v>
      </c>
      <c r="N28" s="76">
        <f>'Real values'!W73-'Real values'!W60</f>
        <v>0</v>
      </c>
      <c r="O28" s="76">
        <f>'Real values'!X73-'Real values'!X60</f>
        <v>0</v>
      </c>
      <c r="P28" s="76">
        <f>'Real values'!Y73-'Real values'!Y60</f>
        <v>0</v>
      </c>
      <c r="Q28" s="76">
        <f>'Real values'!Z73-'Real values'!Z60</f>
        <v>0</v>
      </c>
      <c r="R28" s="76">
        <f>'Real values'!AA73-'Real values'!AA60</f>
        <v>0</v>
      </c>
      <c r="S28" s="76">
        <f>'Real values'!AB73-'Real values'!AB60</f>
        <v>0</v>
      </c>
      <c r="T28" s="76">
        <f>'Real values'!AC73-'Real values'!AC60</f>
        <v>0</v>
      </c>
      <c r="U28" s="76">
        <f>'Real values'!AD73-'Real values'!AD60</f>
        <v>0</v>
      </c>
      <c r="V28" s="76">
        <f>'Real values'!AE73-'Real values'!AE60</f>
        <v>0</v>
      </c>
      <c r="W28" s="76">
        <f>'Real values'!AF73-'Real values'!AF60</f>
        <v>0</v>
      </c>
      <c r="X28" s="76">
        <f>'Real values'!AG73-'Real values'!AG60</f>
        <v>0</v>
      </c>
      <c r="Y28" s="76">
        <f>'Real values'!AH73-'Real values'!AH60</f>
        <v>0</v>
      </c>
      <c r="Z28" s="76">
        <f>'Real values'!AI73-'Real values'!AI60</f>
        <v>0</v>
      </c>
      <c r="AA28" s="76">
        <f>'Real values'!AJ73-'Real values'!AJ60</f>
        <v>0</v>
      </c>
      <c r="AB28" s="76">
        <f>'Real values'!AK73-'Real values'!AK60</f>
        <v>0</v>
      </c>
      <c r="AC28" s="76">
        <f>'Real values'!AL73-'Real values'!AL60</f>
        <v>0</v>
      </c>
      <c r="AD28" s="76">
        <f>'Real values'!AM73-'Real values'!AM60</f>
        <v>0</v>
      </c>
      <c r="AE28" s="76">
        <f>'Real values'!AN73-'Real values'!AN60</f>
        <v>0</v>
      </c>
      <c r="AF28" s="76">
        <f>'Real values'!AO73-'Real values'!AO60</f>
        <v>0</v>
      </c>
      <c r="AG28" s="76">
        <f>'Real values'!AP73-'Real values'!AP60</f>
        <v>0</v>
      </c>
      <c r="AH28" s="76">
        <f>'Real values'!AQ73-'Real values'!AQ60</f>
        <v>0</v>
      </c>
      <c r="AI28" s="76">
        <f>'Real values'!AR73-'Real values'!AR60</f>
        <v>0</v>
      </c>
      <c r="AJ28" s="76">
        <f>'Real values'!AS73-'Real values'!AS60</f>
        <v>0</v>
      </c>
      <c r="AK28" s="76">
        <f>'Real values'!AT73-'Real values'!AT60</f>
        <v>0</v>
      </c>
      <c r="AL28" s="76">
        <f>'Real values'!AU73-'Real values'!AU60</f>
        <v>0</v>
      </c>
      <c r="AM28" s="76">
        <f>'Real values'!AV73-'Real values'!AV60</f>
        <v>0</v>
      </c>
      <c r="AN28" s="76">
        <f>'Real values'!AW73-'Real values'!AW60</f>
        <v>0</v>
      </c>
      <c r="AO28" s="76">
        <f>'Real values'!AX73-'Real values'!AX60</f>
        <v>0</v>
      </c>
      <c r="AP28" s="76">
        <f>'Real values'!AY73-'Real values'!AY60</f>
        <v>0</v>
      </c>
      <c r="AQ28" s="76">
        <f>'Real values'!AZ73-'Real values'!AZ60</f>
        <v>0</v>
      </c>
      <c r="AR28" s="76">
        <f>'Real values'!BA73-'Real values'!BA60</f>
        <v>0</v>
      </c>
      <c r="AS28" s="76">
        <f>'Real values'!BC73-'Real values'!BC60</f>
        <v>0</v>
      </c>
      <c r="AT28" s="76">
        <f>'Real values'!BD73-'Real values'!BD60</f>
        <v>0</v>
      </c>
      <c r="AU28" s="76">
        <f>'Real values'!BE73-'Real values'!BE60</f>
        <v>0</v>
      </c>
      <c r="AV28" s="76">
        <f>'Real values'!BF73-'Real values'!BF60</f>
        <v>0</v>
      </c>
    </row>
    <row r="29" spans="1:48" x14ac:dyDescent="0.35">
      <c r="A29" s="78" t="s">
        <v>159</v>
      </c>
      <c r="B29" s="79">
        <f t="shared" si="0"/>
        <v>0</v>
      </c>
      <c r="C29" s="79">
        <f>'Real values'!L74-'Real values'!L61</f>
        <v>0</v>
      </c>
      <c r="D29" s="76">
        <f>'Real values'!M74-'Real values'!M61</f>
        <v>0</v>
      </c>
      <c r="E29" s="79">
        <f>'Real values'!N74-'Real values'!N61</f>
        <v>0</v>
      </c>
      <c r="F29" s="79">
        <f>'Real values'!O74-'Real values'!O61</f>
        <v>0</v>
      </c>
      <c r="G29" s="79">
        <f>'Real values'!P74-'Real values'!P61</f>
        <v>0</v>
      </c>
      <c r="H29" s="79">
        <f>'Real values'!Q74-'Real values'!Q61</f>
        <v>0</v>
      </c>
      <c r="I29" s="79">
        <f>'Real values'!R74-'Real values'!R61</f>
        <v>0</v>
      </c>
      <c r="J29" s="79">
        <f>'Real values'!S74-'Real values'!S61</f>
        <v>0</v>
      </c>
      <c r="K29" s="79">
        <f>'Real values'!T74-'Real values'!T61</f>
        <v>0</v>
      </c>
      <c r="L29" s="79">
        <f>'Real values'!U74-'Real values'!U61</f>
        <v>0</v>
      </c>
      <c r="M29" s="79">
        <f>'Real values'!V74-'Real values'!V61</f>
        <v>0</v>
      </c>
      <c r="N29" s="79">
        <f>'Real values'!W74-'Real values'!W61</f>
        <v>0</v>
      </c>
      <c r="O29" s="79">
        <f>'Real values'!X74-'Real values'!X61</f>
        <v>0</v>
      </c>
      <c r="P29" s="79">
        <f>'Real values'!Y74-'Real values'!Y61</f>
        <v>0</v>
      </c>
      <c r="Q29" s="79">
        <f>'Real values'!Z74-'Real values'!Z61</f>
        <v>0</v>
      </c>
      <c r="R29" s="79">
        <f>'Real values'!AA74-'Real values'!AA61</f>
        <v>0</v>
      </c>
      <c r="S29" s="79">
        <f>'Real values'!AB74-'Real values'!AB61</f>
        <v>0</v>
      </c>
      <c r="T29" s="79">
        <f>'Real values'!AC74-'Real values'!AC61</f>
        <v>0</v>
      </c>
      <c r="U29" s="79">
        <f>'Real values'!AD74-'Real values'!AD61</f>
        <v>0</v>
      </c>
      <c r="V29" s="79">
        <f>'Real values'!AE74-'Real values'!AE61</f>
        <v>0</v>
      </c>
      <c r="W29" s="79">
        <f>'Real values'!AF74-'Real values'!AF61</f>
        <v>0</v>
      </c>
      <c r="X29" s="79">
        <f>'Real values'!AG74-'Real values'!AG61</f>
        <v>0</v>
      </c>
      <c r="Y29" s="79">
        <f>'Real values'!AH74-'Real values'!AH61</f>
        <v>0</v>
      </c>
      <c r="Z29" s="79">
        <f>'Real values'!AI74-'Real values'!AI61</f>
        <v>0</v>
      </c>
      <c r="AA29" s="79">
        <f>'Real values'!AJ74-'Real values'!AJ61</f>
        <v>0</v>
      </c>
      <c r="AB29" s="79">
        <f>'Real values'!AK74-'Real values'!AK61</f>
        <v>0</v>
      </c>
      <c r="AC29" s="79">
        <f>'Real values'!AL74-'Real values'!AL61</f>
        <v>0</v>
      </c>
      <c r="AD29" s="79">
        <f>'Real values'!AM74-'Real values'!AM61</f>
        <v>0</v>
      </c>
      <c r="AE29" s="79">
        <f>'Real values'!AN74-'Real values'!AN61</f>
        <v>0</v>
      </c>
      <c r="AF29" s="79">
        <f>'Real values'!AO74-'Real values'!AO61</f>
        <v>0</v>
      </c>
      <c r="AG29" s="79">
        <f>'Real values'!AP74-'Real values'!AP61</f>
        <v>0</v>
      </c>
      <c r="AH29" s="79">
        <f>'Real values'!AQ74-'Real values'!AQ61</f>
        <v>0</v>
      </c>
      <c r="AI29" s="79">
        <f>'Real values'!AR74-'Real values'!AR61</f>
        <v>0</v>
      </c>
      <c r="AJ29" s="79">
        <f>'Real values'!AS74-'Real values'!AS61</f>
        <v>0</v>
      </c>
      <c r="AK29" s="79">
        <f>'Real values'!AT74-'Real values'!AT61</f>
        <v>0</v>
      </c>
      <c r="AL29" s="79">
        <f>'Real values'!AU74-'Real values'!AU61</f>
        <v>0</v>
      </c>
      <c r="AM29" s="79">
        <f>'Real values'!AV74-'Real values'!AV61</f>
        <v>0</v>
      </c>
      <c r="AN29" s="79">
        <f>'Real values'!AW74-'Real values'!AW61</f>
        <v>0</v>
      </c>
      <c r="AO29" s="79">
        <f>'Real values'!AX74-'Real values'!AX61</f>
        <v>0</v>
      </c>
      <c r="AP29" s="79">
        <f>'Real values'!AY74-'Real values'!AY61</f>
        <v>0</v>
      </c>
      <c r="AQ29" s="79">
        <f>'Real values'!AZ74-'Real values'!AZ61</f>
        <v>0</v>
      </c>
      <c r="AR29" s="79">
        <f>'Real values'!BA74-'Real values'!BA61</f>
        <v>0</v>
      </c>
      <c r="AS29" s="79">
        <f>'Real values'!BC74-'Real values'!BC61</f>
        <v>0</v>
      </c>
      <c r="AT29" s="79">
        <f>'Real values'!BD74-'Real values'!BD61</f>
        <v>0</v>
      </c>
      <c r="AU29" s="79">
        <f>'Real values'!BE74-'Real values'!BE61</f>
        <v>0</v>
      </c>
      <c r="AV29" s="79">
        <f>'Real values'!BF74-'Real values'!BF61</f>
        <v>0</v>
      </c>
    </row>
    <row r="30" spans="1:48" x14ac:dyDescent="0.35">
      <c r="A30" s="209" t="s">
        <v>288</v>
      </c>
      <c r="B30" s="210">
        <f>SUM(B19:B29)</f>
        <v>0</v>
      </c>
      <c r="C30" s="210">
        <f t="shared" ref="C30:AU30" si="1">SUM(C19:C29)</f>
        <v>0</v>
      </c>
      <c r="D30" s="210">
        <f t="shared" si="1"/>
        <v>0</v>
      </c>
      <c r="E30" s="210">
        <f t="shared" si="1"/>
        <v>0</v>
      </c>
      <c r="F30" s="210">
        <f t="shared" si="1"/>
        <v>0</v>
      </c>
      <c r="G30" s="210">
        <f t="shared" si="1"/>
        <v>0</v>
      </c>
      <c r="H30" s="210">
        <f t="shared" si="1"/>
        <v>0</v>
      </c>
      <c r="I30" s="210">
        <f t="shared" si="1"/>
        <v>0</v>
      </c>
      <c r="J30" s="210">
        <f t="shared" si="1"/>
        <v>0</v>
      </c>
      <c r="K30" s="210">
        <f t="shared" si="1"/>
        <v>0</v>
      </c>
      <c r="L30" s="210">
        <f t="shared" si="1"/>
        <v>0</v>
      </c>
      <c r="M30" s="210">
        <f t="shared" si="1"/>
        <v>0</v>
      </c>
      <c r="N30" s="210">
        <f t="shared" si="1"/>
        <v>0</v>
      </c>
      <c r="O30" s="210">
        <f t="shared" si="1"/>
        <v>0</v>
      </c>
      <c r="P30" s="210">
        <f t="shared" si="1"/>
        <v>0</v>
      </c>
      <c r="Q30" s="210">
        <f t="shared" si="1"/>
        <v>0</v>
      </c>
      <c r="R30" s="210">
        <f t="shared" si="1"/>
        <v>0</v>
      </c>
      <c r="S30" s="210">
        <f t="shared" si="1"/>
        <v>0</v>
      </c>
      <c r="T30" s="210">
        <f t="shared" si="1"/>
        <v>0</v>
      </c>
      <c r="U30" s="210">
        <f t="shared" si="1"/>
        <v>0</v>
      </c>
      <c r="V30" s="210">
        <f t="shared" si="1"/>
        <v>0</v>
      </c>
      <c r="W30" s="210">
        <f t="shared" si="1"/>
        <v>0</v>
      </c>
      <c r="X30" s="210">
        <f t="shared" si="1"/>
        <v>0</v>
      </c>
      <c r="Y30" s="210">
        <f t="shared" si="1"/>
        <v>0</v>
      </c>
      <c r="Z30" s="210">
        <f t="shared" si="1"/>
        <v>0</v>
      </c>
      <c r="AA30" s="210">
        <f t="shared" si="1"/>
        <v>0</v>
      </c>
      <c r="AB30" s="210">
        <f t="shared" si="1"/>
        <v>0</v>
      </c>
      <c r="AC30" s="210">
        <f t="shared" si="1"/>
        <v>0</v>
      </c>
      <c r="AD30" s="210">
        <f t="shared" si="1"/>
        <v>0</v>
      </c>
      <c r="AE30" s="210">
        <f t="shared" si="1"/>
        <v>0</v>
      </c>
      <c r="AF30" s="210">
        <f t="shared" si="1"/>
        <v>0</v>
      </c>
      <c r="AG30" s="210">
        <f t="shared" si="1"/>
        <v>0</v>
      </c>
      <c r="AH30" s="210">
        <f t="shared" si="1"/>
        <v>0</v>
      </c>
      <c r="AI30" s="210">
        <f t="shared" si="1"/>
        <v>0</v>
      </c>
      <c r="AJ30" s="210">
        <f t="shared" si="1"/>
        <v>0</v>
      </c>
      <c r="AK30" s="210">
        <f t="shared" si="1"/>
        <v>0</v>
      </c>
      <c r="AL30" s="210">
        <f t="shared" si="1"/>
        <v>0</v>
      </c>
      <c r="AM30" s="210">
        <f t="shared" si="1"/>
        <v>0</v>
      </c>
      <c r="AN30" s="210">
        <f t="shared" si="1"/>
        <v>0</v>
      </c>
      <c r="AO30" s="210">
        <f t="shared" si="1"/>
        <v>0</v>
      </c>
      <c r="AP30" s="210">
        <f t="shared" si="1"/>
        <v>0</v>
      </c>
      <c r="AQ30" s="210">
        <f t="shared" si="1"/>
        <v>0</v>
      </c>
      <c r="AR30" s="210">
        <f t="shared" si="1"/>
        <v>0</v>
      </c>
      <c r="AS30" s="210">
        <f t="shared" si="1"/>
        <v>0</v>
      </c>
      <c r="AT30" s="210">
        <f t="shared" si="1"/>
        <v>0</v>
      </c>
      <c r="AU30" s="210">
        <f t="shared" si="1"/>
        <v>0</v>
      </c>
      <c r="AV30" s="210">
        <f t="shared" ref="AV30" si="2">SUM(AV19:AV29)</f>
        <v>0</v>
      </c>
    </row>
    <row r="32" spans="1:48" x14ac:dyDescent="0.35">
      <c r="A32" s="15" t="s">
        <v>297</v>
      </c>
      <c r="B32" s="182" t="s">
        <v>288</v>
      </c>
      <c r="C32" s="182" t="s">
        <v>303</v>
      </c>
      <c r="D32" s="182" t="s">
        <v>62</v>
      </c>
      <c r="E32" s="182" t="s">
        <v>63</v>
      </c>
      <c r="F32" s="182" t="s">
        <v>64</v>
      </c>
      <c r="G32" s="182" t="s">
        <v>65</v>
      </c>
      <c r="H32" s="182" t="s">
        <v>66</v>
      </c>
      <c r="I32" s="182" t="s">
        <v>67</v>
      </c>
      <c r="J32" s="182" t="s">
        <v>68</v>
      </c>
      <c r="K32" s="182" t="s">
        <v>69</v>
      </c>
      <c r="L32" s="182" t="s">
        <v>70</v>
      </c>
      <c r="M32" s="182" t="s">
        <v>71</v>
      </c>
      <c r="N32" s="182" t="s">
        <v>72</v>
      </c>
      <c r="O32" s="182" t="s">
        <v>73</v>
      </c>
      <c r="P32" s="182" t="s">
        <v>74</v>
      </c>
      <c r="Q32" s="182" t="s">
        <v>75</v>
      </c>
      <c r="R32" s="182" t="s">
        <v>76</v>
      </c>
      <c r="S32" s="182" t="s">
        <v>77</v>
      </c>
      <c r="T32" s="182" t="s">
        <v>78</v>
      </c>
      <c r="U32" s="182" t="s">
        <v>79</v>
      </c>
      <c r="V32" s="182" t="s">
        <v>80</v>
      </c>
      <c r="W32" s="182" t="s">
        <v>81</v>
      </c>
      <c r="X32" s="182" t="s">
        <v>82</v>
      </c>
      <c r="Y32" s="182" t="s">
        <v>83</v>
      </c>
      <c r="Z32" s="182" t="s">
        <v>84</v>
      </c>
      <c r="AA32" s="182" t="s">
        <v>85</v>
      </c>
      <c r="AB32" s="182" t="s">
        <v>86</v>
      </c>
      <c r="AC32" s="182" t="s">
        <v>87</v>
      </c>
      <c r="AD32" s="182" t="s">
        <v>88</v>
      </c>
      <c r="AE32" s="182" t="s">
        <v>89</v>
      </c>
      <c r="AF32" s="182" t="s">
        <v>90</v>
      </c>
      <c r="AG32" s="182" t="s">
        <v>91</v>
      </c>
      <c r="AH32" s="182" t="s">
        <v>92</v>
      </c>
      <c r="AI32" s="182" t="s">
        <v>93</v>
      </c>
      <c r="AJ32" s="182" t="s">
        <v>94</v>
      </c>
      <c r="AK32" s="182" t="s">
        <v>95</v>
      </c>
      <c r="AL32" s="182" t="s">
        <v>96</v>
      </c>
      <c r="AM32" s="182" t="s">
        <v>97</v>
      </c>
      <c r="AN32" s="182" t="s">
        <v>98</v>
      </c>
      <c r="AO32" s="182" t="s">
        <v>99</v>
      </c>
      <c r="AP32" s="182" t="s">
        <v>100</v>
      </c>
      <c r="AQ32" s="182" t="s">
        <v>101</v>
      </c>
      <c r="AR32" s="182" t="s">
        <v>102</v>
      </c>
      <c r="AS32" s="182" t="s">
        <v>103</v>
      </c>
      <c r="AT32" s="182" t="s">
        <v>104</v>
      </c>
      <c r="AU32" s="182" t="s">
        <v>105</v>
      </c>
      <c r="AV32" s="182" t="s">
        <v>106</v>
      </c>
    </row>
    <row r="33" spans="1:48" x14ac:dyDescent="0.35">
      <c r="A33" s="77" t="s">
        <v>149</v>
      </c>
      <c r="B33" s="76">
        <f>SUM(C33:AU33)</f>
        <v>0</v>
      </c>
      <c r="C33" s="76">
        <f>'Real values'!L119-'Real values'!L105</f>
        <v>0</v>
      </c>
      <c r="D33" s="76">
        <f>'Real values'!M119-'Real values'!M105</f>
        <v>0</v>
      </c>
      <c r="E33" s="76">
        <f>'Real values'!N119-'Real values'!N105</f>
        <v>0</v>
      </c>
      <c r="F33" s="76">
        <f>'Real values'!O119-'Real values'!O105</f>
        <v>0</v>
      </c>
      <c r="G33" s="76">
        <f>'Real values'!P119-'Real values'!P105</f>
        <v>0</v>
      </c>
      <c r="H33" s="76">
        <f>'Real values'!Q119-'Real values'!Q105</f>
        <v>0</v>
      </c>
      <c r="I33" s="76">
        <f>'Real values'!R119-'Real values'!R105</f>
        <v>0</v>
      </c>
      <c r="J33" s="76">
        <f>'Real values'!S119-'Real values'!S105</f>
        <v>0</v>
      </c>
      <c r="K33" s="76">
        <f>'Real values'!T119-'Real values'!T105</f>
        <v>0</v>
      </c>
      <c r="L33" s="76">
        <f>'Real values'!U119-'Real values'!U105</f>
        <v>0</v>
      </c>
      <c r="M33" s="76">
        <f>'Real values'!V119-'Real values'!V105</f>
        <v>0</v>
      </c>
      <c r="N33" s="76">
        <f>'Real values'!W119-'Real values'!W105</f>
        <v>0</v>
      </c>
      <c r="O33" s="76">
        <f>'Real values'!X119-'Real values'!X105</f>
        <v>0</v>
      </c>
      <c r="P33" s="76">
        <f>'Real values'!Y119-'Real values'!Y105</f>
        <v>0</v>
      </c>
      <c r="Q33" s="76">
        <f>'Real values'!Z119-'Real values'!Z105</f>
        <v>0</v>
      </c>
      <c r="R33" s="76">
        <f>'Real values'!AA119-'Real values'!AA105</f>
        <v>0</v>
      </c>
      <c r="S33" s="76">
        <f>'Real values'!AB119-'Real values'!AB105</f>
        <v>0</v>
      </c>
      <c r="T33" s="76">
        <f>'Real values'!AC119-'Real values'!AC105</f>
        <v>0</v>
      </c>
      <c r="U33" s="76">
        <f>'Real values'!AD119-'Real values'!AD105</f>
        <v>0</v>
      </c>
      <c r="V33" s="76">
        <f>'Real values'!AE119-'Real values'!AE105</f>
        <v>0</v>
      </c>
      <c r="W33" s="76">
        <f>'Real values'!AF119-'Real values'!AF105</f>
        <v>0</v>
      </c>
      <c r="X33" s="76">
        <f>'Real values'!AG119-'Real values'!AG105</f>
        <v>0</v>
      </c>
      <c r="Y33" s="76">
        <f>'Real values'!AH119-'Real values'!AH105</f>
        <v>0</v>
      </c>
      <c r="Z33" s="76">
        <f>'Real values'!AI119-'Real values'!AI105</f>
        <v>0</v>
      </c>
      <c r="AA33" s="76">
        <f>'Real values'!AJ119-'Real values'!AJ105</f>
        <v>0</v>
      </c>
      <c r="AB33" s="76">
        <f>'Real values'!AK119-'Real values'!AK105</f>
        <v>0</v>
      </c>
      <c r="AC33" s="76">
        <f>'Real values'!AL119-'Real values'!AL105</f>
        <v>0</v>
      </c>
      <c r="AD33" s="76">
        <f>'Real values'!AM119-'Real values'!AM105</f>
        <v>0</v>
      </c>
      <c r="AE33" s="76">
        <f>'Real values'!AN119-'Real values'!AN105</f>
        <v>0</v>
      </c>
      <c r="AF33" s="76">
        <f>'Real values'!AO119-'Real values'!AO105</f>
        <v>0</v>
      </c>
      <c r="AG33" s="76">
        <f>'Real values'!AP119-'Real values'!AP105</f>
        <v>0</v>
      </c>
      <c r="AH33" s="76">
        <f>'Real values'!AQ119-'Real values'!AQ105</f>
        <v>0</v>
      </c>
      <c r="AI33" s="76">
        <f>'Real values'!AR119-'Real values'!AR105</f>
        <v>0</v>
      </c>
      <c r="AJ33" s="76">
        <f>'Real values'!AS119-'Real values'!AS105</f>
        <v>0</v>
      </c>
      <c r="AK33" s="76">
        <f>'Real values'!AT119-'Real values'!AT105</f>
        <v>0</v>
      </c>
      <c r="AL33" s="76">
        <f>'Real values'!AU119-'Real values'!AU105</f>
        <v>0</v>
      </c>
      <c r="AM33" s="76">
        <f>'Real values'!AV119-'Real values'!AV105</f>
        <v>0</v>
      </c>
      <c r="AN33" s="76">
        <f>'Real values'!AW119-'Real values'!AW105</f>
        <v>0</v>
      </c>
      <c r="AO33" s="76">
        <f>'Real values'!AX119-'Real values'!AX105</f>
        <v>0</v>
      </c>
      <c r="AP33" s="76">
        <f>'Real values'!AY119-'Real values'!AY105</f>
        <v>0</v>
      </c>
      <c r="AQ33" s="76">
        <f>'Real values'!BA119-'Real values'!BA105</f>
        <v>0</v>
      </c>
      <c r="AR33" s="76">
        <f>'Real values'!BB119-'Real values'!BB105</f>
        <v>0</v>
      </c>
      <c r="AS33" s="76">
        <f>'Real values'!BC119-'Real values'!BC105</f>
        <v>0</v>
      </c>
      <c r="AT33" s="76">
        <f>'Real values'!BD119-'Real values'!BD105</f>
        <v>0</v>
      </c>
      <c r="AU33" s="76">
        <f>'Real values'!BE119-'Real values'!BE105</f>
        <v>0</v>
      </c>
      <c r="AV33" s="76">
        <f>'Real values'!BF119-'Real values'!BF105</f>
        <v>0</v>
      </c>
    </row>
    <row r="34" spans="1:48" x14ac:dyDescent="0.35">
      <c r="A34" s="75" t="s">
        <v>150</v>
      </c>
      <c r="B34" s="76">
        <f t="shared" ref="B34:B43" si="3">SUM(C34:AU34)</f>
        <v>0</v>
      </c>
      <c r="C34" s="76">
        <f>'Real values'!L120-'Real values'!L106</f>
        <v>0</v>
      </c>
      <c r="D34" s="76">
        <f>'Real values'!M120-'Real values'!M106</f>
        <v>0</v>
      </c>
      <c r="E34" s="76">
        <f>'Real values'!N120-'Real values'!N106</f>
        <v>0</v>
      </c>
      <c r="F34" s="76">
        <f>'Real values'!O120-'Real values'!O106</f>
        <v>0</v>
      </c>
      <c r="G34" s="76">
        <f>'Real values'!P120-'Real values'!P106</f>
        <v>0</v>
      </c>
      <c r="H34" s="76">
        <f>'Real values'!Q120-'Real values'!Q106</f>
        <v>0</v>
      </c>
      <c r="I34" s="76">
        <f>'Real values'!R120-'Real values'!R106</f>
        <v>0</v>
      </c>
      <c r="J34" s="76">
        <f>'Real values'!S120-'Real values'!S106</f>
        <v>0</v>
      </c>
      <c r="K34" s="76">
        <f>'Real values'!T120-'Real values'!T106</f>
        <v>0</v>
      </c>
      <c r="L34" s="76">
        <f>'Real values'!U120-'Real values'!U106</f>
        <v>0</v>
      </c>
      <c r="M34" s="76">
        <f>'Real values'!V120-'Real values'!V106</f>
        <v>0</v>
      </c>
      <c r="N34" s="76">
        <f>'Real values'!W120-'Real values'!W106</f>
        <v>0</v>
      </c>
      <c r="O34" s="76">
        <f>'Real values'!X120-'Real values'!X106</f>
        <v>0</v>
      </c>
      <c r="P34" s="76">
        <f>'Real values'!Y120-'Real values'!Y106</f>
        <v>0</v>
      </c>
      <c r="Q34" s="76">
        <f>'Real values'!Z120-'Real values'!Z106</f>
        <v>0</v>
      </c>
      <c r="R34" s="76">
        <f>'Real values'!AA120-'Real values'!AA106</f>
        <v>0</v>
      </c>
      <c r="S34" s="76">
        <f>'Real values'!AB120-'Real values'!AB106</f>
        <v>0</v>
      </c>
      <c r="T34" s="76">
        <f>'Real values'!AC120-'Real values'!AC106</f>
        <v>0</v>
      </c>
      <c r="U34" s="76">
        <f>'Real values'!AD120-'Real values'!AD106</f>
        <v>0</v>
      </c>
      <c r="V34" s="76">
        <f>'Real values'!AE120-'Real values'!AE106</f>
        <v>0</v>
      </c>
      <c r="W34" s="76">
        <f>'Real values'!AF120-'Real values'!AF106</f>
        <v>0</v>
      </c>
      <c r="X34" s="76">
        <f>'Real values'!AG120-'Real values'!AG106</f>
        <v>0</v>
      </c>
      <c r="Y34" s="76">
        <f>'Real values'!AH120-'Real values'!AH106</f>
        <v>0</v>
      </c>
      <c r="Z34" s="76">
        <f>'Real values'!AI120-'Real values'!AI106</f>
        <v>0</v>
      </c>
      <c r="AA34" s="76">
        <f>'Real values'!AJ120-'Real values'!AJ106</f>
        <v>0</v>
      </c>
      <c r="AB34" s="76">
        <f>'Real values'!AK120-'Real values'!AK106</f>
        <v>0</v>
      </c>
      <c r="AC34" s="76">
        <f>'Real values'!AL120-'Real values'!AL106</f>
        <v>0</v>
      </c>
      <c r="AD34" s="76">
        <f>'Real values'!AM120-'Real values'!AM106</f>
        <v>0</v>
      </c>
      <c r="AE34" s="76">
        <f>'Real values'!AN120-'Real values'!AN106</f>
        <v>0</v>
      </c>
      <c r="AF34" s="76">
        <f>'Real values'!AO120-'Real values'!AO106</f>
        <v>0</v>
      </c>
      <c r="AG34" s="76">
        <f>'Real values'!AP120-'Real values'!AP106</f>
        <v>0</v>
      </c>
      <c r="AH34" s="76">
        <f>'Real values'!AQ120-'Real values'!AQ106</f>
        <v>0</v>
      </c>
      <c r="AI34" s="76">
        <f>'Real values'!AR120-'Real values'!AR106</f>
        <v>0</v>
      </c>
      <c r="AJ34" s="76">
        <f>'Real values'!AS120-'Real values'!AS106</f>
        <v>0</v>
      </c>
      <c r="AK34" s="76">
        <f>'Real values'!AT120-'Real values'!AT106</f>
        <v>0</v>
      </c>
      <c r="AL34" s="76">
        <f>'Real values'!AU120-'Real values'!AU106</f>
        <v>0</v>
      </c>
      <c r="AM34" s="76">
        <f>'Real values'!AV120-'Real values'!AV106</f>
        <v>0</v>
      </c>
      <c r="AN34" s="76">
        <f>'Real values'!AW120-'Real values'!AW106</f>
        <v>0</v>
      </c>
      <c r="AO34" s="76">
        <f>'Real values'!AX120-'Real values'!AX106</f>
        <v>0</v>
      </c>
      <c r="AP34" s="76">
        <f>'Real values'!AY120-'Real values'!AY106</f>
        <v>0</v>
      </c>
      <c r="AQ34" s="76">
        <f>'Real values'!BA120-'Real values'!BA106</f>
        <v>0</v>
      </c>
      <c r="AR34" s="76">
        <f>'Real values'!BB120-'Real values'!BB106</f>
        <v>0</v>
      </c>
      <c r="AS34" s="76">
        <f>'Real values'!BC120-'Real values'!BC106</f>
        <v>0</v>
      </c>
      <c r="AT34" s="76">
        <f>'Real values'!BD120-'Real values'!BD106</f>
        <v>0</v>
      </c>
      <c r="AU34" s="76">
        <f>'Real values'!BE120-'Real values'!BE106</f>
        <v>0</v>
      </c>
      <c r="AV34" s="76">
        <f>'Real values'!BF120-'Real values'!BF106</f>
        <v>0</v>
      </c>
    </row>
    <row r="35" spans="1:48" x14ac:dyDescent="0.35">
      <c r="A35" s="74" t="s">
        <v>151</v>
      </c>
      <c r="B35" s="76">
        <f t="shared" si="3"/>
        <v>0</v>
      </c>
      <c r="C35" s="76">
        <f>'Real values'!L121-'Real values'!L107</f>
        <v>0</v>
      </c>
      <c r="D35" s="76">
        <f>'Real values'!M121-'Real values'!M107</f>
        <v>0</v>
      </c>
      <c r="E35" s="76">
        <f>'Real values'!N121-'Real values'!N107</f>
        <v>0</v>
      </c>
      <c r="F35" s="76">
        <f>'Real values'!O121-'Real values'!O107</f>
        <v>0</v>
      </c>
      <c r="G35" s="76">
        <f>'Real values'!P121-'Real values'!P107</f>
        <v>0</v>
      </c>
      <c r="H35" s="76">
        <f>'Real values'!Q121-'Real values'!Q107</f>
        <v>0</v>
      </c>
      <c r="I35" s="76">
        <f>'Real values'!R121-'Real values'!R107</f>
        <v>0</v>
      </c>
      <c r="J35" s="76">
        <f>'Real values'!S121-'Real values'!S107</f>
        <v>0</v>
      </c>
      <c r="K35" s="76">
        <f>'Real values'!T121-'Real values'!T107</f>
        <v>0</v>
      </c>
      <c r="L35" s="76">
        <f>'Real values'!U121-'Real values'!U107</f>
        <v>0</v>
      </c>
      <c r="M35" s="76">
        <f>'Real values'!V121-'Real values'!V107</f>
        <v>0</v>
      </c>
      <c r="N35" s="76">
        <f>'Real values'!W121-'Real values'!W107</f>
        <v>0</v>
      </c>
      <c r="O35" s="76">
        <f>'Real values'!X121-'Real values'!X107</f>
        <v>0</v>
      </c>
      <c r="P35" s="76">
        <f>'Real values'!Y121-'Real values'!Y107</f>
        <v>0</v>
      </c>
      <c r="Q35" s="76">
        <f>'Real values'!Z121-'Real values'!Z107</f>
        <v>0</v>
      </c>
      <c r="R35" s="76">
        <f>'Real values'!AA121-'Real values'!AA107</f>
        <v>0</v>
      </c>
      <c r="S35" s="76">
        <f>'Real values'!AB121-'Real values'!AB107</f>
        <v>0</v>
      </c>
      <c r="T35" s="76">
        <f>'Real values'!AC121-'Real values'!AC107</f>
        <v>0</v>
      </c>
      <c r="U35" s="76">
        <f>'Real values'!AD121-'Real values'!AD107</f>
        <v>0</v>
      </c>
      <c r="V35" s="76">
        <f>'Real values'!AE121-'Real values'!AE107</f>
        <v>0</v>
      </c>
      <c r="W35" s="76">
        <f>'Real values'!AF121-'Real values'!AF107</f>
        <v>0</v>
      </c>
      <c r="X35" s="76">
        <f>'Real values'!AG121-'Real values'!AG107</f>
        <v>0</v>
      </c>
      <c r="Y35" s="76">
        <f>'Real values'!AH121-'Real values'!AH107</f>
        <v>0</v>
      </c>
      <c r="Z35" s="76">
        <f>'Real values'!AI121-'Real values'!AI107</f>
        <v>0</v>
      </c>
      <c r="AA35" s="76">
        <f>'Real values'!AJ121-'Real values'!AJ107</f>
        <v>0</v>
      </c>
      <c r="AB35" s="76">
        <f>'Real values'!AK121-'Real values'!AK107</f>
        <v>0</v>
      </c>
      <c r="AC35" s="76">
        <f>'Real values'!AL121-'Real values'!AL107</f>
        <v>0</v>
      </c>
      <c r="AD35" s="76">
        <f>'Real values'!AM121-'Real values'!AM107</f>
        <v>0</v>
      </c>
      <c r="AE35" s="76">
        <f>'Real values'!AN121-'Real values'!AN107</f>
        <v>0</v>
      </c>
      <c r="AF35" s="76">
        <f>'Real values'!AO121-'Real values'!AO107</f>
        <v>0</v>
      </c>
      <c r="AG35" s="76">
        <f>'Real values'!AP121-'Real values'!AP107</f>
        <v>0</v>
      </c>
      <c r="AH35" s="76">
        <f>'Real values'!AQ121-'Real values'!AQ107</f>
        <v>0</v>
      </c>
      <c r="AI35" s="76">
        <f>'Real values'!AR121-'Real values'!AR107</f>
        <v>0</v>
      </c>
      <c r="AJ35" s="76">
        <f>'Real values'!AS121-'Real values'!AS107</f>
        <v>0</v>
      </c>
      <c r="AK35" s="76">
        <f>'Real values'!AT121-'Real values'!AT107</f>
        <v>0</v>
      </c>
      <c r="AL35" s="76">
        <f>'Real values'!AU121-'Real values'!AU107</f>
        <v>0</v>
      </c>
      <c r="AM35" s="76">
        <f>'Real values'!AV121-'Real values'!AV107</f>
        <v>0</v>
      </c>
      <c r="AN35" s="76">
        <f>'Real values'!AW121-'Real values'!AW107</f>
        <v>0</v>
      </c>
      <c r="AO35" s="76">
        <f>'Real values'!AX121-'Real values'!AX107</f>
        <v>0</v>
      </c>
      <c r="AP35" s="76">
        <f>'Real values'!AY121-'Real values'!AY107</f>
        <v>0</v>
      </c>
      <c r="AQ35" s="76">
        <f>'Real values'!BA121-'Real values'!BA107</f>
        <v>0</v>
      </c>
      <c r="AR35" s="76">
        <f>'Real values'!BB121-'Real values'!BB107</f>
        <v>0</v>
      </c>
      <c r="AS35" s="76">
        <f>'Real values'!BC121-'Real values'!BC107</f>
        <v>0</v>
      </c>
      <c r="AT35" s="76">
        <f>'Real values'!BD121-'Real values'!BD107</f>
        <v>0</v>
      </c>
      <c r="AU35" s="76">
        <f>'Real values'!BE121-'Real values'!BE107</f>
        <v>0</v>
      </c>
      <c r="AV35" s="76">
        <f>'Real values'!BF121-'Real values'!BF107</f>
        <v>0</v>
      </c>
    </row>
    <row r="36" spans="1:48" x14ac:dyDescent="0.35">
      <c r="A36" s="75" t="s">
        <v>152</v>
      </c>
      <c r="B36" s="76">
        <f t="shared" si="3"/>
        <v>0</v>
      </c>
      <c r="C36" s="76">
        <f>'Real values'!L122-'Real values'!L108</f>
        <v>0</v>
      </c>
      <c r="D36" s="76">
        <f>'Real values'!M122-'Real values'!M108</f>
        <v>0</v>
      </c>
      <c r="E36" s="76">
        <f>'Real values'!N122-'Real values'!N108</f>
        <v>0</v>
      </c>
      <c r="F36" s="76">
        <f>'Real values'!O122-'Real values'!O108</f>
        <v>0</v>
      </c>
      <c r="G36" s="76">
        <f>'Real values'!P122-'Real values'!P108</f>
        <v>0</v>
      </c>
      <c r="H36" s="76">
        <f>'Real values'!Q122-'Real values'!Q108</f>
        <v>0</v>
      </c>
      <c r="I36" s="76">
        <f>'Real values'!R122-'Real values'!R108</f>
        <v>0</v>
      </c>
      <c r="J36" s="76">
        <f>'Real values'!S122-'Real values'!S108</f>
        <v>0</v>
      </c>
      <c r="K36" s="76">
        <f>'Real values'!T122-'Real values'!T108</f>
        <v>0</v>
      </c>
      <c r="L36" s="76">
        <f>'Real values'!U122-'Real values'!U108</f>
        <v>0</v>
      </c>
      <c r="M36" s="76">
        <f>'Real values'!V122-'Real values'!V108</f>
        <v>0</v>
      </c>
      <c r="N36" s="76">
        <f>'Real values'!W122-'Real values'!W108</f>
        <v>0</v>
      </c>
      <c r="O36" s="76">
        <f>'Real values'!X122-'Real values'!X108</f>
        <v>0</v>
      </c>
      <c r="P36" s="76">
        <f>'Real values'!Y122-'Real values'!Y108</f>
        <v>0</v>
      </c>
      <c r="Q36" s="76">
        <f>'Real values'!Z122-'Real values'!Z108</f>
        <v>0</v>
      </c>
      <c r="R36" s="76">
        <f>'Real values'!AA122-'Real values'!AA108</f>
        <v>0</v>
      </c>
      <c r="S36" s="76">
        <f>'Real values'!AB122-'Real values'!AB108</f>
        <v>0</v>
      </c>
      <c r="T36" s="76">
        <f>'Real values'!AC122-'Real values'!AC108</f>
        <v>0</v>
      </c>
      <c r="U36" s="76">
        <f>'Real values'!AD122-'Real values'!AD108</f>
        <v>0</v>
      </c>
      <c r="V36" s="76">
        <f>'Real values'!AE122-'Real values'!AE108</f>
        <v>0</v>
      </c>
      <c r="W36" s="76">
        <f>'Real values'!AF122-'Real values'!AF108</f>
        <v>0</v>
      </c>
      <c r="X36" s="76">
        <f>'Real values'!AG122-'Real values'!AG108</f>
        <v>0</v>
      </c>
      <c r="Y36" s="76">
        <f>'Real values'!AH122-'Real values'!AH108</f>
        <v>0</v>
      </c>
      <c r="Z36" s="76">
        <f>'Real values'!AI122-'Real values'!AI108</f>
        <v>0</v>
      </c>
      <c r="AA36" s="76">
        <f>'Real values'!AJ122-'Real values'!AJ108</f>
        <v>0</v>
      </c>
      <c r="AB36" s="76">
        <f>'Real values'!AK122-'Real values'!AK108</f>
        <v>0</v>
      </c>
      <c r="AC36" s="76">
        <f>'Real values'!AL122-'Real values'!AL108</f>
        <v>0</v>
      </c>
      <c r="AD36" s="76">
        <f>'Real values'!AM122-'Real values'!AM108</f>
        <v>0</v>
      </c>
      <c r="AE36" s="76">
        <f>'Real values'!AN122-'Real values'!AN108</f>
        <v>0</v>
      </c>
      <c r="AF36" s="76">
        <f>'Real values'!AO122-'Real values'!AO108</f>
        <v>0</v>
      </c>
      <c r="AG36" s="76">
        <f>'Real values'!AP122-'Real values'!AP108</f>
        <v>0</v>
      </c>
      <c r="AH36" s="76">
        <f>'Real values'!AQ122-'Real values'!AQ108</f>
        <v>0</v>
      </c>
      <c r="AI36" s="76">
        <f>'Real values'!AR122-'Real values'!AR108</f>
        <v>0</v>
      </c>
      <c r="AJ36" s="76">
        <f>'Real values'!AS122-'Real values'!AS108</f>
        <v>0</v>
      </c>
      <c r="AK36" s="76">
        <f>'Real values'!AT122-'Real values'!AT108</f>
        <v>0</v>
      </c>
      <c r="AL36" s="76">
        <f>'Real values'!AU122-'Real values'!AU108</f>
        <v>0</v>
      </c>
      <c r="AM36" s="76">
        <f>'Real values'!AV122-'Real values'!AV108</f>
        <v>0</v>
      </c>
      <c r="AN36" s="76">
        <f>'Real values'!AW122-'Real values'!AW108</f>
        <v>0</v>
      </c>
      <c r="AO36" s="76">
        <f>'Real values'!AX122-'Real values'!AX108</f>
        <v>0</v>
      </c>
      <c r="AP36" s="76">
        <f>'Real values'!AY122-'Real values'!AY108</f>
        <v>0</v>
      </c>
      <c r="AQ36" s="76">
        <f>'Real values'!BA122-'Real values'!BA108</f>
        <v>0</v>
      </c>
      <c r="AR36" s="76">
        <f>'Real values'!BB122-'Real values'!BB108</f>
        <v>0</v>
      </c>
      <c r="AS36" s="76">
        <f>'Real values'!BC122-'Real values'!BC108</f>
        <v>0</v>
      </c>
      <c r="AT36" s="76">
        <f>'Real values'!BD122-'Real values'!BD108</f>
        <v>0</v>
      </c>
      <c r="AU36" s="76">
        <f>'Real values'!BE122-'Real values'!BE108</f>
        <v>0</v>
      </c>
      <c r="AV36" s="76">
        <f>'Real values'!BF122-'Real values'!BF108</f>
        <v>0</v>
      </c>
    </row>
    <row r="37" spans="1:48" x14ac:dyDescent="0.35">
      <c r="A37" s="74" t="s">
        <v>153</v>
      </c>
      <c r="B37" s="76">
        <f t="shared" si="3"/>
        <v>0</v>
      </c>
      <c r="C37" s="76">
        <f>'Real values'!L123-'Real values'!L109</f>
        <v>0</v>
      </c>
      <c r="D37" s="76">
        <f>'Real values'!M123-'Real values'!M109</f>
        <v>0</v>
      </c>
      <c r="E37" s="76">
        <f>'Real values'!N123-'Real values'!N109</f>
        <v>0</v>
      </c>
      <c r="F37" s="76">
        <f>'Real values'!O123-'Real values'!O109</f>
        <v>0</v>
      </c>
      <c r="G37" s="76">
        <f>'Real values'!P123-'Real values'!P109</f>
        <v>0</v>
      </c>
      <c r="H37" s="76">
        <f>'Real values'!Q123-'Real values'!Q109</f>
        <v>0</v>
      </c>
      <c r="I37" s="76">
        <f>'Real values'!R123-'Real values'!R109</f>
        <v>0</v>
      </c>
      <c r="J37" s="76">
        <f>'Real values'!S123-'Real values'!S109</f>
        <v>0</v>
      </c>
      <c r="K37" s="76">
        <f>'Real values'!T123-'Real values'!T109</f>
        <v>0</v>
      </c>
      <c r="L37" s="76">
        <f>'Real values'!U123-'Real values'!U109</f>
        <v>0</v>
      </c>
      <c r="M37" s="76">
        <f>'Real values'!V123-'Real values'!V109</f>
        <v>0</v>
      </c>
      <c r="N37" s="76">
        <f>'Real values'!W123-'Real values'!W109</f>
        <v>0</v>
      </c>
      <c r="O37" s="76">
        <f>'Real values'!X123-'Real values'!X109</f>
        <v>0</v>
      </c>
      <c r="P37" s="76">
        <f>'Real values'!Y123-'Real values'!Y109</f>
        <v>0</v>
      </c>
      <c r="Q37" s="76">
        <f>'Real values'!Z123-'Real values'!Z109</f>
        <v>0</v>
      </c>
      <c r="R37" s="76">
        <f>'Real values'!AA123-'Real values'!AA109</f>
        <v>0</v>
      </c>
      <c r="S37" s="76">
        <f>'Real values'!AB123-'Real values'!AB109</f>
        <v>0</v>
      </c>
      <c r="T37" s="76">
        <f>'Real values'!AC123-'Real values'!AC109</f>
        <v>0</v>
      </c>
      <c r="U37" s="76">
        <f>'Real values'!AD123-'Real values'!AD109</f>
        <v>0</v>
      </c>
      <c r="V37" s="76">
        <f>'Real values'!AE123-'Real values'!AE109</f>
        <v>0</v>
      </c>
      <c r="W37" s="76">
        <f>'Real values'!AF123-'Real values'!AF109</f>
        <v>0</v>
      </c>
      <c r="X37" s="76">
        <f>'Real values'!AG123-'Real values'!AG109</f>
        <v>0</v>
      </c>
      <c r="Y37" s="76">
        <f>'Real values'!AH123-'Real values'!AH109</f>
        <v>0</v>
      </c>
      <c r="Z37" s="76">
        <f>'Real values'!AI123-'Real values'!AI109</f>
        <v>0</v>
      </c>
      <c r="AA37" s="76">
        <f>'Real values'!AJ123-'Real values'!AJ109</f>
        <v>0</v>
      </c>
      <c r="AB37" s="76">
        <f>'Real values'!AK123-'Real values'!AK109</f>
        <v>0</v>
      </c>
      <c r="AC37" s="76">
        <f>'Real values'!AL123-'Real values'!AL109</f>
        <v>0</v>
      </c>
      <c r="AD37" s="76">
        <f>'Real values'!AM123-'Real values'!AM109</f>
        <v>0</v>
      </c>
      <c r="AE37" s="76">
        <f>'Real values'!AN123-'Real values'!AN109</f>
        <v>0</v>
      </c>
      <c r="AF37" s="76">
        <f>'Real values'!AO123-'Real values'!AO109</f>
        <v>0</v>
      </c>
      <c r="AG37" s="76">
        <f>'Real values'!AP123-'Real values'!AP109</f>
        <v>0</v>
      </c>
      <c r="AH37" s="76">
        <f>'Real values'!AQ123-'Real values'!AQ109</f>
        <v>0</v>
      </c>
      <c r="AI37" s="76">
        <f>'Real values'!AR123-'Real values'!AR109</f>
        <v>0</v>
      </c>
      <c r="AJ37" s="76">
        <f>'Real values'!AS123-'Real values'!AS109</f>
        <v>0</v>
      </c>
      <c r="AK37" s="76">
        <f>'Real values'!AT123-'Real values'!AT109</f>
        <v>0</v>
      </c>
      <c r="AL37" s="76">
        <f>'Real values'!AU123-'Real values'!AU109</f>
        <v>0</v>
      </c>
      <c r="AM37" s="76">
        <f>'Real values'!AV123-'Real values'!AV109</f>
        <v>0</v>
      </c>
      <c r="AN37" s="76">
        <f>'Real values'!AW123-'Real values'!AW109</f>
        <v>0</v>
      </c>
      <c r="AO37" s="76">
        <f>'Real values'!AX123-'Real values'!AX109</f>
        <v>0</v>
      </c>
      <c r="AP37" s="76">
        <f>'Real values'!AY123-'Real values'!AY109</f>
        <v>0</v>
      </c>
      <c r="AQ37" s="76">
        <f>'Real values'!BA123-'Real values'!BA109</f>
        <v>0</v>
      </c>
      <c r="AR37" s="76">
        <f>'Real values'!BB123-'Real values'!BB109</f>
        <v>0</v>
      </c>
      <c r="AS37" s="76">
        <f>'Real values'!BC123-'Real values'!BC109</f>
        <v>0</v>
      </c>
      <c r="AT37" s="76">
        <f>'Real values'!BD123-'Real values'!BD109</f>
        <v>0</v>
      </c>
      <c r="AU37" s="76">
        <f>'Real values'!BE123-'Real values'!BE109</f>
        <v>0</v>
      </c>
      <c r="AV37" s="76">
        <f>'Real values'!BF123-'Real values'!BF109</f>
        <v>0</v>
      </c>
    </row>
    <row r="38" spans="1:48" x14ac:dyDescent="0.35">
      <c r="A38" s="75" t="s">
        <v>154</v>
      </c>
      <c r="B38" s="76">
        <f t="shared" si="3"/>
        <v>0</v>
      </c>
      <c r="C38" s="76">
        <f>'Real values'!L124-'Real values'!L110</f>
        <v>0</v>
      </c>
      <c r="D38" s="76">
        <f>'Real values'!M124-'Real values'!M110</f>
        <v>0</v>
      </c>
      <c r="E38" s="76">
        <f>'Real values'!N124-'Real values'!N110</f>
        <v>0</v>
      </c>
      <c r="F38" s="76">
        <f>'Real values'!O124-'Real values'!O110</f>
        <v>0</v>
      </c>
      <c r="G38" s="76">
        <f>'Real values'!P124-'Real values'!P110</f>
        <v>0</v>
      </c>
      <c r="H38" s="76">
        <f>'Real values'!Q124-'Real values'!Q110</f>
        <v>0</v>
      </c>
      <c r="I38" s="76">
        <f>'Real values'!R124-'Real values'!R110</f>
        <v>0</v>
      </c>
      <c r="J38" s="76">
        <f>'Real values'!S124-'Real values'!S110</f>
        <v>0</v>
      </c>
      <c r="K38" s="76">
        <f>'Real values'!T124-'Real values'!T110</f>
        <v>0</v>
      </c>
      <c r="L38" s="76">
        <f>'Real values'!U124-'Real values'!U110</f>
        <v>0</v>
      </c>
      <c r="M38" s="76">
        <f>'Real values'!V124-'Real values'!V110</f>
        <v>0</v>
      </c>
      <c r="N38" s="76">
        <f>'Real values'!W124-'Real values'!W110</f>
        <v>0</v>
      </c>
      <c r="O38" s="76">
        <f>'Real values'!X124-'Real values'!X110</f>
        <v>0</v>
      </c>
      <c r="P38" s="76">
        <f>'Real values'!Y124-'Real values'!Y110</f>
        <v>0</v>
      </c>
      <c r="Q38" s="76">
        <f>'Real values'!Z124-'Real values'!Z110</f>
        <v>0</v>
      </c>
      <c r="R38" s="76">
        <f>'Real values'!AA124-'Real values'!AA110</f>
        <v>0</v>
      </c>
      <c r="S38" s="76">
        <f>'Real values'!AB124-'Real values'!AB110</f>
        <v>0</v>
      </c>
      <c r="T38" s="76">
        <f>'Real values'!AC124-'Real values'!AC110</f>
        <v>0</v>
      </c>
      <c r="U38" s="76">
        <f>'Real values'!AD124-'Real values'!AD110</f>
        <v>0</v>
      </c>
      <c r="V38" s="76">
        <f>'Real values'!AE124-'Real values'!AE110</f>
        <v>0</v>
      </c>
      <c r="W38" s="76">
        <f>'Real values'!AF124-'Real values'!AF110</f>
        <v>0</v>
      </c>
      <c r="X38" s="76">
        <f>'Real values'!AG124-'Real values'!AG110</f>
        <v>0</v>
      </c>
      <c r="Y38" s="76">
        <f>'Real values'!AH124-'Real values'!AH110</f>
        <v>0</v>
      </c>
      <c r="Z38" s="76">
        <f>'Real values'!AI124-'Real values'!AI110</f>
        <v>0</v>
      </c>
      <c r="AA38" s="76">
        <f>'Real values'!AJ124-'Real values'!AJ110</f>
        <v>0</v>
      </c>
      <c r="AB38" s="76">
        <f>'Real values'!AK124-'Real values'!AK110</f>
        <v>0</v>
      </c>
      <c r="AC38" s="76">
        <f>'Real values'!AL124-'Real values'!AL110</f>
        <v>0</v>
      </c>
      <c r="AD38" s="76">
        <f>'Real values'!AM124-'Real values'!AM110</f>
        <v>0</v>
      </c>
      <c r="AE38" s="76">
        <f>'Real values'!AN124-'Real values'!AN110</f>
        <v>0</v>
      </c>
      <c r="AF38" s="76">
        <f>'Real values'!AO124-'Real values'!AO110</f>
        <v>0</v>
      </c>
      <c r="AG38" s="76">
        <f>'Real values'!AP124-'Real values'!AP110</f>
        <v>0</v>
      </c>
      <c r="AH38" s="76">
        <f>'Real values'!AQ124-'Real values'!AQ110</f>
        <v>0</v>
      </c>
      <c r="AI38" s="76">
        <f>'Real values'!AR124-'Real values'!AR110</f>
        <v>0</v>
      </c>
      <c r="AJ38" s="76">
        <f>'Real values'!AS124-'Real values'!AS110</f>
        <v>0</v>
      </c>
      <c r="AK38" s="76">
        <f>'Real values'!AT124-'Real values'!AT110</f>
        <v>0</v>
      </c>
      <c r="AL38" s="76">
        <f>'Real values'!AU124-'Real values'!AU110</f>
        <v>0</v>
      </c>
      <c r="AM38" s="76">
        <f>'Real values'!AV124-'Real values'!AV110</f>
        <v>0</v>
      </c>
      <c r="AN38" s="76">
        <f>'Real values'!AW124-'Real values'!AW110</f>
        <v>0</v>
      </c>
      <c r="AO38" s="76">
        <f>'Real values'!AX124-'Real values'!AX110</f>
        <v>0</v>
      </c>
      <c r="AP38" s="76">
        <f>'Real values'!AY124-'Real values'!AY110</f>
        <v>0</v>
      </c>
      <c r="AQ38" s="76">
        <f>'Real values'!BA124-'Real values'!BA110</f>
        <v>0</v>
      </c>
      <c r="AR38" s="76">
        <f>'Real values'!BB124-'Real values'!BB110</f>
        <v>0</v>
      </c>
      <c r="AS38" s="76">
        <f>'Real values'!BC124-'Real values'!BC110</f>
        <v>0</v>
      </c>
      <c r="AT38" s="76">
        <f>'Real values'!BD124-'Real values'!BD110</f>
        <v>0</v>
      </c>
      <c r="AU38" s="76">
        <f>'Real values'!BE124-'Real values'!BE110</f>
        <v>0</v>
      </c>
      <c r="AV38" s="76">
        <f>'Real values'!BF124-'Real values'!BF110</f>
        <v>0</v>
      </c>
    </row>
    <row r="39" spans="1:48" x14ac:dyDescent="0.35">
      <c r="A39" s="74" t="s">
        <v>155</v>
      </c>
      <c r="B39" s="76">
        <f t="shared" si="3"/>
        <v>0</v>
      </c>
      <c r="C39" s="76">
        <f>'Real values'!L125-'Real values'!L111</f>
        <v>0</v>
      </c>
      <c r="D39" s="76">
        <f>'Real values'!M125-'Real values'!M111</f>
        <v>0</v>
      </c>
      <c r="E39" s="76">
        <f>'Real values'!N125-'Real values'!N111</f>
        <v>0</v>
      </c>
      <c r="F39" s="76">
        <f>'Real values'!O125-'Real values'!O111</f>
        <v>0</v>
      </c>
      <c r="G39" s="76">
        <f>'Real values'!P125-'Real values'!P111</f>
        <v>0</v>
      </c>
      <c r="H39" s="76">
        <f>'Real values'!Q125-'Real values'!Q111</f>
        <v>0</v>
      </c>
      <c r="I39" s="76">
        <f>'Real values'!R125-'Real values'!R111</f>
        <v>0</v>
      </c>
      <c r="J39" s="76">
        <f>'Real values'!S125-'Real values'!S111</f>
        <v>0</v>
      </c>
      <c r="K39" s="76">
        <f>'Real values'!T125-'Real values'!T111</f>
        <v>0</v>
      </c>
      <c r="L39" s="76">
        <f>'Real values'!U125-'Real values'!U111</f>
        <v>0</v>
      </c>
      <c r="M39" s="76">
        <f>'Real values'!V125-'Real values'!V111</f>
        <v>0</v>
      </c>
      <c r="N39" s="76">
        <f>'Real values'!W125-'Real values'!W111</f>
        <v>0</v>
      </c>
      <c r="O39" s="76">
        <f>'Real values'!X125-'Real values'!X111</f>
        <v>0</v>
      </c>
      <c r="P39" s="76">
        <f>'Real values'!Y125-'Real values'!Y111</f>
        <v>0</v>
      </c>
      <c r="Q39" s="76">
        <f>'Real values'!Z125-'Real values'!Z111</f>
        <v>0</v>
      </c>
      <c r="R39" s="76">
        <f>'Real values'!AA125-'Real values'!AA111</f>
        <v>0</v>
      </c>
      <c r="S39" s="76">
        <f>'Real values'!AB125-'Real values'!AB111</f>
        <v>0</v>
      </c>
      <c r="T39" s="76">
        <f>'Real values'!AC125-'Real values'!AC111</f>
        <v>0</v>
      </c>
      <c r="U39" s="76">
        <f>'Real values'!AD125-'Real values'!AD111</f>
        <v>0</v>
      </c>
      <c r="V39" s="76">
        <f>'Real values'!AE125-'Real values'!AE111</f>
        <v>0</v>
      </c>
      <c r="W39" s="76">
        <f>'Real values'!AF125-'Real values'!AF111</f>
        <v>0</v>
      </c>
      <c r="X39" s="76">
        <f>'Real values'!AG125-'Real values'!AG111</f>
        <v>0</v>
      </c>
      <c r="Y39" s="76">
        <f>'Real values'!AH125-'Real values'!AH111</f>
        <v>0</v>
      </c>
      <c r="Z39" s="76">
        <f>'Real values'!AI125-'Real values'!AI111</f>
        <v>0</v>
      </c>
      <c r="AA39" s="76">
        <f>'Real values'!AJ125-'Real values'!AJ111</f>
        <v>0</v>
      </c>
      <c r="AB39" s="76">
        <f>'Real values'!AK125-'Real values'!AK111</f>
        <v>0</v>
      </c>
      <c r="AC39" s="76">
        <f>'Real values'!AL125-'Real values'!AL111</f>
        <v>0</v>
      </c>
      <c r="AD39" s="76">
        <f>'Real values'!AM125-'Real values'!AM111</f>
        <v>0</v>
      </c>
      <c r="AE39" s="76">
        <f>'Real values'!AN125-'Real values'!AN111</f>
        <v>0</v>
      </c>
      <c r="AF39" s="76">
        <f>'Real values'!AO125-'Real values'!AO111</f>
        <v>0</v>
      </c>
      <c r="AG39" s="76">
        <f>'Real values'!AP125-'Real values'!AP111</f>
        <v>0</v>
      </c>
      <c r="AH39" s="76">
        <f>'Real values'!AQ125-'Real values'!AQ111</f>
        <v>0</v>
      </c>
      <c r="AI39" s="76">
        <f>'Real values'!AR125-'Real values'!AR111</f>
        <v>0</v>
      </c>
      <c r="AJ39" s="76">
        <f>'Real values'!AS125-'Real values'!AS111</f>
        <v>0</v>
      </c>
      <c r="AK39" s="76">
        <f>'Real values'!AT125-'Real values'!AT111</f>
        <v>0</v>
      </c>
      <c r="AL39" s="76">
        <f>'Real values'!AU125-'Real values'!AU111</f>
        <v>0</v>
      </c>
      <c r="AM39" s="76">
        <f>'Real values'!AV125-'Real values'!AV111</f>
        <v>0</v>
      </c>
      <c r="AN39" s="76">
        <f>'Real values'!AW125-'Real values'!AW111</f>
        <v>0</v>
      </c>
      <c r="AO39" s="76">
        <f>'Real values'!AX125-'Real values'!AX111</f>
        <v>0</v>
      </c>
      <c r="AP39" s="76">
        <f>'Real values'!AY125-'Real values'!AY111</f>
        <v>0</v>
      </c>
      <c r="AQ39" s="76">
        <f>'Real values'!BA125-'Real values'!BA111</f>
        <v>0</v>
      </c>
      <c r="AR39" s="76">
        <f>'Real values'!BB125-'Real values'!BB111</f>
        <v>0</v>
      </c>
      <c r="AS39" s="76">
        <f>'Real values'!BC125-'Real values'!BC111</f>
        <v>0</v>
      </c>
      <c r="AT39" s="76">
        <f>'Real values'!BD125-'Real values'!BD111</f>
        <v>0</v>
      </c>
      <c r="AU39" s="76">
        <f>'Real values'!BE125-'Real values'!BE111</f>
        <v>0</v>
      </c>
      <c r="AV39" s="76">
        <f>'Real values'!BF125-'Real values'!BF111</f>
        <v>0</v>
      </c>
    </row>
    <row r="40" spans="1:48" x14ac:dyDescent="0.35">
      <c r="A40" s="75" t="s">
        <v>156</v>
      </c>
      <c r="B40" s="76">
        <f t="shared" si="3"/>
        <v>0</v>
      </c>
      <c r="C40" s="76">
        <f>'Real values'!L126-'Real values'!L112</f>
        <v>0</v>
      </c>
      <c r="D40" s="76">
        <f>'Real values'!M126-'Real values'!M112</f>
        <v>0</v>
      </c>
      <c r="E40" s="76">
        <f>'Real values'!N126-'Real values'!N112</f>
        <v>0</v>
      </c>
      <c r="F40" s="76">
        <f>'Real values'!O126-'Real values'!O112</f>
        <v>0</v>
      </c>
      <c r="G40" s="76">
        <f>'Real values'!P126-'Real values'!P112</f>
        <v>0</v>
      </c>
      <c r="H40" s="76">
        <f>'Real values'!Q126-'Real values'!Q112</f>
        <v>0</v>
      </c>
      <c r="I40" s="76">
        <f>'Real values'!R126-'Real values'!R112</f>
        <v>0</v>
      </c>
      <c r="J40" s="76">
        <f>'Real values'!S126-'Real values'!S112</f>
        <v>0</v>
      </c>
      <c r="K40" s="76">
        <f>'Real values'!T126-'Real values'!T112</f>
        <v>0</v>
      </c>
      <c r="L40" s="76">
        <f>'Real values'!U126-'Real values'!U112</f>
        <v>0</v>
      </c>
      <c r="M40" s="76">
        <f>'Real values'!V126-'Real values'!V112</f>
        <v>0</v>
      </c>
      <c r="N40" s="76">
        <f>'Real values'!W126-'Real values'!W112</f>
        <v>0</v>
      </c>
      <c r="O40" s="76">
        <f>'Real values'!X126-'Real values'!X112</f>
        <v>0</v>
      </c>
      <c r="P40" s="76">
        <f>'Real values'!Y126-'Real values'!Y112</f>
        <v>0</v>
      </c>
      <c r="Q40" s="76">
        <f>'Real values'!Z126-'Real values'!Z112</f>
        <v>0</v>
      </c>
      <c r="R40" s="76">
        <f>'Real values'!AA126-'Real values'!AA112</f>
        <v>0</v>
      </c>
      <c r="S40" s="76">
        <f>'Real values'!AB126-'Real values'!AB112</f>
        <v>0</v>
      </c>
      <c r="T40" s="76">
        <f>'Real values'!AC126-'Real values'!AC112</f>
        <v>0</v>
      </c>
      <c r="U40" s="76">
        <f>'Real values'!AD126-'Real values'!AD112</f>
        <v>0</v>
      </c>
      <c r="V40" s="76">
        <f>'Real values'!AE126-'Real values'!AE112</f>
        <v>0</v>
      </c>
      <c r="W40" s="76">
        <f>'Real values'!AF126-'Real values'!AF112</f>
        <v>0</v>
      </c>
      <c r="X40" s="76">
        <f>'Real values'!AG126-'Real values'!AG112</f>
        <v>0</v>
      </c>
      <c r="Y40" s="76">
        <f>'Real values'!AH126-'Real values'!AH112</f>
        <v>0</v>
      </c>
      <c r="Z40" s="76">
        <f>'Real values'!AI126-'Real values'!AI112</f>
        <v>0</v>
      </c>
      <c r="AA40" s="76">
        <f>'Real values'!AJ126-'Real values'!AJ112</f>
        <v>0</v>
      </c>
      <c r="AB40" s="76">
        <f>'Real values'!AK126-'Real values'!AK112</f>
        <v>0</v>
      </c>
      <c r="AC40" s="76">
        <f>'Real values'!AL126-'Real values'!AL112</f>
        <v>0</v>
      </c>
      <c r="AD40" s="76">
        <f>'Real values'!AM126-'Real values'!AM112</f>
        <v>0</v>
      </c>
      <c r="AE40" s="76">
        <f>'Real values'!AN126-'Real values'!AN112</f>
        <v>0</v>
      </c>
      <c r="AF40" s="76">
        <f>'Real values'!AO126-'Real values'!AO112</f>
        <v>0</v>
      </c>
      <c r="AG40" s="76">
        <f>'Real values'!AP126-'Real values'!AP112</f>
        <v>0</v>
      </c>
      <c r="AH40" s="76">
        <f>'Real values'!AQ126-'Real values'!AQ112</f>
        <v>0</v>
      </c>
      <c r="AI40" s="76">
        <f>'Real values'!AR126-'Real values'!AR112</f>
        <v>0</v>
      </c>
      <c r="AJ40" s="76">
        <f>'Real values'!AS126-'Real values'!AS112</f>
        <v>0</v>
      </c>
      <c r="AK40" s="76">
        <f>'Real values'!AT126-'Real values'!AT112</f>
        <v>0</v>
      </c>
      <c r="AL40" s="76">
        <f>'Real values'!AU126-'Real values'!AU112</f>
        <v>0</v>
      </c>
      <c r="AM40" s="76">
        <f>'Real values'!AV126-'Real values'!AV112</f>
        <v>0</v>
      </c>
      <c r="AN40" s="76">
        <f>'Real values'!AW126-'Real values'!AW112</f>
        <v>0</v>
      </c>
      <c r="AO40" s="76">
        <f>'Real values'!AX126-'Real values'!AX112</f>
        <v>0</v>
      </c>
      <c r="AP40" s="76">
        <f>'Real values'!AY126-'Real values'!AY112</f>
        <v>0</v>
      </c>
      <c r="AQ40" s="76">
        <f>'Real values'!BA126-'Real values'!BA112</f>
        <v>0</v>
      </c>
      <c r="AR40" s="76">
        <f>'Real values'!BB126-'Real values'!BB112</f>
        <v>0</v>
      </c>
      <c r="AS40" s="76">
        <f>'Real values'!BC126-'Real values'!BC112</f>
        <v>0</v>
      </c>
      <c r="AT40" s="76">
        <f>'Real values'!BD126-'Real values'!BD112</f>
        <v>0</v>
      </c>
      <c r="AU40" s="76">
        <f>'Real values'!BE126-'Real values'!BE112</f>
        <v>0</v>
      </c>
      <c r="AV40" s="76">
        <f>'Real values'!BF126-'Real values'!BF112</f>
        <v>0</v>
      </c>
    </row>
    <row r="41" spans="1:48" x14ac:dyDescent="0.35">
      <c r="A41" s="74" t="s">
        <v>157</v>
      </c>
      <c r="B41" s="76">
        <f t="shared" si="3"/>
        <v>0</v>
      </c>
      <c r="C41" s="76">
        <f>'Real values'!L127-'Real values'!L113</f>
        <v>0</v>
      </c>
      <c r="D41" s="76">
        <f>'Real values'!M127-'Real values'!M113</f>
        <v>0</v>
      </c>
      <c r="E41" s="76">
        <f>'Real values'!N127-'Real values'!N113</f>
        <v>0</v>
      </c>
      <c r="F41" s="76">
        <f>'Real values'!O127-'Real values'!O113</f>
        <v>0</v>
      </c>
      <c r="G41" s="76">
        <f>'Real values'!P127-'Real values'!P113</f>
        <v>0</v>
      </c>
      <c r="H41" s="76">
        <f>'Real values'!Q127-'Real values'!Q113</f>
        <v>0</v>
      </c>
      <c r="I41" s="76">
        <f>'Real values'!R127-'Real values'!R113</f>
        <v>0</v>
      </c>
      <c r="J41" s="76">
        <f>'Real values'!S127-'Real values'!S113</f>
        <v>0</v>
      </c>
      <c r="K41" s="76">
        <f>'Real values'!T127-'Real values'!T113</f>
        <v>0</v>
      </c>
      <c r="L41" s="76">
        <f>'Real values'!U127-'Real values'!U113</f>
        <v>0</v>
      </c>
      <c r="M41" s="76">
        <f>'Real values'!V127-'Real values'!V113</f>
        <v>0</v>
      </c>
      <c r="N41" s="76">
        <f>'Real values'!W127-'Real values'!W113</f>
        <v>0</v>
      </c>
      <c r="O41" s="76">
        <f>'Real values'!X127-'Real values'!X113</f>
        <v>0</v>
      </c>
      <c r="P41" s="76">
        <f>'Real values'!Y127-'Real values'!Y113</f>
        <v>0</v>
      </c>
      <c r="Q41" s="76">
        <f>'Real values'!Z127-'Real values'!Z113</f>
        <v>0</v>
      </c>
      <c r="R41" s="76">
        <f>'Real values'!AA127-'Real values'!AA113</f>
        <v>0</v>
      </c>
      <c r="S41" s="76">
        <f>'Real values'!AB127-'Real values'!AB113</f>
        <v>0</v>
      </c>
      <c r="T41" s="76">
        <f>'Real values'!AC127-'Real values'!AC113</f>
        <v>0</v>
      </c>
      <c r="U41" s="76">
        <f>'Real values'!AD127-'Real values'!AD113</f>
        <v>0</v>
      </c>
      <c r="V41" s="76">
        <f>'Real values'!AE127-'Real values'!AE113</f>
        <v>0</v>
      </c>
      <c r="W41" s="76">
        <f>'Real values'!AF127-'Real values'!AF113</f>
        <v>0</v>
      </c>
      <c r="X41" s="76">
        <f>'Real values'!AG127-'Real values'!AG113</f>
        <v>0</v>
      </c>
      <c r="Y41" s="76">
        <f>'Real values'!AH127-'Real values'!AH113</f>
        <v>0</v>
      </c>
      <c r="Z41" s="76">
        <f>'Real values'!AI127-'Real values'!AI113</f>
        <v>0</v>
      </c>
      <c r="AA41" s="76">
        <f>'Real values'!AJ127-'Real values'!AJ113</f>
        <v>0</v>
      </c>
      <c r="AB41" s="76">
        <f>'Real values'!AK127-'Real values'!AK113</f>
        <v>0</v>
      </c>
      <c r="AC41" s="76">
        <f>'Real values'!AL127-'Real values'!AL113</f>
        <v>0</v>
      </c>
      <c r="AD41" s="76">
        <f>'Real values'!AM127-'Real values'!AM113</f>
        <v>0</v>
      </c>
      <c r="AE41" s="76">
        <f>'Real values'!AN127-'Real values'!AN113</f>
        <v>0</v>
      </c>
      <c r="AF41" s="76">
        <f>'Real values'!AO127-'Real values'!AO113</f>
        <v>0</v>
      </c>
      <c r="AG41" s="76">
        <f>'Real values'!AP127-'Real values'!AP113</f>
        <v>0</v>
      </c>
      <c r="AH41" s="76">
        <f>'Real values'!AQ127-'Real values'!AQ113</f>
        <v>0</v>
      </c>
      <c r="AI41" s="76">
        <f>'Real values'!AR127-'Real values'!AR113</f>
        <v>0</v>
      </c>
      <c r="AJ41" s="76">
        <f>'Real values'!AS127-'Real values'!AS113</f>
        <v>0</v>
      </c>
      <c r="AK41" s="76">
        <f>'Real values'!AT127-'Real values'!AT113</f>
        <v>0</v>
      </c>
      <c r="AL41" s="76">
        <f>'Real values'!AU127-'Real values'!AU113</f>
        <v>0</v>
      </c>
      <c r="AM41" s="76">
        <f>'Real values'!AV127-'Real values'!AV113</f>
        <v>0</v>
      </c>
      <c r="AN41" s="76">
        <f>'Real values'!AW127-'Real values'!AW113</f>
        <v>0</v>
      </c>
      <c r="AO41" s="76">
        <f>'Real values'!AX127-'Real values'!AX113</f>
        <v>0</v>
      </c>
      <c r="AP41" s="76">
        <f>'Real values'!AY127-'Real values'!AY113</f>
        <v>0</v>
      </c>
      <c r="AQ41" s="76">
        <f>'Real values'!BA127-'Real values'!BA113</f>
        <v>0</v>
      </c>
      <c r="AR41" s="76">
        <f>'Real values'!BB127-'Real values'!BB113</f>
        <v>0</v>
      </c>
      <c r="AS41" s="76">
        <f>'Real values'!BC127-'Real values'!BC113</f>
        <v>0</v>
      </c>
      <c r="AT41" s="76">
        <f>'Real values'!BD127-'Real values'!BD113</f>
        <v>0</v>
      </c>
      <c r="AU41" s="76">
        <f>'Real values'!BE127-'Real values'!BE113</f>
        <v>0</v>
      </c>
      <c r="AV41" s="76">
        <f>'Real values'!BF127-'Real values'!BF113</f>
        <v>0</v>
      </c>
    </row>
    <row r="42" spans="1:48" x14ac:dyDescent="0.35">
      <c r="A42" s="75" t="s">
        <v>158</v>
      </c>
      <c r="B42" s="76">
        <f t="shared" si="3"/>
        <v>0</v>
      </c>
      <c r="C42" s="76">
        <f>'Real values'!L128-'Real values'!L114</f>
        <v>0</v>
      </c>
      <c r="D42" s="76">
        <f>'Real values'!M128-'Real values'!M114</f>
        <v>0</v>
      </c>
      <c r="E42" s="76">
        <f>'Real values'!N128-'Real values'!N114</f>
        <v>0</v>
      </c>
      <c r="F42" s="76">
        <f>'Real values'!O128-'Real values'!O114</f>
        <v>0</v>
      </c>
      <c r="G42" s="76">
        <f>'Real values'!P128-'Real values'!P114</f>
        <v>0</v>
      </c>
      <c r="H42" s="76">
        <f>'Real values'!Q128-'Real values'!Q114</f>
        <v>0</v>
      </c>
      <c r="I42" s="76">
        <f>'Real values'!R128-'Real values'!R114</f>
        <v>0</v>
      </c>
      <c r="J42" s="76">
        <f>'Real values'!S128-'Real values'!S114</f>
        <v>0</v>
      </c>
      <c r="K42" s="76">
        <f>'Real values'!T128-'Real values'!T114</f>
        <v>0</v>
      </c>
      <c r="L42" s="76">
        <f>'Real values'!U128-'Real values'!U114</f>
        <v>0</v>
      </c>
      <c r="M42" s="76">
        <f>'Real values'!V128-'Real values'!V114</f>
        <v>0</v>
      </c>
      <c r="N42" s="76">
        <f>'Real values'!W128-'Real values'!W114</f>
        <v>0</v>
      </c>
      <c r="O42" s="76">
        <f>'Real values'!X128-'Real values'!X114</f>
        <v>0</v>
      </c>
      <c r="P42" s="76">
        <f>'Real values'!Y128-'Real values'!Y114</f>
        <v>0</v>
      </c>
      <c r="Q42" s="76">
        <f>'Real values'!Z128-'Real values'!Z114</f>
        <v>0</v>
      </c>
      <c r="R42" s="76">
        <f>'Real values'!AA128-'Real values'!AA114</f>
        <v>0</v>
      </c>
      <c r="S42" s="76">
        <f>'Real values'!AB128-'Real values'!AB114</f>
        <v>0</v>
      </c>
      <c r="T42" s="76">
        <f>'Real values'!AC128-'Real values'!AC114</f>
        <v>0</v>
      </c>
      <c r="U42" s="76">
        <f>'Real values'!AD128-'Real values'!AD114</f>
        <v>0</v>
      </c>
      <c r="V42" s="76">
        <f>'Real values'!AE128-'Real values'!AE114</f>
        <v>0</v>
      </c>
      <c r="W42" s="76">
        <f>'Real values'!AF128-'Real values'!AF114</f>
        <v>0</v>
      </c>
      <c r="X42" s="76">
        <f>'Real values'!AG128-'Real values'!AG114</f>
        <v>0</v>
      </c>
      <c r="Y42" s="76">
        <f>'Real values'!AH128-'Real values'!AH114</f>
        <v>0</v>
      </c>
      <c r="Z42" s="76">
        <f>'Real values'!AI128-'Real values'!AI114</f>
        <v>0</v>
      </c>
      <c r="AA42" s="76">
        <f>'Real values'!AJ128-'Real values'!AJ114</f>
        <v>0</v>
      </c>
      <c r="AB42" s="76">
        <f>'Real values'!AK128-'Real values'!AK114</f>
        <v>0</v>
      </c>
      <c r="AC42" s="76">
        <f>'Real values'!AL128-'Real values'!AL114</f>
        <v>0</v>
      </c>
      <c r="AD42" s="76">
        <f>'Real values'!AM128-'Real values'!AM114</f>
        <v>0</v>
      </c>
      <c r="AE42" s="76">
        <f>'Real values'!AN128-'Real values'!AN114</f>
        <v>0</v>
      </c>
      <c r="AF42" s="76">
        <f>'Real values'!AO128-'Real values'!AO114</f>
        <v>0</v>
      </c>
      <c r="AG42" s="76">
        <f>'Real values'!AP128-'Real values'!AP114</f>
        <v>0</v>
      </c>
      <c r="AH42" s="76">
        <f>'Real values'!AQ128-'Real values'!AQ114</f>
        <v>0</v>
      </c>
      <c r="AI42" s="76">
        <f>'Real values'!AR128-'Real values'!AR114</f>
        <v>0</v>
      </c>
      <c r="AJ42" s="76">
        <f>'Real values'!AS128-'Real values'!AS114</f>
        <v>0</v>
      </c>
      <c r="AK42" s="76">
        <f>'Real values'!AT128-'Real values'!AT114</f>
        <v>0</v>
      </c>
      <c r="AL42" s="76">
        <f>'Real values'!AU128-'Real values'!AU114</f>
        <v>0</v>
      </c>
      <c r="AM42" s="76">
        <f>'Real values'!AV128-'Real values'!AV114</f>
        <v>0</v>
      </c>
      <c r="AN42" s="76">
        <f>'Real values'!AW128-'Real values'!AW114</f>
        <v>0</v>
      </c>
      <c r="AO42" s="76">
        <f>'Real values'!AX128-'Real values'!AX114</f>
        <v>0</v>
      </c>
      <c r="AP42" s="76">
        <f>'Real values'!AY128-'Real values'!AY114</f>
        <v>0</v>
      </c>
      <c r="AQ42" s="76">
        <f>'Real values'!BA128-'Real values'!BA114</f>
        <v>0</v>
      </c>
      <c r="AR42" s="76">
        <f>'Real values'!BB128-'Real values'!BB114</f>
        <v>0</v>
      </c>
      <c r="AS42" s="76">
        <f>'Real values'!BC128-'Real values'!BC114</f>
        <v>0</v>
      </c>
      <c r="AT42" s="76">
        <f>'Real values'!BD128-'Real values'!BD114</f>
        <v>0</v>
      </c>
      <c r="AU42" s="76">
        <f>'Real values'!BE128-'Real values'!BE114</f>
        <v>0</v>
      </c>
      <c r="AV42" s="76">
        <f>'Real values'!BF128-'Real values'!BF114</f>
        <v>0</v>
      </c>
    </row>
    <row r="43" spans="1:48" x14ac:dyDescent="0.35">
      <c r="A43" s="78" t="s">
        <v>159</v>
      </c>
      <c r="B43" s="79">
        <f t="shared" si="3"/>
        <v>0</v>
      </c>
      <c r="C43" s="76">
        <f>'Real values'!L129-'Real values'!L115</f>
        <v>0</v>
      </c>
      <c r="D43" s="76">
        <f>'Real values'!M129-'Real values'!M115</f>
        <v>0</v>
      </c>
      <c r="E43" s="76">
        <f>'Real values'!N129-'Real values'!N115</f>
        <v>0</v>
      </c>
      <c r="F43" s="76">
        <f>'Real values'!O129-'Real values'!O115</f>
        <v>0</v>
      </c>
      <c r="G43" s="76">
        <f>'Real values'!P129-'Real values'!P115</f>
        <v>0</v>
      </c>
      <c r="H43" s="76">
        <f>'Real values'!Q129-'Real values'!Q115</f>
        <v>0</v>
      </c>
      <c r="I43" s="76">
        <f>'Real values'!R129-'Real values'!R115</f>
        <v>0</v>
      </c>
      <c r="J43" s="76">
        <f>'Real values'!S129-'Real values'!S115</f>
        <v>0</v>
      </c>
      <c r="K43" s="76">
        <f>'Real values'!T129-'Real values'!T115</f>
        <v>0</v>
      </c>
      <c r="L43" s="76">
        <f>'Real values'!U129-'Real values'!U115</f>
        <v>0</v>
      </c>
      <c r="M43" s="76">
        <f>'Real values'!V129-'Real values'!V115</f>
        <v>0</v>
      </c>
      <c r="N43" s="76">
        <f>'Real values'!W129-'Real values'!W115</f>
        <v>0</v>
      </c>
      <c r="O43" s="76">
        <f>'Real values'!X129-'Real values'!X115</f>
        <v>0</v>
      </c>
      <c r="P43" s="76">
        <f>'Real values'!Y129-'Real values'!Y115</f>
        <v>0</v>
      </c>
      <c r="Q43" s="76">
        <f>'Real values'!Z129-'Real values'!Z115</f>
        <v>0</v>
      </c>
      <c r="R43" s="76">
        <f>'Real values'!AA129-'Real values'!AA115</f>
        <v>0</v>
      </c>
      <c r="S43" s="76">
        <f>'Real values'!AB129-'Real values'!AB115</f>
        <v>0</v>
      </c>
      <c r="T43" s="76">
        <f>'Real values'!AC129-'Real values'!AC115</f>
        <v>0</v>
      </c>
      <c r="U43" s="76">
        <f>'Real values'!AD129-'Real values'!AD115</f>
        <v>0</v>
      </c>
      <c r="V43" s="76">
        <f>'Real values'!AE129-'Real values'!AE115</f>
        <v>0</v>
      </c>
      <c r="W43" s="76">
        <f>'Real values'!AF129-'Real values'!AF115</f>
        <v>0</v>
      </c>
      <c r="X43" s="76">
        <f>'Real values'!AG129-'Real values'!AG115</f>
        <v>0</v>
      </c>
      <c r="Y43" s="76">
        <f>'Real values'!AH129-'Real values'!AH115</f>
        <v>0</v>
      </c>
      <c r="Z43" s="76">
        <f>'Real values'!AI129-'Real values'!AI115</f>
        <v>0</v>
      </c>
      <c r="AA43" s="76">
        <f>'Real values'!AJ129-'Real values'!AJ115</f>
        <v>0</v>
      </c>
      <c r="AB43" s="76">
        <f>'Real values'!AK129-'Real values'!AK115</f>
        <v>0</v>
      </c>
      <c r="AC43" s="76">
        <f>'Real values'!AL129-'Real values'!AL115</f>
        <v>0</v>
      </c>
      <c r="AD43" s="76">
        <f>'Real values'!AM129-'Real values'!AM115</f>
        <v>0</v>
      </c>
      <c r="AE43" s="76">
        <f>'Real values'!AN129-'Real values'!AN115</f>
        <v>0</v>
      </c>
      <c r="AF43" s="76">
        <f>'Real values'!AO129-'Real values'!AO115</f>
        <v>0</v>
      </c>
      <c r="AG43" s="76">
        <f>'Real values'!AP129-'Real values'!AP115</f>
        <v>0</v>
      </c>
      <c r="AH43" s="76">
        <f>'Real values'!AQ129-'Real values'!AQ115</f>
        <v>0</v>
      </c>
      <c r="AI43" s="76">
        <f>'Real values'!AR129-'Real values'!AR115</f>
        <v>0</v>
      </c>
      <c r="AJ43" s="76">
        <f>'Real values'!AS129-'Real values'!AS115</f>
        <v>0</v>
      </c>
      <c r="AK43" s="76">
        <f>'Real values'!AT129-'Real values'!AT115</f>
        <v>0</v>
      </c>
      <c r="AL43" s="76">
        <f>'Real values'!AU129-'Real values'!AU115</f>
        <v>0</v>
      </c>
      <c r="AM43" s="76">
        <f>'Real values'!AV129-'Real values'!AV115</f>
        <v>0</v>
      </c>
      <c r="AN43" s="76">
        <f>'Real values'!AW129-'Real values'!AW115</f>
        <v>0</v>
      </c>
      <c r="AO43" s="76">
        <f>'Real values'!AX129-'Real values'!AX115</f>
        <v>0</v>
      </c>
      <c r="AP43" s="76">
        <f>'Real values'!AY129-'Real values'!AY115</f>
        <v>0</v>
      </c>
      <c r="AQ43" s="76">
        <f>'Real values'!BA129-'Real values'!BA115</f>
        <v>0</v>
      </c>
      <c r="AR43" s="76">
        <f>'Real values'!BB129-'Real values'!BB115</f>
        <v>0</v>
      </c>
      <c r="AS43" s="76">
        <f>'Real values'!BC129-'Real values'!BC115</f>
        <v>0</v>
      </c>
      <c r="AT43" s="76">
        <f>'Real values'!BD129-'Real values'!BD115</f>
        <v>0</v>
      </c>
      <c r="AU43" s="76">
        <f>'Real values'!BE129-'Real values'!BE115</f>
        <v>0</v>
      </c>
      <c r="AV43" s="76">
        <f>'Real values'!BF129-'Real values'!BF115</f>
        <v>0</v>
      </c>
    </row>
    <row r="44" spans="1:48" x14ac:dyDescent="0.35">
      <c r="A44" s="209" t="s">
        <v>288</v>
      </c>
      <c r="B44" s="210">
        <f>SUM(B33:B43)</f>
        <v>0</v>
      </c>
      <c r="C44" s="210">
        <f>SUM(C33:C43)</f>
        <v>0</v>
      </c>
      <c r="D44" s="210">
        <f t="shared" ref="D44:AU44" si="4">SUM(D33:D43)</f>
        <v>0</v>
      </c>
      <c r="E44" s="210">
        <f t="shared" si="4"/>
        <v>0</v>
      </c>
      <c r="F44" s="210">
        <f t="shared" si="4"/>
        <v>0</v>
      </c>
      <c r="G44" s="210">
        <f t="shared" si="4"/>
        <v>0</v>
      </c>
      <c r="H44" s="210">
        <f t="shared" si="4"/>
        <v>0</v>
      </c>
      <c r="I44" s="210">
        <f t="shared" si="4"/>
        <v>0</v>
      </c>
      <c r="J44" s="210">
        <f t="shared" si="4"/>
        <v>0</v>
      </c>
      <c r="K44" s="210">
        <f t="shared" si="4"/>
        <v>0</v>
      </c>
      <c r="L44" s="210">
        <f t="shared" si="4"/>
        <v>0</v>
      </c>
      <c r="M44" s="210">
        <f t="shared" si="4"/>
        <v>0</v>
      </c>
      <c r="N44" s="210">
        <f t="shared" si="4"/>
        <v>0</v>
      </c>
      <c r="O44" s="210">
        <f t="shared" si="4"/>
        <v>0</v>
      </c>
      <c r="P44" s="210">
        <f t="shared" si="4"/>
        <v>0</v>
      </c>
      <c r="Q44" s="210">
        <f t="shared" si="4"/>
        <v>0</v>
      </c>
      <c r="R44" s="210">
        <f t="shared" si="4"/>
        <v>0</v>
      </c>
      <c r="S44" s="210">
        <f t="shared" si="4"/>
        <v>0</v>
      </c>
      <c r="T44" s="210">
        <f t="shared" si="4"/>
        <v>0</v>
      </c>
      <c r="U44" s="210">
        <f t="shared" si="4"/>
        <v>0</v>
      </c>
      <c r="V44" s="210">
        <f t="shared" si="4"/>
        <v>0</v>
      </c>
      <c r="W44" s="210">
        <f t="shared" si="4"/>
        <v>0</v>
      </c>
      <c r="X44" s="210">
        <f t="shared" si="4"/>
        <v>0</v>
      </c>
      <c r="Y44" s="210">
        <f t="shared" si="4"/>
        <v>0</v>
      </c>
      <c r="Z44" s="210">
        <f t="shared" si="4"/>
        <v>0</v>
      </c>
      <c r="AA44" s="210">
        <f t="shared" si="4"/>
        <v>0</v>
      </c>
      <c r="AB44" s="210">
        <f t="shared" si="4"/>
        <v>0</v>
      </c>
      <c r="AC44" s="210">
        <f t="shared" si="4"/>
        <v>0</v>
      </c>
      <c r="AD44" s="210">
        <f t="shared" si="4"/>
        <v>0</v>
      </c>
      <c r="AE44" s="210">
        <f t="shared" si="4"/>
        <v>0</v>
      </c>
      <c r="AF44" s="210">
        <f t="shared" si="4"/>
        <v>0</v>
      </c>
      <c r="AG44" s="210">
        <f t="shared" si="4"/>
        <v>0</v>
      </c>
      <c r="AH44" s="210">
        <f t="shared" si="4"/>
        <v>0</v>
      </c>
      <c r="AI44" s="210">
        <f t="shared" si="4"/>
        <v>0</v>
      </c>
      <c r="AJ44" s="210">
        <f t="shared" si="4"/>
        <v>0</v>
      </c>
      <c r="AK44" s="210">
        <f t="shared" si="4"/>
        <v>0</v>
      </c>
      <c r="AL44" s="210">
        <f t="shared" si="4"/>
        <v>0</v>
      </c>
      <c r="AM44" s="210">
        <f t="shared" si="4"/>
        <v>0</v>
      </c>
      <c r="AN44" s="210">
        <f t="shared" si="4"/>
        <v>0</v>
      </c>
      <c r="AO44" s="210">
        <f t="shared" si="4"/>
        <v>0</v>
      </c>
      <c r="AP44" s="210">
        <f t="shared" si="4"/>
        <v>0</v>
      </c>
      <c r="AQ44" s="210">
        <f t="shared" si="4"/>
        <v>0</v>
      </c>
      <c r="AR44" s="210">
        <f t="shared" si="4"/>
        <v>0</v>
      </c>
      <c r="AS44" s="210">
        <f t="shared" si="4"/>
        <v>0</v>
      </c>
      <c r="AT44" s="210">
        <f t="shared" si="4"/>
        <v>0</v>
      </c>
      <c r="AU44" s="210">
        <f t="shared" si="4"/>
        <v>0</v>
      </c>
      <c r="AV44" s="210">
        <f t="shared" ref="AV44" si="5">SUM(AV33:AV43)</f>
        <v>0</v>
      </c>
    </row>
    <row r="46" spans="1:48" x14ac:dyDescent="0.35">
      <c r="A46" s="15" t="s">
        <v>304</v>
      </c>
      <c r="B46" s="182" t="s">
        <v>288</v>
      </c>
      <c r="C46" s="182" t="s">
        <v>303</v>
      </c>
      <c r="D46" s="182" t="s">
        <v>62</v>
      </c>
      <c r="E46" s="182" t="s">
        <v>63</v>
      </c>
      <c r="F46" s="182" t="s">
        <v>64</v>
      </c>
      <c r="G46" s="182" t="s">
        <v>65</v>
      </c>
      <c r="H46" s="182" t="s">
        <v>66</v>
      </c>
      <c r="I46" s="182" t="s">
        <v>67</v>
      </c>
      <c r="J46" s="182" t="s">
        <v>68</v>
      </c>
      <c r="K46" s="182" t="s">
        <v>69</v>
      </c>
      <c r="L46" s="182" t="s">
        <v>70</v>
      </c>
      <c r="M46" s="182" t="s">
        <v>71</v>
      </c>
      <c r="N46" s="182" t="s">
        <v>72</v>
      </c>
      <c r="O46" s="182" t="s">
        <v>73</v>
      </c>
      <c r="P46" s="182" t="s">
        <v>74</v>
      </c>
      <c r="Q46" s="182" t="s">
        <v>75</v>
      </c>
      <c r="R46" s="182" t="s">
        <v>76</v>
      </c>
      <c r="S46" s="182" t="s">
        <v>77</v>
      </c>
      <c r="T46" s="182" t="s">
        <v>78</v>
      </c>
      <c r="U46" s="182" t="s">
        <v>79</v>
      </c>
      <c r="V46" s="182" t="s">
        <v>80</v>
      </c>
      <c r="W46" s="182" t="s">
        <v>81</v>
      </c>
      <c r="X46" s="182" t="s">
        <v>82</v>
      </c>
      <c r="Y46" s="182" t="s">
        <v>83</v>
      </c>
      <c r="Z46" s="182" t="s">
        <v>84</v>
      </c>
      <c r="AA46" s="182" t="s">
        <v>85</v>
      </c>
      <c r="AB46" s="182" t="s">
        <v>86</v>
      </c>
      <c r="AC46" s="182" t="s">
        <v>87</v>
      </c>
      <c r="AD46" s="182" t="s">
        <v>88</v>
      </c>
      <c r="AE46" s="182" t="s">
        <v>89</v>
      </c>
      <c r="AF46" s="182" t="s">
        <v>90</v>
      </c>
      <c r="AG46" s="182" t="s">
        <v>91</v>
      </c>
      <c r="AH46" s="182" t="s">
        <v>92</v>
      </c>
      <c r="AI46" s="182" t="s">
        <v>93</v>
      </c>
      <c r="AJ46" s="182" t="s">
        <v>94</v>
      </c>
      <c r="AK46" s="182" t="s">
        <v>95</v>
      </c>
      <c r="AL46" s="182" t="s">
        <v>96</v>
      </c>
      <c r="AM46" s="182" t="s">
        <v>97</v>
      </c>
      <c r="AN46" s="182" t="s">
        <v>98</v>
      </c>
      <c r="AO46" s="182" t="s">
        <v>99</v>
      </c>
      <c r="AP46" s="182" t="s">
        <v>100</v>
      </c>
      <c r="AQ46" s="182" t="s">
        <v>101</v>
      </c>
      <c r="AR46" s="182" t="s">
        <v>102</v>
      </c>
      <c r="AS46" s="182" t="s">
        <v>103</v>
      </c>
      <c r="AT46" s="182" t="s">
        <v>104</v>
      </c>
      <c r="AU46" s="182" t="s">
        <v>105</v>
      </c>
      <c r="AV46" s="182" t="s">
        <v>106</v>
      </c>
    </row>
    <row r="47" spans="1:48" x14ac:dyDescent="0.35">
      <c r="A47" t="s">
        <v>313</v>
      </c>
      <c r="B47" s="183">
        <f>SUM(C47:AV47)</f>
        <v>0</v>
      </c>
      <c r="C47" s="183">
        <f>Calculations!J160</f>
        <v>0</v>
      </c>
      <c r="D47" s="183">
        <f>Calculations!K160</f>
        <v>0</v>
      </c>
      <c r="E47" s="183">
        <f>Calculations!L160</f>
        <v>0</v>
      </c>
      <c r="F47" s="183">
        <f>Calculations!M160</f>
        <v>0</v>
      </c>
      <c r="G47" s="183">
        <f>Calculations!N160</f>
        <v>0</v>
      </c>
      <c r="H47" s="183">
        <f>Calculations!O160</f>
        <v>0</v>
      </c>
      <c r="I47" s="183">
        <f>Calculations!P160</f>
        <v>0</v>
      </c>
      <c r="J47" s="183">
        <f>Calculations!Q160</f>
        <v>0</v>
      </c>
      <c r="K47" s="183">
        <f>Calculations!R160</f>
        <v>0</v>
      </c>
      <c r="L47" s="183">
        <f>Calculations!S160</f>
        <v>0</v>
      </c>
      <c r="M47" s="183">
        <f>Calculations!T160</f>
        <v>0</v>
      </c>
      <c r="N47" s="183">
        <f>Calculations!U160</f>
        <v>0</v>
      </c>
      <c r="O47" s="183">
        <f>Calculations!V160</f>
        <v>0</v>
      </c>
      <c r="P47" s="183">
        <f>Calculations!W160</f>
        <v>0</v>
      </c>
      <c r="Q47" s="183">
        <f>Calculations!X160</f>
        <v>0</v>
      </c>
      <c r="R47" s="183">
        <f>Calculations!Y160</f>
        <v>0</v>
      </c>
      <c r="S47" s="183">
        <f>Calculations!Z160</f>
        <v>0</v>
      </c>
      <c r="T47" s="183">
        <f>Calculations!AA160</f>
        <v>0</v>
      </c>
      <c r="U47" s="183">
        <f>Calculations!AB160</f>
        <v>0</v>
      </c>
      <c r="V47" s="183">
        <f>Calculations!AC160</f>
        <v>0</v>
      </c>
      <c r="W47" s="183">
        <f>Calculations!AD160</f>
        <v>0</v>
      </c>
      <c r="X47" s="183">
        <f>Calculations!AE160</f>
        <v>0</v>
      </c>
      <c r="Y47" s="183">
        <f>Calculations!AF160</f>
        <v>0</v>
      </c>
      <c r="Z47" s="183">
        <f>Calculations!AG160</f>
        <v>0</v>
      </c>
      <c r="AA47" s="183">
        <f>Calculations!AH160</f>
        <v>0</v>
      </c>
      <c r="AB47" s="183">
        <f>Calculations!AI160</f>
        <v>0</v>
      </c>
      <c r="AC47" s="183">
        <f>Calculations!AJ160</f>
        <v>0</v>
      </c>
      <c r="AD47" s="183">
        <f>Calculations!AK160</f>
        <v>0</v>
      </c>
      <c r="AE47" s="183">
        <f>Calculations!AL160</f>
        <v>0</v>
      </c>
      <c r="AF47" s="183">
        <f>Calculations!AM160</f>
        <v>0</v>
      </c>
      <c r="AG47" s="183">
        <f>Calculations!AN160</f>
        <v>0</v>
      </c>
      <c r="AH47" s="183">
        <f>Calculations!AO160</f>
        <v>0</v>
      </c>
      <c r="AI47" s="183">
        <f>Calculations!AP160</f>
        <v>0</v>
      </c>
      <c r="AJ47" s="183">
        <f>Calculations!AQ160</f>
        <v>0</v>
      </c>
      <c r="AK47" s="183">
        <f>Calculations!AR160</f>
        <v>0</v>
      </c>
      <c r="AL47" s="183">
        <f>Calculations!AS160</f>
        <v>0</v>
      </c>
      <c r="AM47" s="183">
        <f>Calculations!AT160</f>
        <v>0</v>
      </c>
      <c r="AN47" s="183">
        <f>Calculations!AU160</f>
        <v>0</v>
      </c>
      <c r="AO47" s="183">
        <f>Calculations!AV160</f>
        <v>0</v>
      </c>
      <c r="AP47" s="183">
        <f>Calculations!AW160</f>
        <v>0</v>
      </c>
      <c r="AQ47" s="183">
        <f>Calculations!AX160</f>
        <v>0</v>
      </c>
      <c r="AR47" s="183">
        <f>Calculations!AY160</f>
        <v>0</v>
      </c>
      <c r="AS47" s="183">
        <f>Calculations!AZ160</f>
        <v>0</v>
      </c>
      <c r="AT47" s="183">
        <f>Calculations!BA160</f>
        <v>0</v>
      </c>
      <c r="AU47" s="183">
        <f>Calculations!BB160</f>
        <v>0</v>
      </c>
      <c r="AV47" s="183">
        <f>Calculations!BC160</f>
        <v>0</v>
      </c>
    </row>
    <row r="48" spans="1:48" x14ac:dyDescent="0.35">
      <c r="A48" t="s">
        <v>314</v>
      </c>
      <c r="B48" s="183">
        <f>SUM(C48:AV48)</f>
        <v>0</v>
      </c>
      <c r="C48" s="200"/>
      <c r="D48" s="200"/>
      <c r="E48" s="200"/>
      <c r="F48" s="200"/>
      <c r="G48" s="200"/>
      <c r="H48" s="200"/>
      <c r="I48" s="200"/>
      <c r="J48" s="200"/>
      <c r="K48" s="200"/>
      <c r="L48" s="200"/>
      <c r="M48" s="200"/>
      <c r="N48" s="200"/>
      <c r="O48" s="200"/>
      <c r="P48" s="200"/>
      <c r="Q48" s="200"/>
      <c r="R48" s="200"/>
      <c r="S48" s="200"/>
      <c r="T48" s="200"/>
      <c r="U48" s="200"/>
      <c r="V48" s="200"/>
      <c r="W48" s="200"/>
      <c r="X48" s="200"/>
      <c r="Y48" s="200"/>
      <c r="Z48" s="200"/>
      <c r="AA48" s="200"/>
      <c r="AB48" s="200"/>
      <c r="AC48" s="200"/>
      <c r="AD48" s="200"/>
      <c r="AE48" s="200"/>
      <c r="AF48" s="200"/>
      <c r="AG48" s="200"/>
      <c r="AH48" s="200"/>
      <c r="AI48" s="200"/>
      <c r="AJ48" s="200"/>
      <c r="AK48" s="200"/>
      <c r="AL48" s="200"/>
      <c r="AM48" s="200"/>
      <c r="AN48" s="200"/>
      <c r="AO48" s="200"/>
      <c r="AP48" s="200"/>
      <c r="AQ48" s="200"/>
      <c r="AR48" s="200"/>
      <c r="AS48" s="200"/>
      <c r="AT48" s="200"/>
      <c r="AU48" s="200"/>
      <c r="AV48" s="200"/>
    </row>
    <row r="49" spans="1:48" x14ac:dyDescent="0.35">
      <c r="A49" t="s">
        <v>315</v>
      </c>
      <c r="B49" s="183">
        <f>B47-B48</f>
        <v>0</v>
      </c>
      <c r="C49" s="183">
        <f>Calculations!J164</f>
        <v>0</v>
      </c>
      <c r="D49" s="183">
        <f>Calculations!K164</f>
        <v>0</v>
      </c>
      <c r="E49" s="183">
        <f>Calculations!L164</f>
        <v>0</v>
      </c>
      <c r="F49" s="183">
        <f>Calculations!M164</f>
        <v>0</v>
      </c>
      <c r="G49" s="183">
        <f>Calculations!N164</f>
        <v>0</v>
      </c>
      <c r="H49" s="183">
        <f>Calculations!O164</f>
        <v>0</v>
      </c>
      <c r="I49" s="183">
        <f>Calculations!P164</f>
        <v>0</v>
      </c>
      <c r="J49" s="183">
        <f>Calculations!Q164</f>
        <v>0</v>
      </c>
      <c r="K49" s="183">
        <f>Calculations!R164</f>
        <v>0</v>
      </c>
      <c r="L49" s="183">
        <f>Calculations!S164</f>
        <v>0</v>
      </c>
      <c r="M49" s="183">
        <f>Calculations!T164</f>
        <v>0</v>
      </c>
      <c r="N49" s="183">
        <f>Calculations!U164</f>
        <v>0</v>
      </c>
      <c r="O49" s="183">
        <f>Calculations!V164</f>
        <v>0</v>
      </c>
      <c r="P49" s="183">
        <f>Calculations!W164</f>
        <v>0</v>
      </c>
      <c r="Q49" s="183">
        <f>Calculations!X164</f>
        <v>0</v>
      </c>
      <c r="R49" s="183">
        <f>Calculations!Y164</f>
        <v>0</v>
      </c>
      <c r="S49" s="183">
        <f>Calculations!Z164</f>
        <v>0</v>
      </c>
      <c r="T49" s="183">
        <f>Calculations!AA164</f>
        <v>0</v>
      </c>
      <c r="U49" s="183">
        <f>Calculations!AB164</f>
        <v>0</v>
      </c>
      <c r="V49" s="183">
        <f>Calculations!AC164</f>
        <v>0</v>
      </c>
      <c r="W49" s="183">
        <f>Calculations!AD164</f>
        <v>0</v>
      </c>
      <c r="X49" s="183">
        <f>Calculations!AE164</f>
        <v>0</v>
      </c>
      <c r="Y49" s="183">
        <f>Calculations!AF164</f>
        <v>0</v>
      </c>
      <c r="Z49" s="183">
        <f>Calculations!AG164</f>
        <v>0</v>
      </c>
      <c r="AA49" s="183">
        <f>Calculations!AH164</f>
        <v>0</v>
      </c>
      <c r="AB49" s="183">
        <f>Calculations!AI164</f>
        <v>0</v>
      </c>
      <c r="AC49" s="183">
        <f>Calculations!AJ164</f>
        <v>0</v>
      </c>
      <c r="AD49" s="183">
        <f>Calculations!AK164</f>
        <v>0</v>
      </c>
      <c r="AE49" s="183">
        <f>Calculations!AL164</f>
        <v>0</v>
      </c>
      <c r="AF49" s="183">
        <f>Calculations!AM164</f>
        <v>0</v>
      </c>
      <c r="AG49" s="183">
        <f>Calculations!AN164</f>
        <v>0</v>
      </c>
      <c r="AH49" s="183">
        <f>Calculations!AO164</f>
        <v>0</v>
      </c>
      <c r="AI49" s="183">
        <f>Calculations!AP164</f>
        <v>0</v>
      </c>
      <c r="AJ49" s="183">
        <f>Calculations!AQ164</f>
        <v>0</v>
      </c>
      <c r="AK49" s="183">
        <f>Calculations!AR164</f>
        <v>0</v>
      </c>
      <c r="AL49" s="183">
        <f>Calculations!AS164</f>
        <v>0</v>
      </c>
      <c r="AM49" s="183">
        <f>Calculations!AT164</f>
        <v>0</v>
      </c>
      <c r="AN49" s="183">
        <f>Calculations!AU164</f>
        <v>0</v>
      </c>
      <c r="AO49" s="183">
        <f>Calculations!AV164</f>
        <v>0</v>
      </c>
      <c r="AP49" s="183">
        <f>Calculations!AW164</f>
        <v>0</v>
      </c>
      <c r="AQ49" s="183">
        <f>Calculations!AX164</f>
        <v>0</v>
      </c>
      <c r="AR49" s="183">
        <f>Calculations!AY164</f>
        <v>0</v>
      </c>
      <c r="AS49" s="183">
        <f>Calculations!AZ164</f>
        <v>0</v>
      </c>
      <c r="AT49" s="183">
        <f>Calculations!BA164</f>
        <v>0</v>
      </c>
      <c r="AU49" s="183">
        <f>Calculations!BB164</f>
        <v>0</v>
      </c>
      <c r="AV49" s="183">
        <f>Calculations!BC164</f>
        <v>0</v>
      </c>
    </row>
    <row r="50" spans="1:48" x14ac:dyDescent="0.35">
      <c r="C50" s="183"/>
    </row>
  </sheetData>
  <sheetProtection algorithmName="SHA-512" hashValue="NJPOqVooYXKuQFmq1b4mZatXUb6B9o2YeHwv/ocb8PDCPNLVVykUsw4mQVXXL/8H8AJFLui1mXRSO7+FIykq6w==" saltValue="oYfHYP49r8pPw7/ghotj4g==" spinCount="100000" sheet="1" objects="1" scenarios="1"/>
  <pageMargins left="0.7" right="0.7" top="0.75" bottom="0.75" header="0.3" footer="0.3"/>
  <pageSetup orientation="portrait"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decimal" allowBlank="1" showInputMessage="1" showErrorMessage="1" errorTitle="Invalid Entry" error="Please enter a numerical value only. Letters and special characters are not allowed" xr:uid="{89C02FAC-47D9-4C60-AD6C-D787295CC740}">
          <x14:formula1>
            <xm:f>Lists!C21</xm:f>
          </x14:formula1>
          <x14:formula2>
            <xm:f>Lists!C22</xm:f>
          </x14:formula2>
          <xm:sqref>C48:AV48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47BA-BBF9-40EB-89DB-E5DAAE5FDDBB}">
  <sheetPr codeName="Sheet3"/>
  <dimension ref="A1:BC164"/>
  <sheetViews>
    <sheetView topLeftCell="A55" zoomScale="80" zoomScaleNormal="80" workbookViewId="0">
      <selection activeCell="G48" sqref="G48:G51"/>
    </sheetView>
  </sheetViews>
  <sheetFormatPr defaultRowHeight="14.5" x14ac:dyDescent="0.35"/>
  <cols>
    <col min="1" max="1" width="15.36328125" bestFit="1" customWidth="1"/>
    <col min="2" max="2" width="11.54296875" bestFit="1" customWidth="1"/>
    <col min="3" max="3" width="14.6328125" bestFit="1" customWidth="1"/>
    <col min="4" max="4" width="34.453125" bestFit="1" customWidth="1"/>
    <col min="5" max="5" width="19.7265625" bestFit="1" customWidth="1"/>
    <col min="6" max="6" width="18.08984375" bestFit="1" customWidth="1"/>
    <col min="7" max="7" width="8.81640625" bestFit="1" customWidth="1"/>
    <col min="8" max="8" width="8.08984375" bestFit="1" customWidth="1"/>
    <col min="9" max="9" width="8.26953125" bestFit="1" customWidth="1"/>
    <col min="10" max="11" width="6.6328125" customWidth="1"/>
    <col min="12" max="12" width="15.7265625" bestFit="1" customWidth="1"/>
    <col min="13" max="13" width="14.6328125" bestFit="1" customWidth="1"/>
    <col min="14" max="14" width="24.7265625" bestFit="1" customWidth="1"/>
    <col min="15" max="15" width="14.6328125" bestFit="1" customWidth="1"/>
    <col min="16" max="16" width="24.7265625" customWidth="1"/>
    <col min="17" max="51" width="6.6328125" customWidth="1"/>
    <col min="52" max="55" width="4.81640625" bestFit="1" customWidth="1"/>
  </cols>
  <sheetData>
    <row r="1" spans="1:51" x14ac:dyDescent="0.35">
      <c r="A1" s="38"/>
      <c r="B1" s="38" t="s">
        <v>145</v>
      </c>
    </row>
    <row r="2" spans="1:51" x14ac:dyDescent="0.35">
      <c r="A2" s="38" t="s">
        <v>111</v>
      </c>
      <c r="B2" s="59">
        <f>IF('Project description'!B15="Retrofit of existing asset",'Project description'!B16,YEAR('Project description'!B12)+'Project description'!B17)</f>
        <v>1900</v>
      </c>
    </row>
    <row r="3" spans="1:51" x14ac:dyDescent="0.35">
      <c r="A3" s="38" t="s">
        <v>146</v>
      </c>
      <c r="B3" s="59">
        <f>IF('Project description'!B15="Retrofit of existing asset",'Project description'!B16,YEAR('Project description'!B12)+'Project description'!B19)</f>
        <v>1900</v>
      </c>
    </row>
    <row r="5" spans="1:51" x14ac:dyDescent="0.35">
      <c r="D5" s="5" t="s">
        <v>147</v>
      </c>
    </row>
    <row r="6" spans="1:51" x14ac:dyDescent="0.35">
      <c r="B6" s="30" t="s">
        <v>329</v>
      </c>
      <c r="C6" s="30" t="s">
        <v>330</v>
      </c>
      <c r="D6" s="30" t="s">
        <v>328</v>
      </c>
      <c r="E6" s="30" t="s">
        <v>60</v>
      </c>
      <c r="F6" s="30" t="s">
        <v>303</v>
      </c>
      <c r="G6" s="30" t="s">
        <v>62</v>
      </c>
      <c r="H6" s="30" t="s">
        <v>63</v>
      </c>
      <c r="I6" s="30" t="s">
        <v>64</v>
      </c>
      <c r="J6" s="30" t="s">
        <v>65</v>
      </c>
      <c r="K6" s="30" t="s">
        <v>66</v>
      </c>
      <c r="L6" s="30" t="s">
        <v>67</v>
      </c>
      <c r="M6" s="30" t="s">
        <v>68</v>
      </c>
      <c r="N6" s="30" t="s">
        <v>69</v>
      </c>
      <c r="O6" s="30" t="s">
        <v>70</v>
      </c>
      <c r="P6" s="30" t="s">
        <v>71</v>
      </c>
      <c r="Q6" s="30" t="s">
        <v>72</v>
      </c>
      <c r="R6" s="30" t="s">
        <v>73</v>
      </c>
      <c r="S6" s="30" t="s">
        <v>74</v>
      </c>
      <c r="T6" s="30" t="s">
        <v>75</v>
      </c>
      <c r="U6" s="30" t="s">
        <v>76</v>
      </c>
      <c r="V6" s="30" t="s">
        <v>77</v>
      </c>
      <c r="W6" s="30" t="s">
        <v>78</v>
      </c>
      <c r="X6" s="30" t="s">
        <v>79</v>
      </c>
      <c r="Y6" s="30" t="s">
        <v>80</v>
      </c>
      <c r="Z6" s="30" t="s">
        <v>81</v>
      </c>
      <c r="AA6" s="30" t="s">
        <v>82</v>
      </c>
      <c r="AB6" s="30" t="s">
        <v>83</v>
      </c>
      <c r="AC6" s="30" t="s">
        <v>84</v>
      </c>
      <c r="AD6" s="30" t="s">
        <v>85</v>
      </c>
      <c r="AE6" s="30" t="s">
        <v>86</v>
      </c>
      <c r="AF6" s="30" t="s">
        <v>87</v>
      </c>
      <c r="AG6" s="30" t="s">
        <v>88</v>
      </c>
      <c r="AH6" s="30" t="s">
        <v>89</v>
      </c>
      <c r="AI6" s="30" t="s">
        <v>90</v>
      </c>
      <c r="AJ6" s="30" t="s">
        <v>91</v>
      </c>
      <c r="AK6" s="30" t="s">
        <v>92</v>
      </c>
      <c r="AL6" s="30" t="s">
        <v>93</v>
      </c>
      <c r="AM6" s="30" t="s">
        <v>94</v>
      </c>
      <c r="AN6" s="30" t="s">
        <v>95</v>
      </c>
      <c r="AO6" s="30" t="s">
        <v>96</v>
      </c>
      <c r="AP6" s="30" t="s">
        <v>97</v>
      </c>
      <c r="AQ6" s="30" t="s">
        <v>98</v>
      </c>
      <c r="AR6" s="30" t="s">
        <v>99</v>
      </c>
      <c r="AS6" s="30" t="s">
        <v>100</v>
      </c>
      <c r="AT6" s="30" t="s">
        <v>101</v>
      </c>
      <c r="AU6" s="30" t="s">
        <v>102</v>
      </c>
      <c r="AV6" s="30" t="s">
        <v>103</v>
      </c>
      <c r="AW6" s="30" t="s">
        <v>104</v>
      </c>
      <c r="AX6" s="30" t="s">
        <v>105</v>
      </c>
      <c r="AY6" s="30" t="s">
        <v>106</v>
      </c>
    </row>
    <row r="7" spans="1:51" x14ac:dyDescent="0.35">
      <c r="B7">
        <f>'Project description'!$B$5</f>
        <v>0</v>
      </c>
      <c r="C7" t="str">
        <f>Lists!$B$34</f>
        <v/>
      </c>
      <c r="D7" t="s">
        <v>148</v>
      </c>
      <c r="E7" t="s">
        <v>149</v>
      </c>
      <c r="F7">
        <f>Inputs!H64*Data!M2</f>
        <v>0</v>
      </c>
      <c r="G7">
        <f>Inputs!I64*Data!N2</f>
        <v>0</v>
      </c>
      <c r="H7">
        <f>Inputs!J64*Data!O2</f>
        <v>0</v>
      </c>
      <c r="I7">
        <f>Inputs!K64*Data!P2</f>
        <v>0</v>
      </c>
      <c r="J7">
        <f>Inputs!L64*Data!Q2</f>
        <v>0</v>
      </c>
      <c r="K7">
        <f>Inputs!M64*Data!R2</f>
        <v>0</v>
      </c>
      <c r="L7">
        <f>Inputs!N64*Data!S2</f>
        <v>0</v>
      </c>
      <c r="M7">
        <f>Inputs!O64*Data!T2</f>
        <v>0</v>
      </c>
      <c r="N7">
        <f>Inputs!P64*Data!U2</f>
        <v>0</v>
      </c>
      <c r="O7">
        <f>Inputs!Q64*Data!V2</f>
        <v>0</v>
      </c>
      <c r="P7">
        <f>Inputs!R64*Data!W2</f>
        <v>0</v>
      </c>
      <c r="Q7">
        <f>Inputs!S64*Data!X2</f>
        <v>0</v>
      </c>
      <c r="R7">
        <f>Inputs!T64*Data!Y2</f>
        <v>0</v>
      </c>
      <c r="S7">
        <f>Inputs!U64*Data!Z2</f>
        <v>0</v>
      </c>
      <c r="T7">
        <f>Inputs!V64*Data!AA2</f>
        <v>0</v>
      </c>
      <c r="U7">
        <f>Inputs!W64*Data!AB2</f>
        <v>0</v>
      </c>
      <c r="V7">
        <f>Inputs!X64*Data!AC2</f>
        <v>0</v>
      </c>
      <c r="W7">
        <f>Inputs!Y64*Data!AD2</f>
        <v>0</v>
      </c>
      <c r="X7">
        <f>Inputs!Z64*Data!AE2</f>
        <v>0</v>
      </c>
      <c r="Y7">
        <f>Inputs!AA64*Data!AF2</f>
        <v>0</v>
      </c>
      <c r="Z7">
        <f>Inputs!AB64*Data!AG2</f>
        <v>0</v>
      </c>
      <c r="AA7">
        <f>Inputs!AC64*Data!AH2</f>
        <v>0</v>
      </c>
      <c r="AB7">
        <f>Inputs!AD64*Data!AI2</f>
        <v>0</v>
      </c>
      <c r="AC7">
        <f>Inputs!AE64*Data!AJ2</f>
        <v>0</v>
      </c>
      <c r="AD7">
        <f>Inputs!AF64*Data!AK2</f>
        <v>0</v>
      </c>
      <c r="AE7">
        <f>Inputs!AG64*Data!AL2</f>
        <v>0</v>
      </c>
      <c r="AF7">
        <f>Inputs!AH64*Data!AM2</f>
        <v>0</v>
      </c>
      <c r="AG7">
        <f>Inputs!AI64*Data!AN2</f>
        <v>0</v>
      </c>
      <c r="AH7">
        <f>Inputs!AJ64*Data!AO2</f>
        <v>0</v>
      </c>
      <c r="AI7">
        <f>Inputs!AK64*Data!AP2</f>
        <v>0</v>
      </c>
      <c r="AJ7">
        <f>Inputs!AL64*Data!AQ2</f>
        <v>0</v>
      </c>
      <c r="AK7">
        <f>Inputs!AM64*Data!AR2</f>
        <v>0</v>
      </c>
      <c r="AL7">
        <f>Inputs!AN64*Data!AS2</f>
        <v>0</v>
      </c>
      <c r="AM7">
        <f>Inputs!AO64*Data!AT2</f>
        <v>0</v>
      </c>
      <c r="AN7">
        <f>Inputs!AP64*Data!AU2</f>
        <v>0</v>
      </c>
      <c r="AO7">
        <f>Inputs!AQ64*Data!AV2</f>
        <v>0</v>
      </c>
      <c r="AP7">
        <f>Inputs!AR64*Data!AW2</f>
        <v>0</v>
      </c>
      <c r="AQ7">
        <f>Inputs!AS64*Data!AX2</f>
        <v>0</v>
      </c>
      <c r="AR7">
        <f>Inputs!AT64*Data!AY2</f>
        <v>0</v>
      </c>
      <c r="AS7">
        <f>Inputs!AU64*Data!AZ2</f>
        <v>0</v>
      </c>
      <c r="AT7">
        <f>Inputs!AV64*Data!BA2</f>
        <v>0</v>
      </c>
      <c r="AU7">
        <f>Inputs!AW64*Data!BB2</f>
        <v>0</v>
      </c>
      <c r="AV7">
        <f>Inputs!AX64*Data!BC2</f>
        <v>0</v>
      </c>
      <c r="AW7">
        <f>Inputs!AY64*Data!BD2</f>
        <v>0</v>
      </c>
      <c r="AX7">
        <f>Inputs!AZ64*Data!BE2</f>
        <v>0</v>
      </c>
      <c r="AY7">
        <f>Inputs!BA64*Data!BF2</f>
        <v>0</v>
      </c>
    </row>
    <row r="8" spans="1:51" x14ac:dyDescent="0.35">
      <c r="B8">
        <f>'Project description'!$B$5</f>
        <v>0</v>
      </c>
      <c r="C8" t="str">
        <f>Lists!$B$34</f>
        <v/>
      </c>
      <c r="D8" t="s">
        <v>148</v>
      </c>
      <c r="E8" t="s">
        <v>150</v>
      </c>
      <c r="F8">
        <f>Inputs!H65*Data!M3</f>
        <v>0</v>
      </c>
      <c r="G8">
        <f>Inputs!I65*Data!N3</f>
        <v>0</v>
      </c>
      <c r="H8">
        <f>Inputs!J65*Data!O3</f>
        <v>0</v>
      </c>
      <c r="I8">
        <f>Inputs!K65*Data!P3</f>
        <v>0</v>
      </c>
      <c r="J8">
        <f>Inputs!L65*Data!Q3</f>
        <v>0</v>
      </c>
      <c r="K8">
        <f>Inputs!M65*Data!R3</f>
        <v>0</v>
      </c>
      <c r="L8">
        <f>Inputs!N65*Data!S3</f>
        <v>0</v>
      </c>
      <c r="M8">
        <f>Inputs!O65*Data!T3</f>
        <v>0</v>
      </c>
      <c r="N8">
        <f>Inputs!P65*Data!U3</f>
        <v>0</v>
      </c>
      <c r="O8">
        <f>Inputs!Q65*Data!V3</f>
        <v>0</v>
      </c>
      <c r="P8">
        <f>Inputs!R65*Data!W3</f>
        <v>0</v>
      </c>
      <c r="Q8">
        <f>Inputs!S65*Data!X3</f>
        <v>0</v>
      </c>
      <c r="R8">
        <f>Inputs!T65*Data!Y3</f>
        <v>0</v>
      </c>
      <c r="S8">
        <f>Inputs!U65*Data!Z3</f>
        <v>0</v>
      </c>
      <c r="T8">
        <f>Inputs!V65*Data!AA3</f>
        <v>0</v>
      </c>
      <c r="U8">
        <f>Inputs!W65*Data!AB3</f>
        <v>0</v>
      </c>
      <c r="V8">
        <f>Inputs!X65*Data!AC3</f>
        <v>0</v>
      </c>
      <c r="W8">
        <f>Inputs!Y65*Data!AD3</f>
        <v>0</v>
      </c>
      <c r="X8">
        <f>Inputs!Z65*Data!AE3</f>
        <v>0</v>
      </c>
      <c r="Y8">
        <f>Inputs!AA65*Data!AF3</f>
        <v>0</v>
      </c>
      <c r="Z8">
        <f>Inputs!AB65*Data!AG3</f>
        <v>0</v>
      </c>
      <c r="AA8">
        <f>Inputs!AC65*Data!AH3</f>
        <v>0</v>
      </c>
      <c r="AB8">
        <f>Inputs!AD65*Data!AI3</f>
        <v>0</v>
      </c>
      <c r="AC8">
        <f>Inputs!AE65*Data!AJ3</f>
        <v>0</v>
      </c>
      <c r="AD8">
        <f>Inputs!AF65*Data!AK3</f>
        <v>0</v>
      </c>
      <c r="AE8">
        <f>Inputs!AG65*Data!AL3</f>
        <v>0</v>
      </c>
      <c r="AF8">
        <f>Inputs!AH65*Data!AM3</f>
        <v>0</v>
      </c>
      <c r="AG8">
        <f>Inputs!AI65*Data!AN3</f>
        <v>0</v>
      </c>
      <c r="AH8">
        <f>Inputs!AJ65*Data!AO3</f>
        <v>0</v>
      </c>
      <c r="AI8">
        <f>Inputs!AK65*Data!AP3</f>
        <v>0</v>
      </c>
      <c r="AJ8">
        <f>Inputs!AL65*Data!AQ3</f>
        <v>0</v>
      </c>
      <c r="AK8">
        <f>Inputs!AM65*Data!AR3</f>
        <v>0</v>
      </c>
      <c r="AL8">
        <f>Inputs!AN65*Data!AS3</f>
        <v>0</v>
      </c>
      <c r="AM8">
        <f>Inputs!AO65*Data!AT3</f>
        <v>0</v>
      </c>
      <c r="AN8">
        <f>Inputs!AP65*Data!AU3</f>
        <v>0</v>
      </c>
      <c r="AO8">
        <f>Inputs!AQ65*Data!AV3</f>
        <v>0</v>
      </c>
      <c r="AP8">
        <f>Inputs!AR65*Data!AW3</f>
        <v>0</v>
      </c>
      <c r="AQ8">
        <f>Inputs!AS65*Data!AX3</f>
        <v>0</v>
      </c>
      <c r="AR8">
        <f>Inputs!AT65*Data!AY3</f>
        <v>0</v>
      </c>
      <c r="AS8">
        <f>Inputs!AU65*Data!AZ3</f>
        <v>0</v>
      </c>
      <c r="AT8">
        <f>Inputs!AV65*Data!BA3</f>
        <v>0</v>
      </c>
      <c r="AU8">
        <f>Inputs!AW65*Data!BB3</f>
        <v>0</v>
      </c>
      <c r="AV8">
        <f>Inputs!AX65*Data!BC3</f>
        <v>0</v>
      </c>
      <c r="AW8">
        <f>Inputs!AY65*Data!BD3</f>
        <v>0</v>
      </c>
      <c r="AX8">
        <f>Inputs!AZ65*Data!BE3</f>
        <v>0</v>
      </c>
      <c r="AY8">
        <f>Inputs!BA65*Data!BF3</f>
        <v>0</v>
      </c>
    </row>
    <row r="9" spans="1:51" x14ac:dyDescent="0.35">
      <c r="B9">
        <f>'Project description'!$B$5</f>
        <v>0</v>
      </c>
      <c r="C9" t="str">
        <f>Lists!$B$34</f>
        <v/>
      </c>
      <c r="D9" t="s">
        <v>148</v>
      </c>
      <c r="E9" t="s">
        <v>151</v>
      </c>
      <c r="F9">
        <f>Inputs!H66*Data!M4</f>
        <v>0</v>
      </c>
      <c r="G9">
        <f>Inputs!I66*Data!N4</f>
        <v>0</v>
      </c>
      <c r="H9">
        <f>Inputs!J66*Data!O4</f>
        <v>0</v>
      </c>
      <c r="I9">
        <f>Inputs!K66*Data!P4</f>
        <v>0</v>
      </c>
      <c r="J9">
        <f>Inputs!L66*Data!Q4</f>
        <v>0</v>
      </c>
      <c r="K9">
        <f>Inputs!M66*Data!R4</f>
        <v>0</v>
      </c>
      <c r="L9">
        <f>Inputs!N66*Data!S4</f>
        <v>0</v>
      </c>
      <c r="M9">
        <f>Inputs!O66*Data!T4</f>
        <v>0</v>
      </c>
      <c r="N9">
        <f>Inputs!P66*Data!U4</f>
        <v>0</v>
      </c>
      <c r="O9">
        <f>Inputs!Q66*Data!V4</f>
        <v>0</v>
      </c>
      <c r="P9">
        <f>Inputs!R66*Data!W4</f>
        <v>0</v>
      </c>
      <c r="Q9">
        <f>Inputs!S66*Data!X4</f>
        <v>0</v>
      </c>
      <c r="R9">
        <f>Inputs!T66*Data!Y4</f>
        <v>0</v>
      </c>
      <c r="S9">
        <f>Inputs!U66*Data!Z4</f>
        <v>0</v>
      </c>
      <c r="T9">
        <f>Inputs!V66*Data!AA4</f>
        <v>0</v>
      </c>
      <c r="U9">
        <f>Inputs!W66*Data!AB4</f>
        <v>0</v>
      </c>
      <c r="V9">
        <f>Inputs!X66*Data!AC4</f>
        <v>0</v>
      </c>
      <c r="W9">
        <f>Inputs!Y66*Data!AD4</f>
        <v>0</v>
      </c>
      <c r="X9">
        <f>Inputs!Z66*Data!AE4</f>
        <v>0</v>
      </c>
      <c r="Y9">
        <f>Inputs!AA66*Data!AF4</f>
        <v>0</v>
      </c>
      <c r="Z9">
        <f>Inputs!AB66*Data!AG4</f>
        <v>0</v>
      </c>
      <c r="AA9">
        <f>Inputs!AC66*Data!AH4</f>
        <v>0</v>
      </c>
      <c r="AB9">
        <f>Inputs!AD66*Data!AI4</f>
        <v>0</v>
      </c>
      <c r="AC9">
        <f>Inputs!AE66*Data!AJ4</f>
        <v>0</v>
      </c>
      <c r="AD9">
        <f>Inputs!AF66*Data!AK4</f>
        <v>0</v>
      </c>
      <c r="AE9">
        <f>Inputs!AG66*Data!AL4</f>
        <v>0</v>
      </c>
      <c r="AF9">
        <f>Inputs!AH66*Data!AM4</f>
        <v>0</v>
      </c>
      <c r="AG9">
        <f>Inputs!AI66*Data!AN4</f>
        <v>0</v>
      </c>
      <c r="AH9">
        <f>Inputs!AJ66*Data!AO4</f>
        <v>0</v>
      </c>
      <c r="AI9">
        <f>Inputs!AK66*Data!AP4</f>
        <v>0</v>
      </c>
      <c r="AJ9">
        <f>Inputs!AL66*Data!AQ4</f>
        <v>0</v>
      </c>
      <c r="AK9">
        <f>Inputs!AM66*Data!AR4</f>
        <v>0</v>
      </c>
      <c r="AL9">
        <f>Inputs!AN66*Data!AS4</f>
        <v>0</v>
      </c>
      <c r="AM9">
        <f>Inputs!AO66*Data!AT4</f>
        <v>0</v>
      </c>
      <c r="AN9">
        <f>Inputs!AP66*Data!AU4</f>
        <v>0</v>
      </c>
      <c r="AO9">
        <f>Inputs!AQ66*Data!AV4</f>
        <v>0</v>
      </c>
      <c r="AP9">
        <f>Inputs!AR66*Data!AW4</f>
        <v>0</v>
      </c>
      <c r="AQ9">
        <f>Inputs!AS66*Data!AX4</f>
        <v>0</v>
      </c>
      <c r="AR9">
        <f>Inputs!AT66*Data!AY4</f>
        <v>0</v>
      </c>
      <c r="AS9">
        <f>Inputs!AU66*Data!AZ4</f>
        <v>0</v>
      </c>
      <c r="AT9">
        <f>Inputs!AV66*Data!BA4</f>
        <v>0</v>
      </c>
      <c r="AU9">
        <f>Inputs!AW66*Data!BB4</f>
        <v>0</v>
      </c>
      <c r="AV9">
        <f>Inputs!AX66*Data!BC4</f>
        <v>0</v>
      </c>
      <c r="AW9">
        <f>Inputs!AY66*Data!BD4</f>
        <v>0</v>
      </c>
      <c r="AX9">
        <f>Inputs!AZ66*Data!BE4</f>
        <v>0</v>
      </c>
      <c r="AY9">
        <f>Inputs!BA66*Data!BF4</f>
        <v>0</v>
      </c>
    </row>
    <row r="10" spans="1:51" x14ac:dyDescent="0.35">
      <c r="B10">
        <f>'Project description'!$B$5</f>
        <v>0</v>
      </c>
      <c r="C10" t="str">
        <f>Lists!$B$34</f>
        <v/>
      </c>
      <c r="D10" t="s">
        <v>148</v>
      </c>
      <c r="E10" t="s">
        <v>152</v>
      </c>
      <c r="F10">
        <f>Inputs!H67*Data!M5</f>
        <v>0</v>
      </c>
      <c r="G10">
        <f>Inputs!I67*Data!N5</f>
        <v>0</v>
      </c>
      <c r="H10">
        <f>Inputs!J67*Data!O5</f>
        <v>0</v>
      </c>
      <c r="I10">
        <f>Inputs!K67*Data!P5</f>
        <v>0</v>
      </c>
      <c r="J10">
        <f>Inputs!L67*Data!Q5</f>
        <v>0</v>
      </c>
      <c r="K10">
        <f>Inputs!M67*Data!R5</f>
        <v>0</v>
      </c>
      <c r="L10">
        <f>Inputs!N67*Data!S5</f>
        <v>0</v>
      </c>
      <c r="M10">
        <f>Inputs!O67*Data!T5</f>
        <v>0</v>
      </c>
      <c r="N10">
        <f>Inputs!P67*Data!U5</f>
        <v>0</v>
      </c>
      <c r="O10">
        <f>Inputs!Q67*Data!V5</f>
        <v>0</v>
      </c>
      <c r="P10">
        <f>Inputs!R67*Data!W5</f>
        <v>0</v>
      </c>
      <c r="Q10">
        <f>Inputs!S67*Data!X5</f>
        <v>0</v>
      </c>
      <c r="R10">
        <f>Inputs!T67*Data!Y5</f>
        <v>0</v>
      </c>
      <c r="S10">
        <f>Inputs!U67*Data!Z5</f>
        <v>0</v>
      </c>
      <c r="T10">
        <f>Inputs!V67*Data!AA5</f>
        <v>0</v>
      </c>
      <c r="U10">
        <f>Inputs!W67*Data!AB5</f>
        <v>0</v>
      </c>
      <c r="V10">
        <f>Inputs!X67*Data!AC5</f>
        <v>0</v>
      </c>
      <c r="W10">
        <f>Inputs!Y67*Data!AD5</f>
        <v>0</v>
      </c>
      <c r="X10">
        <f>Inputs!Z67*Data!AE5</f>
        <v>0</v>
      </c>
      <c r="Y10">
        <f>Inputs!AA67*Data!AF5</f>
        <v>0</v>
      </c>
      <c r="Z10">
        <f>Inputs!AB67*Data!AG5</f>
        <v>0</v>
      </c>
      <c r="AA10">
        <f>Inputs!AC67*Data!AH5</f>
        <v>0</v>
      </c>
      <c r="AB10">
        <f>Inputs!AD67*Data!AI5</f>
        <v>0</v>
      </c>
      <c r="AC10">
        <f>Inputs!AE67*Data!AJ5</f>
        <v>0</v>
      </c>
      <c r="AD10">
        <f>Inputs!AF67*Data!AK5</f>
        <v>0</v>
      </c>
      <c r="AE10">
        <f>Inputs!AG67*Data!AL5</f>
        <v>0</v>
      </c>
      <c r="AF10">
        <f>Inputs!AH67*Data!AM5</f>
        <v>0</v>
      </c>
      <c r="AG10">
        <f>Inputs!AI67*Data!AN5</f>
        <v>0</v>
      </c>
      <c r="AH10">
        <f>Inputs!AJ67*Data!AO5</f>
        <v>0</v>
      </c>
      <c r="AI10">
        <f>Inputs!AK67*Data!AP5</f>
        <v>0</v>
      </c>
      <c r="AJ10">
        <f>Inputs!AL67*Data!AQ5</f>
        <v>0</v>
      </c>
      <c r="AK10">
        <f>Inputs!AM67*Data!AR5</f>
        <v>0</v>
      </c>
      <c r="AL10">
        <f>Inputs!AN67*Data!AS5</f>
        <v>0</v>
      </c>
      <c r="AM10">
        <f>Inputs!AO67*Data!AT5</f>
        <v>0</v>
      </c>
      <c r="AN10">
        <f>Inputs!AP67*Data!AU5</f>
        <v>0</v>
      </c>
      <c r="AO10">
        <f>Inputs!AQ67*Data!AV5</f>
        <v>0</v>
      </c>
      <c r="AP10">
        <f>Inputs!AR67*Data!AW5</f>
        <v>0</v>
      </c>
      <c r="AQ10">
        <f>Inputs!AS67*Data!AX5</f>
        <v>0</v>
      </c>
      <c r="AR10">
        <f>Inputs!AT67*Data!AY5</f>
        <v>0</v>
      </c>
      <c r="AS10">
        <f>Inputs!AU67*Data!AZ5</f>
        <v>0</v>
      </c>
      <c r="AT10">
        <f>Inputs!AV67*Data!BA5</f>
        <v>0</v>
      </c>
      <c r="AU10">
        <f>Inputs!AW67*Data!BB5</f>
        <v>0</v>
      </c>
      <c r="AV10">
        <f>Inputs!AX67*Data!BC5</f>
        <v>0</v>
      </c>
      <c r="AW10">
        <f>Inputs!AY67*Data!BD5</f>
        <v>0</v>
      </c>
      <c r="AX10">
        <f>Inputs!AZ67*Data!BE5</f>
        <v>0</v>
      </c>
      <c r="AY10">
        <f>Inputs!BA67*Data!BF5</f>
        <v>0</v>
      </c>
    </row>
    <row r="11" spans="1:51" x14ac:dyDescent="0.35">
      <c r="B11">
        <f>'Project description'!$B$5</f>
        <v>0</v>
      </c>
      <c r="C11" t="str">
        <f>Lists!$B$34</f>
        <v/>
      </c>
      <c r="D11" t="s">
        <v>148</v>
      </c>
      <c r="E11" t="s">
        <v>153</v>
      </c>
      <c r="F11">
        <f>Inputs!H68*Data!M6</f>
        <v>0</v>
      </c>
      <c r="G11">
        <f>Inputs!I68*Data!N6</f>
        <v>0</v>
      </c>
      <c r="H11">
        <f>Inputs!J68*Data!O6</f>
        <v>0</v>
      </c>
      <c r="I11">
        <f>Inputs!K68*Data!P6</f>
        <v>0</v>
      </c>
      <c r="J11">
        <f>Inputs!L68*Data!Q6</f>
        <v>0</v>
      </c>
      <c r="K11">
        <f>Inputs!M68*Data!R6</f>
        <v>0</v>
      </c>
      <c r="L11">
        <f>Inputs!N68*Data!S6</f>
        <v>0</v>
      </c>
      <c r="M11">
        <f>Inputs!O68*Data!T6</f>
        <v>0</v>
      </c>
      <c r="N11">
        <f>Inputs!P68*Data!U6</f>
        <v>0</v>
      </c>
      <c r="O11">
        <f>Inputs!Q68*Data!V6</f>
        <v>0</v>
      </c>
      <c r="P11">
        <f>Inputs!R68*Data!W6</f>
        <v>0</v>
      </c>
      <c r="Q11">
        <f>Inputs!S68*Data!X6</f>
        <v>0</v>
      </c>
      <c r="R11">
        <f>Inputs!T68*Data!Y6</f>
        <v>0</v>
      </c>
      <c r="S11">
        <f>Inputs!U68*Data!Z6</f>
        <v>0</v>
      </c>
      <c r="T11">
        <f>Inputs!V68*Data!AA6</f>
        <v>0</v>
      </c>
      <c r="U11">
        <f>Inputs!W68*Data!AB6</f>
        <v>0</v>
      </c>
      <c r="V11">
        <f>Inputs!X68*Data!AC6</f>
        <v>0</v>
      </c>
      <c r="W11">
        <f>Inputs!Y68*Data!AD6</f>
        <v>0</v>
      </c>
      <c r="X11">
        <f>Inputs!Z68*Data!AE6</f>
        <v>0</v>
      </c>
      <c r="Y11">
        <f>Inputs!AA68*Data!AF6</f>
        <v>0</v>
      </c>
      <c r="Z11">
        <f>Inputs!AB68*Data!AG6</f>
        <v>0</v>
      </c>
      <c r="AA11">
        <f>Inputs!AC68*Data!AH6</f>
        <v>0</v>
      </c>
      <c r="AB11">
        <f>Inputs!AD68*Data!AI6</f>
        <v>0</v>
      </c>
      <c r="AC11">
        <f>Inputs!AE68*Data!AJ6</f>
        <v>0</v>
      </c>
      <c r="AD11">
        <f>Inputs!AF68*Data!AK6</f>
        <v>0</v>
      </c>
      <c r="AE11">
        <f>Inputs!AG68*Data!AL6</f>
        <v>0</v>
      </c>
      <c r="AF11">
        <f>Inputs!AH68*Data!AM6</f>
        <v>0</v>
      </c>
      <c r="AG11">
        <f>Inputs!AI68*Data!AN6</f>
        <v>0</v>
      </c>
      <c r="AH11">
        <f>Inputs!AJ68*Data!AO6</f>
        <v>0</v>
      </c>
      <c r="AI11">
        <f>Inputs!AK68*Data!AP6</f>
        <v>0</v>
      </c>
      <c r="AJ11">
        <f>Inputs!AL68*Data!AQ6</f>
        <v>0</v>
      </c>
      <c r="AK11">
        <f>Inputs!AM68*Data!AR6</f>
        <v>0</v>
      </c>
      <c r="AL11">
        <f>Inputs!AN68*Data!AS6</f>
        <v>0</v>
      </c>
      <c r="AM11">
        <f>Inputs!AO68*Data!AT6</f>
        <v>0</v>
      </c>
      <c r="AN11">
        <f>Inputs!AP68*Data!AU6</f>
        <v>0</v>
      </c>
      <c r="AO11">
        <f>Inputs!AQ68*Data!AV6</f>
        <v>0</v>
      </c>
      <c r="AP11">
        <f>Inputs!AR68*Data!AW6</f>
        <v>0</v>
      </c>
      <c r="AQ11">
        <f>Inputs!AS68*Data!AX6</f>
        <v>0</v>
      </c>
      <c r="AR11">
        <f>Inputs!AT68*Data!AY6</f>
        <v>0</v>
      </c>
      <c r="AS11">
        <f>Inputs!AU68*Data!AZ6</f>
        <v>0</v>
      </c>
      <c r="AT11">
        <f>Inputs!AV68*Data!BA6</f>
        <v>0</v>
      </c>
      <c r="AU11">
        <f>Inputs!AW68*Data!BB6</f>
        <v>0</v>
      </c>
      <c r="AV11">
        <f>Inputs!AX68*Data!BC6</f>
        <v>0</v>
      </c>
      <c r="AW11">
        <f>Inputs!AY68*Data!BD6</f>
        <v>0</v>
      </c>
      <c r="AX11">
        <f>Inputs!AZ68*Data!BE6</f>
        <v>0</v>
      </c>
      <c r="AY11">
        <f>Inputs!BA68*Data!BF6</f>
        <v>0</v>
      </c>
    </row>
    <row r="12" spans="1:51" x14ac:dyDescent="0.35">
      <c r="B12">
        <f>'Project description'!$B$5</f>
        <v>0</v>
      </c>
      <c r="C12" t="str">
        <f>Lists!$B$34</f>
        <v/>
      </c>
      <c r="D12" t="s">
        <v>148</v>
      </c>
      <c r="E12" t="s">
        <v>154</v>
      </c>
      <c r="F12">
        <f>Inputs!H69*Data!M7</f>
        <v>0</v>
      </c>
      <c r="G12">
        <f>Inputs!I69*Data!N7</f>
        <v>0</v>
      </c>
      <c r="H12">
        <f>Inputs!J69*Data!O7</f>
        <v>0</v>
      </c>
      <c r="I12">
        <f>Inputs!K69*Data!P7</f>
        <v>0</v>
      </c>
      <c r="J12">
        <f>Inputs!L69*Data!Q7</f>
        <v>0</v>
      </c>
      <c r="K12">
        <f>Inputs!M69*Data!R7</f>
        <v>0</v>
      </c>
      <c r="L12">
        <f>Inputs!N69*Data!S7</f>
        <v>0</v>
      </c>
      <c r="M12">
        <f>Inputs!O69*Data!T7</f>
        <v>0</v>
      </c>
      <c r="N12">
        <f>Inputs!P69*Data!U7</f>
        <v>0</v>
      </c>
      <c r="O12">
        <f>Inputs!Q69*Data!V7</f>
        <v>0</v>
      </c>
      <c r="P12">
        <f>Inputs!R69*Data!W7</f>
        <v>0</v>
      </c>
      <c r="Q12">
        <f>Inputs!S69*Data!X7</f>
        <v>0</v>
      </c>
      <c r="R12">
        <f>Inputs!T69*Data!Y7</f>
        <v>0</v>
      </c>
      <c r="S12">
        <f>Inputs!U69*Data!Z7</f>
        <v>0</v>
      </c>
      <c r="T12">
        <f>Inputs!V69*Data!AA7</f>
        <v>0</v>
      </c>
      <c r="U12">
        <f>Inputs!W69*Data!AB7</f>
        <v>0</v>
      </c>
      <c r="V12">
        <f>Inputs!X69*Data!AC7</f>
        <v>0</v>
      </c>
      <c r="W12">
        <f>Inputs!Y69*Data!AD7</f>
        <v>0</v>
      </c>
      <c r="X12">
        <f>Inputs!Z69*Data!AE7</f>
        <v>0</v>
      </c>
      <c r="Y12">
        <f>Inputs!AA69*Data!AF7</f>
        <v>0</v>
      </c>
      <c r="Z12">
        <f>Inputs!AB69*Data!AG7</f>
        <v>0</v>
      </c>
      <c r="AA12">
        <f>Inputs!AC69*Data!AH7</f>
        <v>0</v>
      </c>
      <c r="AB12">
        <f>Inputs!AD69*Data!AI7</f>
        <v>0</v>
      </c>
      <c r="AC12">
        <f>Inputs!AE69*Data!AJ7</f>
        <v>0</v>
      </c>
      <c r="AD12">
        <f>Inputs!AF69*Data!AK7</f>
        <v>0</v>
      </c>
      <c r="AE12">
        <f>Inputs!AG69*Data!AL7</f>
        <v>0</v>
      </c>
      <c r="AF12">
        <f>Inputs!AH69*Data!AM7</f>
        <v>0</v>
      </c>
      <c r="AG12">
        <f>Inputs!AI69*Data!AN7</f>
        <v>0</v>
      </c>
      <c r="AH12">
        <f>Inputs!AJ69*Data!AO7</f>
        <v>0</v>
      </c>
      <c r="AI12">
        <f>Inputs!AK69*Data!AP7</f>
        <v>0</v>
      </c>
      <c r="AJ12">
        <f>Inputs!AL69*Data!AQ7</f>
        <v>0</v>
      </c>
      <c r="AK12">
        <f>Inputs!AM69*Data!AR7</f>
        <v>0</v>
      </c>
      <c r="AL12">
        <f>Inputs!AN69*Data!AS7</f>
        <v>0</v>
      </c>
      <c r="AM12">
        <f>Inputs!AO69*Data!AT7</f>
        <v>0</v>
      </c>
      <c r="AN12">
        <f>Inputs!AP69*Data!AU7</f>
        <v>0</v>
      </c>
      <c r="AO12">
        <f>Inputs!AQ69*Data!AV7</f>
        <v>0</v>
      </c>
      <c r="AP12">
        <f>Inputs!AR69*Data!AW7</f>
        <v>0</v>
      </c>
      <c r="AQ12">
        <f>Inputs!AS69*Data!AX7</f>
        <v>0</v>
      </c>
      <c r="AR12">
        <f>Inputs!AT69*Data!AY7</f>
        <v>0</v>
      </c>
      <c r="AS12">
        <f>Inputs!AU69*Data!AZ7</f>
        <v>0</v>
      </c>
      <c r="AT12">
        <f>Inputs!AV69*Data!BA7</f>
        <v>0</v>
      </c>
      <c r="AU12">
        <f>Inputs!AW69*Data!BB7</f>
        <v>0</v>
      </c>
      <c r="AV12">
        <f>Inputs!AX69*Data!BC7</f>
        <v>0</v>
      </c>
      <c r="AW12">
        <f>Inputs!AY69*Data!BD7</f>
        <v>0</v>
      </c>
      <c r="AX12">
        <f>Inputs!AZ69*Data!BE7</f>
        <v>0</v>
      </c>
      <c r="AY12">
        <f>Inputs!BA69*Data!BF7</f>
        <v>0</v>
      </c>
    </row>
    <row r="13" spans="1:51" x14ac:dyDescent="0.35">
      <c r="B13">
        <f>'Project description'!$B$5</f>
        <v>0</v>
      </c>
      <c r="C13" t="str">
        <f>Lists!$B$34</f>
        <v/>
      </c>
      <c r="D13" t="s">
        <v>148</v>
      </c>
      <c r="E13" t="s">
        <v>155</v>
      </c>
      <c r="F13">
        <f>Inputs!H70*Data!M8</f>
        <v>0</v>
      </c>
      <c r="G13">
        <f>Inputs!I70*Data!N8</f>
        <v>0</v>
      </c>
      <c r="H13">
        <f>Inputs!J70*Data!O8</f>
        <v>0</v>
      </c>
      <c r="I13">
        <f>Inputs!K70*Data!P8</f>
        <v>0</v>
      </c>
      <c r="J13">
        <f>Inputs!L70*Data!Q8</f>
        <v>0</v>
      </c>
      <c r="K13">
        <f>Inputs!M70*Data!R8</f>
        <v>0</v>
      </c>
      <c r="L13">
        <f>Inputs!N70*Data!S8</f>
        <v>0</v>
      </c>
      <c r="M13">
        <f>Inputs!O70*Data!T8</f>
        <v>0</v>
      </c>
      <c r="N13">
        <f>Inputs!P70*Data!U8</f>
        <v>0</v>
      </c>
      <c r="O13">
        <f>Inputs!Q70*Data!V8</f>
        <v>0</v>
      </c>
      <c r="P13">
        <f>Inputs!R70*Data!W8</f>
        <v>0</v>
      </c>
      <c r="Q13">
        <f>Inputs!S70*Data!X8</f>
        <v>0</v>
      </c>
      <c r="R13">
        <f>Inputs!T70*Data!Y8</f>
        <v>0</v>
      </c>
      <c r="S13">
        <f>Inputs!U70*Data!Z8</f>
        <v>0</v>
      </c>
      <c r="T13">
        <f>Inputs!V70*Data!AA8</f>
        <v>0</v>
      </c>
      <c r="U13">
        <f>Inputs!W70*Data!AB8</f>
        <v>0</v>
      </c>
      <c r="V13">
        <f>Inputs!X70*Data!AC8</f>
        <v>0</v>
      </c>
      <c r="W13">
        <f>Inputs!Y70*Data!AD8</f>
        <v>0</v>
      </c>
      <c r="X13">
        <f>Inputs!Z70*Data!AE8</f>
        <v>0</v>
      </c>
      <c r="Y13">
        <f>Inputs!AA70*Data!AF8</f>
        <v>0</v>
      </c>
      <c r="Z13">
        <f>Inputs!AB70*Data!AG8</f>
        <v>0</v>
      </c>
      <c r="AA13">
        <f>Inputs!AC70*Data!AH8</f>
        <v>0</v>
      </c>
      <c r="AB13">
        <f>Inputs!AD70*Data!AI8</f>
        <v>0</v>
      </c>
      <c r="AC13">
        <f>Inputs!AE70*Data!AJ8</f>
        <v>0</v>
      </c>
      <c r="AD13">
        <f>Inputs!AF70*Data!AK8</f>
        <v>0</v>
      </c>
      <c r="AE13">
        <f>Inputs!AG70*Data!AL8</f>
        <v>0</v>
      </c>
      <c r="AF13">
        <f>Inputs!AH70*Data!AM8</f>
        <v>0</v>
      </c>
      <c r="AG13">
        <f>Inputs!AI70*Data!AN8</f>
        <v>0</v>
      </c>
      <c r="AH13">
        <f>Inputs!AJ70*Data!AO8</f>
        <v>0</v>
      </c>
      <c r="AI13">
        <f>Inputs!AK70*Data!AP8</f>
        <v>0</v>
      </c>
      <c r="AJ13">
        <f>Inputs!AL70*Data!AQ8</f>
        <v>0</v>
      </c>
      <c r="AK13">
        <f>Inputs!AM70*Data!AR8</f>
        <v>0</v>
      </c>
      <c r="AL13">
        <f>Inputs!AN70*Data!AS8</f>
        <v>0</v>
      </c>
      <c r="AM13">
        <f>Inputs!AO70*Data!AT8</f>
        <v>0</v>
      </c>
      <c r="AN13">
        <f>Inputs!AP70*Data!AU8</f>
        <v>0</v>
      </c>
      <c r="AO13">
        <f>Inputs!AQ70*Data!AV8</f>
        <v>0</v>
      </c>
      <c r="AP13">
        <f>Inputs!AR70*Data!AW8</f>
        <v>0</v>
      </c>
      <c r="AQ13">
        <f>Inputs!AS70*Data!AX8</f>
        <v>0</v>
      </c>
      <c r="AR13">
        <f>Inputs!AT70*Data!AY8</f>
        <v>0</v>
      </c>
      <c r="AS13">
        <f>Inputs!AU70*Data!AZ8</f>
        <v>0</v>
      </c>
      <c r="AT13">
        <f>Inputs!AV70*Data!BA8</f>
        <v>0</v>
      </c>
      <c r="AU13">
        <f>Inputs!AW70*Data!BB8</f>
        <v>0</v>
      </c>
      <c r="AV13">
        <f>Inputs!AX70*Data!BC8</f>
        <v>0</v>
      </c>
      <c r="AW13">
        <f>Inputs!AY70*Data!BD8</f>
        <v>0</v>
      </c>
      <c r="AX13">
        <f>Inputs!AZ70*Data!BE8</f>
        <v>0</v>
      </c>
      <c r="AY13">
        <f>Inputs!BA70*Data!BF8</f>
        <v>0</v>
      </c>
    </row>
    <row r="14" spans="1:51" x14ac:dyDescent="0.35">
      <c r="B14">
        <f>'Project description'!$B$5</f>
        <v>0</v>
      </c>
      <c r="C14" t="str">
        <f>Lists!$B$34</f>
        <v/>
      </c>
      <c r="D14" t="s">
        <v>148</v>
      </c>
      <c r="E14" t="s">
        <v>156</v>
      </c>
      <c r="F14">
        <f>Inputs!H71*Data!M9</f>
        <v>0</v>
      </c>
      <c r="G14">
        <f>Inputs!I71*Data!N9</f>
        <v>0</v>
      </c>
      <c r="H14">
        <f>Inputs!J71*Data!O9</f>
        <v>0</v>
      </c>
      <c r="I14">
        <f>Inputs!K71*Data!P9</f>
        <v>0</v>
      </c>
      <c r="J14">
        <f>Inputs!L71*Data!Q9</f>
        <v>0</v>
      </c>
      <c r="K14">
        <f>Inputs!M71*Data!R9</f>
        <v>0</v>
      </c>
      <c r="L14">
        <f>Inputs!N71*Data!S9</f>
        <v>0</v>
      </c>
      <c r="M14">
        <f>Inputs!O71*Data!T9</f>
        <v>0</v>
      </c>
      <c r="N14">
        <f>Inputs!P71*Data!U9</f>
        <v>0</v>
      </c>
      <c r="O14">
        <f>Inputs!Q71*Data!V9</f>
        <v>0</v>
      </c>
      <c r="P14">
        <f>Inputs!R71*Data!W9</f>
        <v>0</v>
      </c>
      <c r="Q14">
        <f>Inputs!S71*Data!X9</f>
        <v>0</v>
      </c>
      <c r="R14">
        <f>Inputs!T71*Data!Y9</f>
        <v>0</v>
      </c>
      <c r="S14">
        <f>Inputs!U71*Data!Z9</f>
        <v>0</v>
      </c>
      <c r="T14">
        <f>Inputs!V71*Data!AA9</f>
        <v>0</v>
      </c>
      <c r="U14">
        <f>Inputs!W71*Data!AB9</f>
        <v>0</v>
      </c>
      <c r="V14">
        <f>Inputs!X71*Data!AC9</f>
        <v>0</v>
      </c>
      <c r="W14">
        <f>Inputs!Y71*Data!AD9</f>
        <v>0</v>
      </c>
      <c r="X14">
        <f>Inputs!Z71*Data!AE9</f>
        <v>0</v>
      </c>
      <c r="Y14">
        <f>Inputs!AA71*Data!AF9</f>
        <v>0</v>
      </c>
      <c r="Z14">
        <f>Inputs!AB71*Data!AG9</f>
        <v>0</v>
      </c>
      <c r="AA14">
        <f>Inputs!AC71*Data!AH9</f>
        <v>0</v>
      </c>
      <c r="AB14">
        <f>Inputs!AD71*Data!AI9</f>
        <v>0</v>
      </c>
      <c r="AC14">
        <f>Inputs!AE71*Data!AJ9</f>
        <v>0</v>
      </c>
      <c r="AD14">
        <f>Inputs!AF71*Data!AK9</f>
        <v>0</v>
      </c>
      <c r="AE14">
        <f>Inputs!AG71*Data!AL9</f>
        <v>0</v>
      </c>
      <c r="AF14">
        <f>Inputs!AH71*Data!AM9</f>
        <v>0</v>
      </c>
      <c r="AG14">
        <f>Inputs!AI71*Data!AN9</f>
        <v>0</v>
      </c>
      <c r="AH14">
        <f>Inputs!AJ71*Data!AO9</f>
        <v>0</v>
      </c>
      <c r="AI14">
        <f>Inputs!AK71*Data!AP9</f>
        <v>0</v>
      </c>
      <c r="AJ14">
        <f>Inputs!AL71*Data!AQ9</f>
        <v>0</v>
      </c>
      <c r="AK14">
        <f>Inputs!AM71*Data!AR9</f>
        <v>0</v>
      </c>
      <c r="AL14">
        <f>Inputs!AN71*Data!AS9</f>
        <v>0</v>
      </c>
      <c r="AM14">
        <f>Inputs!AO71*Data!AT9</f>
        <v>0</v>
      </c>
      <c r="AN14">
        <f>Inputs!AP71*Data!AU9</f>
        <v>0</v>
      </c>
      <c r="AO14">
        <f>Inputs!AQ71*Data!AV9</f>
        <v>0</v>
      </c>
      <c r="AP14">
        <f>Inputs!AR71*Data!AW9</f>
        <v>0</v>
      </c>
      <c r="AQ14">
        <f>Inputs!AS71*Data!AX9</f>
        <v>0</v>
      </c>
      <c r="AR14">
        <f>Inputs!AT71*Data!AY9</f>
        <v>0</v>
      </c>
      <c r="AS14">
        <f>Inputs!AU71*Data!AZ9</f>
        <v>0</v>
      </c>
      <c r="AT14">
        <f>Inputs!AV71*Data!BA9</f>
        <v>0</v>
      </c>
      <c r="AU14">
        <f>Inputs!AW71*Data!BB9</f>
        <v>0</v>
      </c>
      <c r="AV14">
        <f>Inputs!AX71*Data!BC9</f>
        <v>0</v>
      </c>
      <c r="AW14">
        <f>Inputs!AY71*Data!BD9</f>
        <v>0</v>
      </c>
      <c r="AX14">
        <f>Inputs!AZ71*Data!BE9</f>
        <v>0</v>
      </c>
      <c r="AY14">
        <f>Inputs!BA71*Data!BF9</f>
        <v>0</v>
      </c>
    </row>
    <row r="15" spans="1:51" x14ac:dyDescent="0.35">
      <c r="B15">
        <f>'Project description'!$B$5</f>
        <v>0</v>
      </c>
      <c r="C15" t="str">
        <f>Lists!$B$34</f>
        <v/>
      </c>
      <c r="D15" t="s">
        <v>148</v>
      </c>
      <c r="E15" t="s">
        <v>157</v>
      </c>
      <c r="F15">
        <f>Inputs!H72*Data!M10</f>
        <v>0</v>
      </c>
      <c r="G15">
        <f>Inputs!I72*Data!N10</f>
        <v>0</v>
      </c>
      <c r="H15">
        <f>Inputs!J72*Data!O10</f>
        <v>0</v>
      </c>
      <c r="I15">
        <f>Inputs!K72*Data!P10</f>
        <v>0</v>
      </c>
      <c r="J15">
        <f>Inputs!L72*Data!Q10</f>
        <v>0</v>
      </c>
      <c r="K15">
        <f>Inputs!M72*Data!R10</f>
        <v>0</v>
      </c>
      <c r="L15">
        <f>Inputs!N72*Data!S10</f>
        <v>0</v>
      </c>
      <c r="M15">
        <f>Inputs!O72*Data!T10</f>
        <v>0</v>
      </c>
      <c r="N15">
        <f>Inputs!P72*Data!U10</f>
        <v>0</v>
      </c>
      <c r="O15">
        <f>Inputs!Q72*Data!V10</f>
        <v>0</v>
      </c>
      <c r="P15">
        <f>Inputs!R72*Data!W10</f>
        <v>0</v>
      </c>
      <c r="Q15">
        <f>Inputs!S72*Data!X10</f>
        <v>0</v>
      </c>
      <c r="R15">
        <f>Inputs!T72*Data!Y10</f>
        <v>0</v>
      </c>
      <c r="S15">
        <f>Inputs!U72*Data!Z10</f>
        <v>0</v>
      </c>
      <c r="T15">
        <f>Inputs!V72*Data!AA10</f>
        <v>0</v>
      </c>
      <c r="U15">
        <f>Inputs!W72*Data!AB10</f>
        <v>0</v>
      </c>
      <c r="V15">
        <f>Inputs!X72*Data!AC10</f>
        <v>0</v>
      </c>
      <c r="W15">
        <f>Inputs!Y72*Data!AD10</f>
        <v>0</v>
      </c>
      <c r="X15">
        <f>Inputs!Z72*Data!AE10</f>
        <v>0</v>
      </c>
      <c r="Y15">
        <f>Inputs!AA72*Data!AF10</f>
        <v>0</v>
      </c>
      <c r="Z15">
        <f>Inputs!AB72*Data!AG10</f>
        <v>0</v>
      </c>
      <c r="AA15">
        <f>Inputs!AC72*Data!AH10</f>
        <v>0</v>
      </c>
      <c r="AB15">
        <f>Inputs!AD72*Data!AI10</f>
        <v>0</v>
      </c>
      <c r="AC15">
        <f>Inputs!AE72*Data!AJ10</f>
        <v>0</v>
      </c>
      <c r="AD15">
        <f>Inputs!AF72*Data!AK10</f>
        <v>0</v>
      </c>
      <c r="AE15">
        <f>Inputs!AG72*Data!AL10</f>
        <v>0</v>
      </c>
      <c r="AF15">
        <f>Inputs!AH72*Data!AM10</f>
        <v>0</v>
      </c>
      <c r="AG15">
        <f>Inputs!AI72*Data!AN10</f>
        <v>0</v>
      </c>
      <c r="AH15">
        <f>Inputs!AJ72*Data!AO10</f>
        <v>0</v>
      </c>
      <c r="AI15">
        <f>Inputs!AK72*Data!AP10</f>
        <v>0</v>
      </c>
      <c r="AJ15">
        <f>Inputs!AL72*Data!AQ10</f>
        <v>0</v>
      </c>
      <c r="AK15">
        <f>Inputs!AM72*Data!AR10</f>
        <v>0</v>
      </c>
      <c r="AL15">
        <f>Inputs!AN72*Data!AS10</f>
        <v>0</v>
      </c>
      <c r="AM15">
        <f>Inputs!AO72*Data!AT10</f>
        <v>0</v>
      </c>
      <c r="AN15">
        <f>Inputs!AP72*Data!AU10</f>
        <v>0</v>
      </c>
      <c r="AO15">
        <f>Inputs!AQ72*Data!AV10</f>
        <v>0</v>
      </c>
      <c r="AP15">
        <f>Inputs!AR72*Data!AW10</f>
        <v>0</v>
      </c>
      <c r="AQ15">
        <f>Inputs!AS72*Data!AX10</f>
        <v>0</v>
      </c>
      <c r="AR15">
        <f>Inputs!AT72*Data!AY10</f>
        <v>0</v>
      </c>
      <c r="AS15">
        <f>Inputs!AU72*Data!AZ10</f>
        <v>0</v>
      </c>
      <c r="AT15">
        <f>Inputs!AV72*Data!BA10</f>
        <v>0</v>
      </c>
      <c r="AU15">
        <f>Inputs!AW72*Data!BB10</f>
        <v>0</v>
      </c>
      <c r="AV15">
        <f>Inputs!AX72*Data!BC10</f>
        <v>0</v>
      </c>
      <c r="AW15">
        <f>Inputs!AY72*Data!BD10</f>
        <v>0</v>
      </c>
      <c r="AX15">
        <f>Inputs!AZ72*Data!BE10</f>
        <v>0</v>
      </c>
      <c r="AY15">
        <f>Inputs!BA72*Data!BF10</f>
        <v>0</v>
      </c>
    </row>
    <row r="16" spans="1:51" x14ac:dyDescent="0.35">
      <c r="B16">
        <f>'Project description'!$B$5</f>
        <v>0</v>
      </c>
      <c r="C16" t="str">
        <f>Lists!$B$34</f>
        <v/>
      </c>
      <c r="D16" t="s">
        <v>148</v>
      </c>
      <c r="E16" t="s">
        <v>158</v>
      </c>
      <c r="F16">
        <f>Inputs!H73*Data!M11</f>
        <v>0</v>
      </c>
      <c r="G16">
        <f>Inputs!I73*Data!N11</f>
        <v>0</v>
      </c>
      <c r="H16">
        <f>Inputs!J73*Data!O11</f>
        <v>0</v>
      </c>
      <c r="I16">
        <f>Inputs!K73*Data!P11</f>
        <v>0</v>
      </c>
      <c r="J16">
        <f>Inputs!L73*Data!Q11</f>
        <v>0</v>
      </c>
      <c r="K16">
        <f>Inputs!M73*Data!R11</f>
        <v>0</v>
      </c>
      <c r="L16">
        <f>Inputs!N73*Data!S11</f>
        <v>0</v>
      </c>
      <c r="M16">
        <f>Inputs!O73*Data!T11</f>
        <v>0</v>
      </c>
      <c r="N16">
        <f>Inputs!P73*Data!U11</f>
        <v>0</v>
      </c>
      <c r="O16">
        <f>Inputs!Q73*Data!V11</f>
        <v>0</v>
      </c>
      <c r="P16">
        <f>Inputs!R73*Data!W11</f>
        <v>0</v>
      </c>
      <c r="Q16">
        <f>Inputs!S73*Data!X11</f>
        <v>0</v>
      </c>
      <c r="R16">
        <f>Inputs!T73*Data!Y11</f>
        <v>0</v>
      </c>
      <c r="S16">
        <f>Inputs!U73*Data!Z11</f>
        <v>0</v>
      </c>
      <c r="T16">
        <f>Inputs!V73*Data!AA11</f>
        <v>0</v>
      </c>
      <c r="U16">
        <f>Inputs!W73*Data!AB11</f>
        <v>0</v>
      </c>
      <c r="V16">
        <f>Inputs!X73*Data!AC11</f>
        <v>0</v>
      </c>
      <c r="W16">
        <f>Inputs!Y73*Data!AD11</f>
        <v>0</v>
      </c>
      <c r="X16">
        <f>Inputs!Z73*Data!AE11</f>
        <v>0</v>
      </c>
      <c r="Y16">
        <f>Inputs!AA73*Data!AF11</f>
        <v>0</v>
      </c>
      <c r="Z16">
        <f>Inputs!AB73*Data!AG11</f>
        <v>0</v>
      </c>
      <c r="AA16">
        <f>Inputs!AC73*Data!AH11</f>
        <v>0</v>
      </c>
      <c r="AB16">
        <f>Inputs!AD73*Data!AI11</f>
        <v>0</v>
      </c>
      <c r="AC16">
        <f>Inputs!AE73*Data!AJ11</f>
        <v>0</v>
      </c>
      <c r="AD16">
        <f>Inputs!AF73*Data!AK11</f>
        <v>0</v>
      </c>
      <c r="AE16">
        <f>Inputs!AG73*Data!AL11</f>
        <v>0</v>
      </c>
      <c r="AF16">
        <f>Inputs!AH73*Data!AM11</f>
        <v>0</v>
      </c>
      <c r="AG16">
        <f>Inputs!AI73*Data!AN11</f>
        <v>0</v>
      </c>
      <c r="AH16">
        <f>Inputs!AJ73*Data!AO11</f>
        <v>0</v>
      </c>
      <c r="AI16">
        <f>Inputs!AK73*Data!AP11</f>
        <v>0</v>
      </c>
      <c r="AJ16">
        <f>Inputs!AL73*Data!AQ11</f>
        <v>0</v>
      </c>
      <c r="AK16">
        <f>Inputs!AM73*Data!AR11</f>
        <v>0</v>
      </c>
      <c r="AL16">
        <f>Inputs!AN73*Data!AS11</f>
        <v>0</v>
      </c>
      <c r="AM16">
        <f>Inputs!AO73*Data!AT11</f>
        <v>0</v>
      </c>
      <c r="AN16">
        <f>Inputs!AP73*Data!AU11</f>
        <v>0</v>
      </c>
      <c r="AO16">
        <f>Inputs!AQ73*Data!AV11</f>
        <v>0</v>
      </c>
      <c r="AP16">
        <f>Inputs!AR73*Data!AW11</f>
        <v>0</v>
      </c>
      <c r="AQ16">
        <f>Inputs!AS73*Data!AX11</f>
        <v>0</v>
      </c>
      <c r="AR16">
        <f>Inputs!AT73*Data!AY11</f>
        <v>0</v>
      </c>
      <c r="AS16">
        <f>Inputs!AU73*Data!AZ11</f>
        <v>0</v>
      </c>
      <c r="AT16">
        <f>Inputs!AV73*Data!BA11</f>
        <v>0</v>
      </c>
      <c r="AU16">
        <f>Inputs!AW73*Data!BB11</f>
        <v>0</v>
      </c>
      <c r="AV16">
        <f>Inputs!AX73*Data!BC11</f>
        <v>0</v>
      </c>
      <c r="AW16">
        <f>Inputs!AY73*Data!BD11</f>
        <v>0</v>
      </c>
      <c r="AX16">
        <f>Inputs!AZ73*Data!BE11</f>
        <v>0</v>
      </c>
      <c r="AY16">
        <f>Inputs!BA73*Data!BF11</f>
        <v>0</v>
      </c>
    </row>
    <row r="17" spans="2:51" x14ac:dyDescent="0.35">
      <c r="B17">
        <f>'Project description'!$B$5</f>
        <v>0</v>
      </c>
      <c r="C17" t="str">
        <f>Lists!$B$34</f>
        <v/>
      </c>
      <c r="D17" t="s">
        <v>148</v>
      </c>
      <c r="E17" t="s">
        <v>159</v>
      </c>
      <c r="F17">
        <f>Inputs!H74*Data!M12</f>
        <v>0</v>
      </c>
      <c r="G17">
        <f>Inputs!I74*Data!N12</f>
        <v>0</v>
      </c>
      <c r="H17">
        <f>Inputs!J74*Data!O12</f>
        <v>0</v>
      </c>
      <c r="I17">
        <f>Inputs!K74*Data!P12</f>
        <v>0</v>
      </c>
      <c r="J17">
        <f>Inputs!L74*Data!Q12</f>
        <v>0</v>
      </c>
      <c r="K17">
        <f>Inputs!M74*Data!R12</f>
        <v>0</v>
      </c>
      <c r="L17">
        <f>Inputs!N74*Data!S12</f>
        <v>0</v>
      </c>
      <c r="M17">
        <f>Inputs!O74*Data!T12</f>
        <v>0</v>
      </c>
      <c r="N17">
        <f>Inputs!P74*Data!U12</f>
        <v>0</v>
      </c>
      <c r="O17">
        <f>Inputs!Q74*Data!V12</f>
        <v>0</v>
      </c>
      <c r="P17">
        <f>Inputs!R74*Data!W12</f>
        <v>0</v>
      </c>
      <c r="Q17">
        <f>Inputs!S74*Data!X12</f>
        <v>0</v>
      </c>
      <c r="R17">
        <f>Inputs!T74*Data!Y12</f>
        <v>0</v>
      </c>
      <c r="S17">
        <f>Inputs!U74*Data!Z12</f>
        <v>0</v>
      </c>
      <c r="T17">
        <f>Inputs!V74*Data!AA12</f>
        <v>0</v>
      </c>
      <c r="U17">
        <f>Inputs!W74*Data!AB12</f>
        <v>0</v>
      </c>
      <c r="V17">
        <f>Inputs!X74*Data!AC12</f>
        <v>0</v>
      </c>
      <c r="W17">
        <f>Inputs!Y74*Data!AD12</f>
        <v>0</v>
      </c>
      <c r="X17">
        <f>Inputs!Z74*Data!AE12</f>
        <v>0</v>
      </c>
      <c r="Y17">
        <f>Inputs!AA74*Data!AF12</f>
        <v>0</v>
      </c>
      <c r="Z17">
        <f>Inputs!AB74*Data!AG12</f>
        <v>0</v>
      </c>
      <c r="AA17">
        <f>Inputs!AC74*Data!AH12</f>
        <v>0</v>
      </c>
      <c r="AB17">
        <f>Inputs!AD74*Data!AI12</f>
        <v>0</v>
      </c>
      <c r="AC17">
        <f>Inputs!AE74*Data!AJ12</f>
        <v>0</v>
      </c>
      <c r="AD17">
        <f>Inputs!AF74*Data!AK12</f>
        <v>0</v>
      </c>
      <c r="AE17">
        <f>Inputs!AG74*Data!AL12</f>
        <v>0</v>
      </c>
      <c r="AF17">
        <f>Inputs!AH74*Data!AM12</f>
        <v>0</v>
      </c>
      <c r="AG17">
        <f>Inputs!AI74*Data!AN12</f>
        <v>0</v>
      </c>
      <c r="AH17">
        <f>Inputs!AJ74*Data!AO12</f>
        <v>0</v>
      </c>
      <c r="AI17">
        <f>Inputs!AK74*Data!AP12</f>
        <v>0</v>
      </c>
      <c r="AJ17">
        <f>Inputs!AL74*Data!AQ12</f>
        <v>0</v>
      </c>
      <c r="AK17">
        <f>Inputs!AM74*Data!AR12</f>
        <v>0</v>
      </c>
      <c r="AL17">
        <f>Inputs!AN74*Data!AS12</f>
        <v>0</v>
      </c>
      <c r="AM17">
        <f>Inputs!AO74*Data!AT12</f>
        <v>0</v>
      </c>
      <c r="AN17">
        <f>Inputs!AP74*Data!AU12</f>
        <v>0</v>
      </c>
      <c r="AO17">
        <f>Inputs!AQ74*Data!AV12</f>
        <v>0</v>
      </c>
      <c r="AP17">
        <f>Inputs!AR74*Data!AW12</f>
        <v>0</v>
      </c>
      <c r="AQ17">
        <f>Inputs!AS74*Data!AX12</f>
        <v>0</v>
      </c>
      <c r="AR17">
        <f>Inputs!AT74*Data!AY12</f>
        <v>0</v>
      </c>
      <c r="AS17">
        <f>Inputs!AU74*Data!AZ12</f>
        <v>0</v>
      </c>
      <c r="AT17">
        <f>Inputs!AV74*Data!BA12</f>
        <v>0</v>
      </c>
      <c r="AU17">
        <f>Inputs!AW74*Data!BB12</f>
        <v>0</v>
      </c>
      <c r="AV17">
        <f>Inputs!AX74*Data!BC12</f>
        <v>0</v>
      </c>
      <c r="AW17">
        <f>Inputs!AY74*Data!BD12</f>
        <v>0</v>
      </c>
      <c r="AX17">
        <f>Inputs!AZ74*Data!BE12</f>
        <v>0</v>
      </c>
      <c r="AY17">
        <f>Inputs!BA74*Data!BF12</f>
        <v>0</v>
      </c>
    </row>
    <row r="18" spans="2:51" x14ac:dyDescent="0.35">
      <c r="B18">
        <f>'Project description'!$B$5</f>
        <v>0</v>
      </c>
      <c r="C18" t="str">
        <f>Lists!$B$34</f>
        <v/>
      </c>
      <c r="D18" t="s">
        <v>160</v>
      </c>
      <c r="E18" t="s">
        <v>149</v>
      </c>
      <c r="F18">
        <f>Inputs!H77*Data!M2</f>
        <v>0</v>
      </c>
      <c r="G18">
        <f>Inputs!I77*Data!N2</f>
        <v>0</v>
      </c>
      <c r="H18">
        <f>Inputs!J77*Data!O2</f>
        <v>0</v>
      </c>
      <c r="I18">
        <f>Inputs!K77*Data!P2</f>
        <v>0</v>
      </c>
      <c r="J18">
        <f>Inputs!L77*Data!Q2</f>
        <v>0</v>
      </c>
      <c r="K18">
        <f>Inputs!M77*Data!R2</f>
        <v>0</v>
      </c>
      <c r="L18">
        <f>Inputs!N77*Data!S2</f>
        <v>0</v>
      </c>
      <c r="M18">
        <f>Inputs!O77*Data!T2</f>
        <v>0</v>
      </c>
      <c r="N18">
        <f>Inputs!P77*Data!U2</f>
        <v>0</v>
      </c>
      <c r="O18">
        <f>Inputs!Q77*Data!V2</f>
        <v>0</v>
      </c>
      <c r="P18">
        <f>Inputs!R77*Data!W2</f>
        <v>0</v>
      </c>
      <c r="Q18">
        <f>Inputs!S77*Data!X2</f>
        <v>0</v>
      </c>
      <c r="R18">
        <f>Inputs!T77*Data!Y2</f>
        <v>0</v>
      </c>
      <c r="S18">
        <f>Inputs!U77*Data!Z2</f>
        <v>0</v>
      </c>
      <c r="T18">
        <f>Inputs!V77*Data!AA2</f>
        <v>0</v>
      </c>
      <c r="U18">
        <f>Inputs!W77*Data!AB2</f>
        <v>0</v>
      </c>
      <c r="V18">
        <f>Inputs!X77*Data!AC2</f>
        <v>0</v>
      </c>
      <c r="W18">
        <f>Inputs!Y77*Data!AD2</f>
        <v>0</v>
      </c>
      <c r="X18">
        <f>Inputs!Z77*Data!AE2</f>
        <v>0</v>
      </c>
      <c r="Y18">
        <f>Inputs!AA77*Data!AF2</f>
        <v>0</v>
      </c>
      <c r="Z18">
        <f>Inputs!AB77*Data!AG2</f>
        <v>0</v>
      </c>
      <c r="AA18">
        <f>Inputs!AC77*Data!AH2</f>
        <v>0</v>
      </c>
      <c r="AB18">
        <f>Inputs!AD77*Data!AI2</f>
        <v>0</v>
      </c>
      <c r="AC18">
        <f>Inputs!AE77*Data!AJ2</f>
        <v>0</v>
      </c>
      <c r="AD18">
        <f>Inputs!AF77*Data!AK2</f>
        <v>0</v>
      </c>
      <c r="AE18">
        <f>Inputs!AG77*Data!AL2</f>
        <v>0</v>
      </c>
      <c r="AF18">
        <f>Inputs!AH77*Data!AM2</f>
        <v>0</v>
      </c>
      <c r="AG18">
        <f>Inputs!AI77*Data!AN2</f>
        <v>0</v>
      </c>
      <c r="AH18">
        <f>Inputs!AJ77*Data!AO2</f>
        <v>0</v>
      </c>
      <c r="AI18">
        <f>Inputs!AK77*Data!AP2</f>
        <v>0</v>
      </c>
      <c r="AJ18">
        <f>Inputs!AL77*Data!AQ2</f>
        <v>0</v>
      </c>
      <c r="AK18">
        <f>Inputs!AM77*Data!AR2</f>
        <v>0</v>
      </c>
      <c r="AL18">
        <f>Inputs!AN77*Data!AS2</f>
        <v>0</v>
      </c>
      <c r="AM18">
        <f>Inputs!AO77*Data!AT2</f>
        <v>0</v>
      </c>
      <c r="AN18">
        <f>Inputs!AP77*Data!AU2</f>
        <v>0</v>
      </c>
      <c r="AO18">
        <f>Inputs!AQ77*Data!AV2</f>
        <v>0</v>
      </c>
      <c r="AP18">
        <f>Inputs!AR77*Data!AW2</f>
        <v>0</v>
      </c>
      <c r="AQ18">
        <f>Inputs!AS77*Data!AX2</f>
        <v>0</v>
      </c>
      <c r="AR18">
        <f>Inputs!AT77*Data!AY2</f>
        <v>0</v>
      </c>
      <c r="AS18">
        <f>Inputs!AU77*Data!AZ2</f>
        <v>0</v>
      </c>
      <c r="AT18">
        <f>Inputs!AV77*Data!BA2</f>
        <v>0</v>
      </c>
      <c r="AU18">
        <f>Inputs!AW77*Data!BB2</f>
        <v>0</v>
      </c>
      <c r="AV18">
        <f>Inputs!AX77*Data!BC2</f>
        <v>0</v>
      </c>
      <c r="AW18">
        <f>Inputs!AY77*Data!BD2</f>
        <v>0</v>
      </c>
      <c r="AX18">
        <f>Inputs!AZ77*Data!BE2</f>
        <v>0</v>
      </c>
      <c r="AY18">
        <f>Inputs!BA77*Data!BF2</f>
        <v>0</v>
      </c>
    </row>
    <row r="19" spans="2:51" x14ac:dyDescent="0.35">
      <c r="B19">
        <f>'Project description'!$B$5</f>
        <v>0</v>
      </c>
      <c r="C19" t="str">
        <f>Lists!$B$34</f>
        <v/>
      </c>
      <c r="D19" t="s">
        <v>160</v>
      </c>
      <c r="E19" t="s">
        <v>150</v>
      </c>
      <c r="F19">
        <f>Inputs!H78*Data!M3</f>
        <v>0</v>
      </c>
      <c r="G19">
        <f>Inputs!I78*Data!N3</f>
        <v>0</v>
      </c>
      <c r="H19">
        <f>Inputs!J78*Data!O3</f>
        <v>0</v>
      </c>
      <c r="I19">
        <f>Inputs!K78*Data!P3</f>
        <v>0</v>
      </c>
      <c r="J19">
        <f>Inputs!L78*Data!Q3</f>
        <v>0</v>
      </c>
      <c r="K19">
        <f>Inputs!M78*Data!R3</f>
        <v>0</v>
      </c>
      <c r="L19">
        <f>Inputs!N78*Data!S3</f>
        <v>0</v>
      </c>
      <c r="M19">
        <f>Inputs!O78*Data!T3</f>
        <v>0</v>
      </c>
      <c r="N19">
        <f>Inputs!P78*Data!U3</f>
        <v>0</v>
      </c>
      <c r="O19">
        <f>Inputs!Q78*Data!V3</f>
        <v>0</v>
      </c>
      <c r="P19">
        <f>Inputs!R78*Data!W3</f>
        <v>0</v>
      </c>
      <c r="Q19">
        <f>Inputs!S78*Data!X3</f>
        <v>0</v>
      </c>
      <c r="R19">
        <f>Inputs!T78*Data!Y3</f>
        <v>0</v>
      </c>
      <c r="S19">
        <f>Inputs!U78*Data!Z3</f>
        <v>0</v>
      </c>
      <c r="T19">
        <f>Inputs!V78*Data!AA3</f>
        <v>0</v>
      </c>
      <c r="U19">
        <f>Inputs!W78*Data!AB3</f>
        <v>0</v>
      </c>
      <c r="V19">
        <f>Inputs!X78*Data!AC3</f>
        <v>0</v>
      </c>
      <c r="W19">
        <f>Inputs!Y78*Data!AD3</f>
        <v>0</v>
      </c>
      <c r="X19">
        <f>Inputs!Z78*Data!AE3</f>
        <v>0</v>
      </c>
      <c r="Y19">
        <f>Inputs!AA78*Data!AF3</f>
        <v>0</v>
      </c>
      <c r="Z19">
        <f>Inputs!AB78*Data!AG3</f>
        <v>0</v>
      </c>
      <c r="AA19">
        <f>Inputs!AC78*Data!AH3</f>
        <v>0</v>
      </c>
      <c r="AB19">
        <f>Inputs!AD78*Data!AI3</f>
        <v>0</v>
      </c>
      <c r="AC19">
        <f>Inputs!AE78*Data!AJ3</f>
        <v>0</v>
      </c>
      <c r="AD19">
        <f>Inputs!AF78*Data!AK3</f>
        <v>0</v>
      </c>
      <c r="AE19">
        <f>Inputs!AG78*Data!AL3</f>
        <v>0</v>
      </c>
      <c r="AF19">
        <f>Inputs!AH78*Data!AM3</f>
        <v>0</v>
      </c>
      <c r="AG19">
        <f>Inputs!AI78*Data!AN3</f>
        <v>0</v>
      </c>
      <c r="AH19">
        <f>Inputs!AJ78*Data!AO3</f>
        <v>0</v>
      </c>
      <c r="AI19">
        <f>Inputs!AK78*Data!AP3</f>
        <v>0</v>
      </c>
      <c r="AJ19">
        <f>Inputs!AL78*Data!AQ3</f>
        <v>0</v>
      </c>
      <c r="AK19">
        <f>Inputs!AM78*Data!AR3</f>
        <v>0</v>
      </c>
      <c r="AL19">
        <f>Inputs!AN78*Data!AS3</f>
        <v>0</v>
      </c>
      <c r="AM19">
        <f>Inputs!AO78*Data!AT3</f>
        <v>0</v>
      </c>
      <c r="AN19">
        <f>Inputs!AP78*Data!AU3</f>
        <v>0</v>
      </c>
      <c r="AO19">
        <f>Inputs!AQ78*Data!AV3</f>
        <v>0</v>
      </c>
      <c r="AP19">
        <f>Inputs!AR78*Data!AW3</f>
        <v>0</v>
      </c>
      <c r="AQ19">
        <f>Inputs!AS78*Data!AX3</f>
        <v>0</v>
      </c>
      <c r="AR19">
        <f>Inputs!AT78*Data!AY3</f>
        <v>0</v>
      </c>
      <c r="AS19">
        <f>Inputs!AU78*Data!AZ3</f>
        <v>0</v>
      </c>
      <c r="AT19">
        <f>Inputs!AV78*Data!BA3</f>
        <v>0</v>
      </c>
      <c r="AU19">
        <f>Inputs!AW78*Data!BB3</f>
        <v>0</v>
      </c>
      <c r="AV19">
        <f>Inputs!AX78*Data!BC3</f>
        <v>0</v>
      </c>
      <c r="AW19">
        <f>Inputs!AY78*Data!BD3</f>
        <v>0</v>
      </c>
      <c r="AX19">
        <f>Inputs!AZ78*Data!BE3</f>
        <v>0</v>
      </c>
      <c r="AY19">
        <f>Inputs!BA78*Data!BF3</f>
        <v>0</v>
      </c>
    </row>
    <row r="20" spans="2:51" x14ac:dyDescent="0.35">
      <c r="B20">
        <f>'Project description'!$B$5</f>
        <v>0</v>
      </c>
      <c r="C20" t="str">
        <f>Lists!$B$34</f>
        <v/>
      </c>
      <c r="D20" t="s">
        <v>160</v>
      </c>
      <c r="E20" t="s">
        <v>151</v>
      </c>
      <c r="F20">
        <f>Inputs!H79*Data!M4</f>
        <v>0</v>
      </c>
      <c r="G20">
        <f>Inputs!I79*Data!N4</f>
        <v>0</v>
      </c>
      <c r="H20">
        <f>Inputs!J79*Data!O4</f>
        <v>0</v>
      </c>
      <c r="I20">
        <f>Inputs!K79*Data!P4</f>
        <v>0</v>
      </c>
      <c r="J20">
        <f>Inputs!L79*Data!Q4</f>
        <v>0</v>
      </c>
      <c r="K20">
        <f>Inputs!M79*Data!R4</f>
        <v>0</v>
      </c>
      <c r="L20">
        <f>Inputs!N79*Data!S4</f>
        <v>0</v>
      </c>
      <c r="M20">
        <f>Inputs!O79*Data!T4</f>
        <v>0</v>
      </c>
      <c r="N20">
        <f>Inputs!P79*Data!U4</f>
        <v>0</v>
      </c>
      <c r="O20">
        <f>Inputs!Q79*Data!V4</f>
        <v>0</v>
      </c>
      <c r="P20">
        <f>Inputs!R79*Data!W4</f>
        <v>0</v>
      </c>
      <c r="Q20">
        <f>Inputs!S79*Data!X4</f>
        <v>0</v>
      </c>
      <c r="R20">
        <f>Inputs!T79*Data!Y4</f>
        <v>0</v>
      </c>
      <c r="S20">
        <f>Inputs!U79*Data!Z4</f>
        <v>0</v>
      </c>
      <c r="T20">
        <f>Inputs!V79*Data!AA4</f>
        <v>0</v>
      </c>
      <c r="U20">
        <f>Inputs!W79*Data!AB4</f>
        <v>0</v>
      </c>
      <c r="V20">
        <f>Inputs!X79*Data!AC4</f>
        <v>0</v>
      </c>
      <c r="W20">
        <f>Inputs!Y79*Data!AD4</f>
        <v>0</v>
      </c>
      <c r="X20">
        <f>Inputs!Z79*Data!AE4</f>
        <v>0</v>
      </c>
      <c r="Y20">
        <f>Inputs!AA79*Data!AF4</f>
        <v>0</v>
      </c>
      <c r="Z20">
        <f>Inputs!AB79*Data!AG4</f>
        <v>0</v>
      </c>
      <c r="AA20">
        <f>Inputs!AC79*Data!AH4</f>
        <v>0</v>
      </c>
      <c r="AB20">
        <f>Inputs!AD79*Data!AI4</f>
        <v>0</v>
      </c>
      <c r="AC20">
        <f>Inputs!AE79*Data!AJ4</f>
        <v>0</v>
      </c>
      <c r="AD20">
        <f>Inputs!AF79*Data!AK4</f>
        <v>0</v>
      </c>
      <c r="AE20">
        <f>Inputs!AG79*Data!AL4</f>
        <v>0</v>
      </c>
      <c r="AF20">
        <f>Inputs!AH79*Data!AM4</f>
        <v>0</v>
      </c>
      <c r="AG20">
        <f>Inputs!AI79*Data!AN4</f>
        <v>0</v>
      </c>
      <c r="AH20">
        <f>Inputs!AJ79*Data!AO4</f>
        <v>0</v>
      </c>
      <c r="AI20">
        <f>Inputs!AK79*Data!AP4</f>
        <v>0</v>
      </c>
      <c r="AJ20">
        <f>Inputs!AL79*Data!AQ4</f>
        <v>0</v>
      </c>
      <c r="AK20">
        <f>Inputs!AM79*Data!AR4</f>
        <v>0</v>
      </c>
      <c r="AL20">
        <f>Inputs!AN79*Data!AS4</f>
        <v>0</v>
      </c>
      <c r="AM20">
        <f>Inputs!AO79*Data!AT4</f>
        <v>0</v>
      </c>
      <c r="AN20">
        <f>Inputs!AP79*Data!AU4</f>
        <v>0</v>
      </c>
      <c r="AO20">
        <f>Inputs!AQ79*Data!AV4</f>
        <v>0</v>
      </c>
      <c r="AP20">
        <f>Inputs!AR79*Data!AW4</f>
        <v>0</v>
      </c>
      <c r="AQ20">
        <f>Inputs!AS79*Data!AX4</f>
        <v>0</v>
      </c>
      <c r="AR20">
        <f>Inputs!AT79*Data!AY4</f>
        <v>0</v>
      </c>
      <c r="AS20">
        <f>Inputs!AU79*Data!AZ4</f>
        <v>0</v>
      </c>
      <c r="AT20">
        <f>Inputs!AV79*Data!BA4</f>
        <v>0</v>
      </c>
      <c r="AU20">
        <f>Inputs!AW79*Data!BB4</f>
        <v>0</v>
      </c>
      <c r="AV20">
        <f>Inputs!AX79*Data!BC4</f>
        <v>0</v>
      </c>
      <c r="AW20">
        <f>Inputs!AY79*Data!BD4</f>
        <v>0</v>
      </c>
      <c r="AX20">
        <f>Inputs!AZ79*Data!BE4</f>
        <v>0</v>
      </c>
      <c r="AY20">
        <f>Inputs!BA79*Data!BF4</f>
        <v>0</v>
      </c>
    </row>
    <row r="21" spans="2:51" x14ac:dyDescent="0.35">
      <c r="B21">
        <f>'Project description'!$B$5</f>
        <v>0</v>
      </c>
      <c r="C21" t="str">
        <f>Lists!$B$34</f>
        <v/>
      </c>
      <c r="D21" t="s">
        <v>160</v>
      </c>
      <c r="E21" t="s">
        <v>152</v>
      </c>
      <c r="F21">
        <f>Inputs!H80*Data!M5</f>
        <v>0</v>
      </c>
      <c r="G21">
        <f>Inputs!I80*Data!N5</f>
        <v>0</v>
      </c>
      <c r="H21">
        <f>Inputs!J80*Data!O5</f>
        <v>0</v>
      </c>
      <c r="I21">
        <f>Inputs!K80*Data!P5</f>
        <v>0</v>
      </c>
      <c r="J21">
        <f>Inputs!L80*Data!Q5</f>
        <v>0</v>
      </c>
      <c r="K21">
        <f>Inputs!M80*Data!R5</f>
        <v>0</v>
      </c>
      <c r="L21">
        <f>Inputs!N80*Data!S5</f>
        <v>0</v>
      </c>
      <c r="M21">
        <f>Inputs!O80*Data!T5</f>
        <v>0</v>
      </c>
      <c r="N21">
        <f>Inputs!P80*Data!U5</f>
        <v>0</v>
      </c>
      <c r="O21">
        <f>Inputs!Q80*Data!V5</f>
        <v>0</v>
      </c>
      <c r="P21">
        <f>Inputs!R80*Data!W5</f>
        <v>0</v>
      </c>
      <c r="Q21">
        <f>Inputs!S80*Data!X5</f>
        <v>0</v>
      </c>
      <c r="R21">
        <f>Inputs!T80*Data!Y5</f>
        <v>0</v>
      </c>
      <c r="S21">
        <f>Inputs!U80*Data!Z5</f>
        <v>0</v>
      </c>
      <c r="T21">
        <f>Inputs!V80*Data!AA5</f>
        <v>0</v>
      </c>
      <c r="U21">
        <f>Inputs!W80*Data!AB5</f>
        <v>0</v>
      </c>
      <c r="V21">
        <f>Inputs!X80*Data!AC5</f>
        <v>0</v>
      </c>
      <c r="W21">
        <f>Inputs!Y80*Data!AD5</f>
        <v>0</v>
      </c>
      <c r="X21">
        <f>Inputs!Z80*Data!AE5</f>
        <v>0</v>
      </c>
      <c r="Y21">
        <f>Inputs!AA80*Data!AF5</f>
        <v>0</v>
      </c>
      <c r="Z21">
        <f>Inputs!AB80*Data!AG5</f>
        <v>0</v>
      </c>
      <c r="AA21">
        <f>Inputs!AC80*Data!AH5</f>
        <v>0</v>
      </c>
      <c r="AB21">
        <f>Inputs!AD80*Data!AI5</f>
        <v>0</v>
      </c>
      <c r="AC21">
        <f>Inputs!AE80*Data!AJ5</f>
        <v>0</v>
      </c>
      <c r="AD21">
        <f>Inputs!AF80*Data!AK5</f>
        <v>0</v>
      </c>
      <c r="AE21">
        <f>Inputs!AG80*Data!AL5</f>
        <v>0</v>
      </c>
      <c r="AF21">
        <f>Inputs!AH80*Data!AM5</f>
        <v>0</v>
      </c>
      <c r="AG21">
        <f>Inputs!AI80*Data!AN5</f>
        <v>0</v>
      </c>
      <c r="AH21">
        <f>Inputs!AJ80*Data!AO5</f>
        <v>0</v>
      </c>
      <c r="AI21">
        <f>Inputs!AK80*Data!AP5</f>
        <v>0</v>
      </c>
      <c r="AJ21">
        <f>Inputs!AL80*Data!AQ5</f>
        <v>0</v>
      </c>
      <c r="AK21">
        <f>Inputs!AM80*Data!AR5</f>
        <v>0</v>
      </c>
      <c r="AL21">
        <f>Inputs!AN80*Data!AS5</f>
        <v>0</v>
      </c>
      <c r="AM21">
        <f>Inputs!AO80*Data!AT5</f>
        <v>0</v>
      </c>
      <c r="AN21">
        <f>Inputs!AP80*Data!AU5</f>
        <v>0</v>
      </c>
      <c r="AO21">
        <f>Inputs!AQ80*Data!AV5</f>
        <v>0</v>
      </c>
      <c r="AP21">
        <f>Inputs!AR80*Data!AW5</f>
        <v>0</v>
      </c>
      <c r="AQ21">
        <f>Inputs!AS80*Data!AX5</f>
        <v>0</v>
      </c>
      <c r="AR21">
        <f>Inputs!AT80*Data!AY5</f>
        <v>0</v>
      </c>
      <c r="AS21">
        <f>Inputs!AU80*Data!AZ5</f>
        <v>0</v>
      </c>
      <c r="AT21">
        <f>Inputs!AV80*Data!BA5</f>
        <v>0</v>
      </c>
      <c r="AU21">
        <f>Inputs!AW80*Data!BB5</f>
        <v>0</v>
      </c>
      <c r="AV21">
        <f>Inputs!AX80*Data!BC5</f>
        <v>0</v>
      </c>
      <c r="AW21">
        <f>Inputs!AY80*Data!BD5</f>
        <v>0</v>
      </c>
      <c r="AX21">
        <f>Inputs!AZ80*Data!BE5</f>
        <v>0</v>
      </c>
      <c r="AY21">
        <f>Inputs!BA80*Data!BF5</f>
        <v>0</v>
      </c>
    </row>
    <row r="22" spans="2:51" x14ac:dyDescent="0.35">
      <c r="B22">
        <f>'Project description'!$B$5</f>
        <v>0</v>
      </c>
      <c r="C22" t="str">
        <f>Lists!$B$34</f>
        <v/>
      </c>
      <c r="D22" t="s">
        <v>160</v>
      </c>
      <c r="E22" t="s">
        <v>153</v>
      </c>
      <c r="F22">
        <f>Inputs!H81*Data!M6</f>
        <v>0</v>
      </c>
      <c r="G22">
        <f>Inputs!I81*Data!N6</f>
        <v>0</v>
      </c>
      <c r="H22">
        <f>Inputs!J81*Data!O6</f>
        <v>0</v>
      </c>
      <c r="I22">
        <f>Inputs!K81*Data!P6</f>
        <v>0</v>
      </c>
      <c r="J22">
        <f>Inputs!L81*Data!Q6</f>
        <v>0</v>
      </c>
      <c r="K22">
        <f>Inputs!M81*Data!R6</f>
        <v>0</v>
      </c>
      <c r="L22">
        <f>Inputs!N81*Data!S6</f>
        <v>0</v>
      </c>
      <c r="M22">
        <f>Inputs!O81*Data!T6</f>
        <v>0</v>
      </c>
      <c r="N22">
        <f>Inputs!P81*Data!U6</f>
        <v>0</v>
      </c>
      <c r="O22">
        <f>Inputs!Q81*Data!V6</f>
        <v>0</v>
      </c>
      <c r="P22">
        <f>Inputs!R81*Data!W6</f>
        <v>0</v>
      </c>
      <c r="Q22">
        <f>Inputs!S81*Data!X6</f>
        <v>0</v>
      </c>
      <c r="R22">
        <f>Inputs!T81*Data!Y6</f>
        <v>0</v>
      </c>
      <c r="S22">
        <f>Inputs!U81*Data!Z6</f>
        <v>0</v>
      </c>
      <c r="T22">
        <f>Inputs!V81*Data!AA6</f>
        <v>0</v>
      </c>
      <c r="U22">
        <f>Inputs!W81*Data!AB6</f>
        <v>0</v>
      </c>
      <c r="V22">
        <f>Inputs!X81*Data!AC6</f>
        <v>0</v>
      </c>
      <c r="W22">
        <f>Inputs!Y81*Data!AD6</f>
        <v>0</v>
      </c>
      <c r="X22">
        <f>Inputs!Z81*Data!AE6</f>
        <v>0</v>
      </c>
      <c r="Y22">
        <f>Inputs!AA81*Data!AF6</f>
        <v>0</v>
      </c>
      <c r="Z22">
        <f>Inputs!AB81*Data!AG6</f>
        <v>0</v>
      </c>
      <c r="AA22">
        <f>Inputs!AC81*Data!AH6</f>
        <v>0</v>
      </c>
      <c r="AB22">
        <f>Inputs!AD81*Data!AI6</f>
        <v>0</v>
      </c>
      <c r="AC22">
        <f>Inputs!AE81*Data!AJ6</f>
        <v>0</v>
      </c>
      <c r="AD22">
        <f>Inputs!AF81*Data!AK6</f>
        <v>0</v>
      </c>
      <c r="AE22">
        <f>Inputs!AG81*Data!AL6</f>
        <v>0</v>
      </c>
      <c r="AF22">
        <f>Inputs!AH81*Data!AM6</f>
        <v>0</v>
      </c>
      <c r="AG22">
        <f>Inputs!AI81*Data!AN6</f>
        <v>0</v>
      </c>
      <c r="AH22">
        <f>Inputs!AJ81*Data!AO6</f>
        <v>0</v>
      </c>
      <c r="AI22">
        <f>Inputs!AK81*Data!AP6</f>
        <v>0</v>
      </c>
      <c r="AJ22">
        <f>Inputs!AL81*Data!AQ6</f>
        <v>0</v>
      </c>
      <c r="AK22">
        <f>Inputs!AM81*Data!AR6</f>
        <v>0</v>
      </c>
      <c r="AL22">
        <f>Inputs!AN81*Data!AS6</f>
        <v>0</v>
      </c>
      <c r="AM22">
        <f>Inputs!AO81*Data!AT6</f>
        <v>0</v>
      </c>
      <c r="AN22">
        <f>Inputs!AP81*Data!AU6</f>
        <v>0</v>
      </c>
      <c r="AO22">
        <f>Inputs!AQ81*Data!AV6</f>
        <v>0</v>
      </c>
      <c r="AP22">
        <f>Inputs!AR81*Data!AW6</f>
        <v>0</v>
      </c>
      <c r="AQ22">
        <f>Inputs!AS81*Data!AX6</f>
        <v>0</v>
      </c>
      <c r="AR22">
        <f>Inputs!AT81*Data!AY6</f>
        <v>0</v>
      </c>
      <c r="AS22">
        <f>Inputs!AU81*Data!AZ6</f>
        <v>0</v>
      </c>
      <c r="AT22">
        <f>Inputs!AV81*Data!BA6</f>
        <v>0</v>
      </c>
      <c r="AU22">
        <f>Inputs!AW81*Data!BB6</f>
        <v>0</v>
      </c>
      <c r="AV22">
        <f>Inputs!AX81*Data!BC6</f>
        <v>0</v>
      </c>
      <c r="AW22">
        <f>Inputs!AY81*Data!BD6</f>
        <v>0</v>
      </c>
      <c r="AX22">
        <f>Inputs!AZ81*Data!BE6</f>
        <v>0</v>
      </c>
      <c r="AY22">
        <f>Inputs!BA81*Data!BF6</f>
        <v>0</v>
      </c>
    </row>
    <row r="23" spans="2:51" x14ac:dyDescent="0.35">
      <c r="B23">
        <f>'Project description'!$B$5</f>
        <v>0</v>
      </c>
      <c r="C23" t="str">
        <f>Lists!$B$34</f>
        <v/>
      </c>
      <c r="D23" t="s">
        <v>160</v>
      </c>
      <c r="E23" t="s">
        <v>154</v>
      </c>
      <c r="F23">
        <f>Inputs!H82*Data!M7</f>
        <v>0</v>
      </c>
      <c r="G23">
        <f>Inputs!I82*Data!N7</f>
        <v>0</v>
      </c>
      <c r="H23">
        <f>Inputs!J82*Data!O7</f>
        <v>0</v>
      </c>
      <c r="I23">
        <f>Inputs!K82*Data!P7</f>
        <v>0</v>
      </c>
      <c r="J23">
        <f>Inputs!L82*Data!Q7</f>
        <v>0</v>
      </c>
      <c r="K23">
        <f>Inputs!M82*Data!R7</f>
        <v>0</v>
      </c>
      <c r="L23">
        <f>Inputs!N82*Data!S7</f>
        <v>0</v>
      </c>
      <c r="M23">
        <f>Inputs!O82*Data!T7</f>
        <v>0</v>
      </c>
      <c r="N23">
        <f>Inputs!P82*Data!U7</f>
        <v>0</v>
      </c>
      <c r="O23">
        <f>Inputs!Q82*Data!V7</f>
        <v>0</v>
      </c>
      <c r="P23">
        <f>Inputs!R82*Data!W7</f>
        <v>0</v>
      </c>
      <c r="Q23">
        <f>Inputs!S82*Data!X7</f>
        <v>0</v>
      </c>
      <c r="R23">
        <f>Inputs!T82*Data!Y7</f>
        <v>0</v>
      </c>
      <c r="S23">
        <f>Inputs!U82*Data!Z7</f>
        <v>0</v>
      </c>
      <c r="T23">
        <f>Inputs!V82*Data!AA7</f>
        <v>0</v>
      </c>
      <c r="U23">
        <f>Inputs!W82*Data!AB7</f>
        <v>0</v>
      </c>
      <c r="V23">
        <f>Inputs!X82*Data!AC7</f>
        <v>0</v>
      </c>
      <c r="W23">
        <f>Inputs!Y82*Data!AD7</f>
        <v>0</v>
      </c>
      <c r="X23">
        <f>Inputs!Z82*Data!AE7</f>
        <v>0</v>
      </c>
      <c r="Y23">
        <f>Inputs!AA82*Data!AF7</f>
        <v>0</v>
      </c>
      <c r="Z23">
        <f>Inputs!AB82*Data!AG7</f>
        <v>0</v>
      </c>
      <c r="AA23">
        <f>Inputs!AC82*Data!AH7</f>
        <v>0</v>
      </c>
      <c r="AB23">
        <f>Inputs!AD82*Data!AI7</f>
        <v>0</v>
      </c>
      <c r="AC23">
        <f>Inputs!AE82*Data!AJ7</f>
        <v>0</v>
      </c>
      <c r="AD23">
        <f>Inputs!AF82*Data!AK7</f>
        <v>0</v>
      </c>
      <c r="AE23">
        <f>Inputs!AG82*Data!AL7</f>
        <v>0</v>
      </c>
      <c r="AF23">
        <f>Inputs!AH82*Data!AM7</f>
        <v>0</v>
      </c>
      <c r="AG23">
        <f>Inputs!AI82*Data!AN7</f>
        <v>0</v>
      </c>
      <c r="AH23">
        <f>Inputs!AJ82*Data!AO7</f>
        <v>0</v>
      </c>
      <c r="AI23">
        <f>Inputs!AK82*Data!AP7</f>
        <v>0</v>
      </c>
      <c r="AJ23">
        <f>Inputs!AL82*Data!AQ7</f>
        <v>0</v>
      </c>
      <c r="AK23">
        <f>Inputs!AM82*Data!AR7</f>
        <v>0</v>
      </c>
      <c r="AL23">
        <f>Inputs!AN82*Data!AS7</f>
        <v>0</v>
      </c>
      <c r="AM23">
        <f>Inputs!AO82*Data!AT7</f>
        <v>0</v>
      </c>
      <c r="AN23">
        <f>Inputs!AP82*Data!AU7</f>
        <v>0</v>
      </c>
      <c r="AO23">
        <f>Inputs!AQ82*Data!AV7</f>
        <v>0</v>
      </c>
      <c r="AP23">
        <f>Inputs!AR82*Data!AW7</f>
        <v>0</v>
      </c>
      <c r="AQ23">
        <f>Inputs!AS82*Data!AX7</f>
        <v>0</v>
      </c>
      <c r="AR23">
        <f>Inputs!AT82*Data!AY7</f>
        <v>0</v>
      </c>
      <c r="AS23">
        <f>Inputs!AU82*Data!AZ7</f>
        <v>0</v>
      </c>
      <c r="AT23">
        <f>Inputs!AV82*Data!BA7</f>
        <v>0</v>
      </c>
      <c r="AU23">
        <f>Inputs!AW82*Data!BB7</f>
        <v>0</v>
      </c>
      <c r="AV23">
        <f>Inputs!AX82*Data!BC7</f>
        <v>0</v>
      </c>
      <c r="AW23">
        <f>Inputs!AY82*Data!BD7</f>
        <v>0</v>
      </c>
      <c r="AX23">
        <f>Inputs!AZ82*Data!BE7</f>
        <v>0</v>
      </c>
      <c r="AY23">
        <f>Inputs!BA82*Data!BF7</f>
        <v>0</v>
      </c>
    </row>
    <row r="24" spans="2:51" x14ac:dyDescent="0.35">
      <c r="B24">
        <f>'Project description'!$B$5</f>
        <v>0</v>
      </c>
      <c r="C24" t="str">
        <f>Lists!$B$34</f>
        <v/>
      </c>
      <c r="D24" t="s">
        <v>160</v>
      </c>
      <c r="E24" t="s">
        <v>155</v>
      </c>
      <c r="F24">
        <f>Inputs!H83*Data!M8</f>
        <v>0</v>
      </c>
      <c r="G24">
        <f>Inputs!I83*Data!N8</f>
        <v>0</v>
      </c>
      <c r="H24">
        <f>Inputs!J83*Data!O8</f>
        <v>0</v>
      </c>
      <c r="I24">
        <f>Inputs!K83*Data!P8</f>
        <v>0</v>
      </c>
      <c r="J24">
        <f>Inputs!L83*Data!Q8</f>
        <v>0</v>
      </c>
      <c r="K24">
        <f>Inputs!M83*Data!R8</f>
        <v>0</v>
      </c>
      <c r="L24">
        <f>Inputs!N83*Data!S8</f>
        <v>0</v>
      </c>
      <c r="M24">
        <f>Inputs!O83*Data!T8</f>
        <v>0</v>
      </c>
      <c r="N24">
        <f>Inputs!P83*Data!U8</f>
        <v>0</v>
      </c>
      <c r="O24">
        <f>Inputs!Q83*Data!V8</f>
        <v>0</v>
      </c>
      <c r="P24">
        <f>Inputs!R83*Data!W8</f>
        <v>0</v>
      </c>
      <c r="Q24">
        <f>Inputs!S83*Data!X8</f>
        <v>0</v>
      </c>
      <c r="R24">
        <f>Inputs!T83*Data!Y8</f>
        <v>0</v>
      </c>
      <c r="S24">
        <f>Inputs!U83*Data!Z8</f>
        <v>0</v>
      </c>
      <c r="T24">
        <f>Inputs!V83*Data!AA8</f>
        <v>0</v>
      </c>
      <c r="U24">
        <f>Inputs!W83*Data!AB8</f>
        <v>0</v>
      </c>
      <c r="V24">
        <f>Inputs!X83*Data!AC8</f>
        <v>0</v>
      </c>
      <c r="W24">
        <f>Inputs!Y83*Data!AD8</f>
        <v>0</v>
      </c>
      <c r="X24">
        <f>Inputs!Z83*Data!AE8</f>
        <v>0</v>
      </c>
      <c r="Y24">
        <f>Inputs!AA83*Data!AF8</f>
        <v>0</v>
      </c>
      <c r="Z24">
        <f>Inputs!AB83*Data!AG8</f>
        <v>0</v>
      </c>
      <c r="AA24">
        <f>Inputs!AC83*Data!AH8</f>
        <v>0</v>
      </c>
      <c r="AB24">
        <f>Inputs!AD83*Data!AI8</f>
        <v>0</v>
      </c>
      <c r="AC24">
        <f>Inputs!AE83*Data!AJ8</f>
        <v>0</v>
      </c>
      <c r="AD24">
        <f>Inputs!AF83*Data!AK8</f>
        <v>0</v>
      </c>
      <c r="AE24">
        <f>Inputs!AG83*Data!AL8</f>
        <v>0</v>
      </c>
      <c r="AF24">
        <f>Inputs!AH83*Data!AM8</f>
        <v>0</v>
      </c>
      <c r="AG24">
        <f>Inputs!AI83*Data!AN8</f>
        <v>0</v>
      </c>
      <c r="AH24">
        <f>Inputs!AJ83*Data!AO8</f>
        <v>0</v>
      </c>
      <c r="AI24">
        <f>Inputs!AK83*Data!AP8</f>
        <v>0</v>
      </c>
      <c r="AJ24">
        <f>Inputs!AL83*Data!AQ8</f>
        <v>0</v>
      </c>
      <c r="AK24">
        <f>Inputs!AM83*Data!AR8</f>
        <v>0</v>
      </c>
      <c r="AL24">
        <f>Inputs!AN83*Data!AS8</f>
        <v>0</v>
      </c>
      <c r="AM24">
        <f>Inputs!AO83*Data!AT8</f>
        <v>0</v>
      </c>
      <c r="AN24">
        <f>Inputs!AP83*Data!AU8</f>
        <v>0</v>
      </c>
      <c r="AO24">
        <f>Inputs!AQ83*Data!AV8</f>
        <v>0</v>
      </c>
      <c r="AP24">
        <f>Inputs!AR83*Data!AW8</f>
        <v>0</v>
      </c>
      <c r="AQ24">
        <f>Inputs!AS83*Data!AX8</f>
        <v>0</v>
      </c>
      <c r="AR24">
        <f>Inputs!AT83*Data!AY8</f>
        <v>0</v>
      </c>
      <c r="AS24">
        <f>Inputs!AU83*Data!AZ8</f>
        <v>0</v>
      </c>
      <c r="AT24">
        <f>Inputs!AV83*Data!BA8</f>
        <v>0</v>
      </c>
      <c r="AU24">
        <f>Inputs!AW83*Data!BB8</f>
        <v>0</v>
      </c>
      <c r="AV24">
        <f>Inputs!AX83*Data!BC8</f>
        <v>0</v>
      </c>
      <c r="AW24">
        <f>Inputs!AY83*Data!BD8</f>
        <v>0</v>
      </c>
      <c r="AX24">
        <f>Inputs!AZ83*Data!BE8</f>
        <v>0</v>
      </c>
      <c r="AY24">
        <f>Inputs!BA83*Data!BF8</f>
        <v>0</v>
      </c>
    </row>
    <row r="25" spans="2:51" x14ac:dyDescent="0.35">
      <c r="B25">
        <f>'Project description'!$B$5</f>
        <v>0</v>
      </c>
      <c r="C25" t="str">
        <f>Lists!$B$34</f>
        <v/>
      </c>
      <c r="D25" t="s">
        <v>160</v>
      </c>
      <c r="E25" t="s">
        <v>156</v>
      </c>
      <c r="F25">
        <f>Inputs!H84*Data!M9</f>
        <v>0</v>
      </c>
      <c r="G25">
        <f>Inputs!I84*Data!N9</f>
        <v>0</v>
      </c>
      <c r="H25">
        <f>Inputs!J84*Data!O9</f>
        <v>0</v>
      </c>
      <c r="I25">
        <f>Inputs!K84*Data!P9</f>
        <v>0</v>
      </c>
      <c r="J25">
        <f>Inputs!L84*Data!Q9</f>
        <v>0</v>
      </c>
      <c r="K25">
        <f>Inputs!M84*Data!R9</f>
        <v>0</v>
      </c>
      <c r="L25">
        <f>Inputs!N84*Data!S9</f>
        <v>0</v>
      </c>
      <c r="M25">
        <f>Inputs!O84*Data!T9</f>
        <v>0</v>
      </c>
      <c r="N25">
        <f>Inputs!P84*Data!U9</f>
        <v>0</v>
      </c>
      <c r="O25">
        <f>Inputs!Q84*Data!V9</f>
        <v>0</v>
      </c>
      <c r="P25">
        <f>Inputs!R84*Data!W9</f>
        <v>0</v>
      </c>
      <c r="Q25">
        <f>Inputs!S84*Data!X9</f>
        <v>0</v>
      </c>
      <c r="R25">
        <f>Inputs!T84*Data!Y9</f>
        <v>0</v>
      </c>
      <c r="S25">
        <f>Inputs!U84*Data!Z9</f>
        <v>0</v>
      </c>
      <c r="T25">
        <f>Inputs!V84*Data!AA9</f>
        <v>0</v>
      </c>
      <c r="U25">
        <f>Inputs!W84*Data!AB9</f>
        <v>0</v>
      </c>
      <c r="V25">
        <f>Inputs!X84*Data!AC9</f>
        <v>0</v>
      </c>
      <c r="W25">
        <f>Inputs!Y84*Data!AD9</f>
        <v>0</v>
      </c>
      <c r="X25">
        <f>Inputs!Z84*Data!AE9</f>
        <v>0</v>
      </c>
      <c r="Y25">
        <f>Inputs!AA84*Data!AF9</f>
        <v>0</v>
      </c>
      <c r="Z25">
        <f>Inputs!AB84*Data!AG9</f>
        <v>0</v>
      </c>
      <c r="AA25">
        <f>Inputs!AC84*Data!AH9</f>
        <v>0</v>
      </c>
      <c r="AB25">
        <f>Inputs!AD84*Data!AI9</f>
        <v>0</v>
      </c>
      <c r="AC25">
        <f>Inputs!AE84*Data!AJ9</f>
        <v>0</v>
      </c>
      <c r="AD25">
        <f>Inputs!AF84*Data!AK9</f>
        <v>0</v>
      </c>
      <c r="AE25">
        <f>Inputs!AG84*Data!AL9</f>
        <v>0</v>
      </c>
      <c r="AF25">
        <f>Inputs!AH84*Data!AM9</f>
        <v>0</v>
      </c>
      <c r="AG25">
        <f>Inputs!AI84*Data!AN9</f>
        <v>0</v>
      </c>
      <c r="AH25">
        <f>Inputs!AJ84*Data!AO9</f>
        <v>0</v>
      </c>
      <c r="AI25">
        <f>Inputs!AK84*Data!AP9</f>
        <v>0</v>
      </c>
      <c r="AJ25">
        <f>Inputs!AL84*Data!AQ9</f>
        <v>0</v>
      </c>
      <c r="AK25">
        <f>Inputs!AM84*Data!AR9</f>
        <v>0</v>
      </c>
      <c r="AL25">
        <f>Inputs!AN84*Data!AS9</f>
        <v>0</v>
      </c>
      <c r="AM25">
        <f>Inputs!AO84*Data!AT9</f>
        <v>0</v>
      </c>
      <c r="AN25">
        <f>Inputs!AP84*Data!AU9</f>
        <v>0</v>
      </c>
      <c r="AO25">
        <f>Inputs!AQ84*Data!AV9</f>
        <v>0</v>
      </c>
      <c r="AP25">
        <f>Inputs!AR84*Data!AW9</f>
        <v>0</v>
      </c>
      <c r="AQ25">
        <f>Inputs!AS84*Data!AX9</f>
        <v>0</v>
      </c>
      <c r="AR25">
        <f>Inputs!AT84*Data!AY9</f>
        <v>0</v>
      </c>
      <c r="AS25">
        <f>Inputs!AU84*Data!AZ9</f>
        <v>0</v>
      </c>
      <c r="AT25">
        <f>Inputs!AV84*Data!BA9</f>
        <v>0</v>
      </c>
      <c r="AU25">
        <f>Inputs!AW84*Data!BB9</f>
        <v>0</v>
      </c>
      <c r="AV25">
        <f>Inputs!AX84*Data!BC9</f>
        <v>0</v>
      </c>
      <c r="AW25">
        <f>Inputs!AY84*Data!BD9</f>
        <v>0</v>
      </c>
      <c r="AX25">
        <f>Inputs!AZ84*Data!BE9</f>
        <v>0</v>
      </c>
      <c r="AY25">
        <f>Inputs!BA84*Data!BF9</f>
        <v>0</v>
      </c>
    </row>
    <row r="26" spans="2:51" x14ac:dyDescent="0.35">
      <c r="B26">
        <f>'Project description'!$B$5</f>
        <v>0</v>
      </c>
      <c r="C26" t="str">
        <f>Lists!$B$34</f>
        <v/>
      </c>
      <c r="D26" t="s">
        <v>160</v>
      </c>
      <c r="E26" t="s">
        <v>157</v>
      </c>
      <c r="F26">
        <f>Inputs!H85*Data!M10</f>
        <v>0</v>
      </c>
      <c r="G26">
        <f>Inputs!I85*Data!N10</f>
        <v>0</v>
      </c>
      <c r="H26">
        <f>Inputs!J85*Data!O10</f>
        <v>0</v>
      </c>
      <c r="I26">
        <f>Inputs!K85*Data!P10</f>
        <v>0</v>
      </c>
      <c r="J26">
        <f>Inputs!L85*Data!Q10</f>
        <v>0</v>
      </c>
      <c r="K26">
        <f>Inputs!M85*Data!R10</f>
        <v>0</v>
      </c>
      <c r="L26">
        <f>Inputs!N85*Data!S10</f>
        <v>0</v>
      </c>
      <c r="M26">
        <f>Inputs!O85*Data!T10</f>
        <v>0</v>
      </c>
      <c r="N26">
        <f>Inputs!P85*Data!U10</f>
        <v>0</v>
      </c>
      <c r="O26">
        <f>Inputs!Q85*Data!V10</f>
        <v>0</v>
      </c>
      <c r="P26">
        <f>Inputs!R85*Data!W10</f>
        <v>0</v>
      </c>
      <c r="Q26">
        <f>Inputs!S85*Data!X10</f>
        <v>0</v>
      </c>
      <c r="R26">
        <f>Inputs!T85*Data!Y10</f>
        <v>0</v>
      </c>
      <c r="S26">
        <f>Inputs!U85*Data!Z10</f>
        <v>0</v>
      </c>
      <c r="T26">
        <f>Inputs!V85*Data!AA10</f>
        <v>0</v>
      </c>
      <c r="U26">
        <f>Inputs!W85*Data!AB10</f>
        <v>0</v>
      </c>
      <c r="V26">
        <f>Inputs!X85*Data!AC10</f>
        <v>0</v>
      </c>
      <c r="W26">
        <f>Inputs!Y85*Data!AD10</f>
        <v>0</v>
      </c>
      <c r="X26">
        <f>Inputs!Z85*Data!AE10</f>
        <v>0</v>
      </c>
      <c r="Y26">
        <f>Inputs!AA85*Data!AF10</f>
        <v>0</v>
      </c>
      <c r="Z26">
        <f>Inputs!AB85*Data!AG10</f>
        <v>0</v>
      </c>
      <c r="AA26">
        <f>Inputs!AC85*Data!AH10</f>
        <v>0</v>
      </c>
      <c r="AB26">
        <f>Inputs!AD85*Data!AI10</f>
        <v>0</v>
      </c>
      <c r="AC26">
        <f>Inputs!AE85*Data!AJ10</f>
        <v>0</v>
      </c>
      <c r="AD26">
        <f>Inputs!AF85*Data!AK10</f>
        <v>0</v>
      </c>
      <c r="AE26">
        <f>Inputs!AG85*Data!AL10</f>
        <v>0</v>
      </c>
      <c r="AF26">
        <f>Inputs!AH85*Data!AM10</f>
        <v>0</v>
      </c>
      <c r="AG26">
        <f>Inputs!AI85*Data!AN10</f>
        <v>0</v>
      </c>
      <c r="AH26">
        <f>Inputs!AJ85*Data!AO10</f>
        <v>0</v>
      </c>
      <c r="AI26">
        <f>Inputs!AK85*Data!AP10</f>
        <v>0</v>
      </c>
      <c r="AJ26">
        <f>Inputs!AL85*Data!AQ10</f>
        <v>0</v>
      </c>
      <c r="AK26">
        <f>Inputs!AM85*Data!AR10</f>
        <v>0</v>
      </c>
      <c r="AL26">
        <f>Inputs!AN85*Data!AS10</f>
        <v>0</v>
      </c>
      <c r="AM26">
        <f>Inputs!AO85*Data!AT10</f>
        <v>0</v>
      </c>
      <c r="AN26">
        <f>Inputs!AP85*Data!AU10</f>
        <v>0</v>
      </c>
      <c r="AO26">
        <f>Inputs!AQ85*Data!AV10</f>
        <v>0</v>
      </c>
      <c r="AP26">
        <f>Inputs!AR85*Data!AW10</f>
        <v>0</v>
      </c>
      <c r="AQ26">
        <f>Inputs!AS85*Data!AX10</f>
        <v>0</v>
      </c>
      <c r="AR26">
        <f>Inputs!AT85*Data!AY10</f>
        <v>0</v>
      </c>
      <c r="AS26">
        <f>Inputs!AU85*Data!AZ10</f>
        <v>0</v>
      </c>
      <c r="AT26">
        <f>Inputs!AV85*Data!BA10</f>
        <v>0</v>
      </c>
      <c r="AU26">
        <f>Inputs!AW85*Data!BB10</f>
        <v>0</v>
      </c>
      <c r="AV26">
        <f>Inputs!AX85*Data!BC10</f>
        <v>0</v>
      </c>
      <c r="AW26">
        <f>Inputs!AY85*Data!BD10</f>
        <v>0</v>
      </c>
      <c r="AX26">
        <f>Inputs!AZ85*Data!BE10</f>
        <v>0</v>
      </c>
      <c r="AY26">
        <f>Inputs!BA85*Data!BF10</f>
        <v>0</v>
      </c>
    </row>
    <row r="27" spans="2:51" x14ac:dyDescent="0.35">
      <c r="B27">
        <f>'Project description'!$B$5</f>
        <v>0</v>
      </c>
      <c r="C27" t="str">
        <f>Lists!$B$34</f>
        <v/>
      </c>
      <c r="D27" t="s">
        <v>160</v>
      </c>
      <c r="E27" t="s">
        <v>158</v>
      </c>
      <c r="F27">
        <f>Inputs!H86*Data!M11</f>
        <v>0</v>
      </c>
      <c r="G27">
        <f>Inputs!I86*Data!N11</f>
        <v>0</v>
      </c>
      <c r="H27">
        <f>Inputs!J86*Data!O11</f>
        <v>0</v>
      </c>
      <c r="I27">
        <f>Inputs!K86*Data!P11</f>
        <v>0</v>
      </c>
      <c r="J27">
        <f>Inputs!L86*Data!Q11</f>
        <v>0</v>
      </c>
      <c r="K27">
        <f>Inputs!M86*Data!R11</f>
        <v>0</v>
      </c>
      <c r="L27">
        <f>Inputs!N86*Data!S11</f>
        <v>0</v>
      </c>
      <c r="M27">
        <f>Inputs!O86*Data!T11</f>
        <v>0</v>
      </c>
      <c r="N27">
        <f>Inputs!P86*Data!U11</f>
        <v>0</v>
      </c>
      <c r="O27">
        <f>Inputs!Q86*Data!V11</f>
        <v>0</v>
      </c>
      <c r="P27">
        <f>Inputs!R86*Data!W11</f>
        <v>0</v>
      </c>
      <c r="Q27">
        <f>Inputs!S86*Data!X11</f>
        <v>0</v>
      </c>
      <c r="R27">
        <f>Inputs!T86*Data!Y11</f>
        <v>0</v>
      </c>
      <c r="S27">
        <f>Inputs!U86*Data!Z11</f>
        <v>0</v>
      </c>
      <c r="T27">
        <f>Inputs!V86*Data!AA11</f>
        <v>0</v>
      </c>
      <c r="U27">
        <f>Inputs!W86*Data!AB11</f>
        <v>0</v>
      </c>
      <c r="V27">
        <f>Inputs!X86*Data!AC11</f>
        <v>0</v>
      </c>
      <c r="W27">
        <f>Inputs!Y86*Data!AD11</f>
        <v>0</v>
      </c>
      <c r="X27">
        <f>Inputs!Z86*Data!AE11</f>
        <v>0</v>
      </c>
      <c r="Y27">
        <f>Inputs!AA86*Data!AF11</f>
        <v>0</v>
      </c>
      <c r="Z27">
        <f>Inputs!AB86*Data!AG11</f>
        <v>0</v>
      </c>
      <c r="AA27">
        <f>Inputs!AC86*Data!AH11</f>
        <v>0</v>
      </c>
      <c r="AB27">
        <f>Inputs!AD86*Data!AI11</f>
        <v>0</v>
      </c>
      <c r="AC27">
        <f>Inputs!AE86*Data!AJ11</f>
        <v>0</v>
      </c>
      <c r="AD27">
        <f>Inputs!AF86*Data!AK11</f>
        <v>0</v>
      </c>
      <c r="AE27">
        <f>Inputs!AG86*Data!AL11</f>
        <v>0</v>
      </c>
      <c r="AF27">
        <f>Inputs!AH86*Data!AM11</f>
        <v>0</v>
      </c>
      <c r="AG27">
        <f>Inputs!AI86*Data!AN11</f>
        <v>0</v>
      </c>
      <c r="AH27">
        <f>Inputs!AJ86*Data!AO11</f>
        <v>0</v>
      </c>
      <c r="AI27">
        <f>Inputs!AK86*Data!AP11</f>
        <v>0</v>
      </c>
      <c r="AJ27">
        <f>Inputs!AL86*Data!AQ11</f>
        <v>0</v>
      </c>
      <c r="AK27">
        <f>Inputs!AM86*Data!AR11</f>
        <v>0</v>
      </c>
      <c r="AL27">
        <f>Inputs!AN86*Data!AS11</f>
        <v>0</v>
      </c>
      <c r="AM27">
        <f>Inputs!AO86*Data!AT11</f>
        <v>0</v>
      </c>
      <c r="AN27">
        <f>Inputs!AP86*Data!AU11</f>
        <v>0</v>
      </c>
      <c r="AO27">
        <f>Inputs!AQ86*Data!AV11</f>
        <v>0</v>
      </c>
      <c r="AP27">
        <f>Inputs!AR86*Data!AW11</f>
        <v>0</v>
      </c>
      <c r="AQ27">
        <f>Inputs!AS86*Data!AX11</f>
        <v>0</v>
      </c>
      <c r="AR27">
        <f>Inputs!AT86*Data!AY11</f>
        <v>0</v>
      </c>
      <c r="AS27">
        <f>Inputs!AU86*Data!AZ11</f>
        <v>0</v>
      </c>
      <c r="AT27">
        <f>Inputs!AV86*Data!BA11</f>
        <v>0</v>
      </c>
      <c r="AU27">
        <f>Inputs!AW86*Data!BB11</f>
        <v>0</v>
      </c>
      <c r="AV27">
        <f>Inputs!AX86*Data!BC11</f>
        <v>0</v>
      </c>
      <c r="AW27">
        <f>Inputs!AY86*Data!BD11</f>
        <v>0</v>
      </c>
      <c r="AX27">
        <f>Inputs!AZ86*Data!BE11</f>
        <v>0</v>
      </c>
      <c r="AY27">
        <f>Inputs!BA86*Data!BF11</f>
        <v>0</v>
      </c>
    </row>
    <row r="28" spans="2:51" x14ac:dyDescent="0.35">
      <c r="B28">
        <f>'Project description'!$B$5</f>
        <v>0</v>
      </c>
      <c r="C28" t="str">
        <f>Lists!$B$34</f>
        <v/>
      </c>
      <c r="D28" s="30" t="s">
        <v>160</v>
      </c>
      <c r="E28" s="30" t="s">
        <v>159</v>
      </c>
      <c r="F28" s="30">
        <f>Inputs!H87*Data!M12</f>
        <v>0</v>
      </c>
      <c r="G28" s="30">
        <f>Inputs!I87*Data!N12</f>
        <v>0</v>
      </c>
      <c r="H28" s="30">
        <f>Inputs!J87*Data!O12</f>
        <v>0</v>
      </c>
      <c r="I28" s="30">
        <f>Inputs!K87*Data!P12</f>
        <v>0</v>
      </c>
      <c r="J28" s="30">
        <f>Inputs!L87*Data!Q12</f>
        <v>0</v>
      </c>
      <c r="K28" s="30">
        <f>Inputs!M87*Data!R12</f>
        <v>0</v>
      </c>
      <c r="L28" s="30">
        <f>Inputs!N87*Data!S12</f>
        <v>0</v>
      </c>
      <c r="M28" s="30">
        <f>Inputs!O87*Data!T12</f>
        <v>0</v>
      </c>
      <c r="N28" s="30">
        <f>Inputs!P87*Data!U12</f>
        <v>0</v>
      </c>
      <c r="O28" s="30">
        <f>Inputs!Q87*Data!V12</f>
        <v>0</v>
      </c>
      <c r="P28" s="30">
        <f>Inputs!R87*Data!W12</f>
        <v>0</v>
      </c>
      <c r="Q28" s="30">
        <f>Inputs!S87*Data!X12</f>
        <v>0</v>
      </c>
      <c r="R28" s="30">
        <f>Inputs!T87*Data!Y12</f>
        <v>0</v>
      </c>
      <c r="S28" s="30">
        <f>Inputs!U87*Data!Z12</f>
        <v>0</v>
      </c>
      <c r="T28" s="30">
        <f>Inputs!V87*Data!AA12</f>
        <v>0</v>
      </c>
      <c r="U28" s="30">
        <f>Inputs!W87*Data!AB12</f>
        <v>0</v>
      </c>
      <c r="V28" s="30">
        <f>Inputs!X87*Data!AC12</f>
        <v>0</v>
      </c>
      <c r="W28" s="30">
        <f>Inputs!Y87*Data!AD12</f>
        <v>0</v>
      </c>
      <c r="X28" s="30">
        <f>Inputs!Z87*Data!AE12</f>
        <v>0</v>
      </c>
      <c r="Y28" s="30">
        <f>Inputs!AA87*Data!AF12</f>
        <v>0</v>
      </c>
      <c r="Z28" s="30">
        <f>Inputs!AB87*Data!AG12</f>
        <v>0</v>
      </c>
      <c r="AA28" s="30">
        <f>Inputs!AC87*Data!AH12</f>
        <v>0</v>
      </c>
      <c r="AB28" s="30">
        <f>Inputs!AD87*Data!AI12</f>
        <v>0</v>
      </c>
      <c r="AC28" s="30">
        <f>Inputs!AE87*Data!AJ12</f>
        <v>0</v>
      </c>
      <c r="AD28" s="30">
        <f>Inputs!AF87*Data!AK12</f>
        <v>0</v>
      </c>
      <c r="AE28" s="30">
        <f>Inputs!AG87*Data!AL12</f>
        <v>0</v>
      </c>
      <c r="AF28" s="30">
        <f>Inputs!AH87*Data!AM12</f>
        <v>0</v>
      </c>
      <c r="AG28" s="30">
        <f>Inputs!AI87*Data!AN12</f>
        <v>0</v>
      </c>
      <c r="AH28" s="30">
        <f>Inputs!AJ87*Data!AO12</f>
        <v>0</v>
      </c>
      <c r="AI28" s="30">
        <f>Inputs!AK87*Data!AP12</f>
        <v>0</v>
      </c>
      <c r="AJ28" s="30">
        <f>Inputs!AL87*Data!AQ12</f>
        <v>0</v>
      </c>
      <c r="AK28" s="30">
        <f>Inputs!AM87*Data!AR12</f>
        <v>0</v>
      </c>
      <c r="AL28" s="30">
        <f>Inputs!AN87*Data!AS12</f>
        <v>0</v>
      </c>
      <c r="AM28" s="30">
        <f>Inputs!AO87*Data!AT12</f>
        <v>0</v>
      </c>
      <c r="AN28" s="30">
        <f>Inputs!AP87*Data!AU12</f>
        <v>0</v>
      </c>
      <c r="AO28" s="30">
        <f>Inputs!AQ87*Data!AV12</f>
        <v>0</v>
      </c>
      <c r="AP28" s="30">
        <f>Inputs!AR87*Data!AW12</f>
        <v>0</v>
      </c>
      <c r="AQ28" s="30">
        <f>Inputs!AS87*Data!AX12</f>
        <v>0</v>
      </c>
      <c r="AR28" s="30">
        <f>Inputs!AT87*Data!AY12</f>
        <v>0</v>
      </c>
      <c r="AS28" s="30">
        <f>Inputs!AU87*Data!AZ12</f>
        <v>0</v>
      </c>
      <c r="AT28" s="30">
        <f>Inputs!AV87*Data!BA12</f>
        <v>0</v>
      </c>
      <c r="AU28" s="30">
        <f>Inputs!AW87*Data!BB12</f>
        <v>0</v>
      </c>
      <c r="AV28" s="30">
        <f>Inputs!AX87*Data!BC12</f>
        <v>0</v>
      </c>
      <c r="AW28" s="30">
        <f>Inputs!AY87*Data!BD12</f>
        <v>0</v>
      </c>
      <c r="AX28" s="30">
        <f>Inputs!AZ87*Data!BE12</f>
        <v>0</v>
      </c>
      <c r="AY28" s="30">
        <f>Inputs!BA87*Data!BF12</f>
        <v>0</v>
      </c>
    </row>
    <row r="29" spans="2:51" x14ac:dyDescent="0.35">
      <c r="B29">
        <f>'Project description'!$B$5</f>
        <v>0</v>
      </c>
      <c r="C29" s="211" t="str">
        <f>Lists!$B$34</f>
        <v/>
      </c>
      <c r="D29" t="s">
        <v>161</v>
      </c>
      <c r="F29">
        <f>SUM(F7:F17)</f>
        <v>0</v>
      </c>
      <c r="G29">
        <f t="shared" ref="G29:AX29" si="0">SUM(G7:G17)</f>
        <v>0</v>
      </c>
      <c r="H29">
        <f t="shared" si="0"/>
        <v>0</v>
      </c>
      <c r="I29">
        <f t="shared" si="0"/>
        <v>0</v>
      </c>
      <c r="J29">
        <f t="shared" si="0"/>
        <v>0</v>
      </c>
      <c r="K29">
        <f t="shared" si="0"/>
        <v>0</v>
      </c>
      <c r="L29">
        <f t="shared" si="0"/>
        <v>0</v>
      </c>
      <c r="M29">
        <f t="shared" si="0"/>
        <v>0</v>
      </c>
      <c r="N29">
        <f t="shared" si="0"/>
        <v>0</v>
      </c>
      <c r="O29">
        <f t="shared" si="0"/>
        <v>0</v>
      </c>
      <c r="P29">
        <f t="shared" si="0"/>
        <v>0</v>
      </c>
      <c r="Q29">
        <f t="shared" si="0"/>
        <v>0</v>
      </c>
      <c r="R29">
        <f t="shared" si="0"/>
        <v>0</v>
      </c>
      <c r="S29">
        <f t="shared" si="0"/>
        <v>0</v>
      </c>
      <c r="T29">
        <f t="shared" si="0"/>
        <v>0</v>
      </c>
      <c r="U29">
        <f t="shared" si="0"/>
        <v>0</v>
      </c>
      <c r="V29">
        <f t="shared" si="0"/>
        <v>0</v>
      </c>
      <c r="W29">
        <f t="shared" si="0"/>
        <v>0</v>
      </c>
      <c r="X29">
        <f t="shared" si="0"/>
        <v>0</v>
      </c>
      <c r="Y29">
        <f t="shared" si="0"/>
        <v>0</v>
      </c>
      <c r="Z29">
        <f t="shared" si="0"/>
        <v>0</v>
      </c>
      <c r="AA29">
        <f t="shared" si="0"/>
        <v>0</v>
      </c>
      <c r="AB29">
        <f t="shared" si="0"/>
        <v>0</v>
      </c>
      <c r="AC29">
        <f t="shared" si="0"/>
        <v>0</v>
      </c>
      <c r="AD29">
        <f t="shared" si="0"/>
        <v>0</v>
      </c>
      <c r="AE29">
        <f t="shared" si="0"/>
        <v>0</v>
      </c>
      <c r="AF29">
        <f t="shared" si="0"/>
        <v>0</v>
      </c>
      <c r="AG29">
        <f t="shared" si="0"/>
        <v>0</v>
      </c>
      <c r="AH29">
        <f t="shared" si="0"/>
        <v>0</v>
      </c>
      <c r="AI29">
        <f t="shared" si="0"/>
        <v>0</v>
      </c>
      <c r="AJ29">
        <f t="shared" si="0"/>
        <v>0</v>
      </c>
      <c r="AK29">
        <f t="shared" si="0"/>
        <v>0</v>
      </c>
      <c r="AL29">
        <f t="shared" si="0"/>
        <v>0</v>
      </c>
      <c r="AM29">
        <f t="shared" si="0"/>
        <v>0</v>
      </c>
      <c r="AN29">
        <f t="shared" si="0"/>
        <v>0</v>
      </c>
      <c r="AO29">
        <f t="shared" si="0"/>
        <v>0</v>
      </c>
      <c r="AP29">
        <f t="shared" si="0"/>
        <v>0</v>
      </c>
      <c r="AQ29">
        <f t="shared" si="0"/>
        <v>0</v>
      </c>
      <c r="AR29">
        <f t="shared" si="0"/>
        <v>0</v>
      </c>
      <c r="AS29">
        <f t="shared" si="0"/>
        <v>0</v>
      </c>
      <c r="AT29">
        <f t="shared" si="0"/>
        <v>0</v>
      </c>
      <c r="AU29">
        <f t="shared" si="0"/>
        <v>0</v>
      </c>
      <c r="AV29">
        <f t="shared" si="0"/>
        <v>0</v>
      </c>
      <c r="AW29">
        <f t="shared" si="0"/>
        <v>0</v>
      </c>
      <c r="AX29">
        <f t="shared" si="0"/>
        <v>0</v>
      </c>
      <c r="AY29">
        <f t="shared" ref="AY29" si="1">SUM(AY7:AY17)</f>
        <v>0</v>
      </c>
    </row>
    <row r="30" spans="2:51" x14ac:dyDescent="0.35">
      <c r="B30">
        <f>'Project description'!$B$5</f>
        <v>0</v>
      </c>
      <c r="C30" t="str">
        <f>Lists!$B$34</f>
        <v/>
      </c>
      <c r="D30" t="s">
        <v>162</v>
      </c>
      <c r="F30">
        <f>SUM(F18:F28)</f>
        <v>0</v>
      </c>
      <c r="G30">
        <f t="shared" ref="G30:AX30" si="2">SUM(G18:G28)</f>
        <v>0</v>
      </c>
      <c r="H30">
        <f t="shared" si="2"/>
        <v>0</v>
      </c>
      <c r="I30">
        <f t="shared" si="2"/>
        <v>0</v>
      </c>
      <c r="J30">
        <f t="shared" si="2"/>
        <v>0</v>
      </c>
      <c r="K30">
        <f t="shared" si="2"/>
        <v>0</v>
      </c>
      <c r="L30">
        <f t="shared" si="2"/>
        <v>0</v>
      </c>
      <c r="M30">
        <f t="shared" si="2"/>
        <v>0</v>
      </c>
      <c r="N30">
        <f t="shared" si="2"/>
        <v>0</v>
      </c>
      <c r="O30">
        <f t="shared" si="2"/>
        <v>0</v>
      </c>
      <c r="P30">
        <f t="shared" si="2"/>
        <v>0</v>
      </c>
      <c r="Q30">
        <f t="shared" si="2"/>
        <v>0</v>
      </c>
      <c r="R30">
        <f t="shared" si="2"/>
        <v>0</v>
      </c>
      <c r="S30">
        <f t="shared" si="2"/>
        <v>0</v>
      </c>
      <c r="T30">
        <f t="shared" si="2"/>
        <v>0</v>
      </c>
      <c r="U30">
        <f t="shared" si="2"/>
        <v>0</v>
      </c>
      <c r="V30">
        <f t="shared" si="2"/>
        <v>0</v>
      </c>
      <c r="W30">
        <f t="shared" si="2"/>
        <v>0</v>
      </c>
      <c r="X30">
        <f t="shared" si="2"/>
        <v>0</v>
      </c>
      <c r="Y30">
        <f t="shared" si="2"/>
        <v>0</v>
      </c>
      <c r="Z30">
        <f t="shared" si="2"/>
        <v>0</v>
      </c>
      <c r="AA30">
        <f t="shared" si="2"/>
        <v>0</v>
      </c>
      <c r="AB30">
        <f t="shared" si="2"/>
        <v>0</v>
      </c>
      <c r="AC30">
        <f t="shared" si="2"/>
        <v>0</v>
      </c>
      <c r="AD30">
        <f t="shared" si="2"/>
        <v>0</v>
      </c>
      <c r="AE30">
        <f t="shared" si="2"/>
        <v>0</v>
      </c>
      <c r="AF30">
        <f t="shared" si="2"/>
        <v>0</v>
      </c>
      <c r="AG30">
        <f t="shared" si="2"/>
        <v>0</v>
      </c>
      <c r="AH30">
        <f t="shared" si="2"/>
        <v>0</v>
      </c>
      <c r="AI30">
        <f t="shared" si="2"/>
        <v>0</v>
      </c>
      <c r="AJ30">
        <f t="shared" si="2"/>
        <v>0</v>
      </c>
      <c r="AK30">
        <f t="shared" si="2"/>
        <v>0</v>
      </c>
      <c r="AL30">
        <f t="shared" si="2"/>
        <v>0</v>
      </c>
      <c r="AM30">
        <f t="shared" si="2"/>
        <v>0</v>
      </c>
      <c r="AN30">
        <f t="shared" si="2"/>
        <v>0</v>
      </c>
      <c r="AO30">
        <f t="shared" si="2"/>
        <v>0</v>
      </c>
      <c r="AP30">
        <f t="shared" si="2"/>
        <v>0</v>
      </c>
      <c r="AQ30">
        <f t="shared" si="2"/>
        <v>0</v>
      </c>
      <c r="AR30">
        <f t="shared" si="2"/>
        <v>0</v>
      </c>
      <c r="AS30">
        <f t="shared" si="2"/>
        <v>0</v>
      </c>
      <c r="AT30">
        <f t="shared" si="2"/>
        <v>0</v>
      </c>
      <c r="AU30">
        <f t="shared" si="2"/>
        <v>0</v>
      </c>
      <c r="AV30">
        <f t="shared" si="2"/>
        <v>0</v>
      </c>
      <c r="AW30">
        <f t="shared" si="2"/>
        <v>0</v>
      </c>
      <c r="AX30">
        <f t="shared" si="2"/>
        <v>0</v>
      </c>
      <c r="AY30">
        <f t="shared" ref="AY30" si="3">SUM(AY18:AY28)</f>
        <v>0</v>
      </c>
    </row>
    <row r="33" spans="4:51" x14ac:dyDescent="0.35">
      <c r="D33" s="33" t="s">
        <v>163</v>
      </c>
      <c r="E33" s="30"/>
      <c r="F33" s="52">
        <v>2025</v>
      </c>
      <c r="G33" s="52">
        <v>2026</v>
      </c>
      <c r="H33" s="52">
        <v>2027</v>
      </c>
      <c r="I33" s="52">
        <v>2028</v>
      </c>
      <c r="J33" s="52">
        <v>2029</v>
      </c>
      <c r="K33" s="52">
        <v>2030</v>
      </c>
      <c r="L33" s="52">
        <v>2031</v>
      </c>
      <c r="M33" s="52">
        <v>2032</v>
      </c>
      <c r="N33" s="52">
        <v>2033</v>
      </c>
      <c r="O33" s="52">
        <v>2034</v>
      </c>
      <c r="P33" s="52">
        <v>2035</v>
      </c>
      <c r="Q33" s="52">
        <v>2036</v>
      </c>
      <c r="R33" s="52">
        <v>2037</v>
      </c>
      <c r="S33" s="52">
        <v>2038</v>
      </c>
      <c r="T33" s="52">
        <v>2039</v>
      </c>
      <c r="U33" s="52">
        <v>2040</v>
      </c>
      <c r="V33" s="52">
        <v>2041</v>
      </c>
      <c r="W33" s="52">
        <v>2042</v>
      </c>
      <c r="X33" s="52">
        <v>2043</v>
      </c>
      <c r="Y33" s="52">
        <v>2044</v>
      </c>
      <c r="Z33" s="52">
        <v>2045</v>
      </c>
      <c r="AA33" s="52">
        <v>2046</v>
      </c>
      <c r="AB33" s="52">
        <v>2047</v>
      </c>
      <c r="AC33" s="52">
        <v>2048</v>
      </c>
      <c r="AD33" s="52">
        <v>2049</v>
      </c>
      <c r="AE33" s="52">
        <v>2050</v>
      </c>
      <c r="AF33" s="52">
        <v>2051</v>
      </c>
      <c r="AG33" s="52">
        <v>2052</v>
      </c>
      <c r="AH33" s="52">
        <v>2053</v>
      </c>
      <c r="AI33" s="52">
        <v>2054</v>
      </c>
      <c r="AJ33" s="52">
        <v>2055</v>
      </c>
      <c r="AK33" s="52">
        <v>2056</v>
      </c>
      <c r="AL33" s="52">
        <v>2057</v>
      </c>
      <c r="AM33" s="52">
        <v>2058</v>
      </c>
      <c r="AN33" s="52">
        <v>2059</v>
      </c>
      <c r="AO33" s="52">
        <v>2060</v>
      </c>
      <c r="AP33" s="52">
        <v>2061</v>
      </c>
      <c r="AQ33" s="52">
        <v>2062</v>
      </c>
      <c r="AR33" s="52">
        <v>2063</v>
      </c>
      <c r="AS33" s="52">
        <v>2064</v>
      </c>
      <c r="AT33" s="52">
        <v>2065</v>
      </c>
      <c r="AU33" s="52">
        <v>2066</v>
      </c>
      <c r="AV33" s="52">
        <v>2067</v>
      </c>
      <c r="AW33" s="52">
        <v>2068</v>
      </c>
      <c r="AX33" s="52">
        <v>2069</v>
      </c>
      <c r="AY33" s="52">
        <v>2070</v>
      </c>
    </row>
    <row r="34" spans="4:51" x14ac:dyDescent="0.35">
      <c r="D34" s="5" t="s">
        <v>148</v>
      </c>
      <c r="F34" s="39">
        <f>F29*Data!L24</f>
        <v>0</v>
      </c>
      <c r="G34" s="39">
        <f>G29*Data!M24</f>
        <v>0</v>
      </c>
      <c r="H34" s="39">
        <f>H29*Data!N24</f>
        <v>0</v>
      </c>
      <c r="I34" s="39">
        <f>I29*Data!O24</f>
        <v>0</v>
      </c>
      <c r="J34" s="39">
        <f>J29*Data!P24</f>
        <v>0</v>
      </c>
      <c r="K34" s="39">
        <f>K29*Data!Q24</f>
        <v>0</v>
      </c>
      <c r="L34" s="39">
        <f>L29*Data!R24</f>
        <v>0</v>
      </c>
      <c r="M34" s="39">
        <f>M29*Data!S24</f>
        <v>0</v>
      </c>
      <c r="N34" s="39">
        <f>N29*Data!T24</f>
        <v>0</v>
      </c>
      <c r="O34" s="39">
        <f>O29*Data!U24</f>
        <v>0</v>
      </c>
      <c r="P34" s="39">
        <f>P29*Data!V24</f>
        <v>0</v>
      </c>
      <c r="Q34" s="39">
        <f>Q29*Data!W24</f>
        <v>0</v>
      </c>
      <c r="R34" s="39">
        <f>R29*Data!X24</f>
        <v>0</v>
      </c>
      <c r="S34" s="39">
        <f>S29*Data!Y24</f>
        <v>0</v>
      </c>
      <c r="T34" s="39">
        <f>T29*Data!Z24</f>
        <v>0</v>
      </c>
      <c r="U34" s="39">
        <f>U29*Data!AA24</f>
        <v>0</v>
      </c>
      <c r="V34" s="39">
        <f>V29*Data!AB24</f>
        <v>0</v>
      </c>
      <c r="W34" s="39">
        <f>W29*Data!AC24</f>
        <v>0</v>
      </c>
      <c r="X34" s="39">
        <f>X29*Data!AD24</f>
        <v>0</v>
      </c>
      <c r="Y34" s="39">
        <f>Y29*Data!AE24</f>
        <v>0</v>
      </c>
      <c r="Z34" s="39">
        <f>Z29*Data!AF24</f>
        <v>0</v>
      </c>
      <c r="AA34" s="39">
        <f>AA29*Data!AG24</f>
        <v>0</v>
      </c>
      <c r="AB34" s="39">
        <f>AB29*Data!AH24</f>
        <v>0</v>
      </c>
      <c r="AC34" s="39">
        <f>AC29*Data!AI24</f>
        <v>0</v>
      </c>
      <c r="AD34" s="39">
        <f>AD29*Data!AJ24</f>
        <v>0</v>
      </c>
      <c r="AE34" s="39">
        <f>AE29*Data!AK24</f>
        <v>0</v>
      </c>
      <c r="AF34" s="39">
        <f>AF29*Data!AL24</f>
        <v>0</v>
      </c>
      <c r="AG34" s="39">
        <f>AG29*Data!AM24</f>
        <v>0</v>
      </c>
      <c r="AH34" s="39">
        <f>AH29*Data!AN24</f>
        <v>0</v>
      </c>
      <c r="AI34" s="39">
        <f>AI29*Data!AO24</f>
        <v>0</v>
      </c>
      <c r="AJ34" s="39">
        <f>AJ29*Data!AP24</f>
        <v>0</v>
      </c>
      <c r="AK34" s="39">
        <f>AK29*Data!AQ24</f>
        <v>0</v>
      </c>
      <c r="AL34" s="39">
        <f>AL29*Data!AR24</f>
        <v>0</v>
      </c>
      <c r="AM34" s="39">
        <f>AM29*Data!AS24</f>
        <v>0</v>
      </c>
      <c r="AN34" s="39">
        <f>AN29*Data!AT24</f>
        <v>0</v>
      </c>
      <c r="AO34" s="39">
        <f>AO29*Data!AU24</f>
        <v>0</v>
      </c>
      <c r="AP34" s="39">
        <f>AP29*Data!AV24</f>
        <v>0</v>
      </c>
      <c r="AQ34" s="39">
        <f>AQ29*Data!AW24</f>
        <v>0</v>
      </c>
      <c r="AR34" s="39">
        <f>AR29*Data!AX24</f>
        <v>0</v>
      </c>
      <c r="AS34" s="39">
        <f>AS29*Data!AY24</f>
        <v>0</v>
      </c>
      <c r="AT34" s="39">
        <f>AT29*Data!AZ24</f>
        <v>0</v>
      </c>
      <c r="AU34" s="39">
        <f>AU29*Data!BA24</f>
        <v>0</v>
      </c>
      <c r="AV34" s="39">
        <f>AV29*Data!BB24</f>
        <v>0</v>
      </c>
      <c r="AW34" s="39">
        <f>AW29*Data!BC24</f>
        <v>0</v>
      </c>
      <c r="AX34" s="39">
        <f>AX29*Data!BD24</f>
        <v>0</v>
      </c>
      <c r="AY34" s="39">
        <f>AY29*Data!BE24</f>
        <v>0</v>
      </c>
    </row>
    <row r="35" spans="4:51" x14ac:dyDescent="0.35">
      <c r="D35" s="33" t="s">
        <v>160</v>
      </c>
      <c r="E35" s="30"/>
      <c r="F35" s="44">
        <f>F30*Data!L24</f>
        <v>0</v>
      </c>
      <c r="G35" s="44">
        <f>G30*Data!M24</f>
        <v>0</v>
      </c>
      <c r="H35" s="44">
        <f>H30*Data!N24</f>
        <v>0</v>
      </c>
      <c r="I35" s="44">
        <f>I30*Data!O24</f>
        <v>0</v>
      </c>
      <c r="J35" s="44">
        <f>J30*Data!P24</f>
        <v>0</v>
      </c>
      <c r="K35" s="44">
        <f>K30*Data!Q24</f>
        <v>0</v>
      </c>
      <c r="L35" s="44">
        <f>L30*Data!R24</f>
        <v>0</v>
      </c>
      <c r="M35" s="44">
        <f>M30*Data!S24</f>
        <v>0</v>
      </c>
      <c r="N35" s="44">
        <f>N30*Data!T24</f>
        <v>0</v>
      </c>
      <c r="O35" s="44">
        <f>O30*Data!U24</f>
        <v>0</v>
      </c>
      <c r="P35" s="44">
        <f>P30*Data!V24</f>
        <v>0</v>
      </c>
      <c r="Q35" s="44">
        <f>Q30*Data!W24</f>
        <v>0</v>
      </c>
      <c r="R35" s="44">
        <f>R30*Data!X24</f>
        <v>0</v>
      </c>
      <c r="S35" s="44">
        <f>S30*Data!Y24</f>
        <v>0</v>
      </c>
      <c r="T35" s="44">
        <f>T30*Data!Z24</f>
        <v>0</v>
      </c>
      <c r="U35" s="44">
        <f>U30*Data!AA24</f>
        <v>0</v>
      </c>
      <c r="V35" s="44">
        <f>V30*Data!AB24</f>
        <v>0</v>
      </c>
      <c r="W35" s="44">
        <f>W30*Data!AC24</f>
        <v>0</v>
      </c>
      <c r="X35" s="44">
        <f>X30*Data!AD24</f>
        <v>0</v>
      </c>
      <c r="Y35" s="44">
        <f>Y30*Data!AE24</f>
        <v>0</v>
      </c>
      <c r="Z35" s="44">
        <f>Z30*Data!AF24</f>
        <v>0</v>
      </c>
      <c r="AA35" s="44">
        <f>AA30*Data!AG24</f>
        <v>0</v>
      </c>
      <c r="AB35" s="44">
        <f>AB30*Data!AH24</f>
        <v>0</v>
      </c>
      <c r="AC35" s="44">
        <f>AC30*Data!AI24</f>
        <v>0</v>
      </c>
      <c r="AD35" s="44">
        <f>AD30*Data!AJ24</f>
        <v>0</v>
      </c>
      <c r="AE35" s="44">
        <f>AE30*Data!AK24</f>
        <v>0</v>
      </c>
      <c r="AF35" s="44">
        <f>AF30*Data!AL24</f>
        <v>0</v>
      </c>
      <c r="AG35" s="44">
        <f>AG30*Data!AM24</f>
        <v>0</v>
      </c>
      <c r="AH35" s="44">
        <f>AH30*Data!AN24</f>
        <v>0</v>
      </c>
      <c r="AI35" s="44">
        <f>AI30*Data!AO24</f>
        <v>0</v>
      </c>
      <c r="AJ35" s="44">
        <f>AJ30*Data!AP24</f>
        <v>0</v>
      </c>
      <c r="AK35" s="44">
        <f>AK30*Data!AQ24</f>
        <v>0</v>
      </c>
      <c r="AL35" s="44">
        <f>AL30*Data!AR24</f>
        <v>0</v>
      </c>
      <c r="AM35" s="44">
        <f>AM30*Data!AS24</f>
        <v>0</v>
      </c>
      <c r="AN35" s="44">
        <f>AN30*Data!AT24</f>
        <v>0</v>
      </c>
      <c r="AO35" s="44">
        <f>AO30*Data!AU24</f>
        <v>0</v>
      </c>
      <c r="AP35" s="44">
        <f>AP30*Data!AV24</f>
        <v>0</v>
      </c>
      <c r="AQ35" s="44">
        <f>AQ30*Data!AW24</f>
        <v>0</v>
      </c>
      <c r="AR35" s="44">
        <f>AR30*Data!AX24</f>
        <v>0</v>
      </c>
      <c r="AS35" s="44">
        <f>AS30*Data!AY24</f>
        <v>0</v>
      </c>
      <c r="AT35" s="44">
        <f>AT30*Data!AZ24</f>
        <v>0</v>
      </c>
      <c r="AU35" s="44">
        <f>AU30*Data!BA24</f>
        <v>0</v>
      </c>
      <c r="AV35" s="44">
        <f>AV30*Data!BB24</f>
        <v>0</v>
      </c>
      <c r="AW35" s="44">
        <f>AW30*Data!BC24</f>
        <v>0</v>
      </c>
      <c r="AX35" s="44">
        <f>AX30*Data!BD24</f>
        <v>0</v>
      </c>
      <c r="AY35" s="44">
        <f>AY30*Data!BE24</f>
        <v>0</v>
      </c>
    </row>
    <row r="36" spans="4:51" x14ac:dyDescent="0.35">
      <c r="D36" s="5" t="s">
        <v>164</v>
      </c>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row>
    <row r="37" spans="4:51" x14ac:dyDescent="0.35">
      <c r="D37" s="5" t="s">
        <v>148</v>
      </c>
      <c r="F37" s="39">
        <f>(F7/Data!L2*Data!L19+SUM(Calculations!F8:F17))*Data!L23</f>
        <v>0</v>
      </c>
      <c r="G37" s="39">
        <f>(G7/Data!M2*Data!M19+SUM(Calculations!G8:G17))*Data!M23</f>
        <v>0</v>
      </c>
      <c r="H37" s="39">
        <f>(H7/Data!N2*Data!N19+SUM(Calculations!H8:H17))*Data!N23</f>
        <v>0</v>
      </c>
      <c r="I37" s="39">
        <f>(I7/Data!O2*Data!O19+SUM(Calculations!I8:I17))*Data!O23</f>
        <v>0</v>
      </c>
      <c r="J37" s="39">
        <f>(J7/Data!P2*Data!P19+SUM(Calculations!J8:J17))*Data!P23</f>
        <v>0</v>
      </c>
      <c r="K37" s="39">
        <f>(K7/Data!Q2*Data!Q19+SUM(Calculations!K8:K17))*Data!Q23</f>
        <v>0</v>
      </c>
      <c r="L37" s="39">
        <f>(L7/Data!R2*Data!R19+SUM(Calculations!L8:L17))*Data!R23</f>
        <v>0</v>
      </c>
      <c r="M37" s="39">
        <f>(M7/Data!S2*Data!S19+SUM(Calculations!M8:M17))*Data!S23</f>
        <v>0</v>
      </c>
      <c r="N37" s="39">
        <f>(N7/Data!T2*Data!T19+SUM(Calculations!N8:N17))*Data!T23</f>
        <v>0</v>
      </c>
      <c r="O37" s="39">
        <f>(O7/Data!U2*Data!U19+SUM(Calculations!O8:O17))*Data!U23</f>
        <v>0</v>
      </c>
      <c r="P37" s="39">
        <f>(P7/Data!V2*Data!V19+SUM(Calculations!P8:P17))*Data!V23</f>
        <v>0</v>
      </c>
      <c r="Q37" s="39">
        <f>(Q7/Data!W2*Data!W19+SUM(Calculations!Q8:Q17))*Data!W23</f>
        <v>0</v>
      </c>
      <c r="R37" s="39">
        <f>(R7/Data!X2*Data!X19+SUM(Calculations!R8:R17))*Data!X23</f>
        <v>0</v>
      </c>
      <c r="S37" s="39">
        <f>(S7/Data!Y2*Data!Y19+SUM(Calculations!S8:S17))*Data!Y23</f>
        <v>0</v>
      </c>
      <c r="T37" s="39">
        <f>(T7/Data!Z2*Data!Z19+SUM(Calculations!T8:T17))*Data!Z23</f>
        <v>0</v>
      </c>
      <c r="U37" s="39">
        <f>(U7/Data!AA2*Data!AA19+SUM(Calculations!U8:U17))*Data!AA23</f>
        <v>0</v>
      </c>
      <c r="V37" s="39">
        <f>(V7/Data!AB2*Data!AB19+SUM(Calculations!V8:V17))*Data!AB23</f>
        <v>0</v>
      </c>
      <c r="W37" s="39">
        <f>(W7/Data!AC2*Data!AC19+SUM(Calculations!W8:W17))*Data!AC23</f>
        <v>0</v>
      </c>
      <c r="X37" s="39">
        <f>(X7/Data!AD2*Data!AD19+SUM(Calculations!X8:X17))*Data!AD23</f>
        <v>0</v>
      </c>
      <c r="Y37" s="39">
        <f>(Y7/Data!AE2*Data!AE19+SUM(Calculations!Y8:Y17))*Data!AE23</f>
        <v>0</v>
      </c>
      <c r="Z37" s="39">
        <f>(Z7/Data!AF2*Data!AF19+SUM(Calculations!Z8:Z17))*Data!AF23</f>
        <v>0</v>
      </c>
      <c r="AA37" s="39">
        <f>(AA7/Data!AG2*Data!AG19+SUM(Calculations!AA8:AA17))*Data!AG23</f>
        <v>0</v>
      </c>
      <c r="AB37" s="39">
        <f>(AB7/Data!AH2*Data!AH19+SUM(Calculations!AB8:AB17))*Data!AH23</f>
        <v>0</v>
      </c>
      <c r="AC37" s="39">
        <f>(AC7/Data!AI2*Data!AI19+SUM(Calculations!AC8:AC17))*Data!AI23</f>
        <v>0</v>
      </c>
      <c r="AD37" s="39">
        <f>(AD7/Data!AJ2*Data!AJ19+SUM(Calculations!AD8:AD17))*Data!AJ23</f>
        <v>0</v>
      </c>
      <c r="AE37" s="39">
        <f>(AE7/Data!AK2*Data!AK19+SUM(Calculations!AE8:AE17))*Data!AK23</f>
        <v>0</v>
      </c>
      <c r="AF37" s="39">
        <f>(AF7/Data!AL2*Data!AL19+SUM(Calculations!AF8:AF17))*Data!AL23</f>
        <v>0</v>
      </c>
      <c r="AG37" s="39">
        <f>(AG7/Data!AM2*Data!AM19+SUM(Calculations!AG8:AG17))*Data!AM23</f>
        <v>0</v>
      </c>
      <c r="AH37" s="39">
        <f>(AH7/Data!AN2*Data!AN19+SUM(Calculations!AH8:AH17))*Data!AN23</f>
        <v>0</v>
      </c>
      <c r="AI37" s="39">
        <f>(AI7/Data!AO2*Data!AO19+SUM(Calculations!AI8:AI17))*Data!AO23</f>
        <v>0</v>
      </c>
      <c r="AJ37" s="39">
        <f>(AJ7/Data!AP2*Data!AP19+SUM(Calculations!AJ8:AJ17))*Data!AP23</f>
        <v>0</v>
      </c>
      <c r="AK37" s="39">
        <f>(AK7/Data!AQ2*Data!AQ19+SUM(Calculations!AK8:AK17))*Data!AQ23</f>
        <v>0</v>
      </c>
      <c r="AL37" s="39">
        <f>(AL7/Data!AR2*Data!AR19+SUM(Calculations!AL8:AL17))*Data!AR23</f>
        <v>0</v>
      </c>
      <c r="AM37" s="39">
        <f>(AM7/Data!AS2*Data!AS19+SUM(Calculations!AM8:AM17))*Data!AS23</f>
        <v>0</v>
      </c>
      <c r="AN37" s="39">
        <f>(AN7/Data!AT2*Data!AT19+SUM(Calculations!AN8:AN17))*Data!AT23</f>
        <v>0</v>
      </c>
      <c r="AO37" s="39">
        <f>(AO7/Data!AU2*Data!AU19+SUM(Calculations!AO8:AO17))*Data!AU23</f>
        <v>0</v>
      </c>
      <c r="AP37" s="39">
        <f>(AP7/Data!AV2*Data!AV19+SUM(Calculations!AP8:AP17))*Data!AV23</f>
        <v>0</v>
      </c>
      <c r="AQ37" s="39">
        <f>(AQ7/Data!AW2*Data!AW19+SUM(Calculations!AQ8:AQ17))*Data!AW23</f>
        <v>0</v>
      </c>
      <c r="AR37" s="39">
        <f>(AR7/Data!AX2*Data!AX19+SUM(Calculations!AR8:AR17))*Data!AX23</f>
        <v>0</v>
      </c>
      <c r="AS37" s="39">
        <f>(AS7/Data!AY2*Data!AY19+SUM(Calculations!AS8:AS17))*Data!AY23</f>
        <v>0</v>
      </c>
      <c r="AT37" s="39">
        <f>(AT7/Data!AZ2*Data!AZ19+SUM(Calculations!AT8:AT17))*Data!AZ23</f>
        <v>0</v>
      </c>
      <c r="AU37" s="39">
        <f>(AU7/Data!BA2*Data!BA19+SUM(Calculations!AU8:AU17))*Data!BA23</f>
        <v>0</v>
      </c>
      <c r="AV37" s="39">
        <f>(AV7/Data!BB2*Data!BB19+SUM(Calculations!AV8:AV17))*Data!BB23</f>
        <v>0</v>
      </c>
      <c r="AW37" s="39">
        <f>(AW7/Data!BC2*Data!BC19+SUM(Calculations!AW8:AW17))*Data!BC23</f>
        <v>0</v>
      </c>
      <c r="AX37" s="39">
        <f>(AX7/Data!BD2*Data!BD19+SUM(Calculations!AX8:AX17))*Data!BD23</f>
        <v>0</v>
      </c>
      <c r="AY37" s="39">
        <f>(AY7/Data!BE2*Data!BE19+SUM(Calculations!AY8:AY17))*Data!BE23</f>
        <v>0</v>
      </c>
    </row>
    <row r="38" spans="4:51" x14ac:dyDescent="0.35">
      <c r="D38" s="5" t="s">
        <v>160</v>
      </c>
      <c r="F38" s="39">
        <f>(F18/Data!L2*Data!L19+SUM(F19:F28))*Data!L23</f>
        <v>0</v>
      </c>
      <c r="G38" s="39">
        <f>(G18/Data!M2*Data!M19+SUM(G19:G28))*Data!M23</f>
        <v>0</v>
      </c>
      <c r="H38" s="39">
        <f>(H18/Data!N2*Data!N19+SUM(H19:H28))*Data!N23</f>
        <v>0</v>
      </c>
      <c r="I38" s="39">
        <f>(I18/Data!O2*Data!O19+SUM(I19:I28))*Data!O23</f>
        <v>0</v>
      </c>
      <c r="J38" s="39">
        <f>(J18/Data!P2*Data!P19+SUM(J19:J28))*Data!P23</f>
        <v>0</v>
      </c>
      <c r="K38" s="39">
        <f>(K18/Data!Q2*Data!Q19+SUM(K19:K28))*Data!Q23</f>
        <v>0</v>
      </c>
      <c r="L38" s="39">
        <f>(L18/Data!R2*Data!R19+SUM(L19:L28))*Data!R23</f>
        <v>0</v>
      </c>
      <c r="M38" s="39">
        <f>(M18/Data!S2*Data!S19+SUM(M19:M28))*Data!S23</f>
        <v>0</v>
      </c>
      <c r="N38" s="39">
        <f>(N18/Data!T2*Data!T19+SUM(N19:N28))*Data!T23</f>
        <v>0</v>
      </c>
      <c r="O38" s="39">
        <f>(O18/Data!U2*Data!U19+SUM(O19:O28))*Data!U23</f>
        <v>0</v>
      </c>
      <c r="P38" s="39">
        <f>(P18/Data!V2*Data!V19+SUM(P19:P28))*Data!V23</f>
        <v>0</v>
      </c>
      <c r="Q38" s="39">
        <f>(Q18/Data!W2*Data!W19+SUM(Q19:Q28))*Data!W23</f>
        <v>0</v>
      </c>
      <c r="R38" s="39">
        <f>(R18/Data!X2*Data!X19+SUM(R19:R28))*Data!X23</f>
        <v>0</v>
      </c>
      <c r="S38" s="39">
        <f>(S18/Data!Y2*Data!Y19+SUM(S19:S28))*Data!Y23</f>
        <v>0</v>
      </c>
      <c r="T38" s="39">
        <f>(T18/Data!Z2*Data!Z19+SUM(T19:T28))*Data!Z23</f>
        <v>0</v>
      </c>
      <c r="U38" s="39">
        <f>(U18/Data!AA2*Data!AA19+SUM(U19:U28))*Data!AA23</f>
        <v>0</v>
      </c>
      <c r="V38" s="39">
        <f>(V18/Data!AB2*Data!AB19+SUM(V19:V28))*Data!AB23</f>
        <v>0</v>
      </c>
      <c r="W38" s="39">
        <f>(W18/Data!AC2*Data!AC19+SUM(W19:W28))*Data!AC23</f>
        <v>0</v>
      </c>
      <c r="X38" s="39">
        <f>(X18/Data!AD2*Data!AD19+SUM(X19:X28))*Data!AD23</f>
        <v>0</v>
      </c>
      <c r="Y38" s="39">
        <f>(Y18/Data!AE2*Data!AE19+SUM(Y19:Y28))*Data!AE23</f>
        <v>0</v>
      </c>
      <c r="Z38" s="39">
        <f>(Z18/Data!AF2*Data!AF19+SUM(Z19:Z28))*Data!AF23</f>
        <v>0</v>
      </c>
      <c r="AA38" s="39">
        <f>(AA18/Data!AG2*Data!AG19+SUM(AA19:AA28))*Data!AG23</f>
        <v>0</v>
      </c>
      <c r="AB38" s="39">
        <f>(AB18/Data!AH2*Data!AH19+SUM(AB19:AB28))*Data!AH23</f>
        <v>0</v>
      </c>
      <c r="AC38" s="39">
        <f>(AC18/Data!AI2*Data!AI19+SUM(AC19:AC28))*Data!AI23</f>
        <v>0</v>
      </c>
      <c r="AD38" s="39">
        <f>(AD18/Data!AJ2*Data!AJ19+SUM(AD19:AD28))*Data!AJ23</f>
        <v>0</v>
      </c>
      <c r="AE38" s="39">
        <f>(AE18/Data!AK2*Data!AK19+SUM(AE19:AE28))*Data!AK23</f>
        <v>0</v>
      </c>
      <c r="AF38" s="39">
        <f>(AF18/Data!AL2*Data!AL19+SUM(AF19:AF28))*Data!AL23</f>
        <v>0</v>
      </c>
      <c r="AG38" s="39">
        <f>(AG18/Data!AM2*Data!AM19+SUM(AG19:AG28))*Data!AM23</f>
        <v>0</v>
      </c>
      <c r="AH38" s="39">
        <f>(AH18/Data!AN2*Data!AN19+SUM(AH19:AH28))*Data!AN23</f>
        <v>0</v>
      </c>
      <c r="AI38" s="39">
        <f>(AI18/Data!AO2*Data!AO19+SUM(AI19:AI28))*Data!AO23</f>
        <v>0</v>
      </c>
      <c r="AJ38" s="39">
        <f>(AJ18/Data!AP2*Data!AP19+SUM(AJ19:AJ28))*Data!AP23</f>
        <v>0</v>
      </c>
      <c r="AK38" s="39">
        <f>(AK18/Data!AQ2*Data!AQ19+SUM(AK19:AK28))*Data!AQ23</f>
        <v>0</v>
      </c>
      <c r="AL38" s="39">
        <f>(AL18/Data!AR2*Data!AR19+SUM(AL19:AL28))*Data!AR23</f>
        <v>0</v>
      </c>
      <c r="AM38" s="39">
        <f>(AM18/Data!AS2*Data!AS19+SUM(AM19:AM28))*Data!AS23</f>
        <v>0</v>
      </c>
      <c r="AN38" s="39">
        <f>(AN18/Data!AT2*Data!AT19+SUM(AN19:AN28))*Data!AT23</f>
        <v>0</v>
      </c>
      <c r="AO38" s="39">
        <f>(AO18/Data!AU2*Data!AU19+SUM(AO19:AO28))*Data!AU23</f>
        <v>0</v>
      </c>
      <c r="AP38" s="39">
        <f>(AP18/Data!AV2*Data!AV19+SUM(AP19:AP28))*Data!AV23</f>
        <v>0</v>
      </c>
      <c r="AQ38" s="39">
        <f>(AQ18/Data!AW2*Data!AW19+SUM(AQ19:AQ28))*Data!AW23</f>
        <v>0</v>
      </c>
      <c r="AR38" s="39">
        <f>(AR18/Data!AX2*Data!AX19+SUM(AR19:AR28))*Data!AX23</f>
        <v>0</v>
      </c>
      <c r="AS38" s="39">
        <f>(AS18/Data!AY2*Data!AY19+SUM(AS19:AS28))*Data!AY23</f>
        <v>0</v>
      </c>
      <c r="AT38" s="39">
        <f>(AT18/Data!AZ2*Data!AZ19+SUM(AT19:AT28))*Data!AZ23</f>
        <v>0</v>
      </c>
      <c r="AU38" s="39">
        <f>(AU18/Data!BA2*Data!BA19+SUM(AU19:AU28))*Data!BA23</f>
        <v>0</v>
      </c>
      <c r="AV38" s="39">
        <f>(AV18/Data!BB2*Data!BB19+SUM(AV19:AV28))*Data!BB23</f>
        <v>0</v>
      </c>
      <c r="AW38" s="39">
        <f>(AW18/Data!BC2*Data!BC19+SUM(AW19:AW28))*Data!BC23</f>
        <v>0</v>
      </c>
      <c r="AX38" s="39">
        <f>(AX18/Data!BD2*Data!BD19+SUM(AX19:AX28))*Data!BD23</f>
        <v>0</v>
      </c>
      <c r="AY38" s="39">
        <f>(AY18/Data!BE2*Data!BE19+SUM(AY19:AY28))*Data!BE23</f>
        <v>0</v>
      </c>
    </row>
    <row r="40" spans="4:51" x14ac:dyDescent="0.35">
      <c r="D40" s="15" t="s">
        <v>165</v>
      </c>
      <c r="E40" s="26"/>
      <c r="F40" s="57">
        <v>2025</v>
      </c>
      <c r="G40" s="57">
        <v>2026</v>
      </c>
      <c r="H40" s="57">
        <v>2027</v>
      </c>
      <c r="I40" s="57">
        <v>2028</v>
      </c>
      <c r="J40" s="57">
        <v>2029</v>
      </c>
      <c r="K40" s="57">
        <v>2030</v>
      </c>
      <c r="L40" s="57">
        <v>2031</v>
      </c>
      <c r="M40" s="57">
        <v>2032</v>
      </c>
      <c r="N40" s="57">
        <v>2033</v>
      </c>
      <c r="O40" s="57">
        <v>2034</v>
      </c>
      <c r="P40" s="57">
        <v>2035</v>
      </c>
      <c r="Q40" s="57">
        <v>2036</v>
      </c>
      <c r="R40" s="57">
        <v>2037</v>
      </c>
      <c r="S40" s="57">
        <v>2038</v>
      </c>
      <c r="T40" s="57">
        <v>2039</v>
      </c>
      <c r="U40" s="57">
        <v>2040</v>
      </c>
      <c r="V40" s="57">
        <v>2041</v>
      </c>
      <c r="W40" s="57">
        <v>2042</v>
      </c>
      <c r="X40" s="57">
        <v>2043</v>
      </c>
      <c r="Y40" s="57">
        <v>2044</v>
      </c>
      <c r="Z40" s="57">
        <v>2045</v>
      </c>
      <c r="AA40" s="57">
        <v>2046</v>
      </c>
      <c r="AB40" s="57">
        <v>2047</v>
      </c>
      <c r="AC40" s="57">
        <v>2048</v>
      </c>
      <c r="AD40" s="57">
        <v>2049</v>
      </c>
      <c r="AE40" s="57">
        <v>2050</v>
      </c>
      <c r="AF40" s="57">
        <v>2051</v>
      </c>
      <c r="AG40" s="57">
        <v>2052</v>
      </c>
      <c r="AH40" s="57">
        <v>2053</v>
      </c>
      <c r="AI40" s="57">
        <v>2054</v>
      </c>
      <c r="AJ40" s="57">
        <v>2055</v>
      </c>
      <c r="AK40" s="57">
        <v>2056</v>
      </c>
      <c r="AL40" s="57">
        <v>2057</v>
      </c>
      <c r="AM40" s="57">
        <v>2058</v>
      </c>
      <c r="AN40" s="57">
        <v>2059</v>
      </c>
      <c r="AO40" s="57">
        <v>2060</v>
      </c>
      <c r="AP40" s="57">
        <v>2061</v>
      </c>
      <c r="AQ40" s="57">
        <v>2062</v>
      </c>
      <c r="AR40" s="57">
        <v>2063</v>
      </c>
      <c r="AS40" s="57">
        <v>2064</v>
      </c>
      <c r="AT40" s="57">
        <v>2065</v>
      </c>
      <c r="AU40" s="57">
        <v>2066</v>
      </c>
      <c r="AV40" s="57">
        <v>2067</v>
      </c>
      <c r="AW40" s="57">
        <v>2068</v>
      </c>
      <c r="AX40" s="57">
        <v>2069</v>
      </c>
      <c r="AY40" s="57">
        <v>2070</v>
      </c>
    </row>
    <row r="41" spans="4:51" x14ac:dyDescent="0.35">
      <c r="D41" s="5" t="s">
        <v>148</v>
      </c>
      <c r="E41" t="s">
        <v>166</v>
      </c>
      <c r="F41" s="39">
        <f>'Real values'!L17</f>
        <v>0</v>
      </c>
      <c r="G41" s="39">
        <f>'Real values'!M17</f>
        <v>0</v>
      </c>
      <c r="H41" s="39">
        <f>'Real values'!N17</f>
        <v>0</v>
      </c>
      <c r="I41" s="39">
        <f>'Real values'!O17</f>
        <v>0</v>
      </c>
      <c r="J41" s="39">
        <f>'Real values'!P17</f>
        <v>0</v>
      </c>
      <c r="K41" s="39">
        <f>'Real values'!Q17</f>
        <v>0</v>
      </c>
      <c r="L41" s="39">
        <f>'Real values'!R17</f>
        <v>0</v>
      </c>
      <c r="M41" s="39">
        <f>'Real values'!S17</f>
        <v>0</v>
      </c>
      <c r="N41" s="39">
        <f>'Real values'!T17</f>
        <v>0</v>
      </c>
      <c r="O41" s="39">
        <f>'Real values'!U17</f>
        <v>0</v>
      </c>
      <c r="P41" s="39">
        <f>'Real values'!V17</f>
        <v>0</v>
      </c>
      <c r="Q41" s="39">
        <f>'Real values'!W17</f>
        <v>0</v>
      </c>
      <c r="R41" s="39">
        <f>'Real values'!X17</f>
        <v>0</v>
      </c>
      <c r="S41" s="39">
        <f>'Real values'!Y17</f>
        <v>0</v>
      </c>
      <c r="T41" s="39">
        <f>'Real values'!Z17</f>
        <v>0</v>
      </c>
      <c r="U41" s="39">
        <f>'Real values'!AA17</f>
        <v>0</v>
      </c>
      <c r="V41" s="39">
        <f>'Real values'!AB17</f>
        <v>0</v>
      </c>
      <c r="W41" s="39">
        <f>'Real values'!AC17</f>
        <v>0</v>
      </c>
      <c r="X41" s="39">
        <f>'Real values'!AD17</f>
        <v>0</v>
      </c>
      <c r="Y41" s="39">
        <f>'Real values'!AE17</f>
        <v>0</v>
      </c>
      <c r="Z41" s="39">
        <f>'Real values'!AF17</f>
        <v>0</v>
      </c>
      <c r="AA41" s="39">
        <f>'Real values'!AG17</f>
        <v>0</v>
      </c>
      <c r="AB41" s="39">
        <f>'Real values'!AH17</f>
        <v>0</v>
      </c>
      <c r="AC41" s="39">
        <f>'Real values'!AI17</f>
        <v>0</v>
      </c>
      <c r="AD41" s="39">
        <f>'Real values'!AJ17</f>
        <v>0</v>
      </c>
      <c r="AE41" s="39">
        <f>'Real values'!AK17</f>
        <v>0</v>
      </c>
      <c r="AF41" s="39">
        <f>'Real values'!AL17</f>
        <v>0</v>
      </c>
      <c r="AG41" s="39">
        <f>'Real values'!AM17</f>
        <v>0</v>
      </c>
      <c r="AH41" s="39">
        <f>'Real values'!AN17</f>
        <v>0</v>
      </c>
      <c r="AI41" s="39">
        <f>'Real values'!AO17</f>
        <v>0</v>
      </c>
      <c r="AJ41" s="39">
        <f>'Real values'!AP17</f>
        <v>0</v>
      </c>
      <c r="AK41" s="39">
        <f>'Real values'!AQ17</f>
        <v>0</v>
      </c>
      <c r="AL41" s="39">
        <f>'Real values'!AR17</f>
        <v>0</v>
      </c>
      <c r="AM41" s="39">
        <f>'Real values'!AS17</f>
        <v>0</v>
      </c>
      <c r="AN41" s="39">
        <f>'Real values'!AT17</f>
        <v>0</v>
      </c>
      <c r="AO41" s="39">
        <f>'Real values'!AU17</f>
        <v>0</v>
      </c>
      <c r="AP41" s="39">
        <f>'Real values'!AV17</f>
        <v>0</v>
      </c>
      <c r="AQ41" s="39">
        <f>'Real values'!AW17</f>
        <v>0</v>
      </c>
      <c r="AR41" s="39">
        <f>'Real values'!AX17</f>
        <v>0</v>
      </c>
      <c r="AS41" s="39">
        <f>'Real values'!AY17</f>
        <v>0</v>
      </c>
      <c r="AT41" s="39">
        <f>'Real values'!AZ17</f>
        <v>0</v>
      </c>
      <c r="AU41" s="39">
        <f>'Real values'!BA17</f>
        <v>0</v>
      </c>
      <c r="AV41" s="39">
        <f>'Real values'!BB17</f>
        <v>0</v>
      </c>
      <c r="AW41" s="39">
        <f>'Real values'!BC17</f>
        <v>0</v>
      </c>
      <c r="AX41" s="39">
        <f>'Real values'!BD17</f>
        <v>0</v>
      </c>
      <c r="AY41" s="39">
        <f>'Real values'!BE17</f>
        <v>0</v>
      </c>
    </row>
    <row r="42" spans="4:51" x14ac:dyDescent="0.35">
      <c r="E42" t="s">
        <v>133</v>
      </c>
      <c r="F42" s="39">
        <f>'Real values'!L38</f>
        <v>0</v>
      </c>
      <c r="G42" s="39">
        <f>'Real values'!M38</f>
        <v>0</v>
      </c>
      <c r="H42" s="39">
        <f>'Real values'!N38</f>
        <v>0</v>
      </c>
      <c r="I42" s="39">
        <f>'Real values'!O38</f>
        <v>0</v>
      </c>
      <c r="J42" s="39">
        <f>'Real values'!P38</f>
        <v>0</v>
      </c>
      <c r="K42" s="39">
        <f>'Real values'!Q38</f>
        <v>0</v>
      </c>
      <c r="L42" s="39">
        <f>'Real values'!R38</f>
        <v>0</v>
      </c>
      <c r="M42" s="39">
        <f>'Real values'!S38</f>
        <v>0</v>
      </c>
      <c r="N42" s="39">
        <f>'Real values'!T38</f>
        <v>0</v>
      </c>
      <c r="O42" s="39">
        <f>'Real values'!U38</f>
        <v>0</v>
      </c>
      <c r="P42" s="39">
        <f>'Real values'!V38</f>
        <v>0</v>
      </c>
      <c r="Q42" s="39">
        <f>'Real values'!W38</f>
        <v>0</v>
      </c>
      <c r="R42" s="39">
        <f>'Real values'!X38</f>
        <v>0</v>
      </c>
      <c r="S42" s="39">
        <f>'Real values'!Y38</f>
        <v>0</v>
      </c>
      <c r="T42" s="39">
        <f>'Real values'!Z38</f>
        <v>0</v>
      </c>
      <c r="U42" s="39">
        <f>'Real values'!AA38</f>
        <v>0</v>
      </c>
      <c r="V42" s="39">
        <f>'Real values'!AB38</f>
        <v>0</v>
      </c>
      <c r="W42" s="39">
        <f>'Real values'!AC38</f>
        <v>0</v>
      </c>
      <c r="X42" s="39">
        <f>'Real values'!AD38</f>
        <v>0</v>
      </c>
      <c r="Y42" s="39">
        <f>'Real values'!AE38</f>
        <v>0</v>
      </c>
      <c r="Z42" s="39">
        <f>'Real values'!AF38</f>
        <v>0</v>
      </c>
      <c r="AA42" s="39">
        <f>'Real values'!AG38</f>
        <v>0</v>
      </c>
      <c r="AB42" s="39">
        <f>'Real values'!AH38</f>
        <v>0</v>
      </c>
      <c r="AC42" s="39">
        <f>'Real values'!AI38</f>
        <v>0</v>
      </c>
      <c r="AD42" s="39">
        <f>'Real values'!AJ38</f>
        <v>0</v>
      </c>
      <c r="AE42" s="39">
        <f>'Real values'!AK38</f>
        <v>0</v>
      </c>
      <c r="AF42" s="39">
        <f>'Real values'!AL38</f>
        <v>0</v>
      </c>
      <c r="AG42" s="39">
        <f>'Real values'!AM38</f>
        <v>0</v>
      </c>
      <c r="AH42" s="39">
        <f>'Real values'!AN38</f>
        <v>0</v>
      </c>
      <c r="AI42" s="39">
        <f>'Real values'!AO38</f>
        <v>0</v>
      </c>
      <c r="AJ42" s="39">
        <f>'Real values'!AP38</f>
        <v>0</v>
      </c>
      <c r="AK42" s="39">
        <f>'Real values'!AQ38</f>
        <v>0</v>
      </c>
      <c r="AL42" s="39">
        <f>'Real values'!AR38</f>
        <v>0</v>
      </c>
      <c r="AM42" s="39">
        <f>'Real values'!AS38</f>
        <v>0</v>
      </c>
      <c r="AN42" s="39">
        <f>'Real values'!AT38</f>
        <v>0</v>
      </c>
      <c r="AO42" s="39">
        <f>'Real values'!AU38</f>
        <v>0</v>
      </c>
      <c r="AP42" s="39">
        <f>'Real values'!AV38</f>
        <v>0</v>
      </c>
      <c r="AQ42" s="39">
        <f>'Real values'!AW38</f>
        <v>0</v>
      </c>
      <c r="AR42" s="39">
        <f>'Real values'!AX38</f>
        <v>0</v>
      </c>
      <c r="AS42" s="39">
        <f>'Real values'!AY38</f>
        <v>0</v>
      </c>
      <c r="AT42" s="39">
        <f>'Real values'!AZ38</f>
        <v>0</v>
      </c>
      <c r="AU42" s="39">
        <f>'Real values'!BA38</f>
        <v>0</v>
      </c>
      <c r="AV42" s="39">
        <f>'Real values'!BB38</f>
        <v>0</v>
      </c>
      <c r="AW42" s="39">
        <f>'Real values'!BC38</f>
        <v>0</v>
      </c>
      <c r="AX42" s="39">
        <f>'Real values'!BD38</f>
        <v>0</v>
      </c>
      <c r="AY42" s="39">
        <f>'Real values'!BE38</f>
        <v>0</v>
      </c>
    </row>
    <row r="43" spans="4:51" x14ac:dyDescent="0.35">
      <c r="E43" t="s">
        <v>134</v>
      </c>
      <c r="F43" s="39">
        <f>'Real values'!L116</f>
        <v>0</v>
      </c>
      <c r="G43" s="39">
        <f>'Real values'!M116</f>
        <v>0</v>
      </c>
      <c r="H43" s="39">
        <f>'Real values'!N116</f>
        <v>0</v>
      </c>
      <c r="I43" s="39">
        <f>'Real values'!O116</f>
        <v>0</v>
      </c>
      <c r="J43" s="39">
        <f>'Real values'!P116</f>
        <v>0</v>
      </c>
      <c r="K43" s="39">
        <f>'Real values'!Q116</f>
        <v>0</v>
      </c>
      <c r="L43" s="39">
        <f>'Real values'!R116</f>
        <v>0</v>
      </c>
      <c r="M43" s="39">
        <f>'Real values'!S116</f>
        <v>0</v>
      </c>
      <c r="N43" s="39">
        <f>'Real values'!T116</f>
        <v>0</v>
      </c>
      <c r="O43" s="39">
        <f>'Real values'!U116</f>
        <v>0</v>
      </c>
      <c r="P43" s="39">
        <f>'Real values'!V116</f>
        <v>0</v>
      </c>
      <c r="Q43" s="39">
        <f>'Real values'!W116</f>
        <v>0</v>
      </c>
      <c r="R43" s="39">
        <f>'Real values'!X116</f>
        <v>0</v>
      </c>
      <c r="S43" s="39">
        <f>'Real values'!Y116</f>
        <v>0</v>
      </c>
      <c r="T43" s="39">
        <f>'Real values'!Z116</f>
        <v>0</v>
      </c>
      <c r="U43" s="39">
        <f>'Real values'!AA116</f>
        <v>0</v>
      </c>
      <c r="V43" s="39">
        <f>'Real values'!AB116</f>
        <v>0</v>
      </c>
      <c r="W43" s="39">
        <f>'Real values'!AC116</f>
        <v>0</v>
      </c>
      <c r="X43" s="39">
        <f>'Real values'!AD116</f>
        <v>0</v>
      </c>
      <c r="Y43" s="39">
        <f>'Real values'!AE116</f>
        <v>0</v>
      </c>
      <c r="Z43" s="39">
        <f>'Real values'!AF116</f>
        <v>0</v>
      </c>
      <c r="AA43" s="39">
        <f>'Real values'!AG116</f>
        <v>0</v>
      </c>
      <c r="AB43" s="39">
        <f>'Real values'!AH116</f>
        <v>0</v>
      </c>
      <c r="AC43" s="39">
        <f>'Real values'!AI116</f>
        <v>0</v>
      </c>
      <c r="AD43" s="39">
        <f>'Real values'!AJ116</f>
        <v>0</v>
      </c>
      <c r="AE43" s="39">
        <f>'Real values'!AK116</f>
        <v>0</v>
      </c>
      <c r="AF43" s="39">
        <f>'Real values'!AL116</f>
        <v>0</v>
      </c>
      <c r="AG43" s="39">
        <f>'Real values'!AM116</f>
        <v>0</v>
      </c>
      <c r="AH43" s="39">
        <f>'Real values'!AN116</f>
        <v>0</v>
      </c>
      <c r="AI43" s="39">
        <f>'Real values'!AO116</f>
        <v>0</v>
      </c>
      <c r="AJ43" s="39">
        <f>'Real values'!AP116</f>
        <v>0</v>
      </c>
      <c r="AK43" s="39">
        <f>'Real values'!AQ116</f>
        <v>0</v>
      </c>
      <c r="AL43" s="39">
        <f>'Real values'!AR116</f>
        <v>0</v>
      </c>
      <c r="AM43" s="39">
        <f>'Real values'!AS116</f>
        <v>0</v>
      </c>
      <c r="AN43" s="39">
        <f>'Real values'!AT116</f>
        <v>0</v>
      </c>
      <c r="AO43" s="39">
        <f>'Real values'!AU116</f>
        <v>0</v>
      </c>
      <c r="AP43" s="39">
        <f>'Real values'!AV116</f>
        <v>0</v>
      </c>
      <c r="AQ43" s="39">
        <f>'Real values'!AW116</f>
        <v>0</v>
      </c>
      <c r="AR43" s="39">
        <f>'Real values'!AX116</f>
        <v>0</v>
      </c>
      <c r="AS43" s="39">
        <f>'Real values'!AY116</f>
        <v>0</v>
      </c>
      <c r="AT43" s="39">
        <f>'Real values'!AZ116</f>
        <v>0</v>
      </c>
      <c r="AU43" s="39">
        <f>'Real values'!BA116</f>
        <v>0</v>
      </c>
      <c r="AV43" s="39">
        <f>'Real values'!BB116</f>
        <v>0</v>
      </c>
      <c r="AW43" s="39">
        <f>'Real values'!BC116</f>
        <v>0</v>
      </c>
      <c r="AX43" s="39">
        <f>'Real values'!BD116</f>
        <v>0</v>
      </c>
      <c r="AY43" s="39">
        <f>'Real values'!BE116</f>
        <v>0</v>
      </c>
    </row>
    <row r="44" spans="4:51" x14ac:dyDescent="0.35">
      <c r="E44" t="s">
        <v>167</v>
      </c>
      <c r="F44" s="39">
        <f>F34</f>
        <v>0</v>
      </c>
      <c r="G44" s="39">
        <f t="shared" ref="G44:AS44" si="4">G34</f>
        <v>0</v>
      </c>
      <c r="H44" s="39">
        <f t="shared" si="4"/>
        <v>0</v>
      </c>
      <c r="I44" s="39">
        <f t="shared" si="4"/>
        <v>0</v>
      </c>
      <c r="J44" s="39">
        <f t="shared" si="4"/>
        <v>0</v>
      </c>
      <c r="K44" s="39">
        <f t="shared" si="4"/>
        <v>0</v>
      </c>
      <c r="L44" s="39">
        <f t="shared" si="4"/>
        <v>0</v>
      </c>
      <c r="M44" s="39">
        <f t="shared" si="4"/>
        <v>0</v>
      </c>
      <c r="N44" s="39">
        <f t="shared" si="4"/>
        <v>0</v>
      </c>
      <c r="O44" s="39">
        <f t="shared" si="4"/>
        <v>0</v>
      </c>
      <c r="P44" s="39">
        <f t="shared" si="4"/>
        <v>0</v>
      </c>
      <c r="Q44" s="39">
        <f t="shared" si="4"/>
        <v>0</v>
      </c>
      <c r="R44" s="39">
        <f t="shared" si="4"/>
        <v>0</v>
      </c>
      <c r="S44" s="39">
        <f t="shared" si="4"/>
        <v>0</v>
      </c>
      <c r="T44" s="39">
        <f t="shared" si="4"/>
        <v>0</v>
      </c>
      <c r="U44" s="39">
        <f t="shared" si="4"/>
        <v>0</v>
      </c>
      <c r="V44" s="39">
        <f t="shared" si="4"/>
        <v>0</v>
      </c>
      <c r="W44" s="39">
        <f t="shared" si="4"/>
        <v>0</v>
      </c>
      <c r="X44" s="39">
        <f t="shared" si="4"/>
        <v>0</v>
      </c>
      <c r="Y44" s="39">
        <f t="shared" si="4"/>
        <v>0</v>
      </c>
      <c r="Z44" s="39">
        <f t="shared" si="4"/>
        <v>0</v>
      </c>
      <c r="AA44" s="39">
        <f t="shared" si="4"/>
        <v>0</v>
      </c>
      <c r="AB44" s="39">
        <f t="shared" si="4"/>
        <v>0</v>
      </c>
      <c r="AC44" s="39">
        <f t="shared" si="4"/>
        <v>0</v>
      </c>
      <c r="AD44" s="39">
        <f t="shared" si="4"/>
        <v>0</v>
      </c>
      <c r="AE44" s="39">
        <f t="shared" si="4"/>
        <v>0</v>
      </c>
      <c r="AF44" s="39">
        <f t="shared" si="4"/>
        <v>0</v>
      </c>
      <c r="AG44" s="39">
        <f t="shared" si="4"/>
        <v>0</v>
      </c>
      <c r="AH44" s="39">
        <f t="shared" si="4"/>
        <v>0</v>
      </c>
      <c r="AI44" s="39">
        <f t="shared" si="4"/>
        <v>0</v>
      </c>
      <c r="AJ44" s="39">
        <f t="shared" si="4"/>
        <v>0</v>
      </c>
      <c r="AK44" s="39">
        <f t="shared" si="4"/>
        <v>0</v>
      </c>
      <c r="AL44" s="39">
        <f t="shared" si="4"/>
        <v>0</v>
      </c>
      <c r="AM44" s="39">
        <f t="shared" si="4"/>
        <v>0</v>
      </c>
      <c r="AN44" s="39">
        <f t="shared" si="4"/>
        <v>0</v>
      </c>
      <c r="AO44" s="39">
        <f t="shared" si="4"/>
        <v>0</v>
      </c>
      <c r="AP44" s="39">
        <f t="shared" si="4"/>
        <v>0</v>
      </c>
      <c r="AQ44" s="39">
        <f t="shared" si="4"/>
        <v>0</v>
      </c>
      <c r="AR44" s="39">
        <f t="shared" si="4"/>
        <v>0</v>
      </c>
      <c r="AS44" s="39">
        <f t="shared" si="4"/>
        <v>0</v>
      </c>
      <c r="AT44" s="39">
        <f t="shared" ref="AT44:AY44" si="5">AT34</f>
        <v>0</v>
      </c>
      <c r="AU44" s="39">
        <f t="shared" si="5"/>
        <v>0</v>
      </c>
      <c r="AV44" s="39">
        <f t="shared" si="5"/>
        <v>0</v>
      </c>
      <c r="AW44" s="39">
        <f t="shared" si="5"/>
        <v>0</v>
      </c>
      <c r="AX44" s="39">
        <f t="shared" si="5"/>
        <v>0</v>
      </c>
      <c r="AY44" s="39">
        <f t="shared" si="5"/>
        <v>0</v>
      </c>
    </row>
    <row r="45" spans="4:51" x14ac:dyDescent="0.35">
      <c r="E45" t="s">
        <v>168</v>
      </c>
      <c r="F45" s="39">
        <f>SUM(F41:F44)</f>
        <v>0</v>
      </c>
      <c r="G45" s="39">
        <f t="shared" ref="G45:AS45" si="6">SUM(G41:G44)</f>
        <v>0</v>
      </c>
      <c r="H45" s="39">
        <f t="shared" si="6"/>
        <v>0</v>
      </c>
      <c r="I45" s="39">
        <f t="shared" si="6"/>
        <v>0</v>
      </c>
      <c r="J45" s="39">
        <f t="shared" si="6"/>
        <v>0</v>
      </c>
      <c r="K45" s="39">
        <f t="shared" si="6"/>
        <v>0</v>
      </c>
      <c r="L45" s="39">
        <f t="shared" si="6"/>
        <v>0</v>
      </c>
      <c r="M45" s="39">
        <f t="shared" si="6"/>
        <v>0</v>
      </c>
      <c r="N45" s="39">
        <f t="shared" si="6"/>
        <v>0</v>
      </c>
      <c r="O45" s="39">
        <f t="shared" si="6"/>
        <v>0</v>
      </c>
      <c r="P45" s="39">
        <f t="shared" si="6"/>
        <v>0</v>
      </c>
      <c r="Q45" s="39">
        <f t="shared" si="6"/>
        <v>0</v>
      </c>
      <c r="R45" s="39">
        <f t="shared" si="6"/>
        <v>0</v>
      </c>
      <c r="S45" s="39">
        <f t="shared" si="6"/>
        <v>0</v>
      </c>
      <c r="T45" s="39">
        <f t="shared" si="6"/>
        <v>0</v>
      </c>
      <c r="U45" s="39">
        <f t="shared" si="6"/>
        <v>0</v>
      </c>
      <c r="V45" s="39">
        <f t="shared" si="6"/>
        <v>0</v>
      </c>
      <c r="W45" s="39">
        <f t="shared" si="6"/>
        <v>0</v>
      </c>
      <c r="X45" s="39">
        <f t="shared" si="6"/>
        <v>0</v>
      </c>
      <c r="Y45" s="39">
        <f t="shared" si="6"/>
        <v>0</v>
      </c>
      <c r="Z45" s="39">
        <f t="shared" si="6"/>
        <v>0</v>
      </c>
      <c r="AA45" s="39">
        <f t="shared" si="6"/>
        <v>0</v>
      </c>
      <c r="AB45" s="39">
        <f t="shared" si="6"/>
        <v>0</v>
      </c>
      <c r="AC45" s="39">
        <f t="shared" si="6"/>
        <v>0</v>
      </c>
      <c r="AD45" s="39">
        <f t="shared" si="6"/>
        <v>0</v>
      </c>
      <c r="AE45" s="39">
        <f t="shared" si="6"/>
        <v>0</v>
      </c>
      <c r="AF45" s="39">
        <f t="shared" si="6"/>
        <v>0</v>
      </c>
      <c r="AG45" s="39">
        <f t="shared" si="6"/>
        <v>0</v>
      </c>
      <c r="AH45" s="39">
        <f t="shared" si="6"/>
        <v>0</v>
      </c>
      <c r="AI45" s="39">
        <f t="shared" si="6"/>
        <v>0</v>
      </c>
      <c r="AJ45" s="39">
        <f t="shared" si="6"/>
        <v>0</v>
      </c>
      <c r="AK45" s="39">
        <f t="shared" si="6"/>
        <v>0</v>
      </c>
      <c r="AL45" s="39">
        <f t="shared" si="6"/>
        <v>0</v>
      </c>
      <c r="AM45" s="39">
        <f t="shared" si="6"/>
        <v>0</v>
      </c>
      <c r="AN45" s="39">
        <f t="shared" si="6"/>
        <v>0</v>
      </c>
      <c r="AO45" s="39">
        <f t="shared" si="6"/>
        <v>0</v>
      </c>
      <c r="AP45" s="39">
        <f t="shared" si="6"/>
        <v>0</v>
      </c>
      <c r="AQ45" s="39">
        <f t="shared" si="6"/>
        <v>0</v>
      </c>
      <c r="AR45" s="39">
        <f t="shared" si="6"/>
        <v>0</v>
      </c>
      <c r="AS45" s="39">
        <f t="shared" si="6"/>
        <v>0</v>
      </c>
      <c r="AT45" s="39">
        <f t="shared" ref="AT45:AY45" si="7">SUM(AT41:AT44)</f>
        <v>0</v>
      </c>
      <c r="AU45" s="39">
        <f t="shared" si="7"/>
        <v>0</v>
      </c>
      <c r="AV45" s="39">
        <f t="shared" si="7"/>
        <v>0</v>
      </c>
      <c r="AW45" s="39">
        <f t="shared" si="7"/>
        <v>0</v>
      </c>
      <c r="AX45" s="39">
        <f t="shared" si="7"/>
        <v>0</v>
      </c>
      <c r="AY45" s="39">
        <f t="shared" si="7"/>
        <v>0</v>
      </c>
    </row>
    <row r="46" spans="4:51" x14ac:dyDescent="0.35">
      <c r="E46" t="s">
        <v>169</v>
      </c>
      <c r="F46" s="39" cm="1">
        <f t="array" ref="F46">'Real values'!$L$157:$L$157</f>
        <v>0</v>
      </c>
      <c r="G46" s="39" cm="1">
        <f t="array" ref="G46">'Real values'!$M$157:$M$157</f>
        <v>0</v>
      </c>
      <c r="H46" s="39" cm="1">
        <f t="array" ref="H46">'Real values'!$N$157:$N$157</f>
        <v>0</v>
      </c>
      <c r="I46" s="39" cm="1">
        <f t="array" ref="I46">'Real values'!$O$157:$O$157</f>
        <v>0</v>
      </c>
      <c r="J46" s="39" cm="1">
        <f t="array" ref="J46">'Real values'!$P$157:$P$157</f>
        <v>0</v>
      </c>
      <c r="K46" s="39" cm="1">
        <f t="array" ref="K46">'Real values'!$Q$157:$Q$157</f>
        <v>0</v>
      </c>
      <c r="L46" s="39" cm="1">
        <f t="array" ref="L46">'Real values'!$R$157:$R$157</f>
        <v>0</v>
      </c>
      <c r="M46" s="39" cm="1">
        <f t="array" ref="M46">'Real values'!$S$157:$S$157</f>
        <v>0</v>
      </c>
      <c r="N46" s="39" cm="1">
        <f t="array" ref="N46">'Real values'!$T$157:$T$157</f>
        <v>0</v>
      </c>
      <c r="O46" s="39" cm="1">
        <f t="array" ref="O46">'Real values'!$U$157:$U$157</f>
        <v>0</v>
      </c>
      <c r="P46" s="39" cm="1">
        <f t="array" ref="P46">'Real values'!$V$157:$V$157</f>
        <v>0</v>
      </c>
      <c r="Q46" s="39" cm="1">
        <f t="array" ref="Q46">'Real values'!$W$157:$W$157</f>
        <v>0</v>
      </c>
      <c r="R46" s="39" cm="1">
        <f t="array" ref="R46">'Real values'!$X$157:$X$157</f>
        <v>0</v>
      </c>
      <c r="S46" s="39" cm="1">
        <f t="array" ref="S46">'Real values'!$Y$157:$Y$157</f>
        <v>0</v>
      </c>
      <c r="T46" s="39" cm="1">
        <f t="array" ref="T46">'Real values'!$Z$157:$Z$157</f>
        <v>0</v>
      </c>
      <c r="U46" s="39" cm="1">
        <f t="array" ref="U46">'Real values'!$AA$157:$AA$157</f>
        <v>0</v>
      </c>
      <c r="V46" s="39" cm="1">
        <f t="array" ref="V46">'Real values'!$AB$157:$AB$157</f>
        <v>0</v>
      </c>
      <c r="W46" s="39" cm="1">
        <f t="array" ref="W46">'Real values'!$AC$157:$AC$157</f>
        <v>0</v>
      </c>
      <c r="X46" s="39" cm="1">
        <f t="array" ref="X46">'Real values'!$AD$157:$AD$157</f>
        <v>0</v>
      </c>
      <c r="Y46" s="39" cm="1">
        <f t="array" ref="Y46">'Real values'!$AE$157:$AE$157</f>
        <v>0</v>
      </c>
      <c r="Z46" s="39" cm="1">
        <f t="array" ref="Z46">'Real values'!$AF$157:$AF$157</f>
        <v>0</v>
      </c>
      <c r="AA46" s="39" cm="1">
        <f t="array" ref="AA46">'Real values'!$AG$157:$AG$157</f>
        <v>0</v>
      </c>
      <c r="AB46" s="39" cm="1">
        <f t="array" ref="AB46">'Real values'!$AH$157:$AH$157</f>
        <v>0</v>
      </c>
      <c r="AC46" s="39" cm="1">
        <f t="array" ref="AC46">'Real values'!$AI$157:$AI$157</f>
        <v>0</v>
      </c>
      <c r="AD46" s="39" cm="1">
        <f t="array" ref="AD46">'Real values'!$AJ$157:$AJ$157</f>
        <v>0</v>
      </c>
      <c r="AE46" s="39" cm="1">
        <f t="array" ref="AE46">'Real values'!$AK$157:$AK$157</f>
        <v>0</v>
      </c>
      <c r="AF46" s="39" cm="1">
        <f t="array" ref="AF46">'Real values'!$AL$157:$AL$157</f>
        <v>0</v>
      </c>
      <c r="AG46" s="39" cm="1">
        <f t="array" ref="AG46">'Real values'!$AM$157:$AM$157</f>
        <v>0</v>
      </c>
      <c r="AH46" s="39" cm="1">
        <f t="array" ref="AH46">'Real values'!$AN$157:$AN$157</f>
        <v>0</v>
      </c>
      <c r="AI46" s="39" cm="1">
        <f t="array" ref="AI46">'Real values'!$AO$157:$AO$157</f>
        <v>0</v>
      </c>
      <c r="AJ46" s="39" cm="1">
        <f t="array" ref="AJ46">'Real values'!$AP$157:$AP$157</f>
        <v>0</v>
      </c>
      <c r="AK46" s="39" cm="1">
        <f t="array" ref="AK46">'Real values'!$AQ$157:$AQ$157</f>
        <v>0</v>
      </c>
      <c r="AL46" s="39" cm="1">
        <f t="array" ref="AL46">'Real values'!$AR$157:$AR$157</f>
        <v>0</v>
      </c>
      <c r="AM46" s="39" cm="1">
        <f t="array" ref="AM46">'Real values'!$AS$157:$AS$157</f>
        <v>0</v>
      </c>
      <c r="AN46" s="39" cm="1">
        <f t="array" ref="AN46">'Real values'!$AT$157:$AT$157</f>
        <v>0</v>
      </c>
      <c r="AO46" s="39" cm="1">
        <f t="array" ref="AO46">'Real values'!$AU$157:$AU$157</f>
        <v>0</v>
      </c>
      <c r="AP46" s="39" cm="1">
        <f t="array" ref="AP46">'Real values'!$AV$157:$AV$157</f>
        <v>0</v>
      </c>
      <c r="AQ46" s="39" cm="1">
        <f t="array" ref="AQ46">'Real values'!$AW$157:$AW$157</f>
        <v>0</v>
      </c>
      <c r="AR46" s="39" cm="1">
        <f t="array" ref="AR46">'Real values'!$AX$157:$AX$157</f>
        <v>0</v>
      </c>
      <c r="AS46" s="39" cm="1">
        <f t="array" ref="AS46">'Real values'!$AY$157:$AY$157</f>
        <v>0</v>
      </c>
      <c r="AT46" s="39" cm="1">
        <f t="array" ref="AT46">'Real values'!$AZ$157:$AZ$157</f>
        <v>0</v>
      </c>
      <c r="AU46" s="39" cm="1">
        <f t="array" ref="AU46">'Real values'!$BA$157:$BA$157</f>
        <v>0</v>
      </c>
      <c r="AV46" s="39" cm="1">
        <f t="array" ref="AV46">'Real values'!$BB$157:$BB$157</f>
        <v>0</v>
      </c>
      <c r="AW46" s="39" cm="1">
        <f t="array" ref="AW46">'Real values'!$BC$157:$BC$157</f>
        <v>0</v>
      </c>
      <c r="AX46" s="39" cm="1">
        <f t="array" ref="AX46">'Real values'!$BD$157:$BD$157</f>
        <v>0</v>
      </c>
      <c r="AY46" s="39" cm="1">
        <f t="array" ref="AY46">'Real values'!$BE$157:$BE$157</f>
        <v>0</v>
      </c>
    </row>
    <row r="47" spans="4:51" x14ac:dyDescent="0.35">
      <c r="D47" s="30"/>
      <c r="E47" s="30" t="s">
        <v>170</v>
      </c>
      <c r="F47" s="44">
        <f>F46-F45</f>
        <v>0</v>
      </c>
      <c r="G47" s="44">
        <f t="shared" ref="G47:AS47" si="8">G46-G45</f>
        <v>0</v>
      </c>
      <c r="H47" s="44">
        <f t="shared" si="8"/>
        <v>0</v>
      </c>
      <c r="I47" s="44">
        <f t="shared" si="8"/>
        <v>0</v>
      </c>
      <c r="J47" s="44">
        <f t="shared" si="8"/>
        <v>0</v>
      </c>
      <c r="K47" s="44">
        <f t="shared" si="8"/>
        <v>0</v>
      </c>
      <c r="L47" s="44">
        <f t="shared" si="8"/>
        <v>0</v>
      </c>
      <c r="M47" s="44">
        <f t="shared" si="8"/>
        <v>0</v>
      </c>
      <c r="N47" s="44">
        <f t="shared" si="8"/>
        <v>0</v>
      </c>
      <c r="O47" s="44">
        <f t="shared" si="8"/>
        <v>0</v>
      </c>
      <c r="P47" s="44">
        <f t="shared" si="8"/>
        <v>0</v>
      </c>
      <c r="Q47" s="44">
        <f t="shared" si="8"/>
        <v>0</v>
      </c>
      <c r="R47" s="44">
        <f t="shared" si="8"/>
        <v>0</v>
      </c>
      <c r="S47" s="44">
        <f t="shared" si="8"/>
        <v>0</v>
      </c>
      <c r="T47" s="44">
        <f t="shared" si="8"/>
        <v>0</v>
      </c>
      <c r="U47" s="44">
        <f t="shared" si="8"/>
        <v>0</v>
      </c>
      <c r="V47" s="44">
        <f t="shared" si="8"/>
        <v>0</v>
      </c>
      <c r="W47" s="44">
        <f t="shared" si="8"/>
        <v>0</v>
      </c>
      <c r="X47" s="44">
        <f t="shared" si="8"/>
        <v>0</v>
      </c>
      <c r="Y47" s="44">
        <f t="shared" si="8"/>
        <v>0</v>
      </c>
      <c r="Z47" s="44">
        <f t="shared" si="8"/>
        <v>0</v>
      </c>
      <c r="AA47" s="44">
        <f t="shared" si="8"/>
        <v>0</v>
      </c>
      <c r="AB47" s="44">
        <f t="shared" si="8"/>
        <v>0</v>
      </c>
      <c r="AC47" s="44">
        <f t="shared" si="8"/>
        <v>0</v>
      </c>
      <c r="AD47" s="44">
        <f t="shared" si="8"/>
        <v>0</v>
      </c>
      <c r="AE47" s="44">
        <f t="shared" si="8"/>
        <v>0</v>
      </c>
      <c r="AF47" s="44">
        <f t="shared" si="8"/>
        <v>0</v>
      </c>
      <c r="AG47" s="44">
        <f t="shared" si="8"/>
        <v>0</v>
      </c>
      <c r="AH47" s="44">
        <f t="shared" si="8"/>
        <v>0</v>
      </c>
      <c r="AI47" s="44">
        <f t="shared" si="8"/>
        <v>0</v>
      </c>
      <c r="AJ47" s="44">
        <f t="shared" si="8"/>
        <v>0</v>
      </c>
      <c r="AK47" s="44">
        <f t="shared" si="8"/>
        <v>0</v>
      </c>
      <c r="AL47" s="44">
        <f t="shared" si="8"/>
        <v>0</v>
      </c>
      <c r="AM47" s="44">
        <f t="shared" si="8"/>
        <v>0</v>
      </c>
      <c r="AN47" s="44">
        <f t="shared" si="8"/>
        <v>0</v>
      </c>
      <c r="AO47" s="44">
        <f t="shared" si="8"/>
        <v>0</v>
      </c>
      <c r="AP47" s="44">
        <f t="shared" si="8"/>
        <v>0</v>
      </c>
      <c r="AQ47" s="44">
        <f t="shared" si="8"/>
        <v>0</v>
      </c>
      <c r="AR47" s="44">
        <f t="shared" si="8"/>
        <v>0</v>
      </c>
      <c r="AS47" s="44">
        <f t="shared" si="8"/>
        <v>0</v>
      </c>
      <c r="AT47" s="44">
        <f t="shared" ref="AT47:AY47" si="9">AT46-AT45</f>
        <v>0</v>
      </c>
      <c r="AU47" s="44">
        <f t="shared" si="9"/>
        <v>0</v>
      </c>
      <c r="AV47" s="44">
        <f t="shared" si="9"/>
        <v>0</v>
      </c>
      <c r="AW47" s="44">
        <f t="shared" si="9"/>
        <v>0</v>
      </c>
      <c r="AX47" s="44">
        <f t="shared" si="9"/>
        <v>0</v>
      </c>
      <c r="AY47" s="44">
        <f t="shared" si="9"/>
        <v>0</v>
      </c>
    </row>
    <row r="48" spans="4:51" x14ac:dyDescent="0.35">
      <c r="D48" s="5" t="s">
        <v>160</v>
      </c>
      <c r="E48" t="s">
        <v>166</v>
      </c>
      <c r="F48" s="39">
        <f>'Real values'!L27</f>
        <v>0</v>
      </c>
      <c r="G48" s="39">
        <f>'Real values'!M27</f>
        <v>0</v>
      </c>
      <c r="H48" s="39">
        <f>'Real values'!N27</f>
        <v>0</v>
      </c>
      <c r="I48" s="39">
        <f>'Real values'!O27</f>
        <v>0</v>
      </c>
      <c r="J48" s="39">
        <f>'Real values'!P27</f>
        <v>0</v>
      </c>
      <c r="K48" s="39">
        <f>'Real values'!Q27</f>
        <v>0</v>
      </c>
      <c r="L48" s="39">
        <f>'Real values'!R27</f>
        <v>0</v>
      </c>
      <c r="M48" s="39">
        <f>'Real values'!S27</f>
        <v>0</v>
      </c>
      <c r="N48" s="39">
        <f>'Real values'!T27</f>
        <v>0</v>
      </c>
      <c r="O48" s="39">
        <f>'Real values'!U27</f>
        <v>0</v>
      </c>
      <c r="P48" s="39">
        <f>'Real values'!V27</f>
        <v>0</v>
      </c>
      <c r="Q48" s="39">
        <f>'Real values'!W27</f>
        <v>0</v>
      </c>
      <c r="R48" s="39">
        <f>'Real values'!X27</f>
        <v>0</v>
      </c>
      <c r="S48" s="39">
        <f>'Real values'!Y27</f>
        <v>0</v>
      </c>
      <c r="T48" s="39">
        <f>'Real values'!Z27</f>
        <v>0</v>
      </c>
      <c r="U48" s="39">
        <f>'Real values'!AA27</f>
        <v>0</v>
      </c>
      <c r="V48" s="39">
        <f>'Real values'!AB27</f>
        <v>0</v>
      </c>
      <c r="W48" s="39">
        <f>'Real values'!AC27</f>
        <v>0</v>
      </c>
      <c r="X48" s="39">
        <f>'Real values'!AD27</f>
        <v>0</v>
      </c>
      <c r="Y48" s="39">
        <f>'Real values'!AE27</f>
        <v>0</v>
      </c>
      <c r="Z48" s="39">
        <f>'Real values'!AF27</f>
        <v>0</v>
      </c>
      <c r="AA48" s="39">
        <f>'Real values'!AG27</f>
        <v>0</v>
      </c>
      <c r="AB48" s="39">
        <f>'Real values'!AH27</f>
        <v>0</v>
      </c>
      <c r="AC48" s="39">
        <f>'Real values'!AI27</f>
        <v>0</v>
      </c>
      <c r="AD48" s="39">
        <f>'Real values'!AJ27</f>
        <v>0</v>
      </c>
      <c r="AE48" s="39">
        <f>'Real values'!AK27</f>
        <v>0</v>
      </c>
      <c r="AF48" s="39">
        <f>'Real values'!AL27</f>
        <v>0</v>
      </c>
      <c r="AG48" s="39">
        <f>'Real values'!AM27</f>
        <v>0</v>
      </c>
      <c r="AH48" s="39">
        <f>'Real values'!AN27</f>
        <v>0</v>
      </c>
      <c r="AI48" s="39">
        <f>'Real values'!AO27</f>
        <v>0</v>
      </c>
      <c r="AJ48" s="39">
        <f>'Real values'!AP27</f>
        <v>0</v>
      </c>
      <c r="AK48" s="39">
        <f>'Real values'!AQ27</f>
        <v>0</v>
      </c>
      <c r="AL48" s="39">
        <f>'Real values'!AR27</f>
        <v>0</v>
      </c>
      <c r="AM48" s="39">
        <f>'Real values'!AS27</f>
        <v>0</v>
      </c>
      <c r="AN48" s="39">
        <f>'Real values'!AT27</f>
        <v>0</v>
      </c>
      <c r="AO48" s="39">
        <f>'Real values'!AU27</f>
        <v>0</v>
      </c>
      <c r="AP48" s="39">
        <f>'Real values'!AV27</f>
        <v>0</v>
      </c>
      <c r="AQ48" s="39">
        <f>'Real values'!AW27</f>
        <v>0</v>
      </c>
      <c r="AR48" s="39">
        <f>'Real values'!AX27</f>
        <v>0</v>
      </c>
      <c r="AS48" s="39">
        <f>'Real values'!AY27</f>
        <v>0</v>
      </c>
      <c r="AT48" s="39">
        <f>'Real values'!AZ27</f>
        <v>0</v>
      </c>
      <c r="AU48" s="39">
        <f>'Real values'!BA27</f>
        <v>0</v>
      </c>
      <c r="AV48" s="39">
        <f>'Real values'!BB27</f>
        <v>0</v>
      </c>
      <c r="AW48" s="39">
        <f>'Real values'!BC27</f>
        <v>0</v>
      </c>
      <c r="AX48" s="39">
        <f>'Real values'!BD27</f>
        <v>0</v>
      </c>
      <c r="AY48" s="39">
        <f>'Real values'!BE27</f>
        <v>0</v>
      </c>
    </row>
    <row r="49" spans="4:51" x14ac:dyDescent="0.35">
      <c r="E49" t="str">
        <f>E42</f>
        <v>Non-fuel opex</v>
      </c>
      <c r="F49" s="39">
        <f>'Real values'!L47</f>
        <v>0</v>
      </c>
      <c r="G49" s="39">
        <f>'Real values'!M47</f>
        <v>0</v>
      </c>
      <c r="H49" s="39">
        <f>'Real values'!N47</f>
        <v>0</v>
      </c>
      <c r="I49" s="39">
        <f>'Real values'!O47</f>
        <v>0</v>
      </c>
      <c r="J49" s="39">
        <f>'Real values'!P47</f>
        <v>0</v>
      </c>
      <c r="K49" s="39">
        <f>'Real values'!Q47</f>
        <v>0</v>
      </c>
      <c r="L49" s="39">
        <f>'Real values'!R47</f>
        <v>0</v>
      </c>
      <c r="M49" s="39">
        <f>'Real values'!S47</f>
        <v>0</v>
      </c>
      <c r="N49" s="39">
        <f>'Real values'!T47</f>
        <v>0</v>
      </c>
      <c r="O49" s="39">
        <f>'Real values'!U47</f>
        <v>0</v>
      </c>
      <c r="P49" s="39">
        <f>'Real values'!V47</f>
        <v>0</v>
      </c>
      <c r="Q49" s="39">
        <f>'Real values'!W47</f>
        <v>0</v>
      </c>
      <c r="R49" s="39">
        <f>'Real values'!X47</f>
        <v>0</v>
      </c>
      <c r="S49" s="39">
        <f>'Real values'!Y47</f>
        <v>0</v>
      </c>
      <c r="T49" s="39">
        <f>'Real values'!Z47</f>
        <v>0</v>
      </c>
      <c r="U49" s="39">
        <f>'Real values'!AA47</f>
        <v>0</v>
      </c>
      <c r="V49" s="39">
        <f>'Real values'!AB47</f>
        <v>0</v>
      </c>
      <c r="W49" s="39">
        <f>'Real values'!AC47</f>
        <v>0</v>
      </c>
      <c r="X49" s="39">
        <f>'Real values'!AD47</f>
        <v>0</v>
      </c>
      <c r="Y49" s="39">
        <f>'Real values'!AE47</f>
        <v>0</v>
      </c>
      <c r="Z49" s="39">
        <f>'Real values'!AF47</f>
        <v>0</v>
      </c>
      <c r="AA49" s="39">
        <f>'Real values'!AG47</f>
        <v>0</v>
      </c>
      <c r="AB49" s="39">
        <f>'Real values'!AH47</f>
        <v>0</v>
      </c>
      <c r="AC49" s="39">
        <f>'Real values'!AI47</f>
        <v>0</v>
      </c>
      <c r="AD49" s="39">
        <f>'Real values'!AJ47</f>
        <v>0</v>
      </c>
      <c r="AE49" s="39">
        <f>'Real values'!AK47</f>
        <v>0</v>
      </c>
      <c r="AF49" s="39">
        <f>'Real values'!AL47</f>
        <v>0</v>
      </c>
      <c r="AG49" s="39">
        <f>'Real values'!AM47</f>
        <v>0</v>
      </c>
      <c r="AH49" s="39">
        <f>'Real values'!AN47</f>
        <v>0</v>
      </c>
      <c r="AI49" s="39">
        <f>'Real values'!AO47</f>
        <v>0</v>
      </c>
      <c r="AJ49" s="39">
        <f>'Real values'!AP47</f>
        <v>0</v>
      </c>
      <c r="AK49" s="39">
        <f>'Real values'!AQ47</f>
        <v>0</v>
      </c>
      <c r="AL49" s="39">
        <f>'Real values'!AR47</f>
        <v>0</v>
      </c>
      <c r="AM49" s="39">
        <f>'Real values'!AS47</f>
        <v>0</v>
      </c>
      <c r="AN49" s="39">
        <f>'Real values'!AT47</f>
        <v>0</v>
      </c>
      <c r="AO49" s="39">
        <f>'Real values'!AU47</f>
        <v>0</v>
      </c>
      <c r="AP49" s="39">
        <f>'Real values'!AV47</f>
        <v>0</v>
      </c>
      <c r="AQ49" s="39">
        <f>'Real values'!AW47</f>
        <v>0</v>
      </c>
      <c r="AR49" s="39">
        <f>'Real values'!AX47</f>
        <v>0</v>
      </c>
      <c r="AS49" s="39">
        <f>'Real values'!AY47</f>
        <v>0</v>
      </c>
      <c r="AT49" s="39">
        <f>'Real values'!AZ47</f>
        <v>0</v>
      </c>
      <c r="AU49" s="39">
        <f>'Real values'!BA47</f>
        <v>0</v>
      </c>
      <c r="AV49" s="39">
        <f>'Real values'!BB47</f>
        <v>0</v>
      </c>
      <c r="AW49" s="39">
        <f>'Real values'!BC47</f>
        <v>0</v>
      </c>
      <c r="AX49" s="39">
        <f>'Real values'!BD47</f>
        <v>0</v>
      </c>
      <c r="AY49" s="39">
        <f>'Real values'!BE47</f>
        <v>0</v>
      </c>
    </row>
    <row r="50" spans="4:51" x14ac:dyDescent="0.35">
      <c r="E50" t="str">
        <f>E43</f>
        <v>Fuel opex</v>
      </c>
      <c r="F50" s="39">
        <f>'Real values'!L130</f>
        <v>0</v>
      </c>
      <c r="G50" s="39">
        <f>'Real values'!M130</f>
        <v>0</v>
      </c>
      <c r="H50" s="39">
        <f>'Real values'!N130</f>
        <v>0</v>
      </c>
      <c r="I50" s="39">
        <f>'Real values'!O130</f>
        <v>0</v>
      </c>
      <c r="J50" s="39">
        <f>'Real values'!P130</f>
        <v>0</v>
      </c>
      <c r="K50" s="39">
        <f>'Real values'!Q130</f>
        <v>0</v>
      </c>
      <c r="L50" s="39">
        <f>'Real values'!R130</f>
        <v>0</v>
      </c>
      <c r="M50" s="39">
        <f>'Real values'!S130</f>
        <v>0</v>
      </c>
      <c r="N50" s="39">
        <f>'Real values'!T130</f>
        <v>0</v>
      </c>
      <c r="O50" s="39">
        <f>'Real values'!U130</f>
        <v>0</v>
      </c>
      <c r="P50" s="39">
        <f>'Real values'!V130</f>
        <v>0</v>
      </c>
      <c r="Q50" s="39">
        <f>'Real values'!W130</f>
        <v>0</v>
      </c>
      <c r="R50" s="39">
        <f>'Real values'!X130</f>
        <v>0</v>
      </c>
      <c r="S50" s="39">
        <f>'Real values'!Y130</f>
        <v>0</v>
      </c>
      <c r="T50" s="39">
        <f>'Real values'!Z130</f>
        <v>0</v>
      </c>
      <c r="U50" s="39">
        <f>'Real values'!AA130</f>
        <v>0</v>
      </c>
      <c r="V50" s="39">
        <f>'Real values'!AB130</f>
        <v>0</v>
      </c>
      <c r="W50" s="39">
        <f>'Real values'!AC130</f>
        <v>0</v>
      </c>
      <c r="X50" s="39">
        <f>'Real values'!AD130</f>
        <v>0</v>
      </c>
      <c r="Y50" s="39">
        <f>'Real values'!AE130</f>
        <v>0</v>
      </c>
      <c r="Z50" s="39">
        <f>'Real values'!AF130</f>
        <v>0</v>
      </c>
      <c r="AA50" s="39">
        <f>'Real values'!AG130</f>
        <v>0</v>
      </c>
      <c r="AB50" s="39">
        <f>'Real values'!AH130</f>
        <v>0</v>
      </c>
      <c r="AC50" s="39">
        <f>'Real values'!AI130</f>
        <v>0</v>
      </c>
      <c r="AD50" s="39">
        <f>'Real values'!AJ130</f>
        <v>0</v>
      </c>
      <c r="AE50" s="39">
        <f>'Real values'!AK130</f>
        <v>0</v>
      </c>
      <c r="AF50" s="39">
        <f>'Real values'!AL130</f>
        <v>0</v>
      </c>
      <c r="AG50" s="39">
        <f>'Real values'!AM130</f>
        <v>0</v>
      </c>
      <c r="AH50" s="39">
        <f>'Real values'!AN130</f>
        <v>0</v>
      </c>
      <c r="AI50" s="39">
        <f>'Real values'!AO130</f>
        <v>0</v>
      </c>
      <c r="AJ50" s="39">
        <f>'Real values'!AP130</f>
        <v>0</v>
      </c>
      <c r="AK50" s="39">
        <f>'Real values'!AQ130</f>
        <v>0</v>
      </c>
      <c r="AL50" s="39">
        <f>'Real values'!AR130</f>
        <v>0</v>
      </c>
      <c r="AM50" s="39">
        <f>'Real values'!AS130</f>
        <v>0</v>
      </c>
      <c r="AN50" s="39">
        <f>'Real values'!AT130</f>
        <v>0</v>
      </c>
      <c r="AO50" s="39">
        <f>'Real values'!AU130</f>
        <v>0</v>
      </c>
      <c r="AP50" s="39">
        <f>'Real values'!AV130</f>
        <v>0</v>
      </c>
      <c r="AQ50" s="39">
        <f>'Real values'!AW130</f>
        <v>0</v>
      </c>
      <c r="AR50" s="39">
        <f>'Real values'!AX130</f>
        <v>0</v>
      </c>
      <c r="AS50" s="39">
        <f>'Real values'!AY130</f>
        <v>0</v>
      </c>
      <c r="AT50" s="39">
        <f>'Real values'!AZ130</f>
        <v>0</v>
      </c>
      <c r="AU50" s="39">
        <f>'Real values'!BA130</f>
        <v>0</v>
      </c>
      <c r="AV50" s="39">
        <f>'Real values'!BB130</f>
        <v>0</v>
      </c>
      <c r="AW50" s="39">
        <f>'Real values'!BC130</f>
        <v>0</v>
      </c>
      <c r="AX50" s="39">
        <f>'Real values'!BD130</f>
        <v>0</v>
      </c>
      <c r="AY50" s="39">
        <f>'Real values'!BE130</f>
        <v>0</v>
      </c>
    </row>
    <row r="51" spans="4:51" x14ac:dyDescent="0.35">
      <c r="E51" t="s">
        <v>167</v>
      </c>
      <c r="F51" s="39">
        <f>F35</f>
        <v>0</v>
      </c>
      <c r="G51" s="39">
        <f t="shared" ref="G51:AS51" si="10">G35</f>
        <v>0</v>
      </c>
      <c r="H51" s="39">
        <f t="shared" si="10"/>
        <v>0</v>
      </c>
      <c r="I51" s="39">
        <f t="shared" si="10"/>
        <v>0</v>
      </c>
      <c r="J51" s="39">
        <f t="shared" si="10"/>
        <v>0</v>
      </c>
      <c r="K51" s="39">
        <f t="shared" si="10"/>
        <v>0</v>
      </c>
      <c r="L51" s="39">
        <f t="shared" si="10"/>
        <v>0</v>
      </c>
      <c r="M51" s="39">
        <f t="shared" si="10"/>
        <v>0</v>
      </c>
      <c r="N51" s="39">
        <f t="shared" si="10"/>
        <v>0</v>
      </c>
      <c r="O51" s="39">
        <f t="shared" si="10"/>
        <v>0</v>
      </c>
      <c r="P51" s="39">
        <f t="shared" si="10"/>
        <v>0</v>
      </c>
      <c r="Q51" s="39">
        <f t="shared" si="10"/>
        <v>0</v>
      </c>
      <c r="R51" s="39">
        <f t="shared" si="10"/>
        <v>0</v>
      </c>
      <c r="S51" s="39">
        <f t="shared" si="10"/>
        <v>0</v>
      </c>
      <c r="T51" s="39">
        <f t="shared" si="10"/>
        <v>0</v>
      </c>
      <c r="U51" s="39">
        <f t="shared" si="10"/>
        <v>0</v>
      </c>
      <c r="V51" s="39">
        <f t="shared" si="10"/>
        <v>0</v>
      </c>
      <c r="W51" s="39">
        <f t="shared" si="10"/>
        <v>0</v>
      </c>
      <c r="X51" s="39">
        <f t="shared" si="10"/>
        <v>0</v>
      </c>
      <c r="Y51" s="39">
        <f t="shared" si="10"/>
        <v>0</v>
      </c>
      <c r="Z51" s="39">
        <f t="shared" si="10"/>
        <v>0</v>
      </c>
      <c r="AA51" s="39">
        <f t="shared" si="10"/>
        <v>0</v>
      </c>
      <c r="AB51" s="39">
        <f t="shared" si="10"/>
        <v>0</v>
      </c>
      <c r="AC51" s="39">
        <f t="shared" si="10"/>
        <v>0</v>
      </c>
      <c r="AD51" s="39">
        <f t="shared" si="10"/>
        <v>0</v>
      </c>
      <c r="AE51" s="39">
        <f t="shared" si="10"/>
        <v>0</v>
      </c>
      <c r="AF51" s="39">
        <f t="shared" si="10"/>
        <v>0</v>
      </c>
      <c r="AG51" s="39">
        <f t="shared" si="10"/>
        <v>0</v>
      </c>
      <c r="AH51" s="39">
        <f t="shared" si="10"/>
        <v>0</v>
      </c>
      <c r="AI51" s="39">
        <f t="shared" si="10"/>
        <v>0</v>
      </c>
      <c r="AJ51" s="39">
        <f t="shared" si="10"/>
        <v>0</v>
      </c>
      <c r="AK51" s="39">
        <f t="shared" si="10"/>
        <v>0</v>
      </c>
      <c r="AL51" s="39">
        <f t="shared" si="10"/>
        <v>0</v>
      </c>
      <c r="AM51" s="39">
        <f t="shared" si="10"/>
        <v>0</v>
      </c>
      <c r="AN51" s="39">
        <f t="shared" si="10"/>
        <v>0</v>
      </c>
      <c r="AO51" s="39">
        <f t="shared" si="10"/>
        <v>0</v>
      </c>
      <c r="AP51" s="39">
        <f t="shared" si="10"/>
        <v>0</v>
      </c>
      <c r="AQ51" s="39">
        <f t="shared" si="10"/>
        <v>0</v>
      </c>
      <c r="AR51" s="39">
        <f t="shared" si="10"/>
        <v>0</v>
      </c>
      <c r="AS51" s="39">
        <f t="shared" si="10"/>
        <v>0</v>
      </c>
      <c r="AT51" s="39">
        <f t="shared" ref="AT51:AY51" si="11">AT35</f>
        <v>0</v>
      </c>
      <c r="AU51" s="39">
        <f t="shared" si="11"/>
        <v>0</v>
      </c>
      <c r="AV51" s="39">
        <f t="shared" si="11"/>
        <v>0</v>
      </c>
      <c r="AW51" s="39">
        <f t="shared" si="11"/>
        <v>0</v>
      </c>
      <c r="AX51" s="39">
        <f t="shared" si="11"/>
        <v>0</v>
      </c>
      <c r="AY51" s="39">
        <f t="shared" si="11"/>
        <v>0</v>
      </c>
    </row>
    <row r="52" spans="4:51" x14ac:dyDescent="0.35">
      <c r="E52" t="s">
        <v>168</v>
      </c>
      <c r="F52" s="39">
        <f>SUM(F48:F51)</f>
        <v>0</v>
      </c>
      <c r="G52" s="39">
        <f t="shared" ref="G52:AS52" si="12">SUM(G48:G51)</f>
        <v>0</v>
      </c>
      <c r="H52" s="39">
        <f t="shared" si="12"/>
        <v>0</v>
      </c>
      <c r="I52" s="39">
        <f t="shared" si="12"/>
        <v>0</v>
      </c>
      <c r="J52" s="39">
        <f t="shared" si="12"/>
        <v>0</v>
      </c>
      <c r="K52" s="39">
        <f t="shared" si="12"/>
        <v>0</v>
      </c>
      <c r="L52" s="39">
        <f t="shared" si="12"/>
        <v>0</v>
      </c>
      <c r="M52" s="39">
        <f t="shared" si="12"/>
        <v>0</v>
      </c>
      <c r="N52" s="39">
        <f t="shared" si="12"/>
        <v>0</v>
      </c>
      <c r="O52" s="39">
        <f t="shared" si="12"/>
        <v>0</v>
      </c>
      <c r="P52" s="39">
        <f t="shared" si="12"/>
        <v>0</v>
      </c>
      <c r="Q52" s="39">
        <f t="shared" si="12"/>
        <v>0</v>
      </c>
      <c r="R52" s="39">
        <f t="shared" si="12"/>
        <v>0</v>
      </c>
      <c r="S52" s="39">
        <f t="shared" si="12"/>
        <v>0</v>
      </c>
      <c r="T52" s="39">
        <f t="shared" si="12"/>
        <v>0</v>
      </c>
      <c r="U52" s="39">
        <f t="shared" si="12"/>
        <v>0</v>
      </c>
      <c r="V52" s="39">
        <f t="shared" si="12"/>
        <v>0</v>
      </c>
      <c r="W52" s="39">
        <f t="shared" si="12"/>
        <v>0</v>
      </c>
      <c r="X52" s="39">
        <f t="shared" si="12"/>
        <v>0</v>
      </c>
      <c r="Y52" s="39">
        <f t="shared" si="12"/>
        <v>0</v>
      </c>
      <c r="Z52" s="39">
        <f t="shared" si="12"/>
        <v>0</v>
      </c>
      <c r="AA52" s="39">
        <f t="shared" si="12"/>
        <v>0</v>
      </c>
      <c r="AB52" s="39">
        <f t="shared" si="12"/>
        <v>0</v>
      </c>
      <c r="AC52" s="39">
        <f t="shared" si="12"/>
        <v>0</v>
      </c>
      <c r="AD52" s="39">
        <f t="shared" si="12"/>
        <v>0</v>
      </c>
      <c r="AE52" s="39">
        <f t="shared" si="12"/>
        <v>0</v>
      </c>
      <c r="AF52" s="39">
        <f t="shared" si="12"/>
        <v>0</v>
      </c>
      <c r="AG52" s="39">
        <f t="shared" si="12"/>
        <v>0</v>
      </c>
      <c r="AH52" s="39">
        <f t="shared" si="12"/>
        <v>0</v>
      </c>
      <c r="AI52" s="39">
        <f t="shared" si="12"/>
        <v>0</v>
      </c>
      <c r="AJ52" s="39">
        <f t="shared" si="12"/>
        <v>0</v>
      </c>
      <c r="AK52" s="39">
        <f t="shared" si="12"/>
        <v>0</v>
      </c>
      <c r="AL52" s="39">
        <f t="shared" si="12"/>
        <v>0</v>
      </c>
      <c r="AM52" s="39">
        <f t="shared" si="12"/>
        <v>0</v>
      </c>
      <c r="AN52" s="39">
        <f t="shared" si="12"/>
        <v>0</v>
      </c>
      <c r="AO52" s="39">
        <f t="shared" si="12"/>
        <v>0</v>
      </c>
      <c r="AP52" s="39">
        <f t="shared" si="12"/>
        <v>0</v>
      </c>
      <c r="AQ52" s="39">
        <f t="shared" si="12"/>
        <v>0</v>
      </c>
      <c r="AR52" s="39">
        <f t="shared" si="12"/>
        <v>0</v>
      </c>
      <c r="AS52" s="39">
        <f t="shared" si="12"/>
        <v>0</v>
      </c>
      <c r="AT52" s="39">
        <f t="shared" ref="AT52:AY52" si="13">SUM(AT48:AT51)</f>
        <v>0</v>
      </c>
      <c r="AU52" s="39">
        <f t="shared" si="13"/>
        <v>0</v>
      </c>
      <c r="AV52" s="39">
        <f t="shared" si="13"/>
        <v>0</v>
      </c>
      <c r="AW52" s="39">
        <f t="shared" si="13"/>
        <v>0</v>
      </c>
      <c r="AX52" s="39">
        <f t="shared" si="13"/>
        <v>0</v>
      </c>
      <c r="AY52" s="39">
        <f t="shared" si="13"/>
        <v>0</v>
      </c>
    </row>
    <row r="53" spans="4:51" x14ac:dyDescent="0.35">
      <c r="E53" t="s">
        <v>169</v>
      </c>
      <c r="F53" s="39" cm="1">
        <f t="array" ref="F53">'Real values'!$L$160:$L$160</f>
        <v>0</v>
      </c>
      <c r="G53" s="39" cm="1">
        <f t="array" ref="G53">'Real values'!$M$160:$M$160</f>
        <v>0</v>
      </c>
      <c r="H53" s="39" cm="1">
        <f t="array" ref="H53">'Real values'!$N$160:$N$160</f>
        <v>0</v>
      </c>
      <c r="I53" s="39" cm="1">
        <f t="array" ref="I53">'Real values'!$O$160:$O$160</f>
        <v>0</v>
      </c>
      <c r="J53" s="39" cm="1">
        <f t="array" ref="J53">'Real values'!$P$160:$P$160</f>
        <v>0</v>
      </c>
      <c r="K53" s="39" cm="1">
        <f t="array" ref="K53">'Real values'!$Q$160:$Q$160</f>
        <v>0</v>
      </c>
      <c r="L53" s="39" cm="1">
        <f t="array" ref="L53">'Real values'!$R$160:$R$160</f>
        <v>0</v>
      </c>
      <c r="M53" s="39" cm="1">
        <f t="array" ref="M53">'Real values'!$S$160:$S$160</f>
        <v>0</v>
      </c>
      <c r="N53" s="39" cm="1">
        <f t="array" ref="N53">'Real values'!$T$160:$T$160</f>
        <v>0</v>
      </c>
      <c r="O53" s="39" cm="1">
        <f t="array" ref="O53">'Real values'!$U$160:$U$160</f>
        <v>0</v>
      </c>
      <c r="P53" s="39" cm="1">
        <f t="array" ref="P53">'Real values'!$V$160:$V$160</f>
        <v>0</v>
      </c>
      <c r="Q53" s="39" cm="1">
        <f t="array" ref="Q53">'Real values'!$W$160:$W$160</f>
        <v>0</v>
      </c>
      <c r="R53" s="39" cm="1">
        <f t="array" ref="R53">'Real values'!$X$160:$X$160</f>
        <v>0</v>
      </c>
      <c r="S53" s="39" cm="1">
        <f t="array" ref="S53">'Real values'!$Y$160:$Y$160</f>
        <v>0</v>
      </c>
      <c r="T53" s="39" cm="1">
        <f t="array" ref="T53">'Real values'!$Z$160:$Z$160</f>
        <v>0</v>
      </c>
      <c r="U53" s="39" cm="1">
        <f t="array" ref="U53">'Real values'!$AA$160:$AA$160</f>
        <v>0</v>
      </c>
      <c r="V53" s="39" cm="1">
        <f t="array" ref="V53">'Real values'!$AB$160:$AB$160</f>
        <v>0</v>
      </c>
      <c r="W53" s="39" cm="1">
        <f t="array" ref="W53">'Real values'!$AC$160:$AC$160</f>
        <v>0</v>
      </c>
      <c r="X53" s="39" cm="1">
        <f t="array" ref="X53">'Real values'!$AD$160:$AD$160</f>
        <v>0</v>
      </c>
      <c r="Y53" s="39" cm="1">
        <f t="array" ref="Y53">'Real values'!$AE$160:$AE$160</f>
        <v>0</v>
      </c>
      <c r="Z53" s="39" cm="1">
        <f t="array" ref="Z53">'Real values'!$AF$160:$AF$160</f>
        <v>0</v>
      </c>
      <c r="AA53" s="39" cm="1">
        <f t="array" ref="AA53">'Real values'!$AG$160:$AG$160</f>
        <v>0</v>
      </c>
      <c r="AB53" s="39" cm="1">
        <f t="array" ref="AB53">'Real values'!$AH$160:$AH$160</f>
        <v>0</v>
      </c>
      <c r="AC53" s="39" cm="1">
        <f t="array" ref="AC53">'Real values'!$AI$160:$AI$160</f>
        <v>0</v>
      </c>
      <c r="AD53" s="39" cm="1">
        <f t="array" ref="AD53">'Real values'!$AJ$160:$AJ$160</f>
        <v>0</v>
      </c>
      <c r="AE53" s="39" cm="1">
        <f t="array" ref="AE53">'Real values'!$AK$160:$AK$160</f>
        <v>0</v>
      </c>
      <c r="AF53" s="39" cm="1">
        <f t="array" ref="AF53">'Real values'!$AL$160:$AL$160</f>
        <v>0</v>
      </c>
      <c r="AG53" s="39" cm="1">
        <f t="array" ref="AG53">'Real values'!$AM$160:$AM$160</f>
        <v>0</v>
      </c>
      <c r="AH53" s="39" cm="1">
        <f t="array" ref="AH53">'Real values'!$AN$160:$AN$160</f>
        <v>0</v>
      </c>
      <c r="AI53" s="39" cm="1">
        <f t="array" ref="AI53">'Real values'!$AO$160:$AO$160</f>
        <v>0</v>
      </c>
      <c r="AJ53" s="39" cm="1">
        <f t="array" ref="AJ53">'Real values'!$AP$160:$AP$160</f>
        <v>0</v>
      </c>
      <c r="AK53" s="39" cm="1">
        <f t="array" ref="AK53">'Real values'!$AQ$160:$AQ$160</f>
        <v>0</v>
      </c>
      <c r="AL53" s="39" cm="1">
        <f t="array" ref="AL53">'Real values'!$AR$160:$AR$160</f>
        <v>0</v>
      </c>
      <c r="AM53" s="39" cm="1">
        <f t="array" ref="AM53">'Real values'!$AS$160:$AS$160</f>
        <v>0</v>
      </c>
      <c r="AN53" s="39" cm="1">
        <f t="array" ref="AN53">'Real values'!$AT$160:$AT$160</f>
        <v>0</v>
      </c>
      <c r="AO53" s="39" cm="1">
        <f t="array" ref="AO53">'Real values'!$AU$160:$AU$160</f>
        <v>0</v>
      </c>
      <c r="AP53" s="39" cm="1">
        <f t="array" ref="AP53">'Real values'!$AV$160:$AV$160</f>
        <v>0</v>
      </c>
      <c r="AQ53" s="39" cm="1">
        <f t="array" ref="AQ53">'Real values'!$AW$160:$AW$160</f>
        <v>0</v>
      </c>
      <c r="AR53" s="39" cm="1">
        <f t="array" ref="AR53">'Real values'!$AX$160:$AX$160</f>
        <v>0</v>
      </c>
      <c r="AS53" s="39" cm="1">
        <f t="array" ref="AS53">'Real values'!$AY$160:$AY$160</f>
        <v>0</v>
      </c>
      <c r="AT53" s="39" cm="1">
        <f t="array" ref="AT53">'Real values'!$AZ$160:$AZ$160</f>
        <v>0</v>
      </c>
      <c r="AU53" s="39" cm="1">
        <f t="array" ref="AU53">'Real values'!$BA$160:$BA$160</f>
        <v>0</v>
      </c>
      <c r="AV53" s="39" cm="1">
        <f t="array" ref="AV53">'Real values'!$BB$160:$BB$160</f>
        <v>0</v>
      </c>
      <c r="AW53" s="39" cm="1">
        <f t="array" ref="AW53">'Real values'!$BC$160:$BC$160</f>
        <v>0</v>
      </c>
      <c r="AX53" s="39" cm="1">
        <f t="array" ref="AX53">'Real values'!$BD$160:$BD$160</f>
        <v>0</v>
      </c>
      <c r="AY53" s="39" cm="1">
        <f t="array" ref="AY53">'Real values'!$BE$160:$BE$160</f>
        <v>0</v>
      </c>
    </row>
    <row r="54" spans="4:51" x14ac:dyDescent="0.35">
      <c r="D54" s="30"/>
      <c r="E54" s="30" t="s">
        <v>170</v>
      </c>
      <c r="F54" s="44">
        <f>F53-F52</f>
        <v>0</v>
      </c>
      <c r="G54" s="44">
        <f t="shared" ref="G54:AS54" si="14">G53-G52</f>
        <v>0</v>
      </c>
      <c r="H54" s="44">
        <f t="shared" si="14"/>
        <v>0</v>
      </c>
      <c r="I54" s="44">
        <f t="shared" si="14"/>
        <v>0</v>
      </c>
      <c r="J54" s="44">
        <f t="shared" si="14"/>
        <v>0</v>
      </c>
      <c r="K54" s="44">
        <f t="shared" si="14"/>
        <v>0</v>
      </c>
      <c r="L54" s="44">
        <f t="shared" si="14"/>
        <v>0</v>
      </c>
      <c r="M54" s="44">
        <f t="shared" si="14"/>
        <v>0</v>
      </c>
      <c r="N54" s="44">
        <f t="shared" si="14"/>
        <v>0</v>
      </c>
      <c r="O54" s="44">
        <f t="shared" si="14"/>
        <v>0</v>
      </c>
      <c r="P54" s="44">
        <f t="shared" si="14"/>
        <v>0</v>
      </c>
      <c r="Q54" s="44">
        <f t="shared" si="14"/>
        <v>0</v>
      </c>
      <c r="R54" s="44">
        <f t="shared" si="14"/>
        <v>0</v>
      </c>
      <c r="S54" s="44">
        <f t="shared" si="14"/>
        <v>0</v>
      </c>
      <c r="T54" s="44">
        <f t="shared" si="14"/>
        <v>0</v>
      </c>
      <c r="U54" s="44">
        <f t="shared" si="14"/>
        <v>0</v>
      </c>
      <c r="V54" s="44">
        <f t="shared" si="14"/>
        <v>0</v>
      </c>
      <c r="W54" s="44">
        <f t="shared" si="14"/>
        <v>0</v>
      </c>
      <c r="X54" s="44">
        <f t="shared" si="14"/>
        <v>0</v>
      </c>
      <c r="Y54" s="44">
        <f t="shared" si="14"/>
        <v>0</v>
      </c>
      <c r="Z54" s="44">
        <f t="shared" si="14"/>
        <v>0</v>
      </c>
      <c r="AA54" s="44">
        <f t="shared" si="14"/>
        <v>0</v>
      </c>
      <c r="AB54" s="44">
        <f t="shared" si="14"/>
        <v>0</v>
      </c>
      <c r="AC54" s="44">
        <f t="shared" si="14"/>
        <v>0</v>
      </c>
      <c r="AD54" s="44">
        <f t="shared" si="14"/>
        <v>0</v>
      </c>
      <c r="AE54" s="44">
        <f t="shared" si="14"/>
        <v>0</v>
      </c>
      <c r="AF54" s="44">
        <f t="shared" si="14"/>
        <v>0</v>
      </c>
      <c r="AG54" s="44">
        <f t="shared" si="14"/>
        <v>0</v>
      </c>
      <c r="AH54" s="44">
        <f t="shared" si="14"/>
        <v>0</v>
      </c>
      <c r="AI54" s="44">
        <f t="shared" si="14"/>
        <v>0</v>
      </c>
      <c r="AJ54" s="44">
        <f t="shared" si="14"/>
        <v>0</v>
      </c>
      <c r="AK54" s="44">
        <f t="shared" si="14"/>
        <v>0</v>
      </c>
      <c r="AL54" s="44">
        <f t="shared" si="14"/>
        <v>0</v>
      </c>
      <c r="AM54" s="44">
        <f t="shared" si="14"/>
        <v>0</v>
      </c>
      <c r="AN54" s="44">
        <f t="shared" si="14"/>
        <v>0</v>
      </c>
      <c r="AO54" s="44">
        <f t="shared" si="14"/>
        <v>0</v>
      </c>
      <c r="AP54" s="44">
        <f t="shared" si="14"/>
        <v>0</v>
      </c>
      <c r="AQ54" s="44">
        <f t="shared" si="14"/>
        <v>0</v>
      </c>
      <c r="AR54" s="44">
        <f t="shared" si="14"/>
        <v>0</v>
      </c>
      <c r="AS54" s="44">
        <f t="shared" si="14"/>
        <v>0</v>
      </c>
      <c r="AT54" s="44">
        <f t="shared" ref="AT54:AY54" si="15">AT53-AT52</f>
        <v>0</v>
      </c>
      <c r="AU54" s="44">
        <f t="shared" si="15"/>
        <v>0</v>
      </c>
      <c r="AV54" s="44">
        <f t="shared" si="15"/>
        <v>0</v>
      </c>
      <c r="AW54" s="44">
        <f t="shared" si="15"/>
        <v>0</v>
      </c>
      <c r="AX54" s="44">
        <f t="shared" si="15"/>
        <v>0</v>
      </c>
      <c r="AY54" s="44">
        <f t="shared" si="15"/>
        <v>0</v>
      </c>
    </row>
    <row r="56" spans="4:51" x14ac:dyDescent="0.35">
      <c r="F56" s="37"/>
    </row>
    <row r="57" spans="4:51" x14ac:dyDescent="0.35">
      <c r="D57" s="33" t="s">
        <v>171</v>
      </c>
      <c r="E57" s="30" t="s">
        <v>172</v>
      </c>
      <c r="F57" s="57">
        <v>2025</v>
      </c>
      <c r="G57" s="57">
        <v>2026</v>
      </c>
      <c r="H57" s="57">
        <v>2027</v>
      </c>
      <c r="I57" s="57">
        <v>2028</v>
      </c>
      <c r="J57" s="57">
        <v>2029</v>
      </c>
      <c r="K57" s="57">
        <v>2030</v>
      </c>
      <c r="L57" s="57">
        <v>2031</v>
      </c>
      <c r="M57" s="57">
        <v>2032</v>
      </c>
      <c r="N57" s="57">
        <v>2033</v>
      </c>
      <c r="O57" s="57">
        <v>2034</v>
      </c>
      <c r="P57" s="57">
        <v>2035</v>
      </c>
      <c r="Q57" s="57">
        <v>2036</v>
      </c>
      <c r="R57" s="57">
        <v>2037</v>
      </c>
      <c r="S57" s="57">
        <v>2038</v>
      </c>
      <c r="T57" s="57">
        <v>2039</v>
      </c>
      <c r="U57" s="57">
        <v>2040</v>
      </c>
      <c r="V57" s="57">
        <v>2041</v>
      </c>
      <c r="W57" s="57">
        <v>2042</v>
      </c>
      <c r="X57" s="57">
        <v>2043</v>
      </c>
      <c r="Y57" s="57">
        <v>2044</v>
      </c>
      <c r="Z57" s="57">
        <v>2045</v>
      </c>
      <c r="AA57" s="57">
        <v>2046</v>
      </c>
      <c r="AB57" s="57">
        <v>2047</v>
      </c>
      <c r="AC57" s="57">
        <v>2048</v>
      </c>
      <c r="AD57" s="57">
        <v>2049</v>
      </c>
      <c r="AE57" s="57">
        <v>2050</v>
      </c>
      <c r="AF57" s="57">
        <v>2051</v>
      </c>
      <c r="AG57" s="57">
        <v>2052</v>
      </c>
      <c r="AH57" s="57">
        <v>2053</v>
      </c>
      <c r="AI57" s="57">
        <v>2054</v>
      </c>
      <c r="AJ57" s="57">
        <v>2055</v>
      </c>
      <c r="AK57" s="57">
        <v>2056</v>
      </c>
      <c r="AL57" s="57">
        <v>2057</v>
      </c>
      <c r="AM57" s="57">
        <v>2058</v>
      </c>
      <c r="AN57" s="57">
        <v>2059</v>
      </c>
      <c r="AO57" s="57">
        <v>2060</v>
      </c>
      <c r="AP57" s="57">
        <v>2061</v>
      </c>
      <c r="AQ57" s="57">
        <v>2062</v>
      </c>
      <c r="AR57" s="57">
        <v>2063</v>
      </c>
      <c r="AS57" s="57">
        <v>2064</v>
      </c>
      <c r="AT57" s="57">
        <v>2065</v>
      </c>
      <c r="AU57" s="57">
        <v>2066</v>
      </c>
      <c r="AV57" s="57">
        <v>2067</v>
      </c>
      <c r="AW57" s="57">
        <v>2068</v>
      </c>
      <c r="AX57" s="57">
        <v>2069</v>
      </c>
      <c r="AY57" s="57">
        <v>2070</v>
      </c>
    </row>
    <row r="58" spans="4:51" x14ac:dyDescent="0.35">
      <c r="D58" s="5"/>
      <c r="E58" s="83" t="s">
        <v>293</v>
      </c>
      <c r="F58" s="84">
        <f t="shared" ref="F58:AY58" si="16">F$57-Analysis_year</f>
        <v>2025</v>
      </c>
      <c r="G58" s="84">
        <f t="shared" si="16"/>
        <v>2026</v>
      </c>
      <c r="H58" s="84">
        <f t="shared" si="16"/>
        <v>2027</v>
      </c>
      <c r="I58" s="84">
        <f t="shared" si="16"/>
        <v>2028</v>
      </c>
      <c r="J58" s="84">
        <f t="shared" si="16"/>
        <v>2029</v>
      </c>
      <c r="K58" s="84">
        <f t="shared" si="16"/>
        <v>2030</v>
      </c>
      <c r="L58" s="84">
        <f t="shared" si="16"/>
        <v>2031</v>
      </c>
      <c r="M58" s="84">
        <f t="shared" si="16"/>
        <v>2032</v>
      </c>
      <c r="N58" s="84">
        <f t="shared" si="16"/>
        <v>2033</v>
      </c>
      <c r="O58" s="84">
        <f t="shared" si="16"/>
        <v>2034</v>
      </c>
      <c r="P58" s="84">
        <f t="shared" si="16"/>
        <v>2035</v>
      </c>
      <c r="Q58" s="84">
        <f t="shared" si="16"/>
        <v>2036</v>
      </c>
      <c r="R58" s="84">
        <f t="shared" si="16"/>
        <v>2037</v>
      </c>
      <c r="S58" s="84">
        <f t="shared" si="16"/>
        <v>2038</v>
      </c>
      <c r="T58" s="84">
        <f t="shared" si="16"/>
        <v>2039</v>
      </c>
      <c r="U58" s="84">
        <f t="shared" si="16"/>
        <v>2040</v>
      </c>
      <c r="V58" s="84">
        <f t="shared" si="16"/>
        <v>2041</v>
      </c>
      <c r="W58" s="84">
        <f t="shared" si="16"/>
        <v>2042</v>
      </c>
      <c r="X58" s="84">
        <f t="shared" si="16"/>
        <v>2043</v>
      </c>
      <c r="Y58" s="84">
        <f t="shared" si="16"/>
        <v>2044</v>
      </c>
      <c r="Z58" s="84">
        <f t="shared" si="16"/>
        <v>2045</v>
      </c>
      <c r="AA58" s="84">
        <f t="shared" si="16"/>
        <v>2046</v>
      </c>
      <c r="AB58" s="84">
        <f t="shared" si="16"/>
        <v>2047</v>
      </c>
      <c r="AC58" s="84">
        <f t="shared" si="16"/>
        <v>2048</v>
      </c>
      <c r="AD58" s="84">
        <f t="shared" si="16"/>
        <v>2049</v>
      </c>
      <c r="AE58" s="84">
        <f t="shared" si="16"/>
        <v>2050</v>
      </c>
      <c r="AF58" s="84">
        <f t="shared" si="16"/>
        <v>2051</v>
      </c>
      <c r="AG58" s="84">
        <f t="shared" si="16"/>
        <v>2052</v>
      </c>
      <c r="AH58" s="84">
        <f t="shared" si="16"/>
        <v>2053</v>
      </c>
      <c r="AI58" s="84">
        <f t="shared" si="16"/>
        <v>2054</v>
      </c>
      <c r="AJ58" s="84">
        <f t="shared" si="16"/>
        <v>2055</v>
      </c>
      <c r="AK58" s="84">
        <f t="shared" si="16"/>
        <v>2056</v>
      </c>
      <c r="AL58" s="84">
        <f t="shared" si="16"/>
        <v>2057</v>
      </c>
      <c r="AM58" s="84">
        <f t="shared" si="16"/>
        <v>2058</v>
      </c>
      <c r="AN58" s="84">
        <f t="shared" si="16"/>
        <v>2059</v>
      </c>
      <c r="AO58" s="84">
        <f t="shared" si="16"/>
        <v>2060</v>
      </c>
      <c r="AP58" s="84">
        <f t="shared" si="16"/>
        <v>2061</v>
      </c>
      <c r="AQ58" s="84">
        <f t="shared" si="16"/>
        <v>2062</v>
      </c>
      <c r="AR58" s="84">
        <f t="shared" si="16"/>
        <v>2063</v>
      </c>
      <c r="AS58" s="84">
        <f t="shared" si="16"/>
        <v>2064</v>
      </c>
      <c r="AT58" s="84">
        <f t="shared" si="16"/>
        <v>2065</v>
      </c>
      <c r="AU58" s="84">
        <f t="shared" si="16"/>
        <v>2066</v>
      </c>
      <c r="AV58" s="84">
        <f t="shared" si="16"/>
        <v>2067</v>
      </c>
      <c r="AW58" s="84">
        <f t="shared" si="16"/>
        <v>2068</v>
      </c>
      <c r="AX58" s="84">
        <f t="shared" si="16"/>
        <v>2069</v>
      </c>
      <c r="AY58" s="84">
        <f t="shared" si="16"/>
        <v>2070</v>
      </c>
    </row>
    <row r="59" spans="4:51" x14ac:dyDescent="0.35">
      <c r="E59" s="47">
        <v>0.02</v>
      </c>
      <c r="F59" s="16">
        <f>IF(F58&gt;30,1/(1.015^F58),1/((1+$E59)^F58))</f>
        <v>8.0586899176424031E-14</v>
      </c>
      <c r="G59" s="16">
        <f t="shared" ref="G59:AX59" si="17">IF(G58&gt;30,1/(1.015^G58),1/((1+$E59)^G58))</f>
        <v>7.9395959779728114E-14</v>
      </c>
      <c r="H59" s="16">
        <f t="shared" si="17"/>
        <v>7.8222620472638541E-14</v>
      </c>
      <c r="I59" s="16">
        <f t="shared" si="17"/>
        <v>7.7066621155308918E-14</v>
      </c>
      <c r="J59" s="16">
        <f t="shared" si="17"/>
        <v>7.5927705571732937E-14</v>
      </c>
      <c r="K59" s="16">
        <f t="shared" si="17"/>
        <v>7.4805621252938857E-14</v>
      </c>
      <c r="L59" s="16">
        <f t="shared" si="17"/>
        <v>7.3700119461023517E-14</v>
      </c>
      <c r="M59" s="16">
        <f t="shared" si="17"/>
        <v>7.2610955134013348E-14</v>
      </c>
      <c r="N59" s="16">
        <f t="shared" si="17"/>
        <v>7.1537886831540242E-14</v>
      </c>
      <c r="O59" s="16">
        <f t="shared" si="17"/>
        <v>7.0480676681320431E-14</v>
      </c>
      <c r="P59" s="16">
        <f t="shared" si="17"/>
        <v>6.9439090326424084E-14</v>
      </c>
      <c r="Q59" s="16">
        <f t="shared" si="17"/>
        <v>6.8412896873324234E-14</v>
      </c>
      <c r="R59" s="16">
        <f t="shared" si="17"/>
        <v>6.740186884071354E-14</v>
      </c>
      <c r="S59" s="16">
        <f t="shared" si="17"/>
        <v>6.6405782109077419E-14</v>
      </c>
      <c r="T59" s="16">
        <f t="shared" si="17"/>
        <v>6.5424415871012218E-14</v>
      </c>
      <c r="U59" s="16">
        <f t="shared" si="17"/>
        <v>6.4457552582278047E-14</v>
      </c>
      <c r="V59" s="16">
        <f t="shared" si="17"/>
        <v>6.3504977913574451E-14</v>
      </c>
      <c r="W59" s="16">
        <f t="shared" si="17"/>
        <v>6.2566480703029022E-14</v>
      </c>
      <c r="X59" s="16">
        <f t="shared" si="17"/>
        <v>6.1641852909388209E-14</v>
      </c>
      <c r="Y59" s="16">
        <f t="shared" si="17"/>
        <v>6.0730889565899728E-14</v>
      </c>
      <c r="Z59" s="16">
        <f t="shared" si="17"/>
        <v>5.983338873487657E-14</v>
      </c>
      <c r="AA59" s="16">
        <f t="shared" si="17"/>
        <v>5.8949151462932608E-14</v>
      </c>
      <c r="AB59" s="16">
        <f t="shared" si="17"/>
        <v>5.8077981736879409E-14</v>
      </c>
      <c r="AC59" s="16">
        <f t="shared" si="17"/>
        <v>5.7219686440275301E-14</v>
      </c>
      <c r="AD59" s="16">
        <f t="shared" si="17"/>
        <v>5.637407531061606E-14</v>
      </c>
      <c r="AE59" s="16">
        <f t="shared" si="17"/>
        <v>5.554096089715869E-14</v>
      </c>
      <c r="AF59" s="16">
        <f t="shared" si="17"/>
        <v>5.4720158519368175E-14</v>
      </c>
      <c r="AG59" s="16">
        <f t="shared" si="17"/>
        <v>5.3911486225978507E-14</v>
      </c>
      <c r="AH59" s="16">
        <f t="shared" si="17"/>
        <v>5.3114764754658636E-14</v>
      </c>
      <c r="AI59" s="16">
        <f t="shared" si="17"/>
        <v>5.2329817492274528E-14</v>
      </c>
      <c r="AJ59" s="16">
        <f t="shared" si="17"/>
        <v>5.1556470435738461E-14</v>
      </c>
      <c r="AK59" s="16">
        <f t="shared" si="17"/>
        <v>5.0794552153436909E-14</v>
      </c>
      <c r="AL59" s="16">
        <f t="shared" si="17"/>
        <v>5.0043893747228487E-14</v>
      </c>
      <c r="AM59" s="16">
        <f t="shared" si="17"/>
        <v>4.9304328815003439E-14</v>
      </c>
      <c r="AN59" s="16">
        <f t="shared" si="17"/>
        <v>4.8575693413796501E-14</v>
      </c>
      <c r="AO59" s="16">
        <f t="shared" si="17"/>
        <v>4.785782602344483E-14</v>
      </c>
      <c r="AP59" s="16">
        <f t="shared" si="17"/>
        <v>4.7150567510783099E-14</v>
      </c>
      <c r="AQ59" s="16">
        <f t="shared" si="17"/>
        <v>4.6453761094367591E-14</v>
      </c>
      <c r="AR59" s="16">
        <f t="shared" si="17"/>
        <v>4.5767252309721767E-14</v>
      </c>
      <c r="AS59" s="16">
        <f t="shared" si="17"/>
        <v>4.5090888975095344E-14</v>
      </c>
      <c r="AT59" s="16">
        <f t="shared" si="17"/>
        <v>4.4424521157729414E-14</v>
      </c>
      <c r="AU59" s="16">
        <f t="shared" si="17"/>
        <v>4.3768001140620117E-14</v>
      </c>
      <c r="AV59" s="16">
        <f t="shared" si="17"/>
        <v>4.3121183389773515E-14</v>
      </c>
      <c r="AW59" s="16">
        <f t="shared" si="17"/>
        <v>4.2483924521944365E-14</v>
      </c>
      <c r="AX59" s="16">
        <f t="shared" si="17"/>
        <v>4.1856083272851591E-14</v>
      </c>
      <c r="AY59" s="16">
        <f t="shared" ref="AY59" si="18">IF(AY58&gt;30,1/(1.015^AY58),1/((1+$E59)^AY58))</f>
        <v>4.1237520465863639E-14</v>
      </c>
    </row>
    <row r="60" spans="4:51" x14ac:dyDescent="0.35">
      <c r="E60" s="47">
        <v>0.08</v>
      </c>
      <c r="F60" s="16">
        <f>1/((1+$E60)^F58)</f>
        <v>2.0744125868601872E-68</v>
      </c>
      <c r="G60" s="16">
        <f t="shared" ref="G60:AX60" si="19">1/((1+$E60)^G58)</f>
        <v>1.9207523952409141E-68</v>
      </c>
      <c r="H60" s="16">
        <f t="shared" si="19"/>
        <v>1.7784744400378836E-68</v>
      </c>
      <c r="I60" s="16">
        <f t="shared" si="19"/>
        <v>1.6467355926276696E-68</v>
      </c>
      <c r="J60" s="16">
        <f t="shared" si="19"/>
        <v>1.5247551783589532E-68</v>
      </c>
      <c r="K60" s="16">
        <f t="shared" si="19"/>
        <v>1.4118103503323642E-68</v>
      </c>
      <c r="L60" s="16">
        <f t="shared" si="19"/>
        <v>1.3072318058632998E-68</v>
      </c>
      <c r="M60" s="16">
        <f t="shared" si="19"/>
        <v>1.2103998202437962E-68</v>
      </c>
      <c r="N60" s="16">
        <f t="shared" si="19"/>
        <v>1.1207405742998114E-68</v>
      </c>
      <c r="O60" s="16">
        <f t="shared" si="19"/>
        <v>1.0377227539813066E-68</v>
      </c>
      <c r="P60" s="16">
        <f t="shared" si="19"/>
        <v>9.6085440183454321E-69</v>
      </c>
      <c r="Q60" s="16">
        <f t="shared" si="19"/>
        <v>8.8968000169865105E-69</v>
      </c>
      <c r="R60" s="16">
        <f t="shared" si="19"/>
        <v>8.2377777935060279E-69</v>
      </c>
      <c r="S60" s="16">
        <f t="shared" si="19"/>
        <v>7.6275720310241007E-69</v>
      </c>
      <c r="T60" s="16">
        <f t="shared" si="19"/>
        <v>7.0625666953926842E-69</v>
      </c>
      <c r="U60" s="16">
        <f t="shared" si="19"/>
        <v>6.5394136068450775E-69</v>
      </c>
      <c r="V60" s="16">
        <f t="shared" si="19"/>
        <v>6.055012598930627E-69</v>
      </c>
      <c r="W60" s="16">
        <f t="shared" si="19"/>
        <v>5.606493147157988E-69</v>
      </c>
      <c r="X60" s="16">
        <f t="shared" si="19"/>
        <v>5.1911973584796198E-69</v>
      </c>
      <c r="Y60" s="16">
        <f t="shared" si="19"/>
        <v>4.806664220814462E-69</v>
      </c>
      <c r="Z60" s="16">
        <f t="shared" si="19"/>
        <v>4.4506150192726491E-69</v>
      </c>
      <c r="AA60" s="16">
        <f t="shared" si="19"/>
        <v>4.1209398326598602E-69</v>
      </c>
      <c r="AB60" s="16">
        <f t="shared" si="19"/>
        <v>3.8156850302406098E-69</v>
      </c>
      <c r="AC60" s="16">
        <f t="shared" si="19"/>
        <v>3.5330416946672314E-69</v>
      </c>
      <c r="AD60" s="16">
        <f t="shared" si="19"/>
        <v>3.2713349024696585E-69</v>
      </c>
      <c r="AE60" s="16">
        <f t="shared" si="19"/>
        <v>3.0290137985830174E-69</v>
      </c>
      <c r="AF60" s="16">
        <f t="shared" si="19"/>
        <v>2.8046424060953861E-69</v>
      </c>
      <c r="AG60" s="16">
        <f t="shared" si="19"/>
        <v>2.596891116754987E-69</v>
      </c>
      <c r="AH60" s="16">
        <f t="shared" si="19"/>
        <v>2.4045288118101733E-69</v>
      </c>
      <c r="AI60" s="16">
        <f t="shared" si="19"/>
        <v>2.2264155664909006E-69</v>
      </c>
      <c r="AJ60" s="16">
        <f t="shared" si="19"/>
        <v>2.0614958948989821E-69</v>
      </c>
      <c r="AK60" s="16">
        <f t="shared" si="19"/>
        <v>1.9087924952768351E-69</v>
      </c>
      <c r="AL60" s="16">
        <f t="shared" si="19"/>
        <v>1.7674004585896624E-69</v>
      </c>
      <c r="AM60" s="16">
        <f t="shared" si="19"/>
        <v>1.6364819061015391E-69</v>
      </c>
      <c r="AN60" s="16">
        <f t="shared" si="19"/>
        <v>1.5152610241680918E-69</v>
      </c>
      <c r="AO60" s="16">
        <f t="shared" si="19"/>
        <v>1.4030194668223069E-69</v>
      </c>
      <c r="AP60" s="16">
        <f t="shared" si="19"/>
        <v>1.2990920989095434E-69</v>
      </c>
      <c r="AQ60" s="16">
        <f t="shared" si="19"/>
        <v>1.2028630545458733E-69</v>
      </c>
      <c r="AR60" s="16">
        <f t="shared" si="19"/>
        <v>1.1137620875424752E-69</v>
      </c>
      <c r="AS60" s="16">
        <f t="shared" si="19"/>
        <v>1.0312611921689586E-69</v>
      </c>
      <c r="AT60" s="16">
        <f t="shared" si="19"/>
        <v>9.5487147423051725E-70</v>
      </c>
      <c r="AU60" s="16">
        <f t="shared" si="19"/>
        <v>8.8414025391714544E-70</v>
      </c>
      <c r="AV60" s="16">
        <f t="shared" si="19"/>
        <v>8.1864838325661611E-70</v>
      </c>
      <c r="AW60" s="16">
        <f t="shared" si="19"/>
        <v>7.5800776227464467E-70</v>
      </c>
      <c r="AX60" s="16">
        <f t="shared" si="19"/>
        <v>7.0185903914318947E-70</v>
      </c>
      <c r="AY60" s="16">
        <f t="shared" ref="AY60" si="20">1/((1+$E60)^AY58)</f>
        <v>6.4986948068813819E-70</v>
      </c>
    </row>
    <row r="61" spans="4:51" x14ac:dyDescent="0.35">
      <c r="D61" t="s">
        <v>173</v>
      </c>
      <c r="E61" s="45">
        <f>FinalYear_PP</f>
        <v>1900</v>
      </c>
      <c r="F61" s="37">
        <f>IF(F$57&gt;$E61,0,1)</f>
        <v>0</v>
      </c>
      <c r="G61" s="37">
        <f t="shared" ref="G61:AY62" si="21">IF(G$57&gt;$E61,0,1)</f>
        <v>0</v>
      </c>
      <c r="H61" s="37">
        <f t="shared" si="21"/>
        <v>0</v>
      </c>
      <c r="I61" s="37">
        <f t="shared" si="21"/>
        <v>0</v>
      </c>
      <c r="J61" s="37">
        <f t="shared" si="21"/>
        <v>0</v>
      </c>
      <c r="K61" s="37">
        <f t="shared" si="21"/>
        <v>0</v>
      </c>
      <c r="L61" s="37">
        <f t="shared" si="21"/>
        <v>0</v>
      </c>
      <c r="M61" s="37">
        <f t="shared" si="21"/>
        <v>0</v>
      </c>
      <c r="N61" s="37">
        <f t="shared" si="21"/>
        <v>0</v>
      </c>
      <c r="O61" s="37">
        <f t="shared" si="21"/>
        <v>0</v>
      </c>
      <c r="P61" s="37">
        <f t="shared" si="21"/>
        <v>0</v>
      </c>
      <c r="Q61" s="37">
        <f t="shared" si="21"/>
        <v>0</v>
      </c>
      <c r="R61" s="37">
        <f t="shared" si="21"/>
        <v>0</v>
      </c>
      <c r="S61" s="37">
        <f t="shared" si="21"/>
        <v>0</v>
      </c>
      <c r="T61" s="37">
        <f t="shared" si="21"/>
        <v>0</v>
      </c>
      <c r="U61" s="37">
        <f t="shared" si="21"/>
        <v>0</v>
      </c>
      <c r="V61" s="37">
        <f t="shared" si="21"/>
        <v>0</v>
      </c>
      <c r="W61" s="37">
        <f t="shared" si="21"/>
        <v>0</v>
      </c>
      <c r="X61" s="37">
        <f t="shared" si="21"/>
        <v>0</v>
      </c>
      <c r="Y61" s="37">
        <f t="shared" si="21"/>
        <v>0</v>
      </c>
      <c r="Z61" s="37">
        <f t="shared" si="21"/>
        <v>0</v>
      </c>
      <c r="AA61" s="37">
        <f t="shared" si="21"/>
        <v>0</v>
      </c>
      <c r="AB61" s="37">
        <f t="shared" si="21"/>
        <v>0</v>
      </c>
      <c r="AC61" s="37">
        <f t="shared" si="21"/>
        <v>0</v>
      </c>
      <c r="AD61" s="37">
        <f t="shared" si="21"/>
        <v>0</v>
      </c>
      <c r="AE61" s="37">
        <f t="shared" si="21"/>
        <v>0</v>
      </c>
      <c r="AF61" s="37">
        <f t="shared" si="21"/>
        <v>0</v>
      </c>
      <c r="AG61" s="37">
        <f t="shared" si="21"/>
        <v>0</v>
      </c>
      <c r="AH61" s="37">
        <f t="shared" si="21"/>
        <v>0</v>
      </c>
      <c r="AI61" s="37">
        <f t="shared" si="21"/>
        <v>0</v>
      </c>
      <c r="AJ61" s="37">
        <f t="shared" si="21"/>
        <v>0</v>
      </c>
      <c r="AK61" s="37">
        <f t="shared" si="21"/>
        <v>0</v>
      </c>
      <c r="AL61" s="37">
        <f t="shared" si="21"/>
        <v>0</v>
      </c>
      <c r="AM61" s="37">
        <f t="shared" si="21"/>
        <v>0</v>
      </c>
      <c r="AN61" s="37">
        <f t="shared" si="21"/>
        <v>0</v>
      </c>
      <c r="AO61" s="37">
        <f t="shared" si="21"/>
        <v>0</v>
      </c>
      <c r="AP61" s="37">
        <f t="shared" si="21"/>
        <v>0</v>
      </c>
      <c r="AQ61" s="37">
        <f t="shared" si="21"/>
        <v>0</v>
      </c>
      <c r="AR61" s="37">
        <f t="shared" si="21"/>
        <v>0</v>
      </c>
      <c r="AS61" s="37">
        <f t="shared" si="21"/>
        <v>0</v>
      </c>
      <c r="AT61" s="37">
        <f t="shared" si="21"/>
        <v>0</v>
      </c>
      <c r="AU61" s="37">
        <f t="shared" si="21"/>
        <v>0</v>
      </c>
      <c r="AV61" s="37">
        <f t="shared" si="21"/>
        <v>0</v>
      </c>
      <c r="AW61" s="37">
        <f t="shared" si="21"/>
        <v>0</v>
      </c>
      <c r="AX61" s="37">
        <f t="shared" si="21"/>
        <v>0</v>
      </c>
      <c r="AY61" s="37">
        <f t="shared" si="21"/>
        <v>0</v>
      </c>
    </row>
    <row r="62" spans="4:51" x14ac:dyDescent="0.35">
      <c r="D62" t="s">
        <v>174</v>
      </c>
      <c r="E62" s="45">
        <f>FinalYear_BC</f>
        <v>1900</v>
      </c>
      <c r="F62" s="37">
        <f>IF(F$57&gt;$E62,0,1)</f>
        <v>0</v>
      </c>
      <c r="G62" s="37">
        <f t="shared" si="21"/>
        <v>0</v>
      </c>
      <c r="H62" s="37">
        <f t="shared" si="21"/>
        <v>0</v>
      </c>
      <c r="I62" s="37">
        <f t="shared" si="21"/>
        <v>0</v>
      </c>
      <c r="J62" s="37">
        <f t="shared" si="21"/>
        <v>0</v>
      </c>
      <c r="K62" s="37">
        <f t="shared" si="21"/>
        <v>0</v>
      </c>
      <c r="L62" s="37">
        <f t="shared" si="21"/>
        <v>0</v>
      </c>
      <c r="M62" s="37">
        <f t="shared" si="21"/>
        <v>0</v>
      </c>
      <c r="N62" s="37">
        <f t="shared" si="21"/>
        <v>0</v>
      </c>
      <c r="O62" s="37">
        <f t="shared" si="21"/>
        <v>0</v>
      </c>
      <c r="P62" s="37">
        <f t="shared" si="21"/>
        <v>0</v>
      </c>
      <c r="Q62" s="37">
        <f t="shared" si="21"/>
        <v>0</v>
      </c>
      <c r="R62" s="37">
        <f t="shared" si="21"/>
        <v>0</v>
      </c>
      <c r="S62" s="37">
        <f t="shared" si="21"/>
        <v>0</v>
      </c>
      <c r="T62" s="37">
        <f t="shared" si="21"/>
        <v>0</v>
      </c>
      <c r="U62" s="37">
        <f t="shared" si="21"/>
        <v>0</v>
      </c>
      <c r="V62" s="37">
        <f t="shared" si="21"/>
        <v>0</v>
      </c>
      <c r="W62" s="37">
        <f t="shared" si="21"/>
        <v>0</v>
      </c>
      <c r="X62" s="37">
        <f t="shared" si="21"/>
        <v>0</v>
      </c>
      <c r="Y62" s="37">
        <f t="shared" si="21"/>
        <v>0</v>
      </c>
      <c r="Z62" s="37">
        <f t="shared" si="21"/>
        <v>0</v>
      </c>
      <c r="AA62" s="37">
        <f t="shared" si="21"/>
        <v>0</v>
      </c>
      <c r="AB62" s="37">
        <f t="shared" si="21"/>
        <v>0</v>
      </c>
      <c r="AC62" s="37">
        <f t="shared" si="21"/>
        <v>0</v>
      </c>
      <c r="AD62" s="37">
        <f t="shared" si="21"/>
        <v>0</v>
      </c>
      <c r="AE62" s="37">
        <f t="shared" si="21"/>
        <v>0</v>
      </c>
      <c r="AF62" s="37">
        <f t="shared" si="21"/>
        <v>0</v>
      </c>
      <c r="AG62" s="37">
        <f t="shared" si="21"/>
        <v>0</v>
      </c>
      <c r="AH62" s="37">
        <f t="shared" si="21"/>
        <v>0</v>
      </c>
      <c r="AI62" s="37">
        <f t="shared" si="21"/>
        <v>0</v>
      </c>
      <c r="AJ62" s="37">
        <f t="shared" si="21"/>
        <v>0</v>
      </c>
      <c r="AK62" s="37">
        <f t="shared" si="21"/>
        <v>0</v>
      </c>
      <c r="AL62" s="37">
        <f t="shared" si="21"/>
        <v>0</v>
      </c>
      <c r="AM62" s="37">
        <f t="shared" si="21"/>
        <v>0</v>
      </c>
      <c r="AN62" s="37">
        <f t="shared" si="21"/>
        <v>0</v>
      </c>
      <c r="AO62" s="37">
        <f t="shared" si="21"/>
        <v>0</v>
      </c>
      <c r="AP62" s="37">
        <f t="shared" si="21"/>
        <v>0</v>
      </c>
      <c r="AQ62" s="37">
        <f t="shared" si="21"/>
        <v>0</v>
      </c>
      <c r="AR62" s="37">
        <f t="shared" si="21"/>
        <v>0</v>
      </c>
      <c r="AS62" s="37">
        <f t="shared" si="21"/>
        <v>0</v>
      </c>
      <c r="AT62" s="37">
        <f t="shared" si="21"/>
        <v>0</v>
      </c>
      <c r="AU62" s="37">
        <f t="shared" si="21"/>
        <v>0</v>
      </c>
      <c r="AV62" s="37">
        <f t="shared" si="21"/>
        <v>0</v>
      </c>
      <c r="AW62" s="37">
        <f t="shared" si="21"/>
        <v>0</v>
      </c>
      <c r="AX62" s="37">
        <f t="shared" si="21"/>
        <v>0</v>
      </c>
      <c r="AY62" s="37">
        <f t="shared" si="21"/>
        <v>0</v>
      </c>
    </row>
    <row r="64" spans="4:51" x14ac:dyDescent="0.35">
      <c r="D64" s="26" t="s">
        <v>175</v>
      </c>
      <c r="E64" s="26"/>
      <c r="F64" s="36">
        <v>0.02</v>
      </c>
      <c r="G64" s="36">
        <v>0.08</v>
      </c>
    </row>
    <row r="65" spans="4:51" x14ac:dyDescent="0.35">
      <c r="E65" s="38" t="s">
        <v>176</v>
      </c>
      <c r="F65" s="40">
        <f>SUMPRODUCT($F$47:$AY$47,$F$59:$AY$59,$F61:$AY61)</f>
        <v>0</v>
      </c>
      <c r="G65" s="40">
        <f>SUMPRODUCT($F$47:$AY$47,$F$60:$AY$60,$F62:$AY62)</f>
        <v>0</v>
      </c>
    </row>
    <row r="66" spans="4:51" x14ac:dyDescent="0.35">
      <c r="E66" s="38" t="s">
        <v>160</v>
      </c>
      <c r="F66" s="40">
        <f>SUMPRODUCT($F$54:$AY$54,$F$59:$AY$59,$F61:$AY61)</f>
        <v>0</v>
      </c>
      <c r="G66" s="40">
        <f>SUMPRODUCT($F$54:$AY$54,$F$60:$AY$60,$F62:$AY62)</f>
        <v>0</v>
      </c>
    </row>
    <row r="67" spans="4:51" x14ac:dyDescent="0.35">
      <c r="E67" s="38" t="s">
        <v>177</v>
      </c>
      <c r="F67" s="48" t="str">
        <f>IF(F65&gt;F66,$E65,$E66)</f>
        <v>BC</v>
      </c>
      <c r="G67" s="48" t="str">
        <f>IF(G65&gt;G66,$E65,$E66)</f>
        <v>BC</v>
      </c>
    </row>
    <row r="69" spans="4:51" x14ac:dyDescent="0.35">
      <c r="D69" s="33"/>
      <c r="E69" s="33" t="s">
        <v>178</v>
      </c>
      <c r="F69" s="57">
        <v>2025</v>
      </c>
      <c r="G69" s="57">
        <v>2026</v>
      </c>
      <c r="H69" s="57">
        <v>2027</v>
      </c>
      <c r="I69" s="57">
        <v>2028</v>
      </c>
      <c r="J69" s="57">
        <v>2029</v>
      </c>
      <c r="K69" s="57">
        <v>2030</v>
      </c>
      <c r="L69" s="57">
        <v>2031</v>
      </c>
      <c r="M69" s="57">
        <v>2032</v>
      </c>
      <c r="N69" s="57">
        <v>2033</v>
      </c>
      <c r="O69" s="57">
        <v>2034</v>
      </c>
      <c r="P69" s="57">
        <v>2035</v>
      </c>
      <c r="Q69" s="57">
        <v>2036</v>
      </c>
      <c r="R69" s="57">
        <v>2037</v>
      </c>
      <c r="S69" s="57">
        <v>2038</v>
      </c>
      <c r="T69" s="57">
        <v>2039</v>
      </c>
      <c r="U69" s="57">
        <v>2040</v>
      </c>
      <c r="V69" s="57">
        <v>2041</v>
      </c>
      <c r="W69" s="57">
        <v>2042</v>
      </c>
      <c r="X69" s="57">
        <v>2043</v>
      </c>
      <c r="Y69" s="57">
        <v>2044</v>
      </c>
      <c r="Z69" s="57">
        <v>2045</v>
      </c>
      <c r="AA69" s="57">
        <v>2046</v>
      </c>
      <c r="AB69" s="57">
        <v>2047</v>
      </c>
      <c r="AC69" s="57">
        <v>2048</v>
      </c>
      <c r="AD69" s="57">
        <v>2049</v>
      </c>
      <c r="AE69" s="57">
        <v>2050</v>
      </c>
      <c r="AF69" s="57">
        <v>2051</v>
      </c>
      <c r="AG69" s="57">
        <v>2052</v>
      </c>
      <c r="AH69" s="57">
        <v>2053</v>
      </c>
      <c r="AI69" s="57">
        <v>2054</v>
      </c>
      <c r="AJ69" s="57">
        <v>2055</v>
      </c>
      <c r="AK69" s="57">
        <v>2056</v>
      </c>
      <c r="AL69" s="57">
        <v>2057</v>
      </c>
      <c r="AM69" s="57">
        <v>2058</v>
      </c>
      <c r="AN69" s="57">
        <v>2059</v>
      </c>
      <c r="AO69" s="57">
        <v>2060</v>
      </c>
      <c r="AP69" s="57">
        <v>2061</v>
      </c>
      <c r="AQ69" s="57">
        <v>2062</v>
      </c>
      <c r="AR69" s="57">
        <v>2063</v>
      </c>
      <c r="AS69" s="57">
        <v>2064</v>
      </c>
      <c r="AT69" s="57">
        <v>2065</v>
      </c>
      <c r="AU69" s="57">
        <v>2066</v>
      </c>
      <c r="AV69" s="57">
        <v>2067</v>
      </c>
      <c r="AW69" s="57">
        <v>2068</v>
      </c>
      <c r="AX69" s="57">
        <v>2069</v>
      </c>
      <c r="AY69" s="57">
        <v>2070</v>
      </c>
    </row>
    <row r="70" spans="4:51" x14ac:dyDescent="0.35">
      <c r="D70" t="s">
        <v>179</v>
      </c>
      <c r="E70" s="35" t="str">
        <f>HurdleRateBasis</f>
        <v>&lt;Select&gt;</v>
      </c>
      <c r="F70" s="16">
        <f>1/((1+'Project description'!$B$28)^F58)</f>
        <v>1</v>
      </c>
      <c r="G70" s="16">
        <f>1/((1+'Project description'!$B$28)^G58)</f>
        <v>1</v>
      </c>
      <c r="H70" s="16">
        <f>1/((1+'Project description'!$B$28)^H58)</f>
        <v>1</v>
      </c>
      <c r="I70" s="16">
        <f>1/((1+'Project description'!$B$28)^I58)</f>
        <v>1</v>
      </c>
      <c r="J70" s="16">
        <f>1/((1+'Project description'!$B$28)^J58)</f>
        <v>1</v>
      </c>
      <c r="K70" s="16">
        <f>1/((1+'Project description'!$B$28)^K58)</f>
        <v>1</v>
      </c>
      <c r="L70" s="16">
        <f>1/((1+'Project description'!$B$28)^L58)</f>
        <v>1</v>
      </c>
      <c r="M70" s="16">
        <f>1/((1+'Project description'!$B$28)^M58)</f>
        <v>1</v>
      </c>
      <c r="N70" s="16">
        <f>1/((1+'Project description'!$B$28)^N58)</f>
        <v>1</v>
      </c>
      <c r="O70" s="16">
        <f>1/((1+'Project description'!$B$28)^O58)</f>
        <v>1</v>
      </c>
      <c r="P70" s="16">
        <f>1/((1+'Project description'!$B$28)^P58)</f>
        <v>1</v>
      </c>
      <c r="Q70" s="16">
        <f>1/((1+'Project description'!$B$28)^Q58)</f>
        <v>1</v>
      </c>
      <c r="R70" s="16">
        <f>1/((1+'Project description'!$B$28)^R58)</f>
        <v>1</v>
      </c>
      <c r="S70" s="16">
        <f>1/((1+'Project description'!$B$28)^S58)</f>
        <v>1</v>
      </c>
      <c r="T70" s="16">
        <f>1/((1+'Project description'!$B$28)^T58)</f>
        <v>1</v>
      </c>
      <c r="U70" s="16">
        <f>1/((1+'Project description'!$B$28)^U58)</f>
        <v>1</v>
      </c>
      <c r="V70" s="16">
        <f>1/((1+'Project description'!$B$28)^V58)</f>
        <v>1</v>
      </c>
      <c r="W70" s="16">
        <f>1/((1+'Project description'!$B$28)^W58)</f>
        <v>1</v>
      </c>
      <c r="X70" s="16">
        <f>1/((1+'Project description'!$B$28)^X58)</f>
        <v>1</v>
      </c>
      <c r="Y70" s="16">
        <f>1/((1+'Project description'!$B$28)^Y58)</f>
        <v>1</v>
      </c>
      <c r="Z70" s="16">
        <f>1/((1+'Project description'!$B$28)^Z58)</f>
        <v>1</v>
      </c>
      <c r="AA70" s="16">
        <f>1/((1+'Project description'!$B$28)^AA58)</f>
        <v>1</v>
      </c>
      <c r="AB70" s="16">
        <f>1/((1+'Project description'!$B$28)^AB58)</f>
        <v>1</v>
      </c>
      <c r="AC70" s="16">
        <f>1/((1+'Project description'!$B$28)^AC58)</f>
        <v>1</v>
      </c>
      <c r="AD70" s="16">
        <f>1/((1+'Project description'!$B$28)^AD58)</f>
        <v>1</v>
      </c>
      <c r="AE70" s="16">
        <f>1/((1+'Project description'!$B$28)^AE58)</f>
        <v>1</v>
      </c>
      <c r="AF70" s="16">
        <f>1/((1+'Project description'!$B$28)^AF58)</f>
        <v>1</v>
      </c>
      <c r="AG70" s="16">
        <f>1/((1+'Project description'!$B$28)^AG58)</f>
        <v>1</v>
      </c>
      <c r="AH70" s="16">
        <f>1/((1+'Project description'!$B$28)^AH58)</f>
        <v>1</v>
      </c>
      <c r="AI70" s="16">
        <f>1/((1+'Project description'!$B$28)^AI58)</f>
        <v>1</v>
      </c>
      <c r="AJ70" s="16">
        <f>1/((1+'Project description'!$B$28)^AJ58)</f>
        <v>1</v>
      </c>
      <c r="AK70" s="16">
        <f>1/((1+'Project description'!$B$28)^AK58)</f>
        <v>1</v>
      </c>
      <c r="AL70" s="16">
        <f>1/((1+'Project description'!$B$28)^AL58)</f>
        <v>1</v>
      </c>
      <c r="AM70" s="16">
        <f>1/((1+'Project description'!$B$28)^AM58)</f>
        <v>1</v>
      </c>
      <c r="AN70" s="16">
        <f>1/((1+'Project description'!$B$28)^AN58)</f>
        <v>1</v>
      </c>
      <c r="AO70" s="16">
        <f>1/((1+'Project description'!$B$28)^AO58)</f>
        <v>1</v>
      </c>
      <c r="AP70" s="16">
        <f>1/((1+'Project description'!$B$28)^AP58)</f>
        <v>1</v>
      </c>
      <c r="AQ70" s="16">
        <f>1/((1+'Project description'!$B$28)^AQ58)</f>
        <v>1</v>
      </c>
      <c r="AR70" s="16">
        <f>1/((1+'Project description'!$B$28)^AR58)</f>
        <v>1</v>
      </c>
      <c r="AS70" s="16">
        <f>1/((1+'Project description'!$B$28)^AS58)</f>
        <v>1</v>
      </c>
      <c r="AT70" s="16">
        <f>1/((1+'Project description'!$B$28)^AT58)</f>
        <v>1</v>
      </c>
      <c r="AU70" s="16">
        <f>1/((1+'Project description'!$B$28)^AU58)</f>
        <v>1</v>
      </c>
      <c r="AV70" s="16">
        <f>1/((1+'Project description'!$B$28)^AV58)</f>
        <v>1</v>
      </c>
      <c r="AW70" s="16">
        <f>1/((1+'Project description'!$B$28)^AW58)</f>
        <v>1</v>
      </c>
      <c r="AX70" s="16">
        <f>1/((1+'Project description'!$B$28)^AX58)</f>
        <v>1</v>
      </c>
      <c r="AY70" s="16">
        <f>1/((1+'Project description'!$B$28)^AY58)</f>
        <v>1</v>
      </c>
    </row>
    <row r="71" spans="4:51" x14ac:dyDescent="0.35">
      <c r="D71" t="s">
        <v>148</v>
      </c>
      <c r="E71" t="s">
        <v>180</v>
      </c>
      <c r="F71" s="39" cm="1">
        <f t="array" aca="1" ref="F71" ca="1">IFERROR(OFFSET(J1,SUMPRODUCT(($L$76:$L$79=HurdleRateBasis)*($M$75:$N$75=ReturnType)*($M$76:$N$79))-1,0)*F61,0)</f>
        <v>0</v>
      </c>
      <c r="G71" s="39" cm="1">
        <f t="array" aca="1" ref="G71" ca="1">IFERROR(OFFSET(K1,SUMPRODUCT(($L$76:$L$79=HurdleRateBasis)*($M$75:$N$75=ReturnType)*($M$76:$N$79))-1,0)*G61,0)</f>
        <v>0</v>
      </c>
      <c r="H71" s="39" cm="1">
        <f t="array" aca="1" ref="H71" ca="1">IFERROR(OFFSET(L1,SUMPRODUCT(($L$76:$L$79=HurdleRateBasis)*($M$75:$N$75=ReturnType)*($M$76:$N$79))-1,0)*H61,0)</f>
        <v>0</v>
      </c>
      <c r="I71" s="39" cm="1">
        <f t="array" aca="1" ref="I71" ca="1">IFERROR(OFFSET(M1,SUMPRODUCT(($L$76:$L$79=HurdleRateBasis)*($M$75:$N$75=ReturnType)*($M$76:$N$79))-1,0)*I61,0)</f>
        <v>0</v>
      </c>
      <c r="J71" s="39" cm="1">
        <f t="array" aca="1" ref="J71" ca="1">IFERROR(OFFSET(N1,SUMPRODUCT(($L$76:$L$79=HurdleRateBasis)*($M$75:$N$75=ReturnType)*($M$76:$N$79))-1,0)*J61,0)</f>
        <v>0</v>
      </c>
      <c r="K71" s="39" cm="1">
        <f t="array" aca="1" ref="K71" ca="1">IFERROR(OFFSET(O1,SUMPRODUCT(($L$76:$L$79=HurdleRateBasis)*($M$75:$N$75=ReturnType)*($M$76:$N$79))-1,0)*K61,0)</f>
        <v>0</v>
      </c>
      <c r="L71" s="39" cm="1">
        <f t="array" aca="1" ref="L71" ca="1">IFERROR(OFFSET(P1,SUMPRODUCT(($L$76:$L$79=HurdleRateBasis)*($M$75:$N$75=ReturnType)*($M$76:$N$79))-1,0)*L61,0)</f>
        <v>0</v>
      </c>
      <c r="M71" s="39" cm="1">
        <f t="array" aca="1" ref="M71" ca="1">IFERROR(OFFSET(Q1,SUMPRODUCT(($L$76:$L$79=HurdleRateBasis)*($M$75:$N$75=ReturnType)*($M$76:$N$79))-1,0)*M61,0)</f>
        <v>0</v>
      </c>
      <c r="N71" s="39" cm="1">
        <f t="array" aca="1" ref="N71" ca="1">IFERROR(OFFSET(R1,SUMPRODUCT(($L$76:$L$79=HurdleRateBasis)*($M$75:$N$75=ReturnType)*($M$76:$N$79))-1,0)*N61,0)</f>
        <v>0</v>
      </c>
      <c r="O71" s="39" cm="1">
        <f t="array" aca="1" ref="O71" ca="1">IFERROR(OFFSET(S1,SUMPRODUCT(($L$76:$L$79=HurdleRateBasis)*($M$75:$N$75=ReturnType)*($M$76:$N$79))-1,0)*O61,0)</f>
        <v>0</v>
      </c>
      <c r="P71" s="39" cm="1">
        <f t="array" aca="1" ref="P71" ca="1">IFERROR(OFFSET(T1,SUMPRODUCT(($L$76:$L$79=HurdleRateBasis)*($M$75:$N$75=ReturnType)*($M$76:$N$79))-1,0)*P61,0)</f>
        <v>0</v>
      </c>
      <c r="Q71" s="39" cm="1">
        <f t="array" aca="1" ref="Q71" ca="1">IFERROR(OFFSET(U1,SUMPRODUCT(($L$76:$L$79=HurdleRateBasis)*($M$75:$N$75=ReturnType)*($M$76:$N$79))-1,0)*Q61,0)</f>
        <v>0</v>
      </c>
      <c r="R71" s="39" cm="1">
        <f t="array" aca="1" ref="R71" ca="1">IFERROR(OFFSET(V1,SUMPRODUCT(($L$76:$L$79=HurdleRateBasis)*($M$75:$N$75=ReturnType)*($M$76:$N$79))-1,0)*R61,0)</f>
        <v>0</v>
      </c>
      <c r="S71" s="39" cm="1">
        <f t="array" aca="1" ref="S71" ca="1">IFERROR(OFFSET(W1,SUMPRODUCT(($L$76:$L$79=HurdleRateBasis)*($M$75:$N$75=ReturnType)*($M$76:$N$79))-1,0)*S61,0)</f>
        <v>0</v>
      </c>
      <c r="T71" s="39" cm="1">
        <f t="array" aca="1" ref="T71" ca="1">IFERROR(OFFSET(X1,SUMPRODUCT(($L$76:$L$79=HurdleRateBasis)*($M$75:$N$75=ReturnType)*($M$76:$N$79))-1,0)*T61,0)</f>
        <v>0</v>
      </c>
      <c r="U71" s="39" cm="1">
        <f t="array" aca="1" ref="U71" ca="1">IFERROR(OFFSET(Y1,SUMPRODUCT(($L$76:$L$79=HurdleRateBasis)*($M$75:$N$75=ReturnType)*($M$76:$N$79))-1,0)*U61,0)</f>
        <v>0</v>
      </c>
      <c r="V71" s="39" cm="1">
        <f t="array" aca="1" ref="V71" ca="1">IFERROR(OFFSET(Z1,SUMPRODUCT(($L$76:$L$79=HurdleRateBasis)*($M$75:$N$75=ReturnType)*($M$76:$N$79))-1,0)*V61,0)</f>
        <v>0</v>
      </c>
      <c r="W71" s="39" cm="1">
        <f t="array" aca="1" ref="W71" ca="1">IFERROR(OFFSET(AA1,SUMPRODUCT(($L$76:$L$79=HurdleRateBasis)*($M$75:$N$75=ReturnType)*($M$76:$N$79))-1,0)*W61,0)</f>
        <v>0</v>
      </c>
      <c r="X71" s="39" cm="1">
        <f t="array" aca="1" ref="X71" ca="1">IFERROR(OFFSET(AB1,SUMPRODUCT(($L$76:$L$79=HurdleRateBasis)*($M$75:$N$75=ReturnType)*($M$76:$N$79))-1,0)*X61,0)</f>
        <v>0</v>
      </c>
      <c r="Y71" s="39" cm="1">
        <f t="array" aca="1" ref="Y71" ca="1">IFERROR(OFFSET(AC1,SUMPRODUCT(($L$76:$L$79=HurdleRateBasis)*($M$75:$N$75=ReturnType)*($M$76:$N$79))-1,0)*Y61,0)</f>
        <v>0</v>
      </c>
      <c r="Z71" s="39" cm="1">
        <f t="array" aca="1" ref="Z71" ca="1">IFERROR(OFFSET(AD1,SUMPRODUCT(($L$76:$L$79=HurdleRateBasis)*($M$75:$N$75=ReturnType)*($M$76:$N$79))-1,0)*Z61,0)</f>
        <v>0</v>
      </c>
      <c r="AA71" s="39" cm="1">
        <f t="array" aca="1" ref="AA71" ca="1">IFERROR(OFFSET(AE1,SUMPRODUCT(($L$76:$L$79=HurdleRateBasis)*($M$75:$N$75=ReturnType)*($M$76:$N$79))-1,0)*AA61,0)</f>
        <v>0</v>
      </c>
      <c r="AB71" s="39" cm="1">
        <f t="array" aca="1" ref="AB71" ca="1">IFERROR(OFFSET(AF1,SUMPRODUCT(($L$76:$L$79=HurdleRateBasis)*($M$75:$N$75=ReturnType)*($M$76:$N$79))-1,0)*AB61,0)</f>
        <v>0</v>
      </c>
      <c r="AC71" s="39" cm="1">
        <f t="array" aca="1" ref="AC71" ca="1">IFERROR(OFFSET(AG1,SUMPRODUCT(($L$76:$L$79=HurdleRateBasis)*($M$75:$N$75=ReturnType)*($M$76:$N$79))-1,0)*AC61,0)</f>
        <v>0</v>
      </c>
      <c r="AD71" s="39" cm="1">
        <f t="array" aca="1" ref="AD71" ca="1">IFERROR(OFFSET(AH1,SUMPRODUCT(($L$76:$L$79=HurdleRateBasis)*($M$75:$N$75=ReturnType)*($M$76:$N$79))-1,0)*AD61,0)</f>
        <v>0</v>
      </c>
      <c r="AE71" s="39" cm="1">
        <f t="array" aca="1" ref="AE71" ca="1">IFERROR(OFFSET(AI1,SUMPRODUCT(($L$76:$L$79=HurdleRateBasis)*($M$75:$N$75=ReturnType)*($M$76:$N$79))-1,0)*AE61,0)</f>
        <v>0</v>
      </c>
      <c r="AF71" s="39" cm="1">
        <f t="array" aca="1" ref="AF71" ca="1">IFERROR(OFFSET(AJ1,SUMPRODUCT(($L$76:$L$79=HurdleRateBasis)*($M$75:$N$75=ReturnType)*($M$76:$N$79))-1,0)*AF61,0)</f>
        <v>0</v>
      </c>
      <c r="AG71" s="39" cm="1">
        <f t="array" aca="1" ref="AG71" ca="1">IFERROR(OFFSET(AK1,SUMPRODUCT(($L$76:$L$79=HurdleRateBasis)*($M$75:$N$75=ReturnType)*($M$76:$N$79))-1,0)*AG61,0)</f>
        <v>0</v>
      </c>
      <c r="AH71" s="39" cm="1">
        <f t="array" aca="1" ref="AH71" ca="1">IFERROR(OFFSET(AL1,SUMPRODUCT(($L$76:$L$79=HurdleRateBasis)*($M$75:$N$75=ReturnType)*($M$76:$N$79))-1,0)*AH61,0)</f>
        <v>0</v>
      </c>
      <c r="AI71" s="39" cm="1">
        <f t="array" aca="1" ref="AI71" ca="1">IFERROR(OFFSET(AM1,SUMPRODUCT(($L$76:$L$79=HurdleRateBasis)*($M$75:$N$75=ReturnType)*($M$76:$N$79))-1,0)*AI61,0)</f>
        <v>0</v>
      </c>
      <c r="AJ71" s="39" cm="1">
        <f t="array" aca="1" ref="AJ71" ca="1">IFERROR(OFFSET(AN1,SUMPRODUCT(($L$76:$L$79=HurdleRateBasis)*($M$75:$N$75=ReturnType)*($M$76:$N$79))-1,0)*AJ61,0)</f>
        <v>0</v>
      </c>
      <c r="AK71" s="39" cm="1">
        <f t="array" aca="1" ref="AK71" ca="1">IFERROR(OFFSET(AO1,SUMPRODUCT(($L$76:$L$79=HurdleRateBasis)*($M$75:$N$75=ReturnType)*($M$76:$N$79))-1,0)*AK61,0)</f>
        <v>0</v>
      </c>
      <c r="AL71" s="39" cm="1">
        <f t="array" aca="1" ref="AL71" ca="1">IFERROR(OFFSET(AP1,SUMPRODUCT(($L$76:$L$79=HurdleRateBasis)*($M$75:$N$75=ReturnType)*($M$76:$N$79))-1,0)*AL61,0)</f>
        <v>0</v>
      </c>
      <c r="AM71" s="39" cm="1">
        <f t="array" aca="1" ref="AM71" ca="1">IFERROR(OFFSET(AQ1,SUMPRODUCT(($L$76:$L$79=HurdleRateBasis)*($M$75:$N$75=ReturnType)*($M$76:$N$79))-1,0)*AM61,0)</f>
        <v>0</v>
      </c>
      <c r="AN71" s="39" cm="1">
        <f t="array" aca="1" ref="AN71" ca="1">IFERROR(OFFSET(AR1,SUMPRODUCT(($L$76:$L$79=HurdleRateBasis)*($M$75:$N$75=ReturnType)*($M$76:$N$79))-1,0)*AN61,0)</f>
        <v>0</v>
      </c>
      <c r="AO71" s="39" cm="1">
        <f t="array" aca="1" ref="AO71" ca="1">IFERROR(OFFSET(AS1,SUMPRODUCT(($L$76:$L$79=HurdleRateBasis)*($M$75:$N$75=ReturnType)*($M$76:$N$79))-1,0)*AO61,0)</f>
        <v>0</v>
      </c>
      <c r="AP71" s="39" cm="1">
        <f t="array" aca="1" ref="AP71" ca="1">IFERROR(OFFSET(AT1,SUMPRODUCT(($L$76:$L$79=HurdleRateBasis)*($M$75:$N$75=ReturnType)*($M$76:$N$79))-1,0)*AP61,0)</f>
        <v>0</v>
      </c>
      <c r="AQ71" s="39" cm="1">
        <f t="array" aca="1" ref="AQ71" ca="1">IFERROR(OFFSET(AU1,SUMPRODUCT(($L$76:$L$79=HurdleRateBasis)*($M$75:$N$75=ReturnType)*($M$76:$N$79))-1,0)*AQ61,0)</f>
        <v>0</v>
      </c>
      <c r="AR71" s="39" cm="1">
        <f t="array" aca="1" ref="AR71" ca="1">IFERROR(OFFSET(AV1,SUMPRODUCT(($L$76:$L$79=HurdleRateBasis)*($M$75:$N$75=ReturnType)*($M$76:$N$79))-1,0)*AR61,0)</f>
        <v>0</v>
      </c>
      <c r="AS71" s="39" cm="1">
        <f t="array" aca="1" ref="AS71" ca="1">IFERROR(OFFSET(AW1,SUMPRODUCT(($L$76:$L$79=HurdleRateBasis)*($M$75:$N$75=ReturnType)*($M$76:$N$79))-1,0)*AS61,0)</f>
        <v>0</v>
      </c>
      <c r="AT71" s="39" cm="1">
        <f t="array" aca="1" ref="AT71" ca="1">IFERROR(OFFSET(AX1,SUMPRODUCT(($L$76:$L$79=HurdleRateBasis)*($M$75:$N$75=ReturnType)*($M$76:$N$79))-1,0)*AT61,0)</f>
        <v>0</v>
      </c>
      <c r="AU71" s="39" cm="1">
        <f t="array" aca="1" ref="AU71" ca="1">IFERROR(OFFSET(AY1,SUMPRODUCT(($L$76:$L$79=HurdleRateBasis)*($M$75:$N$75=ReturnType)*($M$76:$N$79))-1,0)*AU61,0)</f>
        <v>0</v>
      </c>
      <c r="AV71" s="39" cm="1">
        <f t="array" aca="1" ref="AV71" ca="1">IFERROR(OFFSET(AZ1,SUMPRODUCT(($L$76:$L$79=HurdleRateBasis)*($M$75:$N$75=ReturnType)*($M$76:$N$79))-1,0)*AV61,0)</f>
        <v>0</v>
      </c>
      <c r="AW71" s="39" cm="1">
        <f t="array" aca="1" ref="AW71" ca="1">IFERROR(OFFSET(BA1,SUMPRODUCT(($L$76:$L$79=HurdleRateBasis)*($M$75:$N$75=ReturnType)*($M$76:$N$79))-1,0)*AW61,0)</f>
        <v>0</v>
      </c>
      <c r="AX71" s="39" cm="1">
        <f t="array" aca="1" ref="AX71" ca="1">IFERROR(OFFSET(BB1,SUMPRODUCT(($L$76:$L$79=HurdleRateBasis)*($M$75:$N$75=ReturnType)*($M$76:$N$79))-1,0)*AX61,0)</f>
        <v>0</v>
      </c>
      <c r="AY71" s="39" cm="1">
        <f t="array" aca="1" ref="AY71" ca="1">IFERROR(OFFSET(BC1,SUMPRODUCT(($L$76:$L$79=HurdleRateBasis)*($M$75:$N$75=ReturnType)*($M$76:$N$79))-1,0)*AY61,0)</f>
        <v>0</v>
      </c>
    </row>
    <row r="72" spans="4:51" x14ac:dyDescent="0.35">
      <c r="D72" t="s">
        <v>160</v>
      </c>
      <c r="E72" t="s">
        <v>180</v>
      </c>
      <c r="F72" s="39" cm="1">
        <f t="array" aca="1" ref="F72" ca="1">IFERROR(OFFSET(J1,SUMPRODUCT(($L$76:$L$79=HurdleRateBasis)*($O$75:$P$75=ReturnType)*($O$76:$P$79))-1,0)*F62,0)</f>
        <v>0</v>
      </c>
      <c r="G72" s="39" cm="1">
        <f t="array" aca="1" ref="G72" ca="1">IFERROR(OFFSET(K1,SUMPRODUCT(($L$76:$L$79=HurdleRateBasis)*($O$75:$P$75=ReturnType)*($O$76:$P$79))-1,0)*G62,0)</f>
        <v>0</v>
      </c>
      <c r="H72" s="39" cm="1">
        <f t="array" aca="1" ref="H72" ca="1">IFERROR(OFFSET(L1,SUMPRODUCT(($L$76:$L$79=HurdleRateBasis)*($O$75:$P$75=ReturnType)*($O$76:$P$79))-1,0)*H62,0)</f>
        <v>0</v>
      </c>
      <c r="I72" s="39" cm="1">
        <f t="array" aca="1" ref="I72" ca="1">IFERROR(OFFSET(M1,SUMPRODUCT(($L$76:$L$79=HurdleRateBasis)*($O$75:$P$75=ReturnType)*($O$76:$P$79))-1,0)*I62,0)</f>
        <v>0</v>
      </c>
      <c r="J72" s="39" cm="1">
        <f t="array" aca="1" ref="J72" ca="1">IFERROR(OFFSET(N1,SUMPRODUCT(($L$76:$L$79=HurdleRateBasis)*($O$75:$P$75=ReturnType)*($O$76:$P$79))-1,0)*J62,0)</f>
        <v>0</v>
      </c>
      <c r="K72" s="39" cm="1">
        <f t="array" aca="1" ref="K72" ca="1">IFERROR(OFFSET(O1,SUMPRODUCT(($L$76:$L$79=HurdleRateBasis)*($O$75:$P$75=ReturnType)*($O$76:$P$79))-1,0)*K62,0)</f>
        <v>0</v>
      </c>
      <c r="L72" s="39" cm="1">
        <f t="array" aca="1" ref="L72" ca="1">IFERROR(OFFSET(P1,SUMPRODUCT(($L$76:$L$79=HurdleRateBasis)*($O$75:$P$75=ReturnType)*($O$76:$P$79))-1,0)*L62,0)</f>
        <v>0</v>
      </c>
      <c r="M72" s="39" cm="1">
        <f t="array" aca="1" ref="M72" ca="1">IFERROR(OFFSET(Q1,SUMPRODUCT(($L$76:$L$79=HurdleRateBasis)*($O$75:$P$75=ReturnType)*($O$76:$P$79))-1,0)*M62,0)</f>
        <v>0</v>
      </c>
      <c r="N72" s="39" cm="1">
        <f t="array" aca="1" ref="N72" ca="1">IFERROR(OFFSET(R1,SUMPRODUCT(($L$76:$L$79=HurdleRateBasis)*($O$75:$P$75=ReturnType)*($O$76:$P$79))-1,0)*N62,0)</f>
        <v>0</v>
      </c>
      <c r="O72" s="39" cm="1">
        <f t="array" aca="1" ref="O72" ca="1">IFERROR(OFFSET(S1,SUMPRODUCT(($L$76:$L$79=HurdleRateBasis)*($O$75:$P$75=ReturnType)*($O$76:$P$79))-1,0)*O62,0)</f>
        <v>0</v>
      </c>
      <c r="P72" s="39" cm="1">
        <f t="array" aca="1" ref="P72" ca="1">IFERROR(OFFSET(T1,SUMPRODUCT(($L$76:$L$79=HurdleRateBasis)*($O$75:$P$75=ReturnType)*($O$76:$P$79))-1,0)*P62,0)</f>
        <v>0</v>
      </c>
      <c r="Q72" s="39" cm="1">
        <f t="array" aca="1" ref="Q72" ca="1">IFERROR(OFFSET(U1,SUMPRODUCT(($L$76:$L$79=HurdleRateBasis)*($O$75:$P$75=ReturnType)*($O$76:$P$79))-1,0)*Q62,0)</f>
        <v>0</v>
      </c>
      <c r="R72" s="39" cm="1">
        <f t="array" aca="1" ref="R72" ca="1">IFERROR(OFFSET(V1,SUMPRODUCT(($L$76:$L$79=HurdleRateBasis)*($O$75:$P$75=ReturnType)*($O$76:$P$79))-1,0)*R62,0)</f>
        <v>0</v>
      </c>
      <c r="S72" s="39" cm="1">
        <f t="array" aca="1" ref="S72" ca="1">IFERROR(OFFSET(W1,SUMPRODUCT(($L$76:$L$79=HurdleRateBasis)*($O$75:$P$75=ReturnType)*($O$76:$P$79))-1,0)*S62,0)</f>
        <v>0</v>
      </c>
      <c r="T72" s="39" cm="1">
        <f t="array" aca="1" ref="T72" ca="1">IFERROR(OFFSET(X1,SUMPRODUCT(($L$76:$L$79=HurdleRateBasis)*($O$75:$P$75=ReturnType)*($O$76:$P$79))-1,0)*T62,0)</f>
        <v>0</v>
      </c>
      <c r="U72" s="39" cm="1">
        <f t="array" aca="1" ref="U72" ca="1">IFERROR(OFFSET(Y1,SUMPRODUCT(($L$76:$L$79=HurdleRateBasis)*($O$75:$P$75=ReturnType)*($O$76:$P$79))-1,0)*U62,0)</f>
        <v>0</v>
      </c>
      <c r="V72" s="39" cm="1">
        <f t="array" aca="1" ref="V72" ca="1">IFERROR(OFFSET(Z1,SUMPRODUCT(($L$76:$L$79=HurdleRateBasis)*($O$75:$P$75=ReturnType)*($O$76:$P$79))-1,0)*V62,0)</f>
        <v>0</v>
      </c>
      <c r="W72" s="39" cm="1">
        <f t="array" aca="1" ref="W72" ca="1">IFERROR(OFFSET(AA1,SUMPRODUCT(($L$76:$L$79=HurdleRateBasis)*($O$75:$P$75=ReturnType)*($O$76:$P$79))-1,0)*W62,0)</f>
        <v>0</v>
      </c>
      <c r="X72" s="39" cm="1">
        <f t="array" aca="1" ref="X72" ca="1">IFERROR(OFFSET(AB1,SUMPRODUCT(($L$76:$L$79=HurdleRateBasis)*($O$75:$P$75=ReturnType)*($O$76:$P$79))-1,0)*X62,0)</f>
        <v>0</v>
      </c>
      <c r="Y72" s="39" cm="1">
        <f t="array" aca="1" ref="Y72" ca="1">IFERROR(OFFSET(AC1,SUMPRODUCT(($L$76:$L$79=HurdleRateBasis)*($O$75:$P$75=ReturnType)*($O$76:$P$79))-1,0)*Y62,0)</f>
        <v>0</v>
      </c>
      <c r="Z72" s="39" cm="1">
        <f t="array" aca="1" ref="Z72" ca="1">IFERROR(OFFSET(AD1,SUMPRODUCT(($L$76:$L$79=HurdleRateBasis)*($O$75:$P$75=ReturnType)*($O$76:$P$79))-1,0)*Z62,0)</f>
        <v>0</v>
      </c>
      <c r="AA72" s="39" cm="1">
        <f t="array" aca="1" ref="AA72" ca="1">IFERROR(OFFSET(AE1,SUMPRODUCT(($L$76:$L$79=HurdleRateBasis)*($O$75:$P$75=ReturnType)*($O$76:$P$79))-1,0)*AA62,0)</f>
        <v>0</v>
      </c>
      <c r="AB72" s="39" cm="1">
        <f t="array" aca="1" ref="AB72" ca="1">IFERROR(OFFSET(AF1,SUMPRODUCT(($L$76:$L$79=HurdleRateBasis)*($O$75:$P$75=ReturnType)*($O$76:$P$79))-1,0)*AB62,0)</f>
        <v>0</v>
      </c>
      <c r="AC72" s="39" cm="1">
        <f t="array" aca="1" ref="AC72" ca="1">IFERROR(OFFSET(AG1,SUMPRODUCT(($L$76:$L$79=HurdleRateBasis)*($O$75:$P$75=ReturnType)*($O$76:$P$79))-1,0)*AC62,0)</f>
        <v>0</v>
      </c>
      <c r="AD72" s="39" cm="1">
        <f t="array" aca="1" ref="AD72" ca="1">IFERROR(OFFSET(AH1,SUMPRODUCT(($L$76:$L$79=HurdleRateBasis)*($O$75:$P$75=ReturnType)*($O$76:$P$79))-1,0)*AD62,0)</f>
        <v>0</v>
      </c>
      <c r="AE72" s="39" cm="1">
        <f t="array" aca="1" ref="AE72" ca="1">IFERROR(OFFSET(AI1,SUMPRODUCT(($L$76:$L$79=HurdleRateBasis)*($O$75:$P$75=ReturnType)*($O$76:$P$79))-1,0)*AE62,0)</f>
        <v>0</v>
      </c>
      <c r="AF72" s="39" cm="1">
        <f t="array" aca="1" ref="AF72" ca="1">IFERROR(OFFSET(AJ1,SUMPRODUCT(($L$76:$L$79=HurdleRateBasis)*($O$75:$P$75=ReturnType)*($O$76:$P$79))-1,0)*AF62,0)</f>
        <v>0</v>
      </c>
      <c r="AG72" s="39" cm="1">
        <f t="array" aca="1" ref="AG72" ca="1">IFERROR(OFFSET(AK1,SUMPRODUCT(($L$76:$L$79=HurdleRateBasis)*($O$75:$P$75=ReturnType)*($O$76:$P$79))-1,0)*AG62,0)</f>
        <v>0</v>
      </c>
      <c r="AH72" s="39" cm="1">
        <f t="array" aca="1" ref="AH72" ca="1">IFERROR(OFFSET(AL1,SUMPRODUCT(($L$76:$L$79=HurdleRateBasis)*($O$75:$P$75=ReturnType)*($O$76:$P$79))-1,0)*AH62,0)</f>
        <v>0</v>
      </c>
      <c r="AI72" s="39" cm="1">
        <f t="array" aca="1" ref="AI72" ca="1">IFERROR(OFFSET(AM1,SUMPRODUCT(($L$76:$L$79=HurdleRateBasis)*($O$75:$P$75=ReturnType)*($O$76:$P$79))-1,0)*AI62,0)</f>
        <v>0</v>
      </c>
      <c r="AJ72" s="39" cm="1">
        <f t="array" aca="1" ref="AJ72" ca="1">IFERROR(OFFSET(AN1,SUMPRODUCT(($L$76:$L$79=HurdleRateBasis)*($O$75:$P$75=ReturnType)*($O$76:$P$79))-1,0)*AJ62,0)</f>
        <v>0</v>
      </c>
      <c r="AK72" s="39" cm="1">
        <f t="array" aca="1" ref="AK72" ca="1">IFERROR(OFFSET(AO1,SUMPRODUCT(($L$76:$L$79=HurdleRateBasis)*($O$75:$P$75=ReturnType)*($O$76:$P$79))-1,0)*AK62,0)</f>
        <v>0</v>
      </c>
      <c r="AL72" s="39" cm="1">
        <f t="array" aca="1" ref="AL72" ca="1">IFERROR(OFFSET(AP1,SUMPRODUCT(($L$76:$L$79=HurdleRateBasis)*($O$75:$P$75=ReturnType)*($O$76:$P$79))-1,0)*AL62,0)</f>
        <v>0</v>
      </c>
      <c r="AM72" s="39" cm="1">
        <f t="array" aca="1" ref="AM72" ca="1">IFERROR(OFFSET(AQ1,SUMPRODUCT(($L$76:$L$79=HurdleRateBasis)*($O$75:$P$75=ReturnType)*($O$76:$P$79))-1,0)*AM62,0)</f>
        <v>0</v>
      </c>
      <c r="AN72" s="39" cm="1">
        <f t="array" aca="1" ref="AN72" ca="1">IFERROR(OFFSET(AR1,SUMPRODUCT(($L$76:$L$79=HurdleRateBasis)*($O$75:$P$75=ReturnType)*($O$76:$P$79))-1,0)*AN62,0)</f>
        <v>0</v>
      </c>
      <c r="AO72" s="39" cm="1">
        <f t="array" aca="1" ref="AO72" ca="1">IFERROR(OFFSET(AS1,SUMPRODUCT(($L$76:$L$79=HurdleRateBasis)*($O$75:$P$75=ReturnType)*($O$76:$P$79))-1,0)*AO62,0)</f>
        <v>0</v>
      </c>
      <c r="AP72" s="39" cm="1">
        <f t="array" aca="1" ref="AP72" ca="1">IFERROR(OFFSET(AT1,SUMPRODUCT(($L$76:$L$79=HurdleRateBasis)*($O$75:$P$75=ReturnType)*($O$76:$P$79))-1,0)*AP62,0)</f>
        <v>0</v>
      </c>
      <c r="AQ72" s="39" cm="1">
        <f t="array" aca="1" ref="AQ72" ca="1">IFERROR(OFFSET(AU1,SUMPRODUCT(($L$76:$L$79=HurdleRateBasis)*($O$75:$P$75=ReturnType)*($O$76:$P$79))-1,0)*AQ62,0)</f>
        <v>0</v>
      </c>
      <c r="AR72" s="39" cm="1">
        <f t="array" aca="1" ref="AR72" ca="1">IFERROR(OFFSET(AV1,SUMPRODUCT(($L$76:$L$79=HurdleRateBasis)*($O$75:$P$75=ReturnType)*($O$76:$P$79))-1,0)*AR62,0)</f>
        <v>0</v>
      </c>
      <c r="AS72" s="39" cm="1">
        <f t="array" aca="1" ref="AS72" ca="1">IFERROR(OFFSET(AW1,SUMPRODUCT(($L$76:$L$79=HurdleRateBasis)*($O$75:$P$75=ReturnType)*($O$76:$P$79))-1,0)*AS62,0)</f>
        <v>0</v>
      </c>
      <c r="AT72" s="39" cm="1">
        <f t="array" aca="1" ref="AT72" ca="1">IFERROR(OFFSET(AX1,SUMPRODUCT(($L$76:$L$79=HurdleRateBasis)*($O$75:$P$75=ReturnType)*($O$76:$P$79))-1,0)*AT62,0)</f>
        <v>0</v>
      </c>
      <c r="AU72" s="39" cm="1">
        <f t="array" aca="1" ref="AU72" ca="1">IFERROR(OFFSET(AY1,SUMPRODUCT(($L$76:$L$79=HurdleRateBasis)*($O$75:$P$75=ReturnType)*($O$76:$P$79))-1,0)*AU62,0)</f>
        <v>0</v>
      </c>
      <c r="AV72" s="39" cm="1">
        <f t="array" aca="1" ref="AV72" ca="1">IFERROR(OFFSET(AZ1,SUMPRODUCT(($L$76:$L$79=HurdleRateBasis)*($O$75:$P$75=ReturnType)*($O$76:$P$79))-1,0)*AV62,0)</f>
        <v>0</v>
      </c>
      <c r="AW72" s="39" cm="1">
        <f t="array" aca="1" ref="AW72" ca="1">IFERROR(OFFSET(BA1,SUMPRODUCT(($L$76:$L$79=HurdleRateBasis)*($O$75:$P$75=ReturnType)*($O$76:$P$79))-1,0)*AW62,0)</f>
        <v>0</v>
      </c>
      <c r="AX72" s="39" cm="1">
        <f t="array" aca="1" ref="AX72" ca="1">IFERROR(OFFSET(BB1,SUMPRODUCT(($L$76:$L$79=HurdleRateBasis)*($O$75:$P$75=ReturnType)*($O$76:$P$79))-1,0)*AX62,0)</f>
        <v>0</v>
      </c>
      <c r="AY72" s="39" cm="1">
        <f t="array" aca="1" ref="AY72" ca="1">IFERROR(OFFSET(BC1,SUMPRODUCT(($L$76:$L$79=HurdleRateBasis)*($O$75:$P$75=ReturnType)*($O$76:$P$79))-1,0)*AY62,0)</f>
        <v>0</v>
      </c>
    </row>
    <row r="73" spans="4:51" x14ac:dyDescent="0.35">
      <c r="E73" s="35"/>
    </row>
    <row r="74" spans="4:51" x14ac:dyDescent="0.35">
      <c r="D74" s="2" t="s">
        <v>181</v>
      </c>
      <c r="E74" s="2" t="str">
        <f>HurdleRateBasis</f>
        <v>&lt;Select&gt;</v>
      </c>
      <c r="L74" s="13" t="s">
        <v>182</v>
      </c>
      <c r="M74" s="2" t="s">
        <v>148</v>
      </c>
      <c r="N74" s="2"/>
      <c r="O74" s="2" t="s">
        <v>160</v>
      </c>
      <c r="P74" s="2"/>
    </row>
    <row r="75" spans="4:51" x14ac:dyDescent="0.35">
      <c r="D75" s="26"/>
      <c r="E75" s="26" t="str">
        <f>ReturnType</f>
        <v>&lt;Select&gt;</v>
      </c>
      <c r="L75" s="26"/>
      <c r="M75" s="26" t="str">
        <f>Lists!A17</f>
        <v>Return on Equity</v>
      </c>
      <c r="N75" s="26" t="str">
        <f>Lists!A18</f>
        <v>Return on Whole Investment</v>
      </c>
      <c r="O75" s="26" t="str">
        <f>M75</f>
        <v>Return on Equity</v>
      </c>
      <c r="P75" s="26" t="str">
        <f>N75</f>
        <v>Return on Whole Investment</v>
      </c>
    </row>
    <row r="76" spans="4:51" x14ac:dyDescent="0.35">
      <c r="D76" s="63" t="s">
        <v>176</v>
      </c>
      <c r="E76" s="64">
        <f ca="1">SUMPRODUCT($F$71:$AX$71,$F$70:$AX$70)</f>
        <v>0</v>
      </c>
      <c r="F76" s="85" t="str">
        <f ca="1">IFERROR(IRR(F71:AX71,0.05),"No feasible solution")</f>
        <v>No feasible solution</v>
      </c>
      <c r="L76" s="61" t="str">
        <f>Lists!A11</f>
        <v>Pre-tax Real</v>
      </c>
      <c r="M76" s="62">
        <f>ROW(D127)</f>
        <v>127</v>
      </c>
      <c r="N76" s="62">
        <f>M76+1</f>
        <v>128</v>
      </c>
      <c r="O76" s="62">
        <f>M76+16</f>
        <v>143</v>
      </c>
      <c r="P76" s="62">
        <f>N76+16</f>
        <v>144</v>
      </c>
    </row>
    <row r="77" spans="4:51" x14ac:dyDescent="0.35">
      <c r="D77" s="38" t="s">
        <v>160</v>
      </c>
      <c r="E77" s="40">
        <f ca="1">SUMPRODUCT($F$72:$AX$72,$F$70:$AX$70)</f>
        <v>0</v>
      </c>
      <c r="F77" s="85" t="str">
        <f ca="1">IFERROR(IRR(F72:AX72,0.05),"No feasible solution")</f>
        <v>No feasible solution</v>
      </c>
      <c r="L77" s="61" t="str">
        <f>Lists!A12</f>
        <v>Post-tax Real</v>
      </c>
      <c r="M77" s="62">
        <f>ROW(J130)</f>
        <v>130</v>
      </c>
      <c r="N77" s="62">
        <f t="shared" ref="N77:N79" si="22">M77+1</f>
        <v>131</v>
      </c>
      <c r="O77" s="62">
        <f t="shared" ref="O77:P79" si="23">M77+16</f>
        <v>146</v>
      </c>
      <c r="P77" s="62">
        <f t="shared" si="23"/>
        <v>147</v>
      </c>
    </row>
    <row r="78" spans="4:51" x14ac:dyDescent="0.35">
      <c r="D78" s="38" t="s">
        <v>177</v>
      </c>
      <c r="E78" s="48" t="str">
        <f ca="1">IF(E76&gt;E77,$D76,$D77)</f>
        <v>BC</v>
      </c>
      <c r="L78" s="61" t="str">
        <f>Lists!A13</f>
        <v>Pre-tax Nominal</v>
      </c>
      <c r="M78" s="62">
        <f>ROW(J94)</f>
        <v>94</v>
      </c>
      <c r="N78" s="62">
        <f t="shared" si="22"/>
        <v>95</v>
      </c>
      <c r="O78" s="62">
        <f t="shared" si="23"/>
        <v>110</v>
      </c>
      <c r="P78" s="62">
        <f t="shared" si="23"/>
        <v>111</v>
      </c>
    </row>
    <row r="79" spans="4:51" x14ac:dyDescent="0.35">
      <c r="L79" s="61" t="str">
        <f>Lists!A14</f>
        <v>Post-tax Nominal</v>
      </c>
      <c r="M79" s="62">
        <f>ROW(J97)</f>
        <v>97</v>
      </c>
      <c r="N79" s="62">
        <f t="shared" si="22"/>
        <v>98</v>
      </c>
      <c r="O79" s="62">
        <f t="shared" si="23"/>
        <v>113</v>
      </c>
      <c r="P79" s="62">
        <f t="shared" si="23"/>
        <v>114</v>
      </c>
    </row>
    <row r="82" spans="4:55" ht="18.5" x14ac:dyDescent="0.45">
      <c r="D82" s="7" t="s">
        <v>183</v>
      </c>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row>
    <row r="83" spans="4:55" ht="18.5" x14ac:dyDescent="0.45">
      <c r="D83" s="7" t="s">
        <v>132</v>
      </c>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row>
    <row r="84" spans="4:55" x14ac:dyDescent="0.35">
      <c r="D84" s="28" t="s">
        <v>37</v>
      </c>
      <c r="E84" s="25"/>
      <c r="F84" s="25"/>
      <c r="G84" s="25"/>
      <c r="H84" s="25"/>
      <c r="I84" s="25"/>
      <c r="J84" s="26">
        <f>Start_Yr</f>
        <v>0</v>
      </c>
      <c r="K84" s="26">
        <f t="shared" ref="K84:BC84" si="24">J84+1</f>
        <v>1</v>
      </c>
      <c r="L84" s="26">
        <f t="shared" si="24"/>
        <v>2</v>
      </c>
      <c r="M84" s="26">
        <f t="shared" si="24"/>
        <v>3</v>
      </c>
      <c r="N84" s="26">
        <f t="shared" si="24"/>
        <v>4</v>
      </c>
      <c r="O84" s="26">
        <f t="shared" si="24"/>
        <v>5</v>
      </c>
      <c r="P84" s="26">
        <f t="shared" si="24"/>
        <v>6</v>
      </c>
      <c r="Q84" s="26">
        <f t="shared" si="24"/>
        <v>7</v>
      </c>
      <c r="R84" s="26">
        <f t="shared" si="24"/>
        <v>8</v>
      </c>
      <c r="S84" s="26">
        <f t="shared" si="24"/>
        <v>9</v>
      </c>
      <c r="T84" s="26">
        <f t="shared" si="24"/>
        <v>10</v>
      </c>
      <c r="U84" s="26">
        <f t="shared" si="24"/>
        <v>11</v>
      </c>
      <c r="V84" s="26">
        <f t="shared" si="24"/>
        <v>12</v>
      </c>
      <c r="W84" s="26">
        <f t="shared" si="24"/>
        <v>13</v>
      </c>
      <c r="X84" s="26">
        <f t="shared" si="24"/>
        <v>14</v>
      </c>
      <c r="Y84" s="26">
        <f t="shared" si="24"/>
        <v>15</v>
      </c>
      <c r="Z84" s="26">
        <f t="shared" si="24"/>
        <v>16</v>
      </c>
      <c r="AA84" s="26">
        <f t="shared" si="24"/>
        <v>17</v>
      </c>
      <c r="AB84" s="26">
        <f t="shared" si="24"/>
        <v>18</v>
      </c>
      <c r="AC84" s="26">
        <f t="shared" si="24"/>
        <v>19</v>
      </c>
      <c r="AD84" s="26">
        <f t="shared" si="24"/>
        <v>20</v>
      </c>
      <c r="AE84" s="26">
        <f t="shared" si="24"/>
        <v>21</v>
      </c>
      <c r="AF84" s="26">
        <f t="shared" si="24"/>
        <v>22</v>
      </c>
      <c r="AG84" s="26">
        <f t="shared" si="24"/>
        <v>23</v>
      </c>
      <c r="AH84" s="26">
        <f t="shared" si="24"/>
        <v>24</v>
      </c>
      <c r="AI84" s="26">
        <f t="shared" si="24"/>
        <v>25</v>
      </c>
      <c r="AJ84" s="26">
        <f t="shared" si="24"/>
        <v>26</v>
      </c>
      <c r="AK84" s="26">
        <f t="shared" si="24"/>
        <v>27</v>
      </c>
      <c r="AL84" s="26">
        <f t="shared" si="24"/>
        <v>28</v>
      </c>
      <c r="AM84" s="26">
        <f t="shared" si="24"/>
        <v>29</v>
      </c>
      <c r="AN84" s="26">
        <f t="shared" si="24"/>
        <v>30</v>
      </c>
      <c r="AO84" s="26">
        <f t="shared" si="24"/>
        <v>31</v>
      </c>
      <c r="AP84" s="26">
        <f t="shared" si="24"/>
        <v>32</v>
      </c>
      <c r="AQ84" s="26">
        <f t="shared" si="24"/>
        <v>33</v>
      </c>
      <c r="AR84" s="26">
        <f t="shared" si="24"/>
        <v>34</v>
      </c>
      <c r="AS84" s="26">
        <f t="shared" si="24"/>
        <v>35</v>
      </c>
      <c r="AT84" s="26">
        <f t="shared" si="24"/>
        <v>36</v>
      </c>
      <c r="AU84" s="26">
        <f t="shared" si="24"/>
        <v>37</v>
      </c>
      <c r="AV84" s="26">
        <f t="shared" si="24"/>
        <v>38</v>
      </c>
      <c r="AW84" s="26">
        <f t="shared" si="24"/>
        <v>39</v>
      </c>
      <c r="AX84" s="26">
        <f t="shared" si="24"/>
        <v>40</v>
      </c>
      <c r="AY84" s="26">
        <f t="shared" si="24"/>
        <v>41</v>
      </c>
      <c r="AZ84" s="26">
        <f t="shared" si="24"/>
        <v>42</v>
      </c>
      <c r="BA84" s="26">
        <f t="shared" si="24"/>
        <v>43</v>
      </c>
      <c r="BB84" s="26">
        <f t="shared" si="24"/>
        <v>44</v>
      </c>
      <c r="BC84" s="26">
        <f t="shared" si="24"/>
        <v>45</v>
      </c>
    </row>
    <row r="85" spans="4:55" x14ac:dyDescent="0.35">
      <c r="D85" s="58" t="s">
        <v>184</v>
      </c>
      <c r="E85" s="1"/>
      <c r="F85" s="1"/>
      <c r="G85" s="1"/>
      <c r="H85" s="1"/>
      <c r="I85" s="8" t="s">
        <v>36</v>
      </c>
      <c r="J85" s="49">
        <f>J87-J86</f>
        <v>0</v>
      </c>
      <c r="K85" s="49">
        <f t="shared" ref="K85:BB85" si="25">K87-K86</f>
        <v>0</v>
      </c>
      <c r="L85" s="49">
        <f t="shared" si="25"/>
        <v>0</v>
      </c>
      <c r="M85" s="49">
        <f t="shared" si="25"/>
        <v>0</v>
      </c>
      <c r="N85" s="49">
        <f t="shared" si="25"/>
        <v>0</v>
      </c>
      <c r="O85" s="49">
        <f t="shared" si="25"/>
        <v>0</v>
      </c>
      <c r="P85" s="49">
        <f t="shared" si="25"/>
        <v>0</v>
      </c>
      <c r="Q85" s="49">
        <f t="shared" si="25"/>
        <v>0</v>
      </c>
      <c r="R85" s="49">
        <f t="shared" si="25"/>
        <v>0</v>
      </c>
      <c r="S85" s="49">
        <f t="shared" si="25"/>
        <v>0</v>
      </c>
      <c r="T85" s="49">
        <f t="shared" si="25"/>
        <v>0</v>
      </c>
      <c r="U85" s="49">
        <f t="shared" si="25"/>
        <v>0</v>
      </c>
      <c r="V85" s="49">
        <f t="shared" si="25"/>
        <v>0</v>
      </c>
      <c r="W85" s="49">
        <f t="shared" si="25"/>
        <v>0</v>
      </c>
      <c r="X85" s="49">
        <f t="shared" si="25"/>
        <v>0</v>
      </c>
      <c r="Y85" s="49">
        <f t="shared" si="25"/>
        <v>0</v>
      </c>
      <c r="Z85" s="49">
        <f t="shared" si="25"/>
        <v>0</v>
      </c>
      <c r="AA85" s="49">
        <f t="shared" si="25"/>
        <v>0</v>
      </c>
      <c r="AB85" s="49">
        <f t="shared" si="25"/>
        <v>0</v>
      </c>
      <c r="AC85" s="49">
        <f t="shared" si="25"/>
        <v>0</v>
      </c>
      <c r="AD85" s="49">
        <f t="shared" si="25"/>
        <v>0</v>
      </c>
      <c r="AE85" s="49">
        <f t="shared" si="25"/>
        <v>0</v>
      </c>
      <c r="AF85" s="49">
        <f t="shared" si="25"/>
        <v>0</v>
      </c>
      <c r="AG85" s="49">
        <f t="shared" si="25"/>
        <v>0</v>
      </c>
      <c r="AH85" s="49">
        <f t="shared" si="25"/>
        <v>0</v>
      </c>
      <c r="AI85" s="49">
        <f t="shared" si="25"/>
        <v>0</v>
      </c>
      <c r="AJ85" s="49">
        <f t="shared" si="25"/>
        <v>0</v>
      </c>
      <c r="AK85" s="49">
        <f t="shared" si="25"/>
        <v>0</v>
      </c>
      <c r="AL85" s="49">
        <f t="shared" si="25"/>
        <v>0</v>
      </c>
      <c r="AM85" s="49">
        <f t="shared" si="25"/>
        <v>0</v>
      </c>
      <c r="AN85" s="49">
        <f t="shared" si="25"/>
        <v>0</v>
      </c>
      <c r="AO85" s="49">
        <f t="shared" si="25"/>
        <v>0</v>
      </c>
      <c r="AP85" s="49">
        <f t="shared" si="25"/>
        <v>0</v>
      </c>
      <c r="AQ85" s="49">
        <f t="shared" si="25"/>
        <v>0</v>
      </c>
      <c r="AR85" s="49">
        <f t="shared" si="25"/>
        <v>0</v>
      </c>
      <c r="AS85" s="49">
        <f t="shared" si="25"/>
        <v>0</v>
      </c>
      <c r="AT85" s="49">
        <f t="shared" si="25"/>
        <v>0</v>
      </c>
      <c r="AU85" s="49">
        <f t="shared" si="25"/>
        <v>0</v>
      </c>
      <c r="AV85" s="49">
        <f t="shared" si="25"/>
        <v>0</v>
      </c>
      <c r="AW85" s="49">
        <f t="shared" si="25"/>
        <v>0</v>
      </c>
      <c r="AX85" s="49">
        <f t="shared" si="25"/>
        <v>0</v>
      </c>
      <c r="AY85" s="49">
        <f t="shared" si="25"/>
        <v>0</v>
      </c>
      <c r="AZ85" s="49">
        <f t="shared" si="25"/>
        <v>0</v>
      </c>
      <c r="BA85" s="49">
        <f t="shared" si="25"/>
        <v>0</v>
      </c>
      <c r="BB85" s="49">
        <f t="shared" si="25"/>
        <v>0</v>
      </c>
      <c r="BC85" s="49">
        <f t="shared" ref="BC85" si="26">BC87-BC86</f>
        <v>0</v>
      </c>
    </row>
    <row r="86" spans="4:55" x14ac:dyDescent="0.35">
      <c r="D86" s="58" t="s">
        <v>185</v>
      </c>
      <c r="E86" s="1"/>
      <c r="F86" s="1"/>
      <c r="G86" s="1"/>
      <c r="H86" s="1"/>
      <c r="I86" s="8" t="s">
        <v>36</v>
      </c>
      <c r="J86" s="49">
        <f>'Real values'!L134*'Real values'!M4</f>
        <v>0</v>
      </c>
      <c r="K86" s="49">
        <f>'Real values'!M134*'Real values'!N4</f>
        <v>0</v>
      </c>
      <c r="L86" s="49">
        <f>'Real values'!N134*'Real values'!O4</f>
        <v>0</v>
      </c>
      <c r="M86" s="49">
        <f>'Real values'!O134*'Real values'!P4</f>
        <v>0</v>
      </c>
      <c r="N86" s="49">
        <f>'Real values'!P134*'Real values'!Q4</f>
        <v>0</v>
      </c>
      <c r="O86" s="49">
        <f>'Real values'!Q134*'Real values'!R4</f>
        <v>0</v>
      </c>
      <c r="P86" s="49">
        <f>'Real values'!R134*'Real values'!S4</f>
        <v>0</v>
      </c>
      <c r="Q86" s="49">
        <f>'Real values'!S134*'Real values'!T4</f>
        <v>0</v>
      </c>
      <c r="R86" s="49">
        <f>'Real values'!T134*'Real values'!U4</f>
        <v>0</v>
      </c>
      <c r="S86" s="49">
        <f>'Real values'!U134*'Real values'!V4</f>
        <v>0</v>
      </c>
      <c r="T86" s="49">
        <f>'Real values'!V134*'Real values'!W4</f>
        <v>0</v>
      </c>
      <c r="U86" s="49">
        <f>'Real values'!W134*'Real values'!X4</f>
        <v>0</v>
      </c>
      <c r="V86" s="49">
        <f>'Real values'!X134*'Real values'!Y4</f>
        <v>0</v>
      </c>
      <c r="W86" s="49">
        <f>'Real values'!Y134*'Real values'!Z4</f>
        <v>0</v>
      </c>
      <c r="X86" s="49">
        <f>'Real values'!Z134*'Real values'!AA4</f>
        <v>0</v>
      </c>
      <c r="Y86" s="49">
        <f>'Real values'!AA134*'Real values'!AB4</f>
        <v>0</v>
      </c>
      <c r="Z86" s="49">
        <f>'Real values'!AB134*'Real values'!AC4</f>
        <v>0</v>
      </c>
      <c r="AA86" s="49">
        <f>'Real values'!AC134*'Real values'!AD4</f>
        <v>0</v>
      </c>
      <c r="AB86" s="49">
        <f>'Real values'!AD134*'Real values'!AE4</f>
        <v>0</v>
      </c>
      <c r="AC86" s="49">
        <f>'Real values'!AE134*'Real values'!AF4</f>
        <v>0</v>
      </c>
      <c r="AD86" s="49">
        <f>'Real values'!AF134*'Real values'!AG4</f>
        <v>0</v>
      </c>
      <c r="AE86" s="49">
        <f>'Real values'!AG134*'Real values'!AH4</f>
        <v>0</v>
      </c>
      <c r="AF86" s="49">
        <f>'Real values'!AH134*'Real values'!AI4</f>
        <v>0</v>
      </c>
      <c r="AG86" s="49">
        <f>'Real values'!AI134*'Real values'!AJ4</f>
        <v>0</v>
      </c>
      <c r="AH86" s="49">
        <f>'Real values'!AJ134*'Real values'!AK4</f>
        <v>0</v>
      </c>
      <c r="AI86" s="49">
        <f>'Real values'!AK134*'Real values'!AL4</f>
        <v>0</v>
      </c>
      <c r="AJ86" s="49">
        <f>'Real values'!AL134*'Real values'!AM4</f>
        <v>0</v>
      </c>
      <c r="AK86" s="49">
        <f>'Real values'!AM134*'Real values'!AN4</f>
        <v>0</v>
      </c>
      <c r="AL86" s="49">
        <f>'Real values'!AN134*'Real values'!AO4</f>
        <v>0</v>
      </c>
      <c r="AM86" s="49">
        <f>'Real values'!AO134*'Real values'!AP4</f>
        <v>0</v>
      </c>
      <c r="AN86" s="49">
        <f>'Real values'!AP134*'Real values'!AQ4</f>
        <v>0</v>
      </c>
      <c r="AO86" s="49">
        <f>'Real values'!AQ134*'Real values'!AR4</f>
        <v>0</v>
      </c>
      <c r="AP86" s="49">
        <f>'Real values'!AR134*'Real values'!AS4</f>
        <v>0</v>
      </c>
      <c r="AQ86" s="49">
        <f>'Real values'!AS134*'Real values'!AT4</f>
        <v>0</v>
      </c>
      <c r="AR86" s="49">
        <f>'Real values'!AT134*'Real values'!AU4</f>
        <v>0</v>
      </c>
      <c r="AS86" s="49">
        <f>'Real values'!AU134*'Real values'!AV4</f>
        <v>0</v>
      </c>
      <c r="AT86" s="49">
        <f>'Real values'!AV134*'Real values'!AW4</f>
        <v>0</v>
      </c>
      <c r="AU86" s="49">
        <f>'Real values'!AW134*'Real values'!AX4</f>
        <v>0</v>
      </c>
      <c r="AV86" s="49">
        <f>'Real values'!AX134*'Real values'!AY4</f>
        <v>0</v>
      </c>
      <c r="AW86" s="49">
        <f>'Real values'!AY134*'Real values'!AZ4</f>
        <v>0</v>
      </c>
      <c r="AX86" s="49">
        <f>'Real values'!BA134*'Real values'!BA4</f>
        <v>0</v>
      </c>
      <c r="AY86" s="49">
        <f>'Real values'!BB134*'Real values'!BB4</f>
        <v>0</v>
      </c>
      <c r="AZ86" s="49">
        <f>'Real values'!BC134*'Real values'!BC4</f>
        <v>0</v>
      </c>
      <c r="BA86" s="49">
        <f>'Real values'!BD134*'Real values'!BD4</f>
        <v>0</v>
      </c>
      <c r="BB86" s="49">
        <f>'Real values'!BE134*'Real values'!BE4</f>
        <v>0</v>
      </c>
      <c r="BC86" s="49">
        <f>'Real values'!BF134*'Real values'!BF4</f>
        <v>0</v>
      </c>
    </row>
    <row r="87" spans="4:55" x14ac:dyDescent="0.35">
      <c r="D87" s="3" t="s">
        <v>186</v>
      </c>
      <c r="E87" s="1"/>
      <c r="F87" s="1"/>
      <c r="G87" s="1"/>
      <c r="H87" s="1"/>
      <c r="I87" s="8" t="s">
        <v>36</v>
      </c>
      <c r="J87" s="49">
        <f>Calculations!F41*'Real values'!M4</f>
        <v>0</v>
      </c>
      <c r="K87" s="49">
        <f>Calculations!G41*'Real values'!N4</f>
        <v>0</v>
      </c>
      <c r="L87" s="49">
        <f>Calculations!H41*'Real values'!O4</f>
        <v>0</v>
      </c>
      <c r="M87" s="49">
        <f>Calculations!I41*'Real values'!P4</f>
        <v>0</v>
      </c>
      <c r="N87" s="49">
        <f>Calculations!J41*'Real values'!Q4</f>
        <v>0</v>
      </c>
      <c r="O87" s="49">
        <f>Calculations!K41*'Real values'!R4</f>
        <v>0</v>
      </c>
      <c r="P87" s="49">
        <f>Calculations!L41*'Real values'!S4</f>
        <v>0</v>
      </c>
      <c r="Q87" s="49">
        <f>Calculations!M41*'Real values'!T4</f>
        <v>0</v>
      </c>
      <c r="R87" s="49">
        <f>Calculations!N41*'Real values'!U4</f>
        <v>0</v>
      </c>
      <c r="S87" s="49">
        <f>Calculations!O41*'Real values'!V4</f>
        <v>0</v>
      </c>
      <c r="T87" s="49">
        <f>Calculations!P41*'Real values'!W4</f>
        <v>0</v>
      </c>
      <c r="U87" s="49">
        <f>Calculations!Q41*'Real values'!X4</f>
        <v>0</v>
      </c>
      <c r="V87" s="49">
        <f>Calculations!R41*'Real values'!Y4</f>
        <v>0</v>
      </c>
      <c r="W87" s="49">
        <f>Calculations!S41*'Real values'!Z4</f>
        <v>0</v>
      </c>
      <c r="X87" s="49">
        <f>Calculations!T41*'Real values'!AA4</f>
        <v>0</v>
      </c>
      <c r="Y87" s="49">
        <f>Calculations!U41*'Real values'!AB4</f>
        <v>0</v>
      </c>
      <c r="Z87" s="49">
        <f>Calculations!V41*'Real values'!AC4</f>
        <v>0</v>
      </c>
      <c r="AA87" s="49">
        <f>Calculations!W41*'Real values'!AD4</f>
        <v>0</v>
      </c>
      <c r="AB87" s="49">
        <f>Calculations!X41*'Real values'!AE4</f>
        <v>0</v>
      </c>
      <c r="AC87" s="49">
        <f>Calculations!Y41*'Real values'!AF4</f>
        <v>0</v>
      </c>
      <c r="AD87" s="49">
        <f>Calculations!Z41*'Real values'!AG4</f>
        <v>0</v>
      </c>
      <c r="AE87" s="49">
        <f>Calculations!AA41*'Real values'!AH4</f>
        <v>0</v>
      </c>
      <c r="AF87" s="49">
        <f>Calculations!AB41*'Real values'!AI4</f>
        <v>0</v>
      </c>
      <c r="AG87" s="49">
        <f>Calculations!AC41*'Real values'!AJ4</f>
        <v>0</v>
      </c>
      <c r="AH87" s="49">
        <f>Calculations!AD41*'Real values'!AK4</f>
        <v>0</v>
      </c>
      <c r="AI87" s="49">
        <f>Calculations!AE41*'Real values'!AL4</f>
        <v>0</v>
      </c>
      <c r="AJ87" s="49">
        <f>Calculations!AF41*'Real values'!AM4</f>
        <v>0</v>
      </c>
      <c r="AK87" s="49">
        <f>Calculations!AG41*'Real values'!AN4</f>
        <v>0</v>
      </c>
      <c r="AL87" s="49">
        <f>Calculations!AH41*'Real values'!AO4</f>
        <v>0</v>
      </c>
      <c r="AM87" s="49">
        <f>Calculations!AI41*'Real values'!AP4</f>
        <v>0</v>
      </c>
      <c r="AN87" s="49">
        <f>Calculations!AJ41*'Real values'!AQ4</f>
        <v>0</v>
      </c>
      <c r="AO87" s="49">
        <f>Calculations!AK41*'Real values'!AR4</f>
        <v>0</v>
      </c>
      <c r="AP87" s="49">
        <f>Calculations!AL41*'Real values'!AS4</f>
        <v>0</v>
      </c>
      <c r="AQ87" s="49">
        <f>Calculations!AM41*'Real values'!AT4</f>
        <v>0</v>
      </c>
      <c r="AR87" s="49">
        <f>Calculations!AN41*'Real values'!AU4</f>
        <v>0</v>
      </c>
      <c r="AS87" s="49">
        <f>Calculations!AO41*'Real values'!AV4</f>
        <v>0</v>
      </c>
      <c r="AT87" s="49">
        <f>Calculations!AP41*'Real values'!AW4</f>
        <v>0</v>
      </c>
      <c r="AU87" s="49">
        <f>Calculations!AQ41*'Real values'!AX4</f>
        <v>0</v>
      </c>
      <c r="AV87" s="49">
        <f>Calculations!AR41*'Real values'!AY4</f>
        <v>0</v>
      </c>
      <c r="AW87" s="49">
        <f>Calculations!AS41*'Real values'!AZ4</f>
        <v>0</v>
      </c>
      <c r="AX87" s="49">
        <f>Calculations!AT41*'Real values'!BA4</f>
        <v>0</v>
      </c>
      <c r="AY87" s="49">
        <f>Calculations!AU41*'Real values'!BB4</f>
        <v>0</v>
      </c>
      <c r="AZ87" s="49">
        <f>Calculations!AV41*'Real values'!BC4</f>
        <v>0</v>
      </c>
      <c r="BA87" s="49">
        <f>Calculations!AW41*'Real values'!BD4</f>
        <v>0</v>
      </c>
      <c r="BB87" s="49">
        <f>Calculations!AX41*'Real values'!BE4</f>
        <v>0</v>
      </c>
      <c r="BC87" s="49">
        <f>Calculations!AY41*'Real values'!BF4</f>
        <v>0</v>
      </c>
    </row>
    <row r="88" spans="4:55" x14ac:dyDescent="0.35">
      <c r="D88" s="2" t="s">
        <v>133</v>
      </c>
      <c r="E88" s="2"/>
      <c r="F88" s="2"/>
      <c r="G88" s="2"/>
      <c r="H88" s="2"/>
      <c r="I88" s="8" t="s">
        <v>36</v>
      </c>
      <c r="J88" s="49">
        <f>J121*'Real values'!M$4</f>
        <v>0</v>
      </c>
      <c r="K88" s="49">
        <f>K121*'Real values'!N$4</f>
        <v>0</v>
      </c>
      <c r="L88" s="49">
        <f>L121*'Real values'!O$4</f>
        <v>0</v>
      </c>
      <c r="M88" s="49">
        <f>M121*'Real values'!P$4</f>
        <v>0</v>
      </c>
      <c r="N88" s="49">
        <f>N121*'Real values'!Q$4</f>
        <v>0</v>
      </c>
      <c r="O88" s="49">
        <f>O121*'Real values'!R$4</f>
        <v>0</v>
      </c>
      <c r="P88" s="49">
        <f>P121*'Real values'!S$4</f>
        <v>0</v>
      </c>
      <c r="Q88" s="49">
        <f>Q121*'Real values'!T$4</f>
        <v>0</v>
      </c>
      <c r="R88" s="49">
        <f>R121*'Real values'!U$4</f>
        <v>0</v>
      </c>
      <c r="S88" s="49">
        <f>S121*'Real values'!V$4</f>
        <v>0</v>
      </c>
      <c r="T88" s="49">
        <f>T121*'Real values'!W$4</f>
        <v>0</v>
      </c>
      <c r="U88" s="49">
        <f>U121*'Real values'!X$4</f>
        <v>0</v>
      </c>
      <c r="V88" s="49">
        <f>V121*'Real values'!Y$4</f>
        <v>0</v>
      </c>
      <c r="W88" s="49">
        <f>W121*'Real values'!Z$4</f>
        <v>0</v>
      </c>
      <c r="X88" s="49">
        <f>X121*'Real values'!AA$4</f>
        <v>0</v>
      </c>
      <c r="Y88" s="49">
        <f>Y121*'Real values'!AB$4</f>
        <v>0</v>
      </c>
      <c r="Z88" s="49">
        <f>Z121*'Real values'!AC$4</f>
        <v>0</v>
      </c>
      <c r="AA88" s="49">
        <f>AA121*'Real values'!AD$4</f>
        <v>0</v>
      </c>
      <c r="AB88" s="49">
        <f>AB121*'Real values'!AE$4</f>
        <v>0</v>
      </c>
      <c r="AC88" s="49">
        <f>AC121*'Real values'!AF$4</f>
        <v>0</v>
      </c>
      <c r="AD88" s="49">
        <f>AD121*'Real values'!AG$4</f>
        <v>0</v>
      </c>
      <c r="AE88" s="49">
        <f>AE121*'Real values'!AH$4</f>
        <v>0</v>
      </c>
      <c r="AF88" s="49">
        <f>AF121*'Real values'!AI$4</f>
        <v>0</v>
      </c>
      <c r="AG88" s="49">
        <f>AG121*'Real values'!AJ$4</f>
        <v>0</v>
      </c>
      <c r="AH88" s="49">
        <f>AH121*'Real values'!AK$4</f>
        <v>0</v>
      </c>
      <c r="AI88" s="49">
        <f>AI121*'Real values'!AL$4</f>
        <v>0</v>
      </c>
      <c r="AJ88" s="49">
        <f>AJ121*'Real values'!AM$4</f>
        <v>0</v>
      </c>
      <c r="AK88" s="49">
        <f>AK121*'Real values'!AN$4</f>
        <v>0</v>
      </c>
      <c r="AL88" s="49">
        <f>AL121*'Real values'!AO$4</f>
        <v>0</v>
      </c>
      <c r="AM88" s="49">
        <f>AM121*'Real values'!AP$4</f>
        <v>0</v>
      </c>
      <c r="AN88" s="49">
        <f>AN121*'Real values'!AQ$4</f>
        <v>0</v>
      </c>
      <c r="AO88" s="49">
        <f>AO121*'Real values'!AR$4</f>
        <v>0</v>
      </c>
      <c r="AP88" s="49">
        <f>AP121*'Real values'!AS$4</f>
        <v>0</v>
      </c>
      <c r="AQ88" s="49">
        <f>AQ121*'Real values'!AT$4</f>
        <v>0</v>
      </c>
      <c r="AR88" s="49">
        <f>AR121*'Real values'!AU$4</f>
        <v>0</v>
      </c>
      <c r="AS88" s="49">
        <f>AS121*'Real values'!AV$4</f>
        <v>0</v>
      </c>
      <c r="AT88" s="49">
        <f>AT121*'Real values'!AW$4</f>
        <v>0</v>
      </c>
      <c r="AU88" s="49">
        <f>AU121*'Real values'!AX$4</f>
        <v>0</v>
      </c>
      <c r="AV88" s="49">
        <f>AV121*'Real values'!AY$4</f>
        <v>0</v>
      </c>
      <c r="AW88" s="49">
        <f>AW121*'Real values'!AZ$4</f>
        <v>0</v>
      </c>
      <c r="AX88" s="49">
        <f>AX121*'Real values'!BA$4</f>
        <v>0</v>
      </c>
      <c r="AY88" s="49">
        <f>AY121*'Real values'!BB$4</f>
        <v>0</v>
      </c>
      <c r="AZ88" s="49">
        <f>AZ121*'Real values'!BC$4</f>
        <v>0</v>
      </c>
      <c r="BA88" s="49">
        <f>BA121*'Real values'!BD$4</f>
        <v>0</v>
      </c>
      <c r="BB88" s="49">
        <f>BB121*'Real values'!BE$4</f>
        <v>0</v>
      </c>
      <c r="BC88" s="49">
        <f>BC121*'Real values'!BF$4</f>
        <v>0</v>
      </c>
    </row>
    <row r="89" spans="4:55" x14ac:dyDescent="0.35">
      <c r="D89" s="2" t="s">
        <v>134</v>
      </c>
      <c r="E89" s="2"/>
      <c r="F89" s="2"/>
      <c r="G89" s="2"/>
      <c r="H89" s="2"/>
      <c r="I89" s="8" t="s">
        <v>36</v>
      </c>
      <c r="J89" s="49">
        <f>J122*'Real values'!M$4</f>
        <v>0</v>
      </c>
      <c r="K89" s="49">
        <f>K122*'Real values'!N$4</f>
        <v>0</v>
      </c>
      <c r="L89" s="49">
        <f>L122*'Real values'!O$4</f>
        <v>0</v>
      </c>
      <c r="M89" s="49">
        <f>M122*'Real values'!P$4</f>
        <v>0</v>
      </c>
      <c r="N89" s="49">
        <f>N122*'Real values'!Q$4</f>
        <v>0</v>
      </c>
      <c r="O89" s="49">
        <f>O122*'Real values'!R$4</f>
        <v>0</v>
      </c>
      <c r="P89" s="49">
        <f>P122*'Real values'!S$4</f>
        <v>0</v>
      </c>
      <c r="Q89" s="49">
        <f>Q122*'Real values'!T$4</f>
        <v>0</v>
      </c>
      <c r="R89" s="49">
        <f>R122*'Real values'!U$4</f>
        <v>0</v>
      </c>
      <c r="S89" s="49">
        <f>S122*'Real values'!V$4</f>
        <v>0</v>
      </c>
      <c r="T89" s="49">
        <f>T122*'Real values'!W$4</f>
        <v>0</v>
      </c>
      <c r="U89" s="49">
        <f>U122*'Real values'!X$4</f>
        <v>0</v>
      </c>
      <c r="V89" s="49">
        <f>V122*'Real values'!Y$4</f>
        <v>0</v>
      </c>
      <c r="W89" s="49">
        <f>W122*'Real values'!Z$4</f>
        <v>0</v>
      </c>
      <c r="X89" s="49">
        <f>X122*'Real values'!AA$4</f>
        <v>0</v>
      </c>
      <c r="Y89" s="49">
        <f>Y122*'Real values'!AB$4</f>
        <v>0</v>
      </c>
      <c r="Z89" s="49">
        <f>Z122*'Real values'!AC$4</f>
        <v>0</v>
      </c>
      <c r="AA89" s="49">
        <f>AA122*'Real values'!AD$4</f>
        <v>0</v>
      </c>
      <c r="AB89" s="49">
        <f>AB122*'Real values'!AE$4</f>
        <v>0</v>
      </c>
      <c r="AC89" s="49">
        <f>AC122*'Real values'!AF$4</f>
        <v>0</v>
      </c>
      <c r="AD89" s="49">
        <f>AD122*'Real values'!AG$4</f>
        <v>0</v>
      </c>
      <c r="AE89" s="49">
        <f>AE122*'Real values'!AH$4</f>
        <v>0</v>
      </c>
      <c r="AF89" s="49">
        <f>AF122*'Real values'!AI$4</f>
        <v>0</v>
      </c>
      <c r="AG89" s="49">
        <f>AG122*'Real values'!AJ$4</f>
        <v>0</v>
      </c>
      <c r="AH89" s="49">
        <f>AH122*'Real values'!AK$4</f>
        <v>0</v>
      </c>
      <c r="AI89" s="49">
        <f>AI122*'Real values'!AL$4</f>
        <v>0</v>
      </c>
      <c r="AJ89" s="49">
        <f>AJ122*'Real values'!AM$4</f>
        <v>0</v>
      </c>
      <c r="AK89" s="49">
        <f>AK122*'Real values'!AN$4</f>
        <v>0</v>
      </c>
      <c r="AL89" s="49">
        <f>AL122*'Real values'!AO$4</f>
        <v>0</v>
      </c>
      <c r="AM89" s="49">
        <f>AM122*'Real values'!AP$4</f>
        <v>0</v>
      </c>
      <c r="AN89" s="49">
        <f>AN122*'Real values'!AQ$4</f>
        <v>0</v>
      </c>
      <c r="AO89" s="49">
        <f>AO122*'Real values'!AR$4</f>
        <v>0</v>
      </c>
      <c r="AP89" s="49">
        <f>AP122*'Real values'!AS$4</f>
        <v>0</v>
      </c>
      <c r="AQ89" s="49">
        <f>AQ122*'Real values'!AT$4</f>
        <v>0</v>
      </c>
      <c r="AR89" s="49">
        <f>AR122*'Real values'!AU$4</f>
        <v>0</v>
      </c>
      <c r="AS89" s="49">
        <f>AS122*'Real values'!AV$4</f>
        <v>0</v>
      </c>
      <c r="AT89" s="49">
        <f>AT122*'Real values'!AW$4</f>
        <v>0</v>
      </c>
      <c r="AU89" s="49">
        <f>AU122*'Real values'!AX$4</f>
        <v>0</v>
      </c>
      <c r="AV89" s="49">
        <f>AV122*'Real values'!AY$4</f>
        <v>0</v>
      </c>
      <c r="AW89" s="49">
        <f>AW122*'Real values'!AZ$4</f>
        <v>0</v>
      </c>
      <c r="AX89" s="49">
        <f>AX122*'Real values'!BA$4</f>
        <v>0</v>
      </c>
      <c r="AY89" s="49">
        <f>AY122*'Real values'!BB$4</f>
        <v>0</v>
      </c>
      <c r="AZ89" s="49">
        <f>AZ122*'Real values'!BC$4</f>
        <v>0</v>
      </c>
      <c r="BA89" s="49">
        <f>BA122*'Real values'!BD$4</f>
        <v>0</v>
      </c>
      <c r="BB89" s="49">
        <f>BB122*'Real values'!BE$4</f>
        <v>0</v>
      </c>
      <c r="BC89" s="49">
        <f>BC122*'Real values'!BF$4</f>
        <v>0</v>
      </c>
    </row>
    <row r="90" spans="4:55" x14ac:dyDescent="0.35">
      <c r="D90" s="2" t="s">
        <v>135</v>
      </c>
      <c r="E90" s="2"/>
      <c r="F90" s="2"/>
      <c r="G90" s="2"/>
      <c r="H90" s="2"/>
      <c r="I90" s="8" t="s">
        <v>36</v>
      </c>
      <c r="J90" s="49">
        <f>J123*'Real values'!M$4</f>
        <v>0</v>
      </c>
      <c r="K90" s="49">
        <f>K123*'Real values'!N$4</f>
        <v>0</v>
      </c>
      <c r="L90" s="49">
        <f>L123*'Real values'!O$4</f>
        <v>0</v>
      </c>
      <c r="M90" s="49">
        <f>M123*'Real values'!P$4</f>
        <v>0</v>
      </c>
      <c r="N90" s="49">
        <f>N123*'Real values'!Q$4</f>
        <v>0</v>
      </c>
      <c r="O90" s="49">
        <f>O123*'Real values'!R$4</f>
        <v>0</v>
      </c>
      <c r="P90" s="49">
        <f>P123*'Real values'!S$4</f>
        <v>0</v>
      </c>
      <c r="Q90" s="49">
        <f>Q123*'Real values'!T$4</f>
        <v>0</v>
      </c>
      <c r="R90" s="49">
        <f>R123*'Real values'!U$4</f>
        <v>0</v>
      </c>
      <c r="S90" s="49">
        <f>S123*'Real values'!V$4</f>
        <v>0</v>
      </c>
      <c r="T90" s="49">
        <f>T123*'Real values'!W$4</f>
        <v>0</v>
      </c>
      <c r="U90" s="49">
        <f>U123*'Real values'!X$4</f>
        <v>0</v>
      </c>
      <c r="V90" s="49">
        <f>V123*'Real values'!Y$4</f>
        <v>0</v>
      </c>
      <c r="W90" s="49">
        <f>W123*'Real values'!Z$4</f>
        <v>0</v>
      </c>
      <c r="X90" s="49">
        <f>X123*'Real values'!AA$4</f>
        <v>0</v>
      </c>
      <c r="Y90" s="49">
        <f>Y123*'Real values'!AB$4</f>
        <v>0</v>
      </c>
      <c r="Z90" s="49">
        <f>Z123*'Real values'!AC$4</f>
        <v>0</v>
      </c>
      <c r="AA90" s="49">
        <f>AA123*'Real values'!AD$4</f>
        <v>0</v>
      </c>
      <c r="AB90" s="49">
        <f>AB123*'Real values'!AE$4</f>
        <v>0</v>
      </c>
      <c r="AC90" s="49">
        <f>AC123*'Real values'!AF$4</f>
        <v>0</v>
      </c>
      <c r="AD90" s="49">
        <f>AD123*'Real values'!AG$4</f>
        <v>0</v>
      </c>
      <c r="AE90" s="49">
        <f>AE123*'Real values'!AH$4</f>
        <v>0</v>
      </c>
      <c r="AF90" s="49">
        <f>AF123*'Real values'!AI$4</f>
        <v>0</v>
      </c>
      <c r="AG90" s="49">
        <f>AG123*'Real values'!AJ$4</f>
        <v>0</v>
      </c>
      <c r="AH90" s="49">
        <f>AH123*'Real values'!AK$4</f>
        <v>0</v>
      </c>
      <c r="AI90" s="49">
        <f>AI123*'Real values'!AL$4</f>
        <v>0</v>
      </c>
      <c r="AJ90" s="49">
        <f>AJ123*'Real values'!AM$4</f>
        <v>0</v>
      </c>
      <c r="AK90" s="49">
        <f>AK123*'Real values'!AN$4</f>
        <v>0</v>
      </c>
      <c r="AL90" s="49">
        <f>AL123*'Real values'!AO$4</f>
        <v>0</v>
      </c>
      <c r="AM90" s="49">
        <f>AM123*'Real values'!AP$4</f>
        <v>0</v>
      </c>
      <c r="AN90" s="49">
        <f>AN123*'Real values'!AQ$4</f>
        <v>0</v>
      </c>
      <c r="AO90" s="49">
        <f>AO123*'Real values'!AR$4</f>
        <v>0</v>
      </c>
      <c r="AP90" s="49">
        <f>AP123*'Real values'!AS$4</f>
        <v>0</v>
      </c>
      <c r="AQ90" s="49">
        <f>AQ123*'Real values'!AT$4</f>
        <v>0</v>
      </c>
      <c r="AR90" s="49">
        <f>AR123*'Real values'!AU$4</f>
        <v>0</v>
      </c>
      <c r="AS90" s="49">
        <f>AS123*'Real values'!AV$4</f>
        <v>0</v>
      </c>
      <c r="AT90" s="49">
        <f>AT123*'Real values'!AW$4</f>
        <v>0</v>
      </c>
      <c r="AU90" s="49">
        <f>AU123*'Real values'!AX$4</f>
        <v>0</v>
      </c>
      <c r="AV90" s="49">
        <f>AV123*'Real values'!AY$4</f>
        <v>0</v>
      </c>
      <c r="AW90" s="49">
        <f>AW123*'Real values'!AZ$4</f>
        <v>0</v>
      </c>
      <c r="AX90" s="49">
        <f>AX123*'Real values'!BA$4</f>
        <v>0</v>
      </c>
      <c r="AY90" s="49">
        <f>AY123*'Real values'!BB$4</f>
        <v>0</v>
      </c>
      <c r="AZ90" s="49">
        <f>AZ123*'Real values'!BC$4</f>
        <v>0</v>
      </c>
      <c r="BA90" s="49">
        <f>BA123*'Real values'!BD$4</f>
        <v>0</v>
      </c>
      <c r="BB90" s="49">
        <f>BB123*'Real values'!BE$4</f>
        <v>0</v>
      </c>
      <c r="BC90" s="49">
        <f>BC123*'Real values'!BF$4</f>
        <v>0</v>
      </c>
    </row>
    <row r="91" spans="4:55" x14ac:dyDescent="0.35">
      <c r="D91" s="2" t="s">
        <v>187</v>
      </c>
      <c r="E91" s="2"/>
      <c r="F91" s="2"/>
      <c r="G91" s="2"/>
      <c r="H91" s="2"/>
      <c r="I91" s="8" t="s">
        <v>36</v>
      </c>
      <c r="J91" s="49">
        <f>J85+SUM(J88:J90)</f>
        <v>0</v>
      </c>
      <c r="K91" s="49">
        <f t="shared" ref="K91:BB91" si="27">K85+SUM(K88:K90)</f>
        <v>0</v>
      </c>
      <c r="L91" s="49">
        <f t="shared" si="27"/>
        <v>0</v>
      </c>
      <c r="M91" s="49">
        <f t="shared" si="27"/>
        <v>0</v>
      </c>
      <c r="N91" s="49">
        <f t="shared" si="27"/>
        <v>0</v>
      </c>
      <c r="O91" s="49">
        <f t="shared" si="27"/>
        <v>0</v>
      </c>
      <c r="P91" s="49">
        <f t="shared" si="27"/>
        <v>0</v>
      </c>
      <c r="Q91" s="49">
        <f t="shared" si="27"/>
        <v>0</v>
      </c>
      <c r="R91" s="49">
        <f t="shared" si="27"/>
        <v>0</v>
      </c>
      <c r="S91" s="49">
        <f t="shared" si="27"/>
        <v>0</v>
      </c>
      <c r="T91" s="49">
        <f t="shared" si="27"/>
        <v>0</v>
      </c>
      <c r="U91" s="49">
        <f t="shared" si="27"/>
        <v>0</v>
      </c>
      <c r="V91" s="49">
        <f t="shared" si="27"/>
        <v>0</v>
      </c>
      <c r="W91" s="49">
        <f t="shared" si="27"/>
        <v>0</v>
      </c>
      <c r="X91" s="49">
        <f t="shared" si="27"/>
        <v>0</v>
      </c>
      <c r="Y91" s="49">
        <f t="shared" si="27"/>
        <v>0</v>
      </c>
      <c r="Z91" s="49">
        <f t="shared" si="27"/>
        <v>0</v>
      </c>
      <c r="AA91" s="49">
        <f t="shared" si="27"/>
        <v>0</v>
      </c>
      <c r="AB91" s="49">
        <f t="shared" si="27"/>
        <v>0</v>
      </c>
      <c r="AC91" s="49">
        <f t="shared" si="27"/>
        <v>0</v>
      </c>
      <c r="AD91" s="49">
        <f t="shared" si="27"/>
        <v>0</v>
      </c>
      <c r="AE91" s="49">
        <f t="shared" si="27"/>
        <v>0</v>
      </c>
      <c r="AF91" s="49">
        <f t="shared" si="27"/>
        <v>0</v>
      </c>
      <c r="AG91" s="49">
        <f t="shared" si="27"/>
        <v>0</v>
      </c>
      <c r="AH91" s="49">
        <f t="shared" si="27"/>
        <v>0</v>
      </c>
      <c r="AI91" s="49">
        <f t="shared" si="27"/>
        <v>0</v>
      </c>
      <c r="AJ91" s="49">
        <f t="shared" si="27"/>
        <v>0</v>
      </c>
      <c r="AK91" s="49">
        <f t="shared" si="27"/>
        <v>0</v>
      </c>
      <c r="AL91" s="49">
        <f t="shared" si="27"/>
        <v>0</v>
      </c>
      <c r="AM91" s="49">
        <f t="shared" si="27"/>
        <v>0</v>
      </c>
      <c r="AN91" s="49">
        <f t="shared" si="27"/>
        <v>0</v>
      </c>
      <c r="AO91" s="49">
        <f t="shared" si="27"/>
        <v>0</v>
      </c>
      <c r="AP91" s="49">
        <f t="shared" si="27"/>
        <v>0</v>
      </c>
      <c r="AQ91" s="49">
        <f t="shared" si="27"/>
        <v>0</v>
      </c>
      <c r="AR91" s="49">
        <f t="shared" si="27"/>
        <v>0</v>
      </c>
      <c r="AS91" s="49">
        <f t="shared" si="27"/>
        <v>0</v>
      </c>
      <c r="AT91" s="49">
        <f t="shared" si="27"/>
        <v>0</v>
      </c>
      <c r="AU91" s="49">
        <f t="shared" si="27"/>
        <v>0</v>
      </c>
      <c r="AV91" s="49">
        <f t="shared" si="27"/>
        <v>0</v>
      </c>
      <c r="AW91" s="49">
        <f t="shared" si="27"/>
        <v>0</v>
      </c>
      <c r="AX91" s="49">
        <f t="shared" si="27"/>
        <v>0</v>
      </c>
      <c r="AY91" s="49">
        <f t="shared" si="27"/>
        <v>0</v>
      </c>
      <c r="AZ91" s="49">
        <f t="shared" si="27"/>
        <v>0</v>
      </c>
      <c r="BA91" s="49">
        <f t="shared" si="27"/>
        <v>0</v>
      </c>
      <c r="BB91" s="49">
        <f t="shared" si="27"/>
        <v>0</v>
      </c>
      <c r="BC91" s="49">
        <f t="shared" ref="BC91" si="28">BC85+SUM(BC88:BC90)</f>
        <v>0</v>
      </c>
    </row>
    <row r="92" spans="4:55" x14ac:dyDescent="0.35">
      <c r="D92" s="2" t="s">
        <v>188</v>
      </c>
      <c r="E92" s="2"/>
      <c r="F92" s="2"/>
      <c r="G92" s="2"/>
      <c r="H92" s="2"/>
      <c r="I92" s="8" t="s">
        <v>36</v>
      </c>
      <c r="J92" s="49">
        <f>SUM(J87:J89)</f>
        <v>0</v>
      </c>
      <c r="K92" s="49">
        <f t="shared" ref="K92:BB92" si="29">SUM(K87:K89)</f>
        <v>0</v>
      </c>
      <c r="L92" s="49">
        <f t="shared" si="29"/>
        <v>0</v>
      </c>
      <c r="M92" s="49">
        <f t="shared" si="29"/>
        <v>0</v>
      </c>
      <c r="N92" s="49">
        <f t="shared" si="29"/>
        <v>0</v>
      </c>
      <c r="O92" s="49">
        <f t="shared" si="29"/>
        <v>0</v>
      </c>
      <c r="P92" s="49">
        <f t="shared" si="29"/>
        <v>0</v>
      </c>
      <c r="Q92" s="49">
        <f t="shared" si="29"/>
        <v>0</v>
      </c>
      <c r="R92" s="49">
        <f t="shared" si="29"/>
        <v>0</v>
      </c>
      <c r="S92" s="49">
        <f t="shared" si="29"/>
        <v>0</v>
      </c>
      <c r="T92" s="49">
        <f t="shared" si="29"/>
        <v>0</v>
      </c>
      <c r="U92" s="49">
        <f t="shared" si="29"/>
        <v>0</v>
      </c>
      <c r="V92" s="49">
        <f t="shared" si="29"/>
        <v>0</v>
      </c>
      <c r="W92" s="49">
        <f t="shared" si="29"/>
        <v>0</v>
      </c>
      <c r="X92" s="49">
        <f t="shared" si="29"/>
        <v>0</v>
      </c>
      <c r="Y92" s="49">
        <f t="shared" si="29"/>
        <v>0</v>
      </c>
      <c r="Z92" s="49">
        <f t="shared" si="29"/>
        <v>0</v>
      </c>
      <c r="AA92" s="49">
        <f t="shared" si="29"/>
        <v>0</v>
      </c>
      <c r="AB92" s="49">
        <f t="shared" si="29"/>
        <v>0</v>
      </c>
      <c r="AC92" s="49">
        <f t="shared" si="29"/>
        <v>0</v>
      </c>
      <c r="AD92" s="49">
        <f t="shared" si="29"/>
        <v>0</v>
      </c>
      <c r="AE92" s="49">
        <f t="shared" si="29"/>
        <v>0</v>
      </c>
      <c r="AF92" s="49">
        <f t="shared" si="29"/>
        <v>0</v>
      </c>
      <c r="AG92" s="49">
        <f t="shared" si="29"/>
        <v>0</v>
      </c>
      <c r="AH92" s="49">
        <f t="shared" si="29"/>
        <v>0</v>
      </c>
      <c r="AI92" s="49">
        <f t="shared" si="29"/>
        <v>0</v>
      </c>
      <c r="AJ92" s="49">
        <f t="shared" si="29"/>
        <v>0</v>
      </c>
      <c r="AK92" s="49">
        <f t="shared" si="29"/>
        <v>0</v>
      </c>
      <c r="AL92" s="49">
        <f t="shared" si="29"/>
        <v>0</v>
      </c>
      <c r="AM92" s="49">
        <f t="shared" si="29"/>
        <v>0</v>
      </c>
      <c r="AN92" s="49">
        <f t="shared" si="29"/>
        <v>0</v>
      </c>
      <c r="AO92" s="49">
        <f t="shared" si="29"/>
        <v>0</v>
      </c>
      <c r="AP92" s="49">
        <f t="shared" si="29"/>
        <v>0</v>
      </c>
      <c r="AQ92" s="49">
        <f t="shared" si="29"/>
        <v>0</v>
      </c>
      <c r="AR92" s="49">
        <f t="shared" si="29"/>
        <v>0</v>
      </c>
      <c r="AS92" s="49">
        <f t="shared" si="29"/>
        <v>0</v>
      </c>
      <c r="AT92" s="49">
        <f t="shared" si="29"/>
        <v>0</v>
      </c>
      <c r="AU92" s="49">
        <f t="shared" si="29"/>
        <v>0</v>
      </c>
      <c r="AV92" s="49">
        <f t="shared" si="29"/>
        <v>0</v>
      </c>
      <c r="AW92" s="49">
        <f t="shared" si="29"/>
        <v>0</v>
      </c>
      <c r="AX92" s="49">
        <f t="shared" si="29"/>
        <v>0</v>
      </c>
      <c r="AY92" s="49">
        <f t="shared" si="29"/>
        <v>0</v>
      </c>
      <c r="AZ92" s="49">
        <f t="shared" si="29"/>
        <v>0</v>
      </c>
      <c r="BA92" s="49">
        <f t="shared" si="29"/>
        <v>0</v>
      </c>
      <c r="BB92" s="49">
        <f t="shared" si="29"/>
        <v>0</v>
      </c>
      <c r="BC92" s="49">
        <f t="shared" ref="BC92" si="30">SUM(BC87:BC89)</f>
        <v>0</v>
      </c>
    </row>
    <row r="93" spans="4:55" x14ac:dyDescent="0.35">
      <c r="D93" s="2" t="s">
        <v>127</v>
      </c>
      <c r="E93" s="2"/>
      <c r="F93" s="2"/>
      <c r="G93" s="2"/>
      <c r="H93" s="2"/>
      <c r="I93" s="8" t="s">
        <v>36</v>
      </c>
      <c r="J93" s="49">
        <f>J126*'Real values'!M$4</f>
        <v>0</v>
      </c>
      <c r="K93" s="49">
        <f>K126*'Real values'!N$4</f>
        <v>0</v>
      </c>
      <c r="L93" s="49">
        <f>L126*'Real values'!O$4</f>
        <v>0</v>
      </c>
      <c r="M93" s="49">
        <f>M126*'Real values'!P$4</f>
        <v>0</v>
      </c>
      <c r="N93" s="49">
        <f>N126*'Real values'!Q$4</f>
        <v>0</v>
      </c>
      <c r="O93" s="49">
        <f>O126*'Real values'!R$4</f>
        <v>0</v>
      </c>
      <c r="P93" s="49">
        <f>P126*'Real values'!S$4</f>
        <v>0</v>
      </c>
      <c r="Q93" s="49">
        <f>Q126*'Real values'!T$4</f>
        <v>0</v>
      </c>
      <c r="R93" s="49">
        <f>R126*'Real values'!U$4</f>
        <v>0</v>
      </c>
      <c r="S93" s="49">
        <f>S126*'Real values'!V$4</f>
        <v>0</v>
      </c>
      <c r="T93" s="49">
        <f>T126*'Real values'!W$4</f>
        <v>0</v>
      </c>
      <c r="U93" s="49">
        <f>U126*'Real values'!X$4</f>
        <v>0</v>
      </c>
      <c r="V93" s="49">
        <f>V126*'Real values'!Y$4</f>
        <v>0</v>
      </c>
      <c r="W93" s="49">
        <f>W126*'Real values'!Z$4</f>
        <v>0</v>
      </c>
      <c r="X93" s="49">
        <f>X126*'Real values'!AA$4</f>
        <v>0</v>
      </c>
      <c r="Y93" s="49">
        <f>Y126*'Real values'!AB$4</f>
        <v>0</v>
      </c>
      <c r="Z93" s="49">
        <f>Z126*'Real values'!AC$4</f>
        <v>0</v>
      </c>
      <c r="AA93" s="49">
        <f>AA126*'Real values'!AD$4</f>
        <v>0</v>
      </c>
      <c r="AB93" s="49">
        <f>AB126*'Real values'!AE$4</f>
        <v>0</v>
      </c>
      <c r="AC93" s="49">
        <f>AC126*'Real values'!AF$4</f>
        <v>0</v>
      </c>
      <c r="AD93" s="49">
        <f>AD126*'Real values'!AG$4</f>
        <v>0</v>
      </c>
      <c r="AE93" s="49">
        <f>AE126*'Real values'!AH$4</f>
        <v>0</v>
      </c>
      <c r="AF93" s="49">
        <f>AF126*'Real values'!AI$4</f>
        <v>0</v>
      </c>
      <c r="AG93" s="49">
        <f>AG126*'Real values'!AJ$4</f>
        <v>0</v>
      </c>
      <c r="AH93" s="49">
        <f>AH126*'Real values'!AK$4</f>
        <v>0</v>
      </c>
      <c r="AI93" s="49">
        <f>AI126*'Real values'!AL$4</f>
        <v>0</v>
      </c>
      <c r="AJ93" s="49">
        <f>AJ126*'Real values'!AM$4</f>
        <v>0</v>
      </c>
      <c r="AK93" s="49">
        <f>AK126*'Real values'!AN$4</f>
        <v>0</v>
      </c>
      <c r="AL93" s="49">
        <f>AL126*'Real values'!AO$4</f>
        <v>0</v>
      </c>
      <c r="AM93" s="49">
        <f>AM126*'Real values'!AP$4</f>
        <v>0</v>
      </c>
      <c r="AN93" s="49">
        <f>AN126*'Real values'!AQ$4</f>
        <v>0</v>
      </c>
      <c r="AO93" s="49">
        <f>AO126*'Real values'!AR$4</f>
        <v>0</v>
      </c>
      <c r="AP93" s="49">
        <f>AP126*'Real values'!AS$4</f>
        <v>0</v>
      </c>
      <c r="AQ93" s="49">
        <f>AQ126*'Real values'!AT$4</f>
        <v>0</v>
      </c>
      <c r="AR93" s="49">
        <f>AR126*'Real values'!AU$4</f>
        <v>0</v>
      </c>
      <c r="AS93" s="49">
        <f>AS126*'Real values'!AV$4</f>
        <v>0</v>
      </c>
      <c r="AT93" s="49">
        <f>AT126*'Real values'!AW$4</f>
        <v>0</v>
      </c>
      <c r="AU93" s="49">
        <f>AU126*'Real values'!AX$4</f>
        <v>0</v>
      </c>
      <c r="AV93" s="49">
        <f>AV126*'Real values'!AY$4</f>
        <v>0</v>
      </c>
      <c r="AW93" s="49">
        <f>AW126*'Real values'!AZ$4</f>
        <v>0</v>
      </c>
      <c r="AX93" s="49">
        <f>AX126*'Real values'!BA$4</f>
        <v>0</v>
      </c>
      <c r="AY93" s="49">
        <f>AY126*'Real values'!BB$4</f>
        <v>0</v>
      </c>
      <c r="AZ93" s="49">
        <f>AZ126*'Real values'!BC$4</f>
        <v>0</v>
      </c>
      <c r="BA93" s="49">
        <f>BA126*'Real values'!BD$4</f>
        <v>0</v>
      </c>
      <c r="BB93" s="49">
        <f>BB126*'Real values'!BE$4</f>
        <v>0</v>
      </c>
      <c r="BC93" s="49">
        <f>BC126*'Real values'!BF$4</f>
        <v>0</v>
      </c>
    </row>
    <row r="94" spans="4:55" x14ac:dyDescent="0.35">
      <c r="D94" s="2" t="s">
        <v>189</v>
      </c>
      <c r="E94" s="2"/>
      <c r="F94" s="2"/>
      <c r="G94" s="2"/>
      <c r="H94" s="2"/>
      <c r="I94" s="8" t="s">
        <v>36</v>
      </c>
      <c r="J94" s="49">
        <f>J93-J91</f>
        <v>0</v>
      </c>
      <c r="K94" s="49">
        <f t="shared" ref="K94:BB94" si="31">K93-K91</f>
        <v>0</v>
      </c>
      <c r="L94" s="49">
        <f t="shared" si="31"/>
        <v>0</v>
      </c>
      <c r="M94" s="49">
        <f t="shared" si="31"/>
        <v>0</v>
      </c>
      <c r="N94" s="49">
        <f t="shared" si="31"/>
        <v>0</v>
      </c>
      <c r="O94" s="49">
        <f t="shared" si="31"/>
        <v>0</v>
      </c>
      <c r="P94" s="49">
        <f t="shared" si="31"/>
        <v>0</v>
      </c>
      <c r="Q94" s="49">
        <f t="shared" si="31"/>
        <v>0</v>
      </c>
      <c r="R94" s="49">
        <f t="shared" si="31"/>
        <v>0</v>
      </c>
      <c r="S94" s="49">
        <f t="shared" si="31"/>
        <v>0</v>
      </c>
      <c r="T94" s="49">
        <f t="shared" si="31"/>
        <v>0</v>
      </c>
      <c r="U94" s="49">
        <f t="shared" si="31"/>
        <v>0</v>
      </c>
      <c r="V94" s="49">
        <f t="shared" si="31"/>
        <v>0</v>
      </c>
      <c r="W94" s="49">
        <f t="shared" si="31"/>
        <v>0</v>
      </c>
      <c r="X94" s="49">
        <f t="shared" si="31"/>
        <v>0</v>
      </c>
      <c r="Y94" s="49">
        <f t="shared" si="31"/>
        <v>0</v>
      </c>
      <c r="Z94" s="49">
        <f t="shared" si="31"/>
        <v>0</v>
      </c>
      <c r="AA94" s="49">
        <f t="shared" si="31"/>
        <v>0</v>
      </c>
      <c r="AB94" s="49">
        <f t="shared" si="31"/>
        <v>0</v>
      </c>
      <c r="AC94" s="49">
        <f t="shared" si="31"/>
        <v>0</v>
      </c>
      <c r="AD94" s="49">
        <f t="shared" si="31"/>
        <v>0</v>
      </c>
      <c r="AE94" s="49">
        <f t="shared" si="31"/>
        <v>0</v>
      </c>
      <c r="AF94" s="49">
        <f t="shared" si="31"/>
        <v>0</v>
      </c>
      <c r="AG94" s="49">
        <f t="shared" si="31"/>
        <v>0</v>
      </c>
      <c r="AH94" s="49">
        <f t="shared" si="31"/>
        <v>0</v>
      </c>
      <c r="AI94" s="49">
        <f t="shared" si="31"/>
        <v>0</v>
      </c>
      <c r="AJ94" s="49">
        <f t="shared" si="31"/>
        <v>0</v>
      </c>
      <c r="AK94" s="49">
        <f t="shared" si="31"/>
        <v>0</v>
      </c>
      <c r="AL94" s="49">
        <f t="shared" si="31"/>
        <v>0</v>
      </c>
      <c r="AM94" s="49">
        <f t="shared" si="31"/>
        <v>0</v>
      </c>
      <c r="AN94" s="49">
        <f t="shared" si="31"/>
        <v>0</v>
      </c>
      <c r="AO94" s="49">
        <f t="shared" si="31"/>
        <v>0</v>
      </c>
      <c r="AP94" s="49">
        <f t="shared" si="31"/>
        <v>0</v>
      </c>
      <c r="AQ94" s="49">
        <f t="shared" si="31"/>
        <v>0</v>
      </c>
      <c r="AR94" s="49">
        <f t="shared" si="31"/>
        <v>0</v>
      </c>
      <c r="AS94" s="49">
        <f t="shared" si="31"/>
        <v>0</v>
      </c>
      <c r="AT94" s="49">
        <f t="shared" si="31"/>
        <v>0</v>
      </c>
      <c r="AU94" s="49">
        <f t="shared" si="31"/>
        <v>0</v>
      </c>
      <c r="AV94" s="49">
        <f t="shared" si="31"/>
        <v>0</v>
      </c>
      <c r="AW94" s="49">
        <f t="shared" si="31"/>
        <v>0</v>
      </c>
      <c r="AX94" s="49">
        <f t="shared" si="31"/>
        <v>0</v>
      </c>
      <c r="AY94" s="49">
        <f t="shared" si="31"/>
        <v>0</v>
      </c>
      <c r="AZ94" s="49">
        <f t="shared" si="31"/>
        <v>0</v>
      </c>
      <c r="BA94" s="49">
        <f t="shared" si="31"/>
        <v>0</v>
      </c>
      <c r="BB94" s="49">
        <f t="shared" si="31"/>
        <v>0</v>
      </c>
      <c r="BC94" s="49">
        <f t="shared" ref="BC94" si="32">BC93-BC91</f>
        <v>0</v>
      </c>
    </row>
    <row r="95" spans="4:55" x14ac:dyDescent="0.35">
      <c r="D95" s="2" t="s">
        <v>190</v>
      </c>
      <c r="E95" s="2"/>
      <c r="F95" s="2"/>
      <c r="G95" s="2"/>
      <c r="H95" s="2"/>
      <c r="I95" s="8" t="s">
        <v>36</v>
      </c>
      <c r="J95" s="49">
        <f>J93-J92</f>
        <v>0</v>
      </c>
      <c r="K95" s="49">
        <f t="shared" ref="K95:BB95" si="33">K93-K92</f>
        <v>0</v>
      </c>
      <c r="L95" s="49">
        <f t="shared" si="33"/>
        <v>0</v>
      </c>
      <c r="M95" s="49">
        <f t="shared" si="33"/>
        <v>0</v>
      </c>
      <c r="N95" s="49">
        <f t="shared" si="33"/>
        <v>0</v>
      </c>
      <c r="O95" s="49">
        <f t="shared" si="33"/>
        <v>0</v>
      </c>
      <c r="P95" s="49">
        <f t="shared" si="33"/>
        <v>0</v>
      </c>
      <c r="Q95" s="49">
        <f t="shared" si="33"/>
        <v>0</v>
      </c>
      <c r="R95" s="49">
        <f t="shared" si="33"/>
        <v>0</v>
      </c>
      <c r="S95" s="49">
        <f t="shared" si="33"/>
        <v>0</v>
      </c>
      <c r="T95" s="49">
        <f t="shared" si="33"/>
        <v>0</v>
      </c>
      <c r="U95" s="49">
        <f t="shared" si="33"/>
        <v>0</v>
      </c>
      <c r="V95" s="49">
        <f t="shared" si="33"/>
        <v>0</v>
      </c>
      <c r="W95" s="49">
        <f t="shared" si="33"/>
        <v>0</v>
      </c>
      <c r="X95" s="49">
        <f t="shared" si="33"/>
        <v>0</v>
      </c>
      <c r="Y95" s="49">
        <f t="shared" si="33"/>
        <v>0</v>
      </c>
      <c r="Z95" s="49">
        <f t="shared" si="33"/>
        <v>0</v>
      </c>
      <c r="AA95" s="49">
        <f t="shared" si="33"/>
        <v>0</v>
      </c>
      <c r="AB95" s="49">
        <f t="shared" si="33"/>
        <v>0</v>
      </c>
      <c r="AC95" s="49">
        <f t="shared" si="33"/>
        <v>0</v>
      </c>
      <c r="AD95" s="49">
        <f t="shared" si="33"/>
        <v>0</v>
      </c>
      <c r="AE95" s="49">
        <f t="shared" si="33"/>
        <v>0</v>
      </c>
      <c r="AF95" s="49">
        <f t="shared" si="33"/>
        <v>0</v>
      </c>
      <c r="AG95" s="49">
        <f t="shared" si="33"/>
        <v>0</v>
      </c>
      <c r="AH95" s="49">
        <f t="shared" si="33"/>
        <v>0</v>
      </c>
      <c r="AI95" s="49">
        <f t="shared" si="33"/>
        <v>0</v>
      </c>
      <c r="AJ95" s="49">
        <f t="shared" si="33"/>
        <v>0</v>
      </c>
      <c r="AK95" s="49">
        <f t="shared" si="33"/>
        <v>0</v>
      </c>
      <c r="AL95" s="49">
        <f t="shared" si="33"/>
        <v>0</v>
      </c>
      <c r="AM95" s="49">
        <f t="shared" si="33"/>
        <v>0</v>
      </c>
      <c r="AN95" s="49">
        <f t="shared" si="33"/>
        <v>0</v>
      </c>
      <c r="AO95" s="49">
        <f t="shared" si="33"/>
        <v>0</v>
      </c>
      <c r="AP95" s="49">
        <f t="shared" si="33"/>
        <v>0</v>
      </c>
      <c r="AQ95" s="49">
        <f t="shared" si="33"/>
        <v>0</v>
      </c>
      <c r="AR95" s="49">
        <f t="shared" si="33"/>
        <v>0</v>
      </c>
      <c r="AS95" s="49">
        <f t="shared" si="33"/>
        <v>0</v>
      </c>
      <c r="AT95" s="49">
        <f t="shared" si="33"/>
        <v>0</v>
      </c>
      <c r="AU95" s="49">
        <f t="shared" si="33"/>
        <v>0</v>
      </c>
      <c r="AV95" s="49">
        <f t="shared" si="33"/>
        <v>0</v>
      </c>
      <c r="AW95" s="49">
        <f t="shared" si="33"/>
        <v>0</v>
      </c>
      <c r="AX95" s="49">
        <f t="shared" si="33"/>
        <v>0</v>
      </c>
      <c r="AY95" s="49">
        <f t="shared" si="33"/>
        <v>0</v>
      </c>
      <c r="AZ95" s="49">
        <f t="shared" si="33"/>
        <v>0</v>
      </c>
      <c r="BA95" s="49">
        <f t="shared" si="33"/>
        <v>0</v>
      </c>
      <c r="BB95" s="49">
        <f t="shared" si="33"/>
        <v>0</v>
      </c>
      <c r="BC95" s="49">
        <f t="shared" ref="BC95" si="34">BC93-BC92</f>
        <v>0</v>
      </c>
    </row>
    <row r="96" spans="4:55" x14ac:dyDescent="0.35">
      <c r="D96" s="2" t="s">
        <v>144</v>
      </c>
      <c r="E96" s="2"/>
      <c r="F96" s="2"/>
      <c r="G96" s="2"/>
      <c r="H96" s="2"/>
      <c r="I96" s="8" t="s">
        <v>36</v>
      </c>
      <c r="J96" s="49">
        <f>Inputs!H181</f>
        <v>0</v>
      </c>
      <c r="K96" s="49">
        <f>Inputs!I181</f>
        <v>0</v>
      </c>
      <c r="L96" s="49">
        <f>Inputs!J181</f>
        <v>0</v>
      </c>
      <c r="M96" s="49">
        <f>Inputs!K181</f>
        <v>0</v>
      </c>
      <c r="N96" s="49">
        <f>Inputs!L181</f>
        <v>0</v>
      </c>
      <c r="O96" s="49">
        <f>Inputs!M181</f>
        <v>0</v>
      </c>
      <c r="P96" s="49">
        <f>Inputs!N181</f>
        <v>0</v>
      </c>
      <c r="Q96" s="49">
        <f>Inputs!O181</f>
        <v>0</v>
      </c>
      <c r="R96" s="49">
        <f>Inputs!P181</f>
        <v>0</v>
      </c>
      <c r="S96" s="49">
        <f>Inputs!Q181</f>
        <v>0</v>
      </c>
      <c r="T96" s="49">
        <f>Inputs!R181</f>
        <v>0</v>
      </c>
      <c r="U96" s="49">
        <f>Inputs!S181</f>
        <v>0</v>
      </c>
      <c r="V96" s="49">
        <f>Inputs!T181</f>
        <v>0</v>
      </c>
      <c r="W96" s="49">
        <f>Inputs!U181</f>
        <v>0</v>
      </c>
      <c r="X96" s="49">
        <f>Inputs!V181</f>
        <v>0</v>
      </c>
      <c r="Y96" s="49">
        <f>Inputs!W181</f>
        <v>0</v>
      </c>
      <c r="Z96" s="49">
        <f>Inputs!X181</f>
        <v>0</v>
      </c>
      <c r="AA96" s="49">
        <f>Inputs!Y181</f>
        <v>0</v>
      </c>
      <c r="AB96" s="49">
        <f>Inputs!Z181</f>
        <v>0</v>
      </c>
      <c r="AC96" s="49">
        <f>Inputs!AA181</f>
        <v>0</v>
      </c>
      <c r="AD96" s="49">
        <f>Inputs!AB181</f>
        <v>0</v>
      </c>
      <c r="AE96" s="49">
        <f>Inputs!AC181</f>
        <v>0</v>
      </c>
      <c r="AF96" s="49">
        <f>Inputs!AD181</f>
        <v>0</v>
      </c>
      <c r="AG96" s="49">
        <f>Inputs!AE181</f>
        <v>0</v>
      </c>
      <c r="AH96" s="49">
        <f>Inputs!AF181</f>
        <v>0</v>
      </c>
      <c r="AI96" s="49">
        <f>Inputs!AG181</f>
        <v>0</v>
      </c>
      <c r="AJ96" s="49">
        <f>Inputs!AH181</f>
        <v>0</v>
      </c>
      <c r="AK96" s="49">
        <f>Inputs!AI181</f>
        <v>0</v>
      </c>
      <c r="AL96" s="49">
        <f>Inputs!AJ181</f>
        <v>0</v>
      </c>
      <c r="AM96" s="49">
        <f>Inputs!AK181</f>
        <v>0</v>
      </c>
      <c r="AN96" s="49">
        <f>Inputs!AL181</f>
        <v>0</v>
      </c>
      <c r="AO96" s="49">
        <f>Inputs!AM181</f>
        <v>0</v>
      </c>
      <c r="AP96" s="49">
        <f>Inputs!AN181</f>
        <v>0</v>
      </c>
      <c r="AQ96" s="49">
        <f>Inputs!AO181</f>
        <v>0</v>
      </c>
      <c r="AR96" s="49">
        <f>Inputs!AP181</f>
        <v>0</v>
      </c>
      <c r="AS96" s="49">
        <f>Inputs!AQ181</f>
        <v>0</v>
      </c>
      <c r="AT96" s="49">
        <f>Inputs!AR181</f>
        <v>0</v>
      </c>
      <c r="AU96" s="49">
        <f>Inputs!AS181</f>
        <v>0</v>
      </c>
      <c r="AV96" s="49">
        <f>Inputs!AT181</f>
        <v>0</v>
      </c>
      <c r="AW96" s="49">
        <f>Inputs!AU181</f>
        <v>0</v>
      </c>
      <c r="AX96" s="49">
        <f>Inputs!AV181</f>
        <v>0</v>
      </c>
      <c r="AY96" s="49">
        <f>Inputs!AW181</f>
        <v>0</v>
      </c>
      <c r="AZ96" s="49">
        <f>Inputs!AX181</f>
        <v>0</v>
      </c>
      <c r="BA96" s="49">
        <f>Inputs!AY181</f>
        <v>0</v>
      </c>
      <c r="BB96" s="49">
        <f>Inputs!AZ181</f>
        <v>0</v>
      </c>
      <c r="BC96" s="49">
        <f>Inputs!BA181</f>
        <v>0</v>
      </c>
    </row>
    <row r="97" spans="4:55" x14ac:dyDescent="0.35">
      <c r="D97" s="2" t="s">
        <v>191</v>
      </c>
      <c r="E97" s="2"/>
      <c r="F97" s="2"/>
      <c r="G97" s="2"/>
      <c r="H97" s="2"/>
      <c r="I97" s="8" t="s">
        <v>36</v>
      </c>
      <c r="J97" s="49">
        <f>J94-J$96</f>
        <v>0</v>
      </c>
      <c r="K97" s="49">
        <f t="shared" ref="K97:BB97" si="35">K94-K$96</f>
        <v>0</v>
      </c>
      <c r="L97" s="49">
        <f t="shared" si="35"/>
        <v>0</v>
      </c>
      <c r="M97" s="49">
        <f t="shared" si="35"/>
        <v>0</v>
      </c>
      <c r="N97" s="49">
        <f t="shared" si="35"/>
        <v>0</v>
      </c>
      <c r="O97" s="49">
        <f t="shared" si="35"/>
        <v>0</v>
      </c>
      <c r="P97" s="49">
        <f t="shared" si="35"/>
        <v>0</v>
      </c>
      <c r="Q97" s="49">
        <f t="shared" si="35"/>
        <v>0</v>
      </c>
      <c r="R97" s="49">
        <f t="shared" si="35"/>
        <v>0</v>
      </c>
      <c r="S97" s="49">
        <f t="shared" si="35"/>
        <v>0</v>
      </c>
      <c r="T97" s="49">
        <f t="shared" si="35"/>
        <v>0</v>
      </c>
      <c r="U97" s="49">
        <f t="shared" si="35"/>
        <v>0</v>
      </c>
      <c r="V97" s="49">
        <f t="shared" si="35"/>
        <v>0</v>
      </c>
      <c r="W97" s="49">
        <f t="shared" si="35"/>
        <v>0</v>
      </c>
      <c r="X97" s="49">
        <f t="shared" si="35"/>
        <v>0</v>
      </c>
      <c r="Y97" s="49">
        <f t="shared" si="35"/>
        <v>0</v>
      </c>
      <c r="Z97" s="49">
        <f t="shared" si="35"/>
        <v>0</v>
      </c>
      <c r="AA97" s="49">
        <f t="shared" si="35"/>
        <v>0</v>
      </c>
      <c r="AB97" s="49">
        <f t="shared" si="35"/>
        <v>0</v>
      </c>
      <c r="AC97" s="49">
        <f t="shared" si="35"/>
        <v>0</v>
      </c>
      <c r="AD97" s="49">
        <f t="shared" si="35"/>
        <v>0</v>
      </c>
      <c r="AE97" s="49">
        <f t="shared" si="35"/>
        <v>0</v>
      </c>
      <c r="AF97" s="49">
        <f t="shared" si="35"/>
        <v>0</v>
      </c>
      <c r="AG97" s="49">
        <f t="shared" si="35"/>
        <v>0</v>
      </c>
      <c r="AH97" s="49">
        <f t="shared" si="35"/>
        <v>0</v>
      </c>
      <c r="AI97" s="49">
        <f t="shared" si="35"/>
        <v>0</v>
      </c>
      <c r="AJ97" s="49">
        <f t="shared" si="35"/>
        <v>0</v>
      </c>
      <c r="AK97" s="49">
        <f t="shared" si="35"/>
        <v>0</v>
      </c>
      <c r="AL97" s="49">
        <f t="shared" si="35"/>
        <v>0</v>
      </c>
      <c r="AM97" s="49">
        <f t="shared" si="35"/>
        <v>0</v>
      </c>
      <c r="AN97" s="49">
        <f t="shared" si="35"/>
        <v>0</v>
      </c>
      <c r="AO97" s="49">
        <f t="shared" si="35"/>
        <v>0</v>
      </c>
      <c r="AP97" s="49">
        <f t="shared" si="35"/>
        <v>0</v>
      </c>
      <c r="AQ97" s="49">
        <f t="shared" si="35"/>
        <v>0</v>
      </c>
      <c r="AR97" s="49">
        <f t="shared" si="35"/>
        <v>0</v>
      </c>
      <c r="AS97" s="49">
        <f t="shared" si="35"/>
        <v>0</v>
      </c>
      <c r="AT97" s="49">
        <f t="shared" si="35"/>
        <v>0</v>
      </c>
      <c r="AU97" s="49">
        <f t="shared" si="35"/>
        <v>0</v>
      </c>
      <c r="AV97" s="49">
        <f t="shared" si="35"/>
        <v>0</v>
      </c>
      <c r="AW97" s="49">
        <f t="shared" si="35"/>
        <v>0</v>
      </c>
      <c r="AX97" s="49">
        <f t="shared" si="35"/>
        <v>0</v>
      </c>
      <c r="AY97" s="49">
        <f t="shared" si="35"/>
        <v>0</v>
      </c>
      <c r="AZ97" s="49">
        <f t="shared" si="35"/>
        <v>0</v>
      </c>
      <c r="BA97" s="49">
        <f t="shared" si="35"/>
        <v>0</v>
      </c>
      <c r="BB97" s="49">
        <f t="shared" si="35"/>
        <v>0</v>
      </c>
      <c r="BC97" s="49">
        <f t="shared" ref="BC97" si="36">BC94-BC$96</f>
        <v>0</v>
      </c>
    </row>
    <row r="98" spans="4:55" x14ac:dyDescent="0.35">
      <c r="D98" s="2" t="s">
        <v>192</v>
      </c>
      <c r="E98" s="2"/>
      <c r="F98" s="2"/>
      <c r="G98" s="2"/>
      <c r="H98" s="2"/>
      <c r="I98" s="8" t="s">
        <v>36</v>
      </c>
      <c r="J98" s="49">
        <f>J95-J$96</f>
        <v>0</v>
      </c>
      <c r="K98" s="49">
        <f t="shared" ref="K98:BB98" si="37">K95-K$96</f>
        <v>0</v>
      </c>
      <c r="L98" s="49">
        <f t="shared" si="37"/>
        <v>0</v>
      </c>
      <c r="M98" s="49">
        <f t="shared" si="37"/>
        <v>0</v>
      </c>
      <c r="N98" s="49">
        <f t="shared" si="37"/>
        <v>0</v>
      </c>
      <c r="O98" s="49">
        <f t="shared" si="37"/>
        <v>0</v>
      </c>
      <c r="P98" s="49">
        <f t="shared" si="37"/>
        <v>0</v>
      </c>
      <c r="Q98" s="49">
        <f t="shared" si="37"/>
        <v>0</v>
      </c>
      <c r="R98" s="49">
        <f t="shared" si="37"/>
        <v>0</v>
      </c>
      <c r="S98" s="49">
        <f t="shared" si="37"/>
        <v>0</v>
      </c>
      <c r="T98" s="49">
        <f t="shared" si="37"/>
        <v>0</v>
      </c>
      <c r="U98" s="49">
        <f t="shared" si="37"/>
        <v>0</v>
      </c>
      <c r="V98" s="49">
        <f t="shared" si="37"/>
        <v>0</v>
      </c>
      <c r="W98" s="49">
        <f t="shared" si="37"/>
        <v>0</v>
      </c>
      <c r="X98" s="49">
        <f t="shared" si="37"/>
        <v>0</v>
      </c>
      <c r="Y98" s="49">
        <f t="shared" si="37"/>
        <v>0</v>
      </c>
      <c r="Z98" s="49">
        <f t="shared" si="37"/>
        <v>0</v>
      </c>
      <c r="AA98" s="49">
        <f t="shared" si="37"/>
        <v>0</v>
      </c>
      <c r="AB98" s="49">
        <f t="shared" si="37"/>
        <v>0</v>
      </c>
      <c r="AC98" s="49">
        <f t="shared" si="37"/>
        <v>0</v>
      </c>
      <c r="AD98" s="49">
        <f t="shared" si="37"/>
        <v>0</v>
      </c>
      <c r="AE98" s="49">
        <f t="shared" si="37"/>
        <v>0</v>
      </c>
      <c r="AF98" s="49">
        <f t="shared" si="37"/>
        <v>0</v>
      </c>
      <c r="AG98" s="49">
        <f t="shared" si="37"/>
        <v>0</v>
      </c>
      <c r="AH98" s="49">
        <f t="shared" si="37"/>
        <v>0</v>
      </c>
      <c r="AI98" s="49">
        <f t="shared" si="37"/>
        <v>0</v>
      </c>
      <c r="AJ98" s="49">
        <f t="shared" si="37"/>
        <v>0</v>
      </c>
      <c r="AK98" s="49">
        <f t="shared" si="37"/>
        <v>0</v>
      </c>
      <c r="AL98" s="49">
        <f t="shared" si="37"/>
        <v>0</v>
      </c>
      <c r="AM98" s="49">
        <f t="shared" si="37"/>
        <v>0</v>
      </c>
      <c r="AN98" s="49">
        <f t="shared" si="37"/>
        <v>0</v>
      </c>
      <c r="AO98" s="49">
        <f t="shared" si="37"/>
        <v>0</v>
      </c>
      <c r="AP98" s="49">
        <f t="shared" si="37"/>
        <v>0</v>
      </c>
      <c r="AQ98" s="49">
        <f t="shared" si="37"/>
        <v>0</v>
      </c>
      <c r="AR98" s="49">
        <f t="shared" si="37"/>
        <v>0</v>
      </c>
      <c r="AS98" s="49">
        <f t="shared" si="37"/>
        <v>0</v>
      </c>
      <c r="AT98" s="49">
        <f t="shared" si="37"/>
        <v>0</v>
      </c>
      <c r="AU98" s="49">
        <f t="shared" si="37"/>
        <v>0</v>
      </c>
      <c r="AV98" s="49">
        <f t="shared" si="37"/>
        <v>0</v>
      </c>
      <c r="AW98" s="49">
        <f t="shared" si="37"/>
        <v>0</v>
      </c>
      <c r="AX98" s="49">
        <f t="shared" si="37"/>
        <v>0</v>
      </c>
      <c r="AY98" s="49">
        <f t="shared" si="37"/>
        <v>0</v>
      </c>
      <c r="AZ98" s="49">
        <f t="shared" si="37"/>
        <v>0</v>
      </c>
      <c r="BA98" s="49">
        <f t="shared" si="37"/>
        <v>0</v>
      </c>
      <c r="BB98" s="49">
        <f t="shared" si="37"/>
        <v>0</v>
      </c>
      <c r="BC98" s="49">
        <f t="shared" ref="BC98" si="38">BC95-BC$96</f>
        <v>0</v>
      </c>
    </row>
    <row r="99" spans="4:55" x14ac:dyDescent="0.35">
      <c r="D99" s="2"/>
      <c r="E99" s="2"/>
      <c r="F99" s="2"/>
      <c r="G99" s="2"/>
      <c r="H99" s="2"/>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row>
    <row r="100" spans="4:55" x14ac:dyDescent="0.35">
      <c r="D100" s="27" t="s">
        <v>48</v>
      </c>
      <c r="E100" s="27"/>
      <c r="F100" s="29"/>
      <c r="G100" s="29"/>
      <c r="H100" s="29"/>
      <c r="I100" s="29"/>
      <c r="J100" s="26">
        <f>Start_Yr</f>
        <v>0</v>
      </c>
      <c r="K100" s="26">
        <f t="shared" ref="K100:BC100" si="39">J100+1</f>
        <v>1</v>
      </c>
      <c r="L100" s="26">
        <f t="shared" si="39"/>
        <v>2</v>
      </c>
      <c r="M100" s="26">
        <f t="shared" si="39"/>
        <v>3</v>
      </c>
      <c r="N100" s="26">
        <f t="shared" si="39"/>
        <v>4</v>
      </c>
      <c r="O100" s="26">
        <f t="shared" si="39"/>
        <v>5</v>
      </c>
      <c r="P100" s="26">
        <f t="shared" si="39"/>
        <v>6</v>
      </c>
      <c r="Q100" s="26">
        <f t="shared" si="39"/>
        <v>7</v>
      </c>
      <c r="R100" s="26">
        <f t="shared" si="39"/>
        <v>8</v>
      </c>
      <c r="S100" s="26">
        <f t="shared" si="39"/>
        <v>9</v>
      </c>
      <c r="T100" s="26">
        <f t="shared" si="39"/>
        <v>10</v>
      </c>
      <c r="U100" s="26">
        <f t="shared" si="39"/>
        <v>11</v>
      </c>
      <c r="V100" s="26">
        <f t="shared" si="39"/>
        <v>12</v>
      </c>
      <c r="W100" s="26">
        <f t="shared" si="39"/>
        <v>13</v>
      </c>
      <c r="X100" s="26">
        <f t="shared" si="39"/>
        <v>14</v>
      </c>
      <c r="Y100" s="26">
        <f t="shared" si="39"/>
        <v>15</v>
      </c>
      <c r="Z100" s="26">
        <f t="shared" si="39"/>
        <v>16</v>
      </c>
      <c r="AA100" s="26">
        <f t="shared" si="39"/>
        <v>17</v>
      </c>
      <c r="AB100" s="26">
        <f t="shared" si="39"/>
        <v>18</v>
      </c>
      <c r="AC100" s="26">
        <f t="shared" si="39"/>
        <v>19</v>
      </c>
      <c r="AD100" s="26">
        <f t="shared" si="39"/>
        <v>20</v>
      </c>
      <c r="AE100" s="26">
        <f t="shared" si="39"/>
        <v>21</v>
      </c>
      <c r="AF100" s="26">
        <f t="shared" si="39"/>
        <v>22</v>
      </c>
      <c r="AG100" s="26">
        <f t="shared" si="39"/>
        <v>23</v>
      </c>
      <c r="AH100" s="26">
        <f t="shared" si="39"/>
        <v>24</v>
      </c>
      <c r="AI100" s="26">
        <f t="shared" si="39"/>
        <v>25</v>
      </c>
      <c r="AJ100" s="26">
        <f t="shared" si="39"/>
        <v>26</v>
      </c>
      <c r="AK100" s="26">
        <f t="shared" si="39"/>
        <v>27</v>
      </c>
      <c r="AL100" s="26">
        <f t="shared" si="39"/>
        <v>28</v>
      </c>
      <c r="AM100" s="26">
        <f t="shared" si="39"/>
        <v>29</v>
      </c>
      <c r="AN100" s="26">
        <f t="shared" si="39"/>
        <v>30</v>
      </c>
      <c r="AO100" s="26">
        <f t="shared" si="39"/>
        <v>31</v>
      </c>
      <c r="AP100" s="26">
        <f t="shared" si="39"/>
        <v>32</v>
      </c>
      <c r="AQ100" s="26">
        <f t="shared" si="39"/>
        <v>33</v>
      </c>
      <c r="AR100" s="26">
        <f t="shared" si="39"/>
        <v>34</v>
      </c>
      <c r="AS100" s="26">
        <f t="shared" si="39"/>
        <v>35</v>
      </c>
      <c r="AT100" s="26">
        <f t="shared" si="39"/>
        <v>36</v>
      </c>
      <c r="AU100" s="26">
        <f t="shared" si="39"/>
        <v>37</v>
      </c>
      <c r="AV100" s="26">
        <f t="shared" si="39"/>
        <v>38</v>
      </c>
      <c r="AW100" s="26">
        <f t="shared" si="39"/>
        <v>39</v>
      </c>
      <c r="AX100" s="26">
        <f t="shared" si="39"/>
        <v>40</v>
      </c>
      <c r="AY100" s="26">
        <f t="shared" si="39"/>
        <v>41</v>
      </c>
      <c r="AZ100" s="26">
        <f t="shared" si="39"/>
        <v>42</v>
      </c>
      <c r="BA100" s="26">
        <f t="shared" si="39"/>
        <v>43</v>
      </c>
      <c r="BB100" s="26">
        <f t="shared" si="39"/>
        <v>44</v>
      </c>
      <c r="BC100" s="26">
        <f t="shared" si="39"/>
        <v>45</v>
      </c>
    </row>
    <row r="101" spans="4:55" x14ac:dyDescent="0.35">
      <c r="D101" s="58" t="s">
        <v>184</v>
      </c>
      <c r="E101" s="10"/>
      <c r="F101" s="4"/>
      <c r="G101" s="4"/>
      <c r="H101" s="4"/>
      <c r="I101" s="4" t="s">
        <v>36</v>
      </c>
      <c r="J101" s="51">
        <f>J103-J102</f>
        <v>0</v>
      </c>
      <c r="K101" s="51">
        <f t="shared" ref="K101:BB101" si="40">K103-K102</f>
        <v>0</v>
      </c>
      <c r="L101" s="51">
        <f t="shared" si="40"/>
        <v>0</v>
      </c>
      <c r="M101" s="51">
        <f t="shared" si="40"/>
        <v>0</v>
      </c>
      <c r="N101" s="51">
        <f t="shared" si="40"/>
        <v>0</v>
      </c>
      <c r="O101" s="51">
        <f t="shared" si="40"/>
        <v>0</v>
      </c>
      <c r="P101" s="51">
        <f t="shared" si="40"/>
        <v>0</v>
      </c>
      <c r="Q101" s="51">
        <f t="shared" si="40"/>
        <v>0</v>
      </c>
      <c r="R101" s="51">
        <f t="shared" si="40"/>
        <v>0</v>
      </c>
      <c r="S101" s="51">
        <f t="shared" si="40"/>
        <v>0</v>
      </c>
      <c r="T101" s="51">
        <f t="shared" si="40"/>
        <v>0</v>
      </c>
      <c r="U101" s="51">
        <f t="shared" si="40"/>
        <v>0</v>
      </c>
      <c r="V101" s="51">
        <f t="shared" si="40"/>
        <v>0</v>
      </c>
      <c r="W101" s="51">
        <f t="shared" si="40"/>
        <v>0</v>
      </c>
      <c r="X101" s="51">
        <f t="shared" si="40"/>
        <v>0</v>
      </c>
      <c r="Y101" s="51">
        <f t="shared" si="40"/>
        <v>0</v>
      </c>
      <c r="Z101" s="51">
        <f t="shared" si="40"/>
        <v>0</v>
      </c>
      <c r="AA101" s="51">
        <f t="shared" si="40"/>
        <v>0</v>
      </c>
      <c r="AB101" s="51">
        <f t="shared" si="40"/>
        <v>0</v>
      </c>
      <c r="AC101" s="51">
        <f t="shared" si="40"/>
        <v>0</v>
      </c>
      <c r="AD101" s="51">
        <f t="shared" si="40"/>
        <v>0</v>
      </c>
      <c r="AE101" s="51">
        <f t="shared" si="40"/>
        <v>0</v>
      </c>
      <c r="AF101" s="51">
        <f t="shared" si="40"/>
        <v>0</v>
      </c>
      <c r="AG101" s="51">
        <f t="shared" si="40"/>
        <v>0</v>
      </c>
      <c r="AH101" s="51">
        <f t="shared" si="40"/>
        <v>0</v>
      </c>
      <c r="AI101" s="51">
        <f t="shared" si="40"/>
        <v>0</v>
      </c>
      <c r="AJ101" s="51">
        <f t="shared" si="40"/>
        <v>0</v>
      </c>
      <c r="AK101" s="51">
        <f t="shared" si="40"/>
        <v>0</v>
      </c>
      <c r="AL101" s="51">
        <f t="shared" si="40"/>
        <v>0</v>
      </c>
      <c r="AM101" s="51">
        <f t="shared" si="40"/>
        <v>0</v>
      </c>
      <c r="AN101" s="51">
        <f t="shared" si="40"/>
        <v>0</v>
      </c>
      <c r="AO101" s="51">
        <f t="shared" si="40"/>
        <v>0</v>
      </c>
      <c r="AP101" s="51">
        <f t="shared" si="40"/>
        <v>0</v>
      </c>
      <c r="AQ101" s="51">
        <f t="shared" si="40"/>
        <v>0</v>
      </c>
      <c r="AR101" s="51">
        <f t="shared" si="40"/>
        <v>0</v>
      </c>
      <c r="AS101" s="51">
        <f t="shared" si="40"/>
        <v>0</v>
      </c>
      <c r="AT101" s="51">
        <f t="shared" si="40"/>
        <v>0</v>
      </c>
      <c r="AU101" s="51">
        <f t="shared" si="40"/>
        <v>0</v>
      </c>
      <c r="AV101" s="51">
        <f t="shared" si="40"/>
        <v>0</v>
      </c>
      <c r="AW101" s="51">
        <f t="shared" si="40"/>
        <v>0</v>
      </c>
      <c r="AX101" s="51">
        <f t="shared" si="40"/>
        <v>0</v>
      </c>
      <c r="AY101" s="51">
        <f t="shared" si="40"/>
        <v>0</v>
      </c>
      <c r="AZ101" s="51">
        <f t="shared" si="40"/>
        <v>0</v>
      </c>
      <c r="BA101" s="51">
        <f t="shared" si="40"/>
        <v>0</v>
      </c>
      <c r="BB101" s="51">
        <f t="shared" si="40"/>
        <v>0</v>
      </c>
      <c r="BC101" s="51">
        <f t="shared" ref="BC101" si="41">BC103-BC102</f>
        <v>0</v>
      </c>
    </row>
    <row r="102" spans="4:55" x14ac:dyDescent="0.35">
      <c r="D102" s="58" t="s">
        <v>185</v>
      </c>
      <c r="E102" s="10"/>
      <c r="F102" s="4"/>
      <c r="G102" s="4"/>
      <c r="H102" s="4"/>
      <c r="I102" s="4" t="s">
        <v>36</v>
      </c>
      <c r="J102" s="51">
        <f>'Real values'!L144*'Real values'!M$4</f>
        <v>0</v>
      </c>
      <c r="K102" s="51">
        <f>'Real values'!M144*'Real values'!N$4</f>
        <v>0</v>
      </c>
      <c r="L102" s="51">
        <f>'Real values'!N144*'Real values'!O$4</f>
        <v>0</v>
      </c>
      <c r="M102" s="51">
        <f>'Real values'!O144*'Real values'!P$4</f>
        <v>0</v>
      </c>
      <c r="N102" s="51">
        <f>'Real values'!P144*'Real values'!Q$4</f>
        <v>0</v>
      </c>
      <c r="O102" s="51">
        <f>'Real values'!Q144*'Real values'!R$4</f>
        <v>0</v>
      </c>
      <c r="P102" s="51">
        <f>'Real values'!R144*'Real values'!S$4</f>
        <v>0</v>
      </c>
      <c r="Q102" s="51">
        <f>'Real values'!S144*'Real values'!T$4</f>
        <v>0</v>
      </c>
      <c r="R102" s="51">
        <f>'Real values'!T144*'Real values'!U$4</f>
        <v>0</v>
      </c>
      <c r="S102" s="51">
        <f>'Real values'!U144*'Real values'!V$4</f>
        <v>0</v>
      </c>
      <c r="T102" s="51">
        <f>'Real values'!V144*'Real values'!W$4</f>
        <v>0</v>
      </c>
      <c r="U102" s="51">
        <f>'Real values'!W144*'Real values'!X$4</f>
        <v>0</v>
      </c>
      <c r="V102" s="51">
        <f>'Real values'!X144*'Real values'!Y$4</f>
        <v>0</v>
      </c>
      <c r="W102" s="51">
        <f>'Real values'!Y144*'Real values'!Z$4</f>
        <v>0</v>
      </c>
      <c r="X102" s="51">
        <f>'Real values'!Z144*'Real values'!AA$4</f>
        <v>0</v>
      </c>
      <c r="Y102" s="51">
        <f>'Real values'!AA144*'Real values'!AB$4</f>
        <v>0</v>
      </c>
      <c r="Z102" s="51">
        <f>'Real values'!AB144*'Real values'!AC$4</f>
        <v>0</v>
      </c>
      <c r="AA102" s="51">
        <f>'Real values'!AC144*'Real values'!AD$4</f>
        <v>0</v>
      </c>
      <c r="AB102" s="51">
        <f>'Real values'!AD144*'Real values'!AE$4</f>
        <v>0</v>
      </c>
      <c r="AC102" s="51">
        <f>'Real values'!AE144*'Real values'!AF$4</f>
        <v>0</v>
      </c>
      <c r="AD102" s="51">
        <f>'Real values'!AF144*'Real values'!AG$4</f>
        <v>0</v>
      </c>
      <c r="AE102" s="51">
        <f>'Real values'!AG144*'Real values'!AH$4</f>
        <v>0</v>
      </c>
      <c r="AF102" s="51">
        <f>'Real values'!AH144*'Real values'!AI$4</f>
        <v>0</v>
      </c>
      <c r="AG102" s="51">
        <f>'Real values'!AI144*'Real values'!AJ$4</f>
        <v>0</v>
      </c>
      <c r="AH102" s="51">
        <f>'Real values'!AJ144*'Real values'!AK$4</f>
        <v>0</v>
      </c>
      <c r="AI102" s="51">
        <f>'Real values'!AK144*'Real values'!AL$4</f>
        <v>0</v>
      </c>
      <c r="AJ102" s="51">
        <f>'Real values'!AL144*'Real values'!AM$4</f>
        <v>0</v>
      </c>
      <c r="AK102" s="51">
        <f>'Real values'!AM144*'Real values'!AN$4</f>
        <v>0</v>
      </c>
      <c r="AL102" s="51">
        <f>'Real values'!AN144*'Real values'!AO$4</f>
        <v>0</v>
      </c>
      <c r="AM102" s="51">
        <f>'Real values'!AO144*'Real values'!AP$4</f>
        <v>0</v>
      </c>
      <c r="AN102" s="51">
        <f>'Real values'!AP144*'Real values'!AQ$4</f>
        <v>0</v>
      </c>
      <c r="AO102" s="51">
        <f>'Real values'!AQ144*'Real values'!AR$4</f>
        <v>0</v>
      </c>
      <c r="AP102" s="51">
        <f>'Real values'!AR144*'Real values'!AS$4</f>
        <v>0</v>
      </c>
      <c r="AQ102" s="51">
        <f>'Real values'!AS144*'Real values'!AT$4</f>
        <v>0</v>
      </c>
      <c r="AR102" s="51">
        <f>'Real values'!AT144*'Real values'!AU$4</f>
        <v>0</v>
      </c>
      <c r="AS102" s="51">
        <f>'Real values'!AU144*'Real values'!AV$4</f>
        <v>0</v>
      </c>
      <c r="AT102" s="51">
        <f>'Real values'!AV144*'Real values'!AW$4</f>
        <v>0</v>
      </c>
      <c r="AU102" s="51">
        <f>'Real values'!AW144*'Real values'!AX$4</f>
        <v>0</v>
      </c>
      <c r="AV102" s="51">
        <f>'Real values'!AX144*'Real values'!AY$4</f>
        <v>0</v>
      </c>
      <c r="AW102" s="51">
        <f>'Real values'!AY144*'Real values'!AZ$4</f>
        <v>0</v>
      </c>
      <c r="AX102" s="51">
        <f>'Real values'!BA144*'Real values'!BA$4</f>
        <v>0</v>
      </c>
      <c r="AY102" s="51">
        <f>'Real values'!BB144*'Real values'!BB$4</f>
        <v>0</v>
      </c>
      <c r="AZ102" s="51">
        <f>'Real values'!BC144*'Real values'!BC$4</f>
        <v>0</v>
      </c>
      <c r="BA102" s="51">
        <f>'Real values'!BD144*'Real values'!BD$4</f>
        <v>0</v>
      </c>
      <c r="BB102" s="51">
        <f>'Real values'!BE144*'Real values'!BE$4</f>
        <v>0</v>
      </c>
      <c r="BC102" s="51">
        <f>'Real values'!BF144*'Real values'!BF$4</f>
        <v>0</v>
      </c>
    </row>
    <row r="103" spans="4:55" x14ac:dyDescent="0.35">
      <c r="D103" s="3" t="s">
        <v>186</v>
      </c>
      <c r="E103" s="10"/>
      <c r="F103" s="4"/>
      <c r="G103" s="4"/>
      <c r="H103" s="4"/>
      <c r="I103" s="4" t="s">
        <v>36</v>
      </c>
      <c r="J103" s="51">
        <f>F48*'Real values'!M$4</f>
        <v>0</v>
      </c>
      <c r="K103" s="51">
        <f>G48*'Real values'!N$4</f>
        <v>0</v>
      </c>
      <c r="L103" s="51">
        <f>H48*'Real values'!O$4</f>
        <v>0</v>
      </c>
      <c r="M103" s="51">
        <f>I48*'Real values'!P$4</f>
        <v>0</v>
      </c>
      <c r="N103" s="51">
        <f>J48*'Real values'!Q$4</f>
        <v>0</v>
      </c>
      <c r="O103" s="51">
        <f>K48*'Real values'!R$4</f>
        <v>0</v>
      </c>
      <c r="P103" s="51">
        <f>L48*'Real values'!S$4</f>
        <v>0</v>
      </c>
      <c r="Q103" s="51">
        <f>M48*'Real values'!T$4</f>
        <v>0</v>
      </c>
      <c r="R103" s="51">
        <f>N48*'Real values'!U$4</f>
        <v>0</v>
      </c>
      <c r="S103" s="51">
        <f>O48*'Real values'!V$4</f>
        <v>0</v>
      </c>
      <c r="T103" s="51">
        <f>P48*'Real values'!W$4</f>
        <v>0</v>
      </c>
      <c r="U103" s="51">
        <f>Q48*'Real values'!X$4</f>
        <v>0</v>
      </c>
      <c r="V103" s="51">
        <f>R48*'Real values'!Y$4</f>
        <v>0</v>
      </c>
      <c r="W103" s="51">
        <f>S48*'Real values'!Z$4</f>
        <v>0</v>
      </c>
      <c r="X103" s="51">
        <f>T48*'Real values'!AA$4</f>
        <v>0</v>
      </c>
      <c r="Y103" s="51">
        <f>U48*'Real values'!AB$4</f>
        <v>0</v>
      </c>
      <c r="Z103" s="51">
        <f>V48*'Real values'!AC$4</f>
        <v>0</v>
      </c>
      <c r="AA103" s="51">
        <f>W48*'Real values'!AD$4</f>
        <v>0</v>
      </c>
      <c r="AB103" s="51">
        <f>X48*'Real values'!AE$4</f>
        <v>0</v>
      </c>
      <c r="AC103" s="51">
        <f>Y48*'Real values'!AF$4</f>
        <v>0</v>
      </c>
      <c r="AD103" s="51">
        <f>Z48*'Real values'!AG$4</f>
        <v>0</v>
      </c>
      <c r="AE103" s="51">
        <f>AA48*'Real values'!AH$4</f>
        <v>0</v>
      </c>
      <c r="AF103" s="51">
        <f>AB48*'Real values'!AI$4</f>
        <v>0</v>
      </c>
      <c r="AG103" s="51">
        <f>AC48*'Real values'!AJ$4</f>
        <v>0</v>
      </c>
      <c r="AH103" s="51">
        <f>AD48*'Real values'!AK$4</f>
        <v>0</v>
      </c>
      <c r="AI103" s="51">
        <f>AE48*'Real values'!AL$4</f>
        <v>0</v>
      </c>
      <c r="AJ103" s="51">
        <f>AF48*'Real values'!AM$4</f>
        <v>0</v>
      </c>
      <c r="AK103" s="51">
        <f>AG48*'Real values'!AN$4</f>
        <v>0</v>
      </c>
      <c r="AL103" s="51">
        <f>AH48*'Real values'!AO$4</f>
        <v>0</v>
      </c>
      <c r="AM103" s="51">
        <f>AI48*'Real values'!AP$4</f>
        <v>0</v>
      </c>
      <c r="AN103" s="51">
        <f>AJ48*'Real values'!AQ$4</f>
        <v>0</v>
      </c>
      <c r="AO103" s="51">
        <f>AK48*'Real values'!AR$4</f>
        <v>0</v>
      </c>
      <c r="AP103" s="51">
        <f>AL48*'Real values'!AS$4</f>
        <v>0</v>
      </c>
      <c r="AQ103" s="51">
        <f>AM48*'Real values'!AT$4</f>
        <v>0</v>
      </c>
      <c r="AR103" s="51">
        <f>AN48*'Real values'!AU$4</f>
        <v>0</v>
      </c>
      <c r="AS103" s="51">
        <f>AO48*'Real values'!AV$4</f>
        <v>0</v>
      </c>
      <c r="AT103" s="51">
        <f>AP48*'Real values'!AW$4</f>
        <v>0</v>
      </c>
      <c r="AU103" s="51">
        <f>AQ48*'Real values'!AX$4</f>
        <v>0</v>
      </c>
      <c r="AV103" s="51">
        <f>AR48*'Real values'!AY$4</f>
        <v>0</v>
      </c>
      <c r="AW103" s="51">
        <f>AS48*'Real values'!AZ$4</f>
        <v>0</v>
      </c>
      <c r="AX103" s="51">
        <f>AT48*'Real values'!BA$4</f>
        <v>0</v>
      </c>
      <c r="AY103" s="51">
        <f>AU48*'Real values'!BB$4</f>
        <v>0</v>
      </c>
      <c r="AZ103" s="51">
        <f>AV48*'Real values'!BC$4</f>
        <v>0</v>
      </c>
      <c r="BA103" s="51">
        <f>AW48*'Real values'!BD$4</f>
        <v>0</v>
      </c>
      <c r="BB103" s="51">
        <f>AX48*'Real values'!BE$4</f>
        <v>0</v>
      </c>
      <c r="BC103" s="51">
        <f>AY48*'Real values'!BF$4</f>
        <v>0</v>
      </c>
    </row>
    <row r="104" spans="4:55" x14ac:dyDescent="0.35">
      <c r="D104" s="2" t="s">
        <v>133</v>
      </c>
      <c r="E104" s="2"/>
      <c r="F104" s="2"/>
      <c r="G104" s="2"/>
      <c r="H104" s="2"/>
      <c r="I104" s="4" t="s">
        <v>36</v>
      </c>
      <c r="J104" s="51">
        <f>J137*'Real values'!M$4</f>
        <v>0</v>
      </c>
      <c r="K104" s="51">
        <f>K137*'Real values'!N$4</f>
        <v>0</v>
      </c>
      <c r="L104" s="51">
        <f>L137*'Real values'!O$4</f>
        <v>0</v>
      </c>
      <c r="M104" s="51">
        <f>M137*'Real values'!P$4</f>
        <v>0</v>
      </c>
      <c r="N104" s="51">
        <f>N137*'Real values'!Q$4</f>
        <v>0</v>
      </c>
      <c r="O104" s="51">
        <f>O137*'Real values'!R$4</f>
        <v>0</v>
      </c>
      <c r="P104" s="51">
        <f>P137*'Real values'!S$4</f>
        <v>0</v>
      </c>
      <c r="Q104" s="51">
        <f>Q137*'Real values'!T$4</f>
        <v>0</v>
      </c>
      <c r="R104" s="51">
        <f>R137*'Real values'!U$4</f>
        <v>0</v>
      </c>
      <c r="S104" s="51">
        <f>S137*'Real values'!V$4</f>
        <v>0</v>
      </c>
      <c r="T104" s="51">
        <f>T137*'Real values'!W$4</f>
        <v>0</v>
      </c>
      <c r="U104" s="51">
        <f>U137*'Real values'!X$4</f>
        <v>0</v>
      </c>
      <c r="V104" s="51">
        <f>V137*'Real values'!Y$4</f>
        <v>0</v>
      </c>
      <c r="W104" s="51">
        <f>W137*'Real values'!Z$4</f>
        <v>0</v>
      </c>
      <c r="X104" s="51">
        <f>X137*'Real values'!AA$4</f>
        <v>0</v>
      </c>
      <c r="Y104" s="51">
        <f>Y137*'Real values'!AB$4</f>
        <v>0</v>
      </c>
      <c r="Z104" s="51">
        <f>Z137*'Real values'!AC$4</f>
        <v>0</v>
      </c>
      <c r="AA104" s="51">
        <f>AA137*'Real values'!AD$4</f>
        <v>0</v>
      </c>
      <c r="AB104" s="51">
        <f>AB137*'Real values'!AE$4</f>
        <v>0</v>
      </c>
      <c r="AC104" s="51">
        <f>AC137*'Real values'!AF$4</f>
        <v>0</v>
      </c>
      <c r="AD104" s="51">
        <f>AD137*'Real values'!AG$4</f>
        <v>0</v>
      </c>
      <c r="AE104" s="51">
        <f>AE137*'Real values'!AH$4</f>
        <v>0</v>
      </c>
      <c r="AF104" s="51">
        <f>AF137*'Real values'!AI$4</f>
        <v>0</v>
      </c>
      <c r="AG104" s="51">
        <f>AG137*'Real values'!AJ$4</f>
        <v>0</v>
      </c>
      <c r="AH104" s="51">
        <f>AH137*'Real values'!AK$4</f>
        <v>0</v>
      </c>
      <c r="AI104" s="51">
        <f>AI137*'Real values'!AL$4</f>
        <v>0</v>
      </c>
      <c r="AJ104" s="51">
        <f>AJ137*'Real values'!AM$4</f>
        <v>0</v>
      </c>
      <c r="AK104" s="51">
        <f>AK137*'Real values'!AN$4</f>
        <v>0</v>
      </c>
      <c r="AL104" s="51">
        <f>AL137*'Real values'!AO$4</f>
        <v>0</v>
      </c>
      <c r="AM104" s="51">
        <f>AM137*'Real values'!AP$4</f>
        <v>0</v>
      </c>
      <c r="AN104" s="51">
        <f>AN137*'Real values'!AQ$4</f>
        <v>0</v>
      </c>
      <c r="AO104" s="51">
        <f>AO137*'Real values'!AR$4</f>
        <v>0</v>
      </c>
      <c r="AP104" s="51">
        <f>AP137*'Real values'!AS$4</f>
        <v>0</v>
      </c>
      <c r="AQ104" s="51">
        <f>AQ137*'Real values'!AT$4</f>
        <v>0</v>
      </c>
      <c r="AR104" s="51">
        <f>AR137*'Real values'!AU$4</f>
        <v>0</v>
      </c>
      <c r="AS104" s="51">
        <f>AS137*'Real values'!AV$4</f>
        <v>0</v>
      </c>
      <c r="AT104" s="51">
        <f>AT137*'Real values'!AW$4</f>
        <v>0</v>
      </c>
      <c r="AU104" s="51">
        <f>AU137*'Real values'!AX$4</f>
        <v>0</v>
      </c>
      <c r="AV104" s="51">
        <f>AV137*'Real values'!AY$4</f>
        <v>0</v>
      </c>
      <c r="AW104" s="51">
        <f>AW137*'Real values'!AZ$4</f>
        <v>0</v>
      </c>
      <c r="AX104" s="51">
        <f>AX137*'Real values'!BA$4</f>
        <v>0</v>
      </c>
      <c r="AY104" s="51">
        <f>AY137*'Real values'!BB$4</f>
        <v>0</v>
      </c>
      <c r="AZ104" s="51">
        <f>AZ137*'Real values'!BC$4</f>
        <v>0</v>
      </c>
      <c r="BA104" s="51">
        <f>BA137*'Real values'!BD$4</f>
        <v>0</v>
      </c>
      <c r="BB104" s="51">
        <f>BB137*'Real values'!BE$4</f>
        <v>0</v>
      </c>
      <c r="BC104" s="51">
        <f>BC137*'Real values'!BF$4</f>
        <v>0</v>
      </c>
    </row>
    <row r="105" spans="4:55" x14ac:dyDescent="0.35">
      <c r="D105" s="2" t="s">
        <v>134</v>
      </c>
      <c r="E105" s="2"/>
      <c r="F105" s="2"/>
      <c r="G105" s="2"/>
      <c r="H105" s="2"/>
      <c r="I105" s="4" t="s">
        <v>36</v>
      </c>
      <c r="J105" s="51">
        <f>J138*'Real values'!M$4</f>
        <v>0</v>
      </c>
      <c r="K105" s="51">
        <f>K138*'Real values'!N$4</f>
        <v>0</v>
      </c>
      <c r="L105" s="51">
        <f>L138*'Real values'!O$4</f>
        <v>0</v>
      </c>
      <c r="M105" s="51">
        <f>M138*'Real values'!P$4</f>
        <v>0</v>
      </c>
      <c r="N105" s="51">
        <f>N138*'Real values'!Q$4</f>
        <v>0</v>
      </c>
      <c r="O105" s="51">
        <f>O138*'Real values'!R$4</f>
        <v>0</v>
      </c>
      <c r="P105" s="51">
        <f>P138*'Real values'!S$4</f>
        <v>0</v>
      </c>
      <c r="Q105" s="51">
        <f>Q138*'Real values'!T$4</f>
        <v>0</v>
      </c>
      <c r="R105" s="51">
        <f>R138*'Real values'!U$4</f>
        <v>0</v>
      </c>
      <c r="S105" s="51">
        <f>S138*'Real values'!V$4</f>
        <v>0</v>
      </c>
      <c r="T105" s="51">
        <f>T138*'Real values'!W$4</f>
        <v>0</v>
      </c>
      <c r="U105" s="51">
        <f>U138*'Real values'!X$4</f>
        <v>0</v>
      </c>
      <c r="V105" s="51">
        <f>V138*'Real values'!Y$4</f>
        <v>0</v>
      </c>
      <c r="W105" s="51">
        <f>W138*'Real values'!Z$4</f>
        <v>0</v>
      </c>
      <c r="X105" s="51">
        <f>X138*'Real values'!AA$4</f>
        <v>0</v>
      </c>
      <c r="Y105" s="51">
        <f>Y138*'Real values'!AB$4</f>
        <v>0</v>
      </c>
      <c r="Z105" s="51">
        <f>Z138*'Real values'!AC$4</f>
        <v>0</v>
      </c>
      <c r="AA105" s="51">
        <f>AA138*'Real values'!AD$4</f>
        <v>0</v>
      </c>
      <c r="AB105" s="51">
        <f>AB138*'Real values'!AE$4</f>
        <v>0</v>
      </c>
      <c r="AC105" s="51">
        <f>AC138*'Real values'!AF$4</f>
        <v>0</v>
      </c>
      <c r="AD105" s="51">
        <f>AD138*'Real values'!AG$4</f>
        <v>0</v>
      </c>
      <c r="AE105" s="51">
        <f>AE138*'Real values'!AH$4</f>
        <v>0</v>
      </c>
      <c r="AF105" s="51">
        <f>AF138*'Real values'!AI$4</f>
        <v>0</v>
      </c>
      <c r="AG105" s="51">
        <f>AG138*'Real values'!AJ$4</f>
        <v>0</v>
      </c>
      <c r="AH105" s="51">
        <f>AH138*'Real values'!AK$4</f>
        <v>0</v>
      </c>
      <c r="AI105" s="51">
        <f>AI138*'Real values'!AL$4</f>
        <v>0</v>
      </c>
      <c r="AJ105" s="51">
        <f>AJ138*'Real values'!AM$4</f>
        <v>0</v>
      </c>
      <c r="AK105" s="51">
        <f>AK138*'Real values'!AN$4</f>
        <v>0</v>
      </c>
      <c r="AL105" s="51">
        <f>AL138*'Real values'!AO$4</f>
        <v>0</v>
      </c>
      <c r="AM105" s="51">
        <f>AM138*'Real values'!AP$4</f>
        <v>0</v>
      </c>
      <c r="AN105" s="51">
        <f>AN138*'Real values'!AQ$4</f>
        <v>0</v>
      </c>
      <c r="AO105" s="51">
        <f>AO138*'Real values'!AR$4</f>
        <v>0</v>
      </c>
      <c r="AP105" s="51">
        <f>AP138*'Real values'!AS$4</f>
        <v>0</v>
      </c>
      <c r="AQ105" s="51">
        <f>AQ138*'Real values'!AT$4</f>
        <v>0</v>
      </c>
      <c r="AR105" s="51">
        <f>AR138*'Real values'!AU$4</f>
        <v>0</v>
      </c>
      <c r="AS105" s="51">
        <f>AS138*'Real values'!AV$4</f>
        <v>0</v>
      </c>
      <c r="AT105" s="51">
        <f>AT138*'Real values'!AW$4</f>
        <v>0</v>
      </c>
      <c r="AU105" s="51">
        <f>AU138*'Real values'!AX$4</f>
        <v>0</v>
      </c>
      <c r="AV105" s="51">
        <f>AV138*'Real values'!AY$4</f>
        <v>0</v>
      </c>
      <c r="AW105" s="51">
        <f>AW138*'Real values'!AZ$4</f>
        <v>0</v>
      </c>
      <c r="AX105" s="51">
        <f>AX138*'Real values'!BA$4</f>
        <v>0</v>
      </c>
      <c r="AY105" s="51">
        <f>AY138*'Real values'!BB$4</f>
        <v>0</v>
      </c>
      <c r="AZ105" s="51">
        <f>AZ138*'Real values'!BC$4</f>
        <v>0</v>
      </c>
      <c r="BA105" s="51">
        <f>BA138*'Real values'!BD$4</f>
        <v>0</v>
      </c>
      <c r="BB105" s="51">
        <f>BB138*'Real values'!BE$4</f>
        <v>0</v>
      </c>
      <c r="BC105" s="51">
        <f>BC138*'Real values'!BF$4</f>
        <v>0</v>
      </c>
    </row>
    <row r="106" spans="4:55" x14ac:dyDescent="0.35">
      <c r="D106" s="2" t="s">
        <v>135</v>
      </c>
      <c r="E106" s="2"/>
      <c r="F106" s="2"/>
      <c r="G106" s="2"/>
      <c r="H106" s="2"/>
      <c r="I106" s="4" t="s">
        <v>36</v>
      </c>
      <c r="J106" s="51">
        <f>J139*'Real values'!M$4</f>
        <v>0</v>
      </c>
      <c r="K106" s="51">
        <f>K139*'Real values'!N$4</f>
        <v>0</v>
      </c>
      <c r="L106" s="51">
        <f>L139*'Real values'!O$4</f>
        <v>0</v>
      </c>
      <c r="M106" s="51">
        <f>M139*'Real values'!P$4</f>
        <v>0</v>
      </c>
      <c r="N106" s="51">
        <f>N139*'Real values'!Q$4</f>
        <v>0</v>
      </c>
      <c r="O106" s="51">
        <f>O139*'Real values'!R$4</f>
        <v>0</v>
      </c>
      <c r="P106" s="51">
        <f>P139*'Real values'!S$4</f>
        <v>0</v>
      </c>
      <c r="Q106" s="51">
        <f>Q139*'Real values'!T$4</f>
        <v>0</v>
      </c>
      <c r="R106" s="51">
        <f>R139*'Real values'!U$4</f>
        <v>0</v>
      </c>
      <c r="S106" s="51">
        <f>S139*'Real values'!V$4</f>
        <v>0</v>
      </c>
      <c r="T106" s="51">
        <f>T139*'Real values'!W$4</f>
        <v>0</v>
      </c>
      <c r="U106" s="51">
        <f>U139*'Real values'!X$4</f>
        <v>0</v>
      </c>
      <c r="V106" s="51">
        <f>V139*'Real values'!Y$4</f>
        <v>0</v>
      </c>
      <c r="W106" s="51">
        <f>W139*'Real values'!Z$4</f>
        <v>0</v>
      </c>
      <c r="X106" s="51">
        <f>X139*'Real values'!AA$4</f>
        <v>0</v>
      </c>
      <c r="Y106" s="51">
        <f>Y139*'Real values'!AB$4</f>
        <v>0</v>
      </c>
      <c r="Z106" s="51">
        <f>Z139*'Real values'!AC$4</f>
        <v>0</v>
      </c>
      <c r="AA106" s="51">
        <f>AA139*'Real values'!AD$4</f>
        <v>0</v>
      </c>
      <c r="AB106" s="51">
        <f>AB139*'Real values'!AE$4</f>
        <v>0</v>
      </c>
      <c r="AC106" s="51">
        <f>AC139*'Real values'!AF$4</f>
        <v>0</v>
      </c>
      <c r="AD106" s="51">
        <f>AD139*'Real values'!AG$4</f>
        <v>0</v>
      </c>
      <c r="AE106" s="51">
        <f>AE139*'Real values'!AH$4</f>
        <v>0</v>
      </c>
      <c r="AF106" s="51">
        <f>AF139*'Real values'!AI$4</f>
        <v>0</v>
      </c>
      <c r="AG106" s="51">
        <f>AG139*'Real values'!AJ$4</f>
        <v>0</v>
      </c>
      <c r="AH106" s="51">
        <f>AH139*'Real values'!AK$4</f>
        <v>0</v>
      </c>
      <c r="AI106" s="51">
        <f>AI139*'Real values'!AL$4</f>
        <v>0</v>
      </c>
      <c r="AJ106" s="51">
        <f>AJ139*'Real values'!AM$4</f>
        <v>0</v>
      </c>
      <c r="AK106" s="51">
        <f>AK139*'Real values'!AN$4</f>
        <v>0</v>
      </c>
      <c r="AL106" s="51">
        <f>AL139*'Real values'!AO$4</f>
        <v>0</v>
      </c>
      <c r="AM106" s="51">
        <f>AM139*'Real values'!AP$4</f>
        <v>0</v>
      </c>
      <c r="AN106" s="51">
        <f>AN139*'Real values'!AQ$4</f>
        <v>0</v>
      </c>
      <c r="AO106" s="51">
        <f>AO139*'Real values'!AR$4</f>
        <v>0</v>
      </c>
      <c r="AP106" s="51">
        <f>AP139*'Real values'!AS$4</f>
        <v>0</v>
      </c>
      <c r="AQ106" s="51">
        <f>AQ139*'Real values'!AT$4</f>
        <v>0</v>
      </c>
      <c r="AR106" s="51">
        <f>AR139*'Real values'!AU$4</f>
        <v>0</v>
      </c>
      <c r="AS106" s="51">
        <f>AS139*'Real values'!AV$4</f>
        <v>0</v>
      </c>
      <c r="AT106" s="51">
        <f>AT139*'Real values'!AW$4</f>
        <v>0</v>
      </c>
      <c r="AU106" s="51">
        <f>AU139*'Real values'!AX$4</f>
        <v>0</v>
      </c>
      <c r="AV106" s="51">
        <f>AV139*'Real values'!AY$4</f>
        <v>0</v>
      </c>
      <c r="AW106" s="51">
        <f>AW139*'Real values'!AZ$4</f>
        <v>0</v>
      </c>
      <c r="AX106" s="51">
        <f>AX139*'Real values'!BA$4</f>
        <v>0</v>
      </c>
      <c r="AY106" s="51">
        <f>AY139*'Real values'!BB$4</f>
        <v>0</v>
      </c>
      <c r="AZ106" s="51">
        <f>AZ139*'Real values'!BC$4</f>
        <v>0</v>
      </c>
      <c r="BA106" s="51">
        <f>BA139*'Real values'!BD$4</f>
        <v>0</v>
      </c>
      <c r="BB106" s="51">
        <f>BB139*'Real values'!BE$4</f>
        <v>0</v>
      </c>
      <c r="BC106" s="51">
        <f>BC139*'Real values'!BF$4</f>
        <v>0</v>
      </c>
    </row>
    <row r="107" spans="4:55" x14ac:dyDescent="0.35">
      <c r="D107" s="2" t="s">
        <v>187</v>
      </c>
      <c r="E107" s="2"/>
      <c r="F107" s="2"/>
      <c r="G107" s="2"/>
      <c r="H107" s="2"/>
      <c r="I107" s="4" t="s">
        <v>36</v>
      </c>
      <c r="J107" s="51">
        <f>J101+SUM(J104:J106)</f>
        <v>0</v>
      </c>
      <c r="K107" s="51">
        <f t="shared" ref="K107:BB107" si="42">K101+SUM(K104:K106)</f>
        <v>0</v>
      </c>
      <c r="L107" s="51">
        <f t="shared" si="42"/>
        <v>0</v>
      </c>
      <c r="M107" s="51">
        <f t="shared" si="42"/>
        <v>0</v>
      </c>
      <c r="N107" s="51">
        <f t="shared" si="42"/>
        <v>0</v>
      </c>
      <c r="O107" s="51">
        <f t="shared" si="42"/>
        <v>0</v>
      </c>
      <c r="P107" s="51">
        <f t="shared" si="42"/>
        <v>0</v>
      </c>
      <c r="Q107" s="51">
        <f t="shared" si="42"/>
        <v>0</v>
      </c>
      <c r="R107" s="51">
        <f t="shared" si="42"/>
        <v>0</v>
      </c>
      <c r="S107" s="51">
        <f t="shared" si="42"/>
        <v>0</v>
      </c>
      <c r="T107" s="51">
        <f t="shared" si="42"/>
        <v>0</v>
      </c>
      <c r="U107" s="51">
        <f t="shared" si="42"/>
        <v>0</v>
      </c>
      <c r="V107" s="51">
        <f t="shared" si="42"/>
        <v>0</v>
      </c>
      <c r="W107" s="51">
        <f t="shared" si="42"/>
        <v>0</v>
      </c>
      <c r="X107" s="51">
        <f t="shared" si="42"/>
        <v>0</v>
      </c>
      <c r="Y107" s="51">
        <f t="shared" si="42"/>
        <v>0</v>
      </c>
      <c r="Z107" s="51">
        <f t="shared" si="42"/>
        <v>0</v>
      </c>
      <c r="AA107" s="51">
        <f t="shared" si="42"/>
        <v>0</v>
      </c>
      <c r="AB107" s="51">
        <f t="shared" si="42"/>
        <v>0</v>
      </c>
      <c r="AC107" s="51">
        <f t="shared" si="42"/>
        <v>0</v>
      </c>
      <c r="AD107" s="51">
        <f t="shared" si="42"/>
        <v>0</v>
      </c>
      <c r="AE107" s="51">
        <f t="shared" si="42"/>
        <v>0</v>
      </c>
      <c r="AF107" s="51">
        <f t="shared" si="42"/>
        <v>0</v>
      </c>
      <c r="AG107" s="51">
        <f t="shared" si="42"/>
        <v>0</v>
      </c>
      <c r="AH107" s="51">
        <f t="shared" si="42"/>
        <v>0</v>
      </c>
      <c r="AI107" s="51">
        <f t="shared" si="42"/>
        <v>0</v>
      </c>
      <c r="AJ107" s="51">
        <f t="shared" si="42"/>
        <v>0</v>
      </c>
      <c r="AK107" s="51">
        <f t="shared" si="42"/>
        <v>0</v>
      </c>
      <c r="AL107" s="51">
        <f t="shared" si="42"/>
        <v>0</v>
      </c>
      <c r="AM107" s="51">
        <f t="shared" si="42"/>
        <v>0</v>
      </c>
      <c r="AN107" s="51">
        <f t="shared" si="42"/>
        <v>0</v>
      </c>
      <c r="AO107" s="51">
        <f t="shared" si="42"/>
        <v>0</v>
      </c>
      <c r="AP107" s="51">
        <f t="shared" si="42"/>
        <v>0</v>
      </c>
      <c r="AQ107" s="51">
        <f t="shared" si="42"/>
        <v>0</v>
      </c>
      <c r="AR107" s="51">
        <f t="shared" si="42"/>
        <v>0</v>
      </c>
      <c r="AS107" s="51">
        <f t="shared" si="42"/>
        <v>0</v>
      </c>
      <c r="AT107" s="51">
        <f t="shared" si="42"/>
        <v>0</v>
      </c>
      <c r="AU107" s="51">
        <f t="shared" si="42"/>
        <v>0</v>
      </c>
      <c r="AV107" s="51">
        <f t="shared" si="42"/>
        <v>0</v>
      </c>
      <c r="AW107" s="51">
        <f t="shared" si="42"/>
        <v>0</v>
      </c>
      <c r="AX107" s="51">
        <f t="shared" si="42"/>
        <v>0</v>
      </c>
      <c r="AY107" s="51">
        <f t="shared" si="42"/>
        <v>0</v>
      </c>
      <c r="AZ107" s="51">
        <f t="shared" si="42"/>
        <v>0</v>
      </c>
      <c r="BA107" s="51">
        <f t="shared" si="42"/>
        <v>0</v>
      </c>
      <c r="BB107" s="51">
        <f t="shared" si="42"/>
        <v>0</v>
      </c>
      <c r="BC107" s="51">
        <f t="shared" ref="BC107" si="43">BC101+SUM(BC104:BC106)</f>
        <v>0</v>
      </c>
    </row>
    <row r="108" spans="4:55" x14ac:dyDescent="0.35">
      <c r="D108" s="2" t="s">
        <v>188</v>
      </c>
      <c r="E108" s="2"/>
      <c r="F108" s="2"/>
      <c r="G108" s="2"/>
      <c r="H108" s="2"/>
      <c r="I108" s="4" t="s">
        <v>36</v>
      </c>
      <c r="J108" s="51">
        <f>SUM(J103:J105)</f>
        <v>0</v>
      </c>
      <c r="K108" s="51">
        <f t="shared" ref="K108:BB108" si="44">SUM(K103:K105)</f>
        <v>0</v>
      </c>
      <c r="L108" s="51">
        <f t="shared" si="44"/>
        <v>0</v>
      </c>
      <c r="M108" s="51">
        <f t="shared" si="44"/>
        <v>0</v>
      </c>
      <c r="N108" s="51">
        <f t="shared" si="44"/>
        <v>0</v>
      </c>
      <c r="O108" s="51">
        <f t="shared" si="44"/>
        <v>0</v>
      </c>
      <c r="P108" s="51">
        <f t="shared" si="44"/>
        <v>0</v>
      </c>
      <c r="Q108" s="51">
        <f t="shared" si="44"/>
        <v>0</v>
      </c>
      <c r="R108" s="51">
        <f t="shared" si="44"/>
        <v>0</v>
      </c>
      <c r="S108" s="51">
        <f t="shared" si="44"/>
        <v>0</v>
      </c>
      <c r="T108" s="51">
        <f t="shared" si="44"/>
        <v>0</v>
      </c>
      <c r="U108" s="51">
        <f t="shared" si="44"/>
        <v>0</v>
      </c>
      <c r="V108" s="51">
        <f t="shared" si="44"/>
        <v>0</v>
      </c>
      <c r="W108" s="51">
        <f t="shared" si="44"/>
        <v>0</v>
      </c>
      <c r="X108" s="51">
        <f t="shared" si="44"/>
        <v>0</v>
      </c>
      <c r="Y108" s="51">
        <f t="shared" si="44"/>
        <v>0</v>
      </c>
      <c r="Z108" s="51">
        <f t="shared" si="44"/>
        <v>0</v>
      </c>
      <c r="AA108" s="51">
        <f t="shared" si="44"/>
        <v>0</v>
      </c>
      <c r="AB108" s="51">
        <f t="shared" si="44"/>
        <v>0</v>
      </c>
      <c r="AC108" s="51">
        <f t="shared" si="44"/>
        <v>0</v>
      </c>
      <c r="AD108" s="51">
        <f t="shared" si="44"/>
        <v>0</v>
      </c>
      <c r="AE108" s="51">
        <f t="shared" si="44"/>
        <v>0</v>
      </c>
      <c r="AF108" s="51">
        <f t="shared" si="44"/>
        <v>0</v>
      </c>
      <c r="AG108" s="51">
        <f t="shared" si="44"/>
        <v>0</v>
      </c>
      <c r="AH108" s="51">
        <f t="shared" si="44"/>
        <v>0</v>
      </c>
      <c r="AI108" s="51">
        <f t="shared" si="44"/>
        <v>0</v>
      </c>
      <c r="AJ108" s="51">
        <f t="shared" si="44"/>
        <v>0</v>
      </c>
      <c r="AK108" s="51">
        <f t="shared" si="44"/>
        <v>0</v>
      </c>
      <c r="AL108" s="51">
        <f t="shared" si="44"/>
        <v>0</v>
      </c>
      <c r="AM108" s="51">
        <f t="shared" si="44"/>
        <v>0</v>
      </c>
      <c r="AN108" s="51">
        <f t="shared" si="44"/>
        <v>0</v>
      </c>
      <c r="AO108" s="51">
        <f t="shared" si="44"/>
        <v>0</v>
      </c>
      <c r="AP108" s="51">
        <f t="shared" si="44"/>
        <v>0</v>
      </c>
      <c r="AQ108" s="51">
        <f t="shared" si="44"/>
        <v>0</v>
      </c>
      <c r="AR108" s="51">
        <f t="shared" si="44"/>
        <v>0</v>
      </c>
      <c r="AS108" s="51">
        <f t="shared" si="44"/>
        <v>0</v>
      </c>
      <c r="AT108" s="51">
        <f t="shared" si="44"/>
        <v>0</v>
      </c>
      <c r="AU108" s="51">
        <f t="shared" si="44"/>
        <v>0</v>
      </c>
      <c r="AV108" s="51">
        <f t="shared" si="44"/>
        <v>0</v>
      </c>
      <c r="AW108" s="51">
        <f t="shared" si="44"/>
        <v>0</v>
      </c>
      <c r="AX108" s="51">
        <f t="shared" si="44"/>
        <v>0</v>
      </c>
      <c r="AY108" s="51">
        <f t="shared" si="44"/>
        <v>0</v>
      </c>
      <c r="AZ108" s="51">
        <f t="shared" si="44"/>
        <v>0</v>
      </c>
      <c r="BA108" s="51">
        <f t="shared" si="44"/>
        <v>0</v>
      </c>
      <c r="BB108" s="51">
        <f t="shared" si="44"/>
        <v>0</v>
      </c>
      <c r="BC108" s="51">
        <f t="shared" ref="BC108" si="45">SUM(BC103:BC105)</f>
        <v>0</v>
      </c>
    </row>
    <row r="109" spans="4:55" x14ac:dyDescent="0.35">
      <c r="D109" s="2" t="s">
        <v>127</v>
      </c>
      <c r="E109" s="2"/>
      <c r="F109" s="2"/>
      <c r="G109" s="2"/>
      <c r="H109" s="2"/>
      <c r="I109" s="4" t="s">
        <v>36</v>
      </c>
      <c r="J109" s="51">
        <f>J142*'Real values'!M$4</f>
        <v>0</v>
      </c>
      <c r="K109" s="51">
        <f>K142*'Real values'!N$4</f>
        <v>0</v>
      </c>
      <c r="L109" s="51">
        <f>L142*'Real values'!O$4</f>
        <v>0</v>
      </c>
      <c r="M109" s="51">
        <f>M142*'Real values'!P$4</f>
        <v>0</v>
      </c>
      <c r="N109" s="51">
        <f>N142*'Real values'!Q$4</f>
        <v>0</v>
      </c>
      <c r="O109" s="51">
        <f>O142*'Real values'!R$4</f>
        <v>0</v>
      </c>
      <c r="P109" s="51">
        <f>P142*'Real values'!S$4</f>
        <v>0</v>
      </c>
      <c r="Q109" s="51">
        <f>Q142*'Real values'!T$4</f>
        <v>0</v>
      </c>
      <c r="R109" s="51">
        <f>R142*'Real values'!U$4</f>
        <v>0</v>
      </c>
      <c r="S109" s="51">
        <f>S142*'Real values'!V$4</f>
        <v>0</v>
      </c>
      <c r="T109" s="51">
        <f>T142*'Real values'!W$4</f>
        <v>0</v>
      </c>
      <c r="U109" s="51">
        <f>U142*'Real values'!X$4</f>
        <v>0</v>
      </c>
      <c r="V109" s="51">
        <f>V142*'Real values'!Y$4</f>
        <v>0</v>
      </c>
      <c r="W109" s="51">
        <f>W142*'Real values'!Z$4</f>
        <v>0</v>
      </c>
      <c r="X109" s="51">
        <f>X142*'Real values'!AA$4</f>
        <v>0</v>
      </c>
      <c r="Y109" s="51">
        <f>Y142*'Real values'!AB$4</f>
        <v>0</v>
      </c>
      <c r="Z109" s="51">
        <f>Z142*'Real values'!AC$4</f>
        <v>0</v>
      </c>
      <c r="AA109" s="51">
        <f>AA142*'Real values'!AD$4</f>
        <v>0</v>
      </c>
      <c r="AB109" s="51">
        <f>AB142*'Real values'!AE$4</f>
        <v>0</v>
      </c>
      <c r="AC109" s="51">
        <f>AC142*'Real values'!AF$4</f>
        <v>0</v>
      </c>
      <c r="AD109" s="51">
        <f>AD142*'Real values'!AG$4</f>
        <v>0</v>
      </c>
      <c r="AE109" s="51">
        <f>AE142*'Real values'!AH$4</f>
        <v>0</v>
      </c>
      <c r="AF109" s="51">
        <f>AF142*'Real values'!AI$4</f>
        <v>0</v>
      </c>
      <c r="AG109" s="51">
        <f>AG142*'Real values'!AJ$4</f>
        <v>0</v>
      </c>
      <c r="AH109" s="51">
        <f>AH142*'Real values'!AK$4</f>
        <v>0</v>
      </c>
      <c r="AI109" s="51">
        <f>AI142*'Real values'!AL$4</f>
        <v>0</v>
      </c>
      <c r="AJ109" s="51">
        <f>AJ142*'Real values'!AM$4</f>
        <v>0</v>
      </c>
      <c r="AK109" s="51">
        <f>AK142*'Real values'!AN$4</f>
        <v>0</v>
      </c>
      <c r="AL109" s="51">
        <f>AL142*'Real values'!AO$4</f>
        <v>0</v>
      </c>
      <c r="AM109" s="51">
        <f>AM142*'Real values'!AP$4</f>
        <v>0</v>
      </c>
      <c r="AN109" s="51">
        <f>AN142*'Real values'!AQ$4</f>
        <v>0</v>
      </c>
      <c r="AO109" s="51">
        <f>AO142*'Real values'!AR$4</f>
        <v>0</v>
      </c>
      <c r="AP109" s="51">
        <f>AP142*'Real values'!AS$4</f>
        <v>0</v>
      </c>
      <c r="AQ109" s="51">
        <f>AQ142*'Real values'!AT$4</f>
        <v>0</v>
      </c>
      <c r="AR109" s="51">
        <f>AR142*'Real values'!AU$4</f>
        <v>0</v>
      </c>
      <c r="AS109" s="51">
        <f>AS142*'Real values'!AV$4</f>
        <v>0</v>
      </c>
      <c r="AT109" s="51">
        <f>AT142*'Real values'!AW$4</f>
        <v>0</v>
      </c>
      <c r="AU109" s="51">
        <f>AU142*'Real values'!AX$4</f>
        <v>0</v>
      </c>
      <c r="AV109" s="51">
        <f>AV142*'Real values'!AY$4</f>
        <v>0</v>
      </c>
      <c r="AW109" s="51">
        <f>AW142*'Real values'!AZ$4</f>
        <v>0</v>
      </c>
      <c r="AX109" s="51">
        <f>AX142*'Real values'!BA$4</f>
        <v>0</v>
      </c>
      <c r="AY109" s="51">
        <f>AY142*'Real values'!BB$4</f>
        <v>0</v>
      </c>
      <c r="AZ109" s="51">
        <f>AZ142*'Real values'!BC$4</f>
        <v>0</v>
      </c>
      <c r="BA109" s="51">
        <f>BA142*'Real values'!BD$4</f>
        <v>0</v>
      </c>
      <c r="BB109" s="51">
        <f>BB142*'Real values'!BE$4</f>
        <v>0</v>
      </c>
      <c r="BC109" s="51">
        <f>BC142*'Real values'!BF$4</f>
        <v>0</v>
      </c>
    </row>
    <row r="110" spans="4:55" x14ac:dyDescent="0.35">
      <c r="D110" s="2" t="s">
        <v>189</v>
      </c>
      <c r="E110" s="2"/>
      <c r="F110" s="2"/>
      <c r="G110" s="2"/>
      <c r="H110" s="2"/>
      <c r="I110" s="4" t="s">
        <v>36</v>
      </c>
      <c r="J110" s="51">
        <f>J109-J107</f>
        <v>0</v>
      </c>
      <c r="K110" s="51">
        <f t="shared" ref="K110:BB110" si="46">K109-K107</f>
        <v>0</v>
      </c>
      <c r="L110" s="51">
        <f t="shared" si="46"/>
        <v>0</v>
      </c>
      <c r="M110" s="51">
        <f t="shared" si="46"/>
        <v>0</v>
      </c>
      <c r="N110" s="51">
        <f t="shared" si="46"/>
        <v>0</v>
      </c>
      <c r="O110" s="51">
        <f t="shared" si="46"/>
        <v>0</v>
      </c>
      <c r="P110" s="51">
        <f t="shared" si="46"/>
        <v>0</v>
      </c>
      <c r="Q110" s="51">
        <f t="shared" si="46"/>
        <v>0</v>
      </c>
      <c r="R110" s="51">
        <f t="shared" si="46"/>
        <v>0</v>
      </c>
      <c r="S110" s="51">
        <f t="shared" si="46"/>
        <v>0</v>
      </c>
      <c r="T110" s="51">
        <f t="shared" si="46"/>
        <v>0</v>
      </c>
      <c r="U110" s="51">
        <f t="shared" si="46"/>
        <v>0</v>
      </c>
      <c r="V110" s="51">
        <f t="shared" si="46"/>
        <v>0</v>
      </c>
      <c r="W110" s="51">
        <f t="shared" si="46"/>
        <v>0</v>
      </c>
      <c r="X110" s="51">
        <f t="shared" si="46"/>
        <v>0</v>
      </c>
      <c r="Y110" s="51">
        <f t="shared" si="46"/>
        <v>0</v>
      </c>
      <c r="Z110" s="51">
        <f t="shared" si="46"/>
        <v>0</v>
      </c>
      <c r="AA110" s="51">
        <f t="shared" si="46"/>
        <v>0</v>
      </c>
      <c r="AB110" s="51">
        <f t="shared" si="46"/>
        <v>0</v>
      </c>
      <c r="AC110" s="51">
        <f t="shared" si="46"/>
        <v>0</v>
      </c>
      <c r="AD110" s="51">
        <f t="shared" si="46"/>
        <v>0</v>
      </c>
      <c r="AE110" s="51">
        <f t="shared" si="46"/>
        <v>0</v>
      </c>
      <c r="AF110" s="51">
        <f t="shared" si="46"/>
        <v>0</v>
      </c>
      <c r="AG110" s="51">
        <f t="shared" si="46"/>
        <v>0</v>
      </c>
      <c r="AH110" s="51">
        <f t="shared" si="46"/>
        <v>0</v>
      </c>
      <c r="AI110" s="51">
        <f t="shared" si="46"/>
        <v>0</v>
      </c>
      <c r="AJ110" s="51">
        <f t="shared" si="46"/>
        <v>0</v>
      </c>
      <c r="AK110" s="51">
        <f t="shared" si="46"/>
        <v>0</v>
      </c>
      <c r="AL110" s="51">
        <f t="shared" si="46"/>
        <v>0</v>
      </c>
      <c r="AM110" s="51">
        <f t="shared" si="46"/>
        <v>0</v>
      </c>
      <c r="AN110" s="51">
        <f t="shared" si="46"/>
        <v>0</v>
      </c>
      <c r="AO110" s="51">
        <f t="shared" si="46"/>
        <v>0</v>
      </c>
      <c r="AP110" s="51">
        <f t="shared" si="46"/>
        <v>0</v>
      </c>
      <c r="AQ110" s="51">
        <f t="shared" si="46"/>
        <v>0</v>
      </c>
      <c r="AR110" s="51">
        <f t="shared" si="46"/>
        <v>0</v>
      </c>
      <c r="AS110" s="51">
        <f t="shared" si="46"/>
        <v>0</v>
      </c>
      <c r="AT110" s="51">
        <f t="shared" si="46"/>
        <v>0</v>
      </c>
      <c r="AU110" s="51">
        <f t="shared" si="46"/>
        <v>0</v>
      </c>
      <c r="AV110" s="51">
        <f t="shared" si="46"/>
        <v>0</v>
      </c>
      <c r="AW110" s="51">
        <f t="shared" si="46"/>
        <v>0</v>
      </c>
      <c r="AX110" s="51">
        <f t="shared" si="46"/>
        <v>0</v>
      </c>
      <c r="AY110" s="51">
        <f t="shared" si="46"/>
        <v>0</v>
      </c>
      <c r="AZ110" s="51">
        <f t="shared" si="46"/>
        <v>0</v>
      </c>
      <c r="BA110" s="51">
        <f t="shared" si="46"/>
        <v>0</v>
      </c>
      <c r="BB110" s="51">
        <f t="shared" si="46"/>
        <v>0</v>
      </c>
      <c r="BC110" s="51">
        <f t="shared" ref="BC110" si="47">BC109-BC107</f>
        <v>0</v>
      </c>
    </row>
    <row r="111" spans="4:55" x14ac:dyDescent="0.35">
      <c r="D111" s="2" t="s">
        <v>190</v>
      </c>
      <c r="E111" s="2"/>
      <c r="F111" s="2"/>
      <c r="G111" s="2"/>
      <c r="H111" s="2"/>
      <c r="I111" s="4" t="s">
        <v>36</v>
      </c>
      <c r="J111" s="51">
        <f>J109-J108</f>
        <v>0</v>
      </c>
      <c r="K111" s="51">
        <f t="shared" ref="K111:BB111" si="48">K109-K108</f>
        <v>0</v>
      </c>
      <c r="L111" s="51">
        <f t="shared" si="48"/>
        <v>0</v>
      </c>
      <c r="M111" s="51">
        <f t="shared" si="48"/>
        <v>0</v>
      </c>
      <c r="N111" s="51">
        <f t="shared" si="48"/>
        <v>0</v>
      </c>
      <c r="O111" s="51">
        <f t="shared" si="48"/>
        <v>0</v>
      </c>
      <c r="P111" s="51">
        <f t="shared" si="48"/>
        <v>0</v>
      </c>
      <c r="Q111" s="51">
        <f t="shared" si="48"/>
        <v>0</v>
      </c>
      <c r="R111" s="51">
        <f t="shared" si="48"/>
        <v>0</v>
      </c>
      <c r="S111" s="51">
        <f t="shared" si="48"/>
        <v>0</v>
      </c>
      <c r="T111" s="51">
        <f t="shared" si="48"/>
        <v>0</v>
      </c>
      <c r="U111" s="51">
        <f t="shared" si="48"/>
        <v>0</v>
      </c>
      <c r="V111" s="51">
        <f t="shared" si="48"/>
        <v>0</v>
      </c>
      <c r="W111" s="51">
        <f t="shared" si="48"/>
        <v>0</v>
      </c>
      <c r="X111" s="51">
        <f t="shared" si="48"/>
        <v>0</v>
      </c>
      <c r="Y111" s="51">
        <f t="shared" si="48"/>
        <v>0</v>
      </c>
      <c r="Z111" s="51">
        <f t="shared" si="48"/>
        <v>0</v>
      </c>
      <c r="AA111" s="51">
        <f t="shared" si="48"/>
        <v>0</v>
      </c>
      <c r="AB111" s="51">
        <f t="shared" si="48"/>
        <v>0</v>
      </c>
      <c r="AC111" s="51">
        <f t="shared" si="48"/>
        <v>0</v>
      </c>
      <c r="AD111" s="51">
        <f t="shared" si="48"/>
        <v>0</v>
      </c>
      <c r="AE111" s="51">
        <f t="shared" si="48"/>
        <v>0</v>
      </c>
      <c r="AF111" s="51">
        <f t="shared" si="48"/>
        <v>0</v>
      </c>
      <c r="AG111" s="51">
        <f t="shared" si="48"/>
        <v>0</v>
      </c>
      <c r="AH111" s="51">
        <f t="shared" si="48"/>
        <v>0</v>
      </c>
      <c r="AI111" s="51">
        <f t="shared" si="48"/>
        <v>0</v>
      </c>
      <c r="AJ111" s="51">
        <f t="shared" si="48"/>
        <v>0</v>
      </c>
      <c r="AK111" s="51">
        <f t="shared" si="48"/>
        <v>0</v>
      </c>
      <c r="AL111" s="51">
        <f t="shared" si="48"/>
        <v>0</v>
      </c>
      <c r="AM111" s="51">
        <f t="shared" si="48"/>
        <v>0</v>
      </c>
      <c r="AN111" s="51">
        <f t="shared" si="48"/>
        <v>0</v>
      </c>
      <c r="AO111" s="51">
        <f t="shared" si="48"/>
        <v>0</v>
      </c>
      <c r="AP111" s="51">
        <f t="shared" si="48"/>
        <v>0</v>
      </c>
      <c r="AQ111" s="51">
        <f t="shared" si="48"/>
        <v>0</v>
      </c>
      <c r="AR111" s="51">
        <f t="shared" si="48"/>
        <v>0</v>
      </c>
      <c r="AS111" s="51">
        <f t="shared" si="48"/>
        <v>0</v>
      </c>
      <c r="AT111" s="51">
        <f t="shared" si="48"/>
        <v>0</v>
      </c>
      <c r="AU111" s="51">
        <f t="shared" si="48"/>
        <v>0</v>
      </c>
      <c r="AV111" s="51">
        <f t="shared" si="48"/>
        <v>0</v>
      </c>
      <c r="AW111" s="51">
        <f t="shared" si="48"/>
        <v>0</v>
      </c>
      <c r="AX111" s="51">
        <f t="shared" si="48"/>
        <v>0</v>
      </c>
      <c r="AY111" s="51">
        <f t="shared" si="48"/>
        <v>0</v>
      </c>
      <c r="AZ111" s="51">
        <f t="shared" si="48"/>
        <v>0</v>
      </c>
      <c r="BA111" s="51">
        <f t="shared" si="48"/>
        <v>0</v>
      </c>
      <c r="BB111" s="51">
        <f t="shared" si="48"/>
        <v>0</v>
      </c>
      <c r="BC111" s="51">
        <f t="shared" ref="BC111" si="49">BC109-BC108</f>
        <v>0</v>
      </c>
    </row>
    <row r="112" spans="4:55" x14ac:dyDescent="0.35">
      <c r="D112" s="2" t="s">
        <v>144</v>
      </c>
      <c r="E112" s="2"/>
      <c r="F112" s="2"/>
      <c r="G112" s="2"/>
      <c r="H112" s="2"/>
      <c r="I112" s="4" t="s">
        <v>36</v>
      </c>
      <c r="J112" s="51">
        <f>Inputs!H184</f>
        <v>0</v>
      </c>
      <c r="K112" s="51">
        <f>Inputs!I184</f>
        <v>0</v>
      </c>
      <c r="L112" s="51">
        <f>Inputs!J184</f>
        <v>0</v>
      </c>
      <c r="M112" s="51">
        <f>Inputs!K184</f>
        <v>0</v>
      </c>
      <c r="N112" s="51">
        <f>Inputs!L184</f>
        <v>0</v>
      </c>
      <c r="O112" s="51">
        <f>Inputs!M184</f>
        <v>0</v>
      </c>
      <c r="P112" s="51">
        <f>Inputs!N184</f>
        <v>0</v>
      </c>
      <c r="Q112" s="51">
        <f>Inputs!O184</f>
        <v>0</v>
      </c>
      <c r="R112" s="51">
        <f>Inputs!P184</f>
        <v>0</v>
      </c>
      <c r="S112" s="51">
        <f>Inputs!Q184</f>
        <v>0</v>
      </c>
      <c r="T112" s="51">
        <f>Inputs!R184</f>
        <v>0</v>
      </c>
      <c r="U112" s="51">
        <f>Inputs!S184</f>
        <v>0</v>
      </c>
      <c r="V112" s="51">
        <f>Inputs!T184</f>
        <v>0</v>
      </c>
      <c r="W112" s="51">
        <f>Inputs!U184</f>
        <v>0</v>
      </c>
      <c r="X112" s="51">
        <f>Inputs!V184</f>
        <v>0</v>
      </c>
      <c r="Y112" s="51">
        <f>Inputs!W184</f>
        <v>0</v>
      </c>
      <c r="Z112" s="51">
        <f>Inputs!X184</f>
        <v>0</v>
      </c>
      <c r="AA112" s="51">
        <f>Inputs!Y184</f>
        <v>0</v>
      </c>
      <c r="AB112" s="51">
        <f>Inputs!Z184</f>
        <v>0</v>
      </c>
      <c r="AC112" s="51">
        <f>Inputs!AA184</f>
        <v>0</v>
      </c>
      <c r="AD112" s="51">
        <f>Inputs!AB184</f>
        <v>0</v>
      </c>
      <c r="AE112" s="51">
        <f>Inputs!AC184</f>
        <v>0</v>
      </c>
      <c r="AF112" s="51">
        <f>Inputs!AD184</f>
        <v>0</v>
      </c>
      <c r="AG112" s="51">
        <f>Inputs!AE184</f>
        <v>0</v>
      </c>
      <c r="AH112" s="51">
        <f>Inputs!AF184</f>
        <v>0</v>
      </c>
      <c r="AI112" s="51">
        <f>Inputs!AG184</f>
        <v>0</v>
      </c>
      <c r="AJ112" s="51">
        <f>Inputs!AH184</f>
        <v>0</v>
      </c>
      <c r="AK112" s="51">
        <f>Inputs!AI184</f>
        <v>0</v>
      </c>
      <c r="AL112" s="51">
        <f>Inputs!AJ184</f>
        <v>0</v>
      </c>
      <c r="AM112" s="51">
        <f>Inputs!AK184</f>
        <v>0</v>
      </c>
      <c r="AN112" s="51">
        <f>Inputs!AL184</f>
        <v>0</v>
      </c>
      <c r="AO112" s="51">
        <f>Inputs!AM184</f>
        <v>0</v>
      </c>
      <c r="AP112" s="51">
        <f>Inputs!AN184</f>
        <v>0</v>
      </c>
      <c r="AQ112" s="51">
        <f>Inputs!AO184</f>
        <v>0</v>
      </c>
      <c r="AR112" s="51">
        <f>Inputs!AP184</f>
        <v>0</v>
      </c>
      <c r="AS112" s="51">
        <f>Inputs!AQ184</f>
        <v>0</v>
      </c>
      <c r="AT112" s="51">
        <f>Inputs!AR184</f>
        <v>0</v>
      </c>
      <c r="AU112" s="51">
        <f>Inputs!AS184</f>
        <v>0</v>
      </c>
      <c r="AV112" s="51">
        <f>Inputs!AT184</f>
        <v>0</v>
      </c>
      <c r="AW112" s="51">
        <f>Inputs!AU184</f>
        <v>0</v>
      </c>
      <c r="AX112" s="51">
        <f>Inputs!AV184</f>
        <v>0</v>
      </c>
      <c r="AY112" s="51">
        <f>Inputs!AW184</f>
        <v>0</v>
      </c>
      <c r="AZ112" s="51">
        <f>Inputs!AX184</f>
        <v>0</v>
      </c>
      <c r="BA112" s="51">
        <f>Inputs!AY184</f>
        <v>0</v>
      </c>
      <c r="BB112" s="51">
        <f>Inputs!AZ184</f>
        <v>0</v>
      </c>
      <c r="BC112" s="51">
        <f>Inputs!BA184</f>
        <v>0</v>
      </c>
    </row>
    <row r="113" spans="4:55" x14ac:dyDescent="0.35">
      <c r="D113" s="2" t="s">
        <v>191</v>
      </c>
      <c r="E113" s="2"/>
      <c r="F113" s="2"/>
      <c r="G113" s="2"/>
      <c r="H113" s="2"/>
      <c r="I113" s="4" t="s">
        <v>36</v>
      </c>
      <c r="J113" s="51">
        <f>J110-J112</f>
        <v>0</v>
      </c>
      <c r="K113" s="51">
        <f t="shared" ref="K113:BB113" si="50">K110-K112</f>
        <v>0</v>
      </c>
      <c r="L113" s="51">
        <f t="shared" si="50"/>
        <v>0</v>
      </c>
      <c r="M113" s="51">
        <f t="shared" si="50"/>
        <v>0</v>
      </c>
      <c r="N113" s="51">
        <f t="shared" si="50"/>
        <v>0</v>
      </c>
      <c r="O113" s="51">
        <f t="shared" si="50"/>
        <v>0</v>
      </c>
      <c r="P113" s="51">
        <f t="shared" si="50"/>
        <v>0</v>
      </c>
      <c r="Q113" s="51">
        <f t="shared" si="50"/>
        <v>0</v>
      </c>
      <c r="R113" s="51">
        <f t="shared" si="50"/>
        <v>0</v>
      </c>
      <c r="S113" s="51">
        <f t="shared" si="50"/>
        <v>0</v>
      </c>
      <c r="T113" s="51">
        <f t="shared" si="50"/>
        <v>0</v>
      </c>
      <c r="U113" s="51">
        <f t="shared" si="50"/>
        <v>0</v>
      </c>
      <c r="V113" s="51">
        <f t="shared" si="50"/>
        <v>0</v>
      </c>
      <c r="W113" s="51">
        <f t="shared" si="50"/>
        <v>0</v>
      </c>
      <c r="X113" s="51">
        <f t="shared" si="50"/>
        <v>0</v>
      </c>
      <c r="Y113" s="51">
        <f t="shared" si="50"/>
        <v>0</v>
      </c>
      <c r="Z113" s="51">
        <f t="shared" si="50"/>
        <v>0</v>
      </c>
      <c r="AA113" s="51">
        <f t="shared" si="50"/>
        <v>0</v>
      </c>
      <c r="AB113" s="51">
        <f t="shared" si="50"/>
        <v>0</v>
      </c>
      <c r="AC113" s="51">
        <f t="shared" si="50"/>
        <v>0</v>
      </c>
      <c r="AD113" s="51">
        <f t="shared" si="50"/>
        <v>0</v>
      </c>
      <c r="AE113" s="51">
        <f t="shared" si="50"/>
        <v>0</v>
      </c>
      <c r="AF113" s="51">
        <f t="shared" si="50"/>
        <v>0</v>
      </c>
      <c r="AG113" s="51">
        <f t="shared" si="50"/>
        <v>0</v>
      </c>
      <c r="AH113" s="51">
        <f t="shared" si="50"/>
        <v>0</v>
      </c>
      <c r="AI113" s="51">
        <f t="shared" si="50"/>
        <v>0</v>
      </c>
      <c r="AJ113" s="51">
        <f t="shared" si="50"/>
        <v>0</v>
      </c>
      <c r="AK113" s="51">
        <f t="shared" si="50"/>
        <v>0</v>
      </c>
      <c r="AL113" s="51">
        <f t="shared" si="50"/>
        <v>0</v>
      </c>
      <c r="AM113" s="51">
        <f t="shared" si="50"/>
        <v>0</v>
      </c>
      <c r="AN113" s="51">
        <f t="shared" si="50"/>
        <v>0</v>
      </c>
      <c r="AO113" s="51">
        <f t="shared" si="50"/>
        <v>0</v>
      </c>
      <c r="AP113" s="51">
        <f t="shared" si="50"/>
        <v>0</v>
      </c>
      <c r="AQ113" s="51">
        <f t="shared" si="50"/>
        <v>0</v>
      </c>
      <c r="AR113" s="51">
        <f t="shared" si="50"/>
        <v>0</v>
      </c>
      <c r="AS113" s="51">
        <f t="shared" si="50"/>
        <v>0</v>
      </c>
      <c r="AT113" s="51">
        <f t="shared" si="50"/>
        <v>0</v>
      </c>
      <c r="AU113" s="51">
        <f t="shared" si="50"/>
        <v>0</v>
      </c>
      <c r="AV113" s="51">
        <f t="shared" si="50"/>
        <v>0</v>
      </c>
      <c r="AW113" s="51">
        <f t="shared" si="50"/>
        <v>0</v>
      </c>
      <c r="AX113" s="51">
        <f t="shared" si="50"/>
        <v>0</v>
      </c>
      <c r="AY113" s="51">
        <f t="shared" si="50"/>
        <v>0</v>
      </c>
      <c r="AZ113" s="51">
        <f t="shared" si="50"/>
        <v>0</v>
      </c>
      <c r="BA113" s="51">
        <f t="shared" si="50"/>
        <v>0</v>
      </c>
      <c r="BB113" s="51">
        <f t="shared" si="50"/>
        <v>0</v>
      </c>
      <c r="BC113" s="51">
        <f t="shared" ref="BC113" si="51">BC110-BC112</f>
        <v>0</v>
      </c>
    </row>
    <row r="114" spans="4:55" x14ac:dyDescent="0.35">
      <c r="D114" s="2" t="s">
        <v>192</v>
      </c>
      <c r="E114" s="2"/>
      <c r="F114" s="2"/>
      <c r="G114" s="2"/>
      <c r="H114" s="2"/>
      <c r="I114" s="4" t="s">
        <v>36</v>
      </c>
      <c r="J114" s="51">
        <f>J111-J112</f>
        <v>0</v>
      </c>
      <c r="K114" s="51">
        <f t="shared" ref="K114:BB114" si="52">K111-K112</f>
        <v>0</v>
      </c>
      <c r="L114" s="51">
        <f t="shared" si="52"/>
        <v>0</v>
      </c>
      <c r="M114" s="51">
        <f t="shared" si="52"/>
        <v>0</v>
      </c>
      <c r="N114" s="51">
        <f t="shared" si="52"/>
        <v>0</v>
      </c>
      <c r="O114" s="51">
        <f t="shared" si="52"/>
        <v>0</v>
      </c>
      <c r="P114" s="51">
        <f t="shared" si="52"/>
        <v>0</v>
      </c>
      <c r="Q114" s="51">
        <f t="shared" si="52"/>
        <v>0</v>
      </c>
      <c r="R114" s="51">
        <f t="shared" si="52"/>
        <v>0</v>
      </c>
      <c r="S114" s="51">
        <f t="shared" si="52"/>
        <v>0</v>
      </c>
      <c r="T114" s="51">
        <f t="shared" si="52"/>
        <v>0</v>
      </c>
      <c r="U114" s="51">
        <f t="shared" si="52"/>
        <v>0</v>
      </c>
      <c r="V114" s="51">
        <f t="shared" si="52"/>
        <v>0</v>
      </c>
      <c r="W114" s="51">
        <f t="shared" si="52"/>
        <v>0</v>
      </c>
      <c r="X114" s="51">
        <f t="shared" si="52"/>
        <v>0</v>
      </c>
      <c r="Y114" s="51">
        <f t="shared" si="52"/>
        <v>0</v>
      </c>
      <c r="Z114" s="51">
        <f t="shared" si="52"/>
        <v>0</v>
      </c>
      <c r="AA114" s="51">
        <f t="shared" si="52"/>
        <v>0</v>
      </c>
      <c r="AB114" s="51">
        <f t="shared" si="52"/>
        <v>0</v>
      </c>
      <c r="AC114" s="51">
        <f t="shared" si="52"/>
        <v>0</v>
      </c>
      <c r="AD114" s="51">
        <f t="shared" si="52"/>
        <v>0</v>
      </c>
      <c r="AE114" s="51">
        <f t="shared" si="52"/>
        <v>0</v>
      </c>
      <c r="AF114" s="51">
        <f t="shared" si="52"/>
        <v>0</v>
      </c>
      <c r="AG114" s="51">
        <f t="shared" si="52"/>
        <v>0</v>
      </c>
      <c r="AH114" s="51">
        <f t="shared" si="52"/>
        <v>0</v>
      </c>
      <c r="AI114" s="51">
        <f t="shared" si="52"/>
        <v>0</v>
      </c>
      <c r="AJ114" s="51">
        <f t="shared" si="52"/>
        <v>0</v>
      </c>
      <c r="AK114" s="51">
        <f t="shared" si="52"/>
        <v>0</v>
      </c>
      <c r="AL114" s="51">
        <f t="shared" si="52"/>
        <v>0</v>
      </c>
      <c r="AM114" s="51">
        <f t="shared" si="52"/>
        <v>0</v>
      </c>
      <c r="AN114" s="51">
        <f t="shared" si="52"/>
        <v>0</v>
      </c>
      <c r="AO114" s="51">
        <f t="shared" si="52"/>
        <v>0</v>
      </c>
      <c r="AP114" s="51">
        <f t="shared" si="52"/>
        <v>0</v>
      </c>
      <c r="AQ114" s="51">
        <f t="shared" si="52"/>
        <v>0</v>
      </c>
      <c r="AR114" s="51">
        <f t="shared" si="52"/>
        <v>0</v>
      </c>
      <c r="AS114" s="51">
        <f t="shared" si="52"/>
        <v>0</v>
      </c>
      <c r="AT114" s="51">
        <f t="shared" si="52"/>
        <v>0</v>
      </c>
      <c r="AU114" s="51">
        <f t="shared" si="52"/>
        <v>0</v>
      </c>
      <c r="AV114" s="51">
        <f t="shared" si="52"/>
        <v>0</v>
      </c>
      <c r="AW114" s="51">
        <f t="shared" si="52"/>
        <v>0</v>
      </c>
      <c r="AX114" s="51">
        <f t="shared" si="52"/>
        <v>0</v>
      </c>
      <c r="AY114" s="51">
        <f t="shared" si="52"/>
        <v>0</v>
      </c>
      <c r="AZ114" s="51">
        <f t="shared" si="52"/>
        <v>0</v>
      </c>
      <c r="BA114" s="51">
        <f t="shared" si="52"/>
        <v>0</v>
      </c>
      <c r="BB114" s="51">
        <f t="shared" si="52"/>
        <v>0</v>
      </c>
      <c r="BC114" s="51">
        <f t="shared" ref="BC114" si="53">BC111-BC112</f>
        <v>0</v>
      </c>
    </row>
    <row r="115" spans="4:55" x14ac:dyDescent="0.35">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row>
    <row r="116" spans="4:55" ht="18.5" x14ac:dyDescent="0.45">
      <c r="D116" s="7" t="s">
        <v>139</v>
      </c>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row>
    <row r="117" spans="4:55" x14ac:dyDescent="0.35">
      <c r="D117" s="28" t="s">
        <v>37</v>
      </c>
      <c r="E117" s="25"/>
      <c r="F117" s="25"/>
      <c r="G117" s="25"/>
      <c r="H117" s="25"/>
      <c r="I117" s="25"/>
      <c r="J117" s="26">
        <f>Start_Yr</f>
        <v>0</v>
      </c>
      <c r="K117" s="26">
        <f t="shared" ref="K117:BC117" si="54">J117+1</f>
        <v>1</v>
      </c>
      <c r="L117" s="26">
        <f t="shared" si="54"/>
        <v>2</v>
      </c>
      <c r="M117" s="26">
        <f t="shared" si="54"/>
        <v>3</v>
      </c>
      <c r="N117" s="26">
        <f t="shared" si="54"/>
        <v>4</v>
      </c>
      <c r="O117" s="26">
        <f t="shared" si="54"/>
        <v>5</v>
      </c>
      <c r="P117" s="26">
        <f t="shared" si="54"/>
        <v>6</v>
      </c>
      <c r="Q117" s="26">
        <f t="shared" si="54"/>
        <v>7</v>
      </c>
      <c r="R117" s="26">
        <f t="shared" si="54"/>
        <v>8</v>
      </c>
      <c r="S117" s="26">
        <f t="shared" si="54"/>
        <v>9</v>
      </c>
      <c r="T117" s="26">
        <f t="shared" si="54"/>
        <v>10</v>
      </c>
      <c r="U117" s="26">
        <f t="shared" si="54"/>
        <v>11</v>
      </c>
      <c r="V117" s="26">
        <f t="shared" si="54"/>
        <v>12</v>
      </c>
      <c r="W117" s="26">
        <f t="shared" si="54"/>
        <v>13</v>
      </c>
      <c r="X117" s="26">
        <f t="shared" si="54"/>
        <v>14</v>
      </c>
      <c r="Y117" s="26">
        <f t="shared" si="54"/>
        <v>15</v>
      </c>
      <c r="Z117" s="26">
        <f t="shared" si="54"/>
        <v>16</v>
      </c>
      <c r="AA117" s="26">
        <f t="shared" si="54"/>
        <v>17</v>
      </c>
      <c r="AB117" s="26">
        <f t="shared" si="54"/>
        <v>18</v>
      </c>
      <c r="AC117" s="26">
        <f t="shared" si="54"/>
        <v>19</v>
      </c>
      <c r="AD117" s="26">
        <f t="shared" si="54"/>
        <v>20</v>
      </c>
      <c r="AE117" s="26">
        <f t="shared" si="54"/>
        <v>21</v>
      </c>
      <c r="AF117" s="26">
        <f t="shared" si="54"/>
        <v>22</v>
      </c>
      <c r="AG117" s="26">
        <f t="shared" si="54"/>
        <v>23</v>
      </c>
      <c r="AH117" s="26">
        <f t="shared" si="54"/>
        <v>24</v>
      </c>
      <c r="AI117" s="26">
        <f t="shared" si="54"/>
        <v>25</v>
      </c>
      <c r="AJ117" s="26">
        <f t="shared" si="54"/>
        <v>26</v>
      </c>
      <c r="AK117" s="26">
        <f t="shared" si="54"/>
        <v>27</v>
      </c>
      <c r="AL117" s="26">
        <f t="shared" si="54"/>
        <v>28</v>
      </c>
      <c r="AM117" s="26">
        <f t="shared" si="54"/>
        <v>29</v>
      </c>
      <c r="AN117" s="26">
        <f t="shared" si="54"/>
        <v>30</v>
      </c>
      <c r="AO117" s="26">
        <f t="shared" si="54"/>
        <v>31</v>
      </c>
      <c r="AP117" s="26">
        <f t="shared" si="54"/>
        <v>32</v>
      </c>
      <c r="AQ117" s="26">
        <f t="shared" si="54"/>
        <v>33</v>
      </c>
      <c r="AR117" s="26">
        <f t="shared" si="54"/>
        <v>34</v>
      </c>
      <c r="AS117" s="26">
        <f t="shared" si="54"/>
        <v>35</v>
      </c>
      <c r="AT117" s="26">
        <f t="shared" si="54"/>
        <v>36</v>
      </c>
      <c r="AU117" s="26">
        <f t="shared" si="54"/>
        <v>37</v>
      </c>
      <c r="AV117" s="26">
        <f t="shared" si="54"/>
        <v>38</v>
      </c>
      <c r="AW117" s="26">
        <f t="shared" si="54"/>
        <v>39</v>
      </c>
      <c r="AX117" s="26">
        <f t="shared" si="54"/>
        <v>40</v>
      </c>
      <c r="AY117" s="26">
        <f t="shared" si="54"/>
        <v>41</v>
      </c>
      <c r="AZ117" s="26">
        <f t="shared" si="54"/>
        <v>42</v>
      </c>
      <c r="BA117" s="26">
        <f t="shared" si="54"/>
        <v>43</v>
      </c>
      <c r="BB117" s="26">
        <f t="shared" si="54"/>
        <v>44</v>
      </c>
      <c r="BC117" s="26">
        <f t="shared" si="54"/>
        <v>45</v>
      </c>
    </row>
    <row r="118" spans="4:55" x14ac:dyDescent="0.35">
      <c r="D118" s="58" t="s">
        <v>184</v>
      </c>
      <c r="E118" s="1"/>
      <c r="F118" s="1"/>
      <c r="G118" s="1"/>
      <c r="H118" s="1"/>
      <c r="I118" s="8" t="s">
        <v>109</v>
      </c>
      <c r="J118" s="49">
        <f>J120-J119</f>
        <v>0</v>
      </c>
      <c r="K118" s="49">
        <f t="shared" ref="K118:BB118" si="55">K120-K119</f>
        <v>0</v>
      </c>
      <c r="L118" s="49">
        <f t="shared" si="55"/>
        <v>0</v>
      </c>
      <c r="M118" s="49">
        <f t="shared" si="55"/>
        <v>0</v>
      </c>
      <c r="N118" s="49">
        <f t="shared" si="55"/>
        <v>0</v>
      </c>
      <c r="O118" s="49">
        <f t="shared" si="55"/>
        <v>0</v>
      </c>
      <c r="P118" s="49">
        <f t="shared" si="55"/>
        <v>0</v>
      </c>
      <c r="Q118" s="49">
        <f t="shared" si="55"/>
        <v>0</v>
      </c>
      <c r="R118" s="49">
        <f t="shared" si="55"/>
        <v>0</v>
      </c>
      <c r="S118" s="49">
        <f t="shared" si="55"/>
        <v>0</v>
      </c>
      <c r="T118" s="49">
        <f t="shared" si="55"/>
        <v>0</v>
      </c>
      <c r="U118" s="49">
        <f t="shared" si="55"/>
        <v>0</v>
      </c>
      <c r="V118" s="49">
        <f t="shared" si="55"/>
        <v>0</v>
      </c>
      <c r="W118" s="49">
        <f t="shared" si="55"/>
        <v>0</v>
      </c>
      <c r="X118" s="49">
        <f t="shared" si="55"/>
        <v>0</v>
      </c>
      <c r="Y118" s="49">
        <f t="shared" si="55"/>
        <v>0</v>
      </c>
      <c r="Z118" s="49">
        <f t="shared" si="55"/>
        <v>0</v>
      </c>
      <c r="AA118" s="49">
        <f t="shared" si="55"/>
        <v>0</v>
      </c>
      <c r="AB118" s="49">
        <f t="shared" si="55"/>
        <v>0</v>
      </c>
      <c r="AC118" s="49">
        <f t="shared" si="55"/>
        <v>0</v>
      </c>
      <c r="AD118" s="49">
        <f t="shared" si="55"/>
        <v>0</v>
      </c>
      <c r="AE118" s="49">
        <f t="shared" si="55"/>
        <v>0</v>
      </c>
      <c r="AF118" s="49">
        <f t="shared" si="55"/>
        <v>0</v>
      </c>
      <c r="AG118" s="49">
        <f t="shared" si="55"/>
        <v>0</v>
      </c>
      <c r="AH118" s="49">
        <f t="shared" si="55"/>
        <v>0</v>
      </c>
      <c r="AI118" s="49">
        <f t="shared" si="55"/>
        <v>0</v>
      </c>
      <c r="AJ118" s="49">
        <f t="shared" si="55"/>
        <v>0</v>
      </c>
      <c r="AK118" s="49">
        <f t="shared" si="55"/>
        <v>0</v>
      </c>
      <c r="AL118" s="49">
        <f t="shared" si="55"/>
        <v>0</v>
      </c>
      <c r="AM118" s="49">
        <f t="shared" si="55"/>
        <v>0</v>
      </c>
      <c r="AN118" s="49">
        <f t="shared" si="55"/>
        <v>0</v>
      </c>
      <c r="AO118" s="49">
        <f t="shared" si="55"/>
        <v>0</v>
      </c>
      <c r="AP118" s="49">
        <f t="shared" si="55"/>
        <v>0</v>
      </c>
      <c r="AQ118" s="49">
        <f t="shared" si="55"/>
        <v>0</v>
      </c>
      <c r="AR118" s="49">
        <f t="shared" si="55"/>
        <v>0</v>
      </c>
      <c r="AS118" s="49">
        <f t="shared" si="55"/>
        <v>0</v>
      </c>
      <c r="AT118" s="49">
        <f t="shared" si="55"/>
        <v>0</v>
      </c>
      <c r="AU118" s="49">
        <f t="shared" si="55"/>
        <v>0</v>
      </c>
      <c r="AV118" s="49">
        <f t="shared" si="55"/>
        <v>0</v>
      </c>
      <c r="AW118" s="49">
        <f t="shared" si="55"/>
        <v>0</v>
      </c>
      <c r="AX118" s="49">
        <f t="shared" si="55"/>
        <v>0</v>
      </c>
      <c r="AY118" s="49">
        <f t="shared" si="55"/>
        <v>0</v>
      </c>
      <c r="AZ118" s="49">
        <f t="shared" si="55"/>
        <v>0</v>
      </c>
      <c r="BA118" s="49">
        <f t="shared" si="55"/>
        <v>0</v>
      </c>
      <c r="BB118" s="49">
        <f t="shared" si="55"/>
        <v>0</v>
      </c>
      <c r="BC118" s="49">
        <f t="shared" ref="BC118" si="56">BC120-BC119</f>
        <v>0</v>
      </c>
    </row>
    <row r="119" spans="4:55" x14ac:dyDescent="0.35">
      <c r="D119" s="58" t="s">
        <v>185</v>
      </c>
      <c r="E119" s="1"/>
      <c r="F119" s="1"/>
      <c r="G119" s="1"/>
      <c r="H119" s="1"/>
      <c r="I119" s="8" t="s">
        <v>109</v>
      </c>
      <c r="J119" s="49">
        <f>'Real values'!L134</f>
        <v>0</v>
      </c>
      <c r="K119" s="49">
        <f>'Real values'!M134</f>
        <v>0</v>
      </c>
      <c r="L119" s="49">
        <f>'Real values'!N134</f>
        <v>0</v>
      </c>
      <c r="M119" s="49">
        <f>'Real values'!O134</f>
        <v>0</v>
      </c>
      <c r="N119" s="49">
        <f>'Real values'!P134</f>
        <v>0</v>
      </c>
      <c r="O119" s="49">
        <f>'Real values'!Q134</f>
        <v>0</v>
      </c>
      <c r="P119" s="49">
        <f>'Real values'!R134</f>
        <v>0</v>
      </c>
      <c r="Q119" s="49">
        <f>'Real values'!S134</f>
        <v>0</v>
      </c>
      <c r="R119" s="49">
        <f>'Real values'!T134</f>
        <v>0</v>
      </c>
      <c r="S119" s="49">
        <f>'Real values'!U134</f>
        <v>0</v>
      </c>
      <c r="T119" s="49">
        <f>'Real values'!V134</f>
        <v>0</v>
      </c>
      <c r="U119" s="49">
        <f>'Real values'!W134</f>
        <v>0</v>
      </c>
      <c r="V119" s="49">
        <f>'Real values'!X134</f>
        <v>0</v>
      </c>
      <c r="W119" s="49">
        <f>'Real values'!Y134</f>
        <v>0</v>
      </c>
      <c r="X119" s="49">
        <f>'Real values'!Z134</f>
        <v>0</v>
      </c>
      <c r="Y119" s="49">
        <f>'Real values'!AA134</f>
        <v>0</v>
      </c>
      <c r="Z119" s="49">
        <f>'Real values'!AB134</f>
        <v>0</v>
      </c>
      <c r="AA119" s="49">
        <f>'Real values'!AC134</f>
        <v>0</v>
      </c>
      <c r="AB119" s="49">
        <f>'Real values'!AD134</f>
        <v>0</v>
      </c>
      <c r="AC119" s="49">
        <f>'Real values'!AE134</f>
        <v>0</v>
      </c>
      <c r="AD119" s="49">
        <f>'Real values'!AF134</f>
        <v>0</v>
      </c>
      <c r="AE119" s="49">
        <f>'Real values'!AG134</f>
        <v>0</v>
      </c>
      <c r="AF119" s="49">
        <f>'Real values'!AH134</f>
        <v>0</v>
      </c>
      <c r="AG119" s="49">
        <f>'Real values'!AI134</f>
        <v>0</v>
      </c>
      <c r="AH119" s="49">
        <f>'Real values'!AJ134</f>
        <v>0</v>
      </c>
      <c r="AI119" s="49">
        <f>'Real values'!AK134</f>
        <v>0</v>
      </c>
      <c r="AJ119" s="49">
        <f>'Real values'!AL134</f>
        <v>0</v>
      </c>
      <c r="AK119" s="49">
        <f>'Real values'!AM134</f>
        <v>0</v>
      </c>
      <c r="AL119" s="49">
        <f>'Real values'!AN134</f>
        <v>0</v>
      </c>
      <c r="AM119" s="49">
        <f>'Real values'!AO134</f>
        <v>0</v>
      </c>
      <c r="AN119" s="49">
        <f>'Real values'!AP134</f>
        <v>0</v>
      </c>
      <c r="AO119" s="49">
        <f>'Real values'!AQ134</f>
        <v>0</v>
      </c>
      <c r="AP119" s="49">
        <f>'Real values'!AR134</f>
        <v>0</v>
      </c>
      <c r="AQ119" s="49">
        <f>'Real values'!AS134</f>
        <v>0</v>
      </c>
      <c r="AR119" s="49">
        <f>'Real values'!AT134</f>
        <v>0</v>
      </c>
      <c r="AS119" s="49">
        <f>'Real values'!AU134</f>
        <v>0</v>
      </c>
      <c r="AT119" s="49">
        <f>'Real values'!AV134</f>
        <v>0</v>
      </c>
      <c r="AU119" s="49">
        <f>'Real values'!AW134</f>
        <v>0</v>
      </c>
      <c r="AV119" s="49">
        <f>'Real values'!AX134</f>
        <v>0</v>
      </c>
      <c r="AW119" s="49">
        <f>'Real values'!AY134</f>
        <v>0</v>
      </c>
      <c r="AX119" s="49">
        <f>'Real values'!BA134</f>
        <v>0</v>
      </c>
      <c r="AY119" s="49">
        <f>'Real values'!BB134</f>
        <v>0</v>
      </c>
      <c r="AZ119" s="49">
        <f>'Real values'!BC134</f>
        <v>0</v>
      </c>
      <c r="BA119" s="49">
        <f>'Real values'!BD134</f>
        <v>0</v>
      </c>
      <c r="BB119" s="49">
        <f>'Real values'!BE134</f>
        <v>0</v>
      </c>
      <c r="BC119" s="49">
        <f>'Real values'!BF134</f>
        <v>0</v>
      </c>
    </row>
    <row r="120" spans="4:55" x14ac:dyDescent="0.35">
      <c r="D120" s="3" t="s">
        <v>186</v>
      </c>
      <c r="E120" s="1"/>
      <c r="F120" s="1"/>
      <c r="G120" s="1"/>
      <c r="H120" s="1"/>
      <c r="I120" s="8" t="s">
        <v>109</v>
      </c>
      <c r="J120" s="49">
        <f t="shared" ref="J120:BC120" si="57">F41</f>
        <v>0</v>
      </c>
      <c r="K120" s="49">
        <f t="shared" si="57"/>
        <v>0</v>
      </c>
      <c r="L120" s="49">
        <f t="shared" si="57"/>
        <v>0</v>
      </c>
      <c r="M120" s="49">
        <f t="shared" si="57"/>
        <v>0</v>
      </c>
      <c r="N120" s="49">
        <f t="shared" si="57"/>
        <v>0</v>
      </c>
      <c r="O120" s="49">
        <f t="shared" si="57"/>
        <v>0</v>
      </c>
      <c r="P120" s="49">
        <f t="shared" si="57"/>
        <v>0</v>
      </c>
      <c r="Q120" s="49">
        <f t="shared" si="57"/>
        <v>0</v>
      </c>
      <c r="R120" s="49">
        <f t="shared" si="57"/>
        <v>0</v>
      </c>
      <c r="S120" s="49">
        <f t="shared" si="57"/>
        <v>0</v>
      </c>
      <c r="T120" s="49">
        <f t="shared" si="57"/>
        <v>0</v>
      </c>
      <c r="U120" s="49">
        <f t="shared" si="57"/>
        <v>0</v>
      </c>
      <c r="V120" s="49">
        <f t="shared" si="57"/>
        <v>0</v>
      </c>
      <c r="W120" s="49">
        <f t="shared" si="57"/>
        <v>0</v>
      </c>
      <c r="X120" s="49">
        <f t="shared" si="57"/>
        <v>0</v>
      </c>
      <c r="Y120" s="49">
        <f t="shared" si="57"/>
        <v>0</v>
      </c>
      <c r="Z120" s="49">
        <f t="shared" si="57"/>
        <v>0</v>
      </c>
      <c r="AA120" s="49">
        <f t="shared" si="57"/>
        <v>0</v>
      </c>
      <c r="AB120" s="49">
        <f t="shared" si="57"/>
        <v>0</v>
      </c>
      <c r="AC120" s="49">
        <f t="shared" si="57"/>
        <v>0</v>
      </c>
      <c r="AD120" s="49">
        <f t="shared" si="57"/>
        <v>0</v>
      </c>
      <c r="AE120" s="49">
        <f t="shared" si="57"/>
        <v>0</v>
      </c>
      <c r="AF120" s="49">
        <f t="shared" si="57"/>
        <v>0</v>
      </c>
      <c r="AG120" s="49">
        <f t="shared" si="57"/>
        <v>0</v>
      </c>
      <c r="AH120" s="49">
        <f t="shared" si="57"/>
        <v>0</v>
      </c>
      <c r="AI120" s="49">
        <f t="shared" si="57"/>
        <v>0</v>
      </c>
      <c r="AJ120" s="49">
        <f t="shared" si="57"/>
        <v>0</v>
      </c>
      <c r="AK120" s="49">
        <f t="shared" si="57"/>
        <v>0</v>
      </c>
      <c r="AL120" s="49">
        <f t="shared" si="57"/>
        <v>0</v>
      </c>
      <c r="AM120" s="49">
        <f t="shared" si="57"/>
        <v>0</v>
      </c>
      <c r="AN120" s="49">
        <f t="shared" si="57"/>
        <v>0</v>
      </c>
      <c r="AO120" s="49">
        <f t="shared" si="57"/>
        <v>0</v>
      </c>
      <c r="AP120" s="49">
        <f t="shared" si="57"/>
        <v>0</v>
      </c>
      <c r="AQ120" s="49">
        <f t="shared" si="57"/>
        <v>0</v>
      </c>
      <c r="AR120" s="49">
        <f t="shared" si="57"/>
        <v>0</v>
      </c>
      <c r="AS120" s="49">
        <f t="shared" si="57"/>
        <v>0</v>
      </c>
      <c r="AT120" s="49">
        <f t="shared" si="57"/>
        <v>0</v>
      </c>
      <c r="AU120" s="49">
        <f t="shared" si="57"/>
        <v>0</v>
      </c>
      <c r="AV120" s="49">
        <f t="shared" si="57"/>
        <v>0</v>
      </c>
      <c r="AW120" s="49">
        <f t="shared" si="57"/>
        <v>0</v>
      </c>
      <c r="AX120" s="49">
        <f t="shared" si="57"/>
        <v>0</v>
      </c>
      <c r="AY120" s="49">
        <f t="shared" si="57"/>
        <v>0</v>
      </c>
      <c r="AZ120" s="49">
        <f t="shared" si="57"/>
        <v>0</v>
      </c>
      <c r="BA120" s="49">
        <f t="shared" si="57"/>
        <v>0</v>
      </c>
      <c r="BB120" s="49">
        <f t="shared" si="57"/>
        <v>0</v>
      </c>
      <c r="BC120" s="49">
        <f t="shared" si="57"/>
        <v>0</v>
      </c>
    </row>
    <row r="121" spans="4:55" x14ac:dyDescent="0.35">
      <c r="D121" s="2" t="s">
        <v>133</v>
      </c>
      <c r="E121" s="2"/>
      <c r="F121" s="2"/>
      <c r="G121" s="2"/>
      <c r="H121" s="2"/>
      <c r="I121" s="8" t="s">
        <v>109</v>
      </c>
      <c r="J121" s="49">
        <f>'Real values'!L38</f>
        <v>0</v>
      </c>
      <c r="K121" s="49">
        <f>'Real values'!M38</f>
        <v>0</v>
      </c>
      <c r="L121" s="49">
        <f>'Real values'!N38</f>
        <v>0</v>
      </c>
      <c r="M121" s="49">
        <f>'Real values'!O38</f>
        <v>0</v>
      </c>
      <c r="N121" s="49">
        <f>'Real values'!P38</f>
        <v>0</v>
      </c>
      <c r="O121" s="49">
        <f>'Real values'!Q38</f>
        <v>0</v>
      </c>
      <c r="P121" s="49">
        <f>'Real values'!R38</f>
        <v>0</v>
      </c>
      <c r="Q121" s="49">
        <f>'Real values'!S38</f>
        <v>0</v>
      </c>
      <c r="R121" s="49">
        <f>'Real values'!T38</f>
        <v>0</v>
      </c>
      <c r="S121" s="49">
        <f>'Real values'!U38</f>
        <v>0</v>
      </c>
      <c r="T121" s="49">
        <f>'Real values'!V38</f>
        <v>0</v>
      </c>
      <c r="U121" s="49">
        <f>'Real values'!W38</f>
        <v>0</v>
      </c>
      <c r="V121" s="49">
        <f>'Real values'!X38</f>
        <v>0</v>
      </c>
      <c r="W121" s="49">
        <f>'Real values'!Y38</f>
        <v>0</v>
      </c>
      <c r="X121" s="49">
        <f>'Real values'!Z38</f>
        <v>0</v>
      </c>
      <c r="Y121" s="49">
        <f>'Real values'!AA38</f>
        <v>0</v>
      </c>
      <c r="Z121" s="49">
        <f>'Real values'!AB38</f>
        <v>0</v>
      </c>
      <c r="AA121" s="49">
        <f>'Real values'!AC38</f>
        <v>0</v>
      </c>
      <c r="AB121" s="49">
        <f>'Real values'!AD38</f>
        <v>0</v>
      </c>
      <c r="AC121" s="49">
        <f>'Real values'!AE38</f>
        <v>0</v>
      </c>
      <c r="AD121" s="49">
        <f>'Real values'!AF38</f>
        <v>0</v>
      </c>
      <c r="AE121" s="49">
        <f>'Real values'!AG38</f>
        <v>0</v>
      </c>
      <c r="AF121" s="49">
        <f>'Real values'!AH38</f>
        <v>0</v>
      </c>
      <c r="AG121" s="49">
        <f>'Real values'!AI38</f>
        <v>0</v>
      </c>
      <c r="AH121" s="49">
        <f>'Real values'!AJ38</f>
        <v>0</v>
      </c>
      <c r="AI121" s="49">
        <f>'Real values'!AK38</f>
        <v>0</v>
      </c>
      <c r="AJ121" s="49">
        <f>'Real values'!AL38</f>
        <v>0</v>
      </c>
      <c r="AK121" s="49">
        <f>'Real values'!AM38</f>
        <v>0</v>
      </c>
      <c r="AL121" s="49">
        <f>'Real values'!AN38</f>
        <v>0</v>
      </c>
      <c r="AM121" s="49">
        <f>'Real values'!AO38</f>
        <v>0</v>
      </c>
      <c r="AN121" s="49">
        <f>'Real values'!AP38</f>
        <v>0</v>
      </c>
      <c r="AO121" s="49">
        <f>'Real values'!AQ38</f>
        <v>0</v>
      </c>
      <c r="AP121" s="49">
        <f>'Real values'!AR38</f>
        <v>0</v>
      </c>
      <c r="AQ121" s="49">
        <f>'Real values'!AS38</f>
        <v>0</v>
      </c>
      <c r="AR121" s="49">
        <f>'Real values'!AT38</f>
        <v>0</v>
      </c>
      <c r="AS121" s="49">
        <f>'Real values'!AU38</f>
        <v>0</v>
      </c>
      <c r="AT121" s="49">
        <f>'Real values'!AV38</f>
        <v>0</v>
      </c>
      <c r="AU121" s="49">
        <f>'Real values'!AW38</f>
        <v>0</v>
      </c>
      <c r="AV121" s="49">
        <f>'Real values'!AX38</f>
        <v>0</v>
      </c>
      <c r="AW121" s="49">
        <f>'Real values'!AY38</f>
        <v>0</v>
      </c>
      <c r="AX121" s="49">
        <f>'Real values'!AZ38</f>
        <v>0</v>
      </c>
      <c r="AY121" s="49">
        <f>'Real values'!BA38</f>
        <v>0</v>
      </c>
      <c r="AZ121" s="49">
        <f>'Real values'!BB38</f>
        <v>0</v>
      </c>
      <c r="BA121" s="49">
        <f>'Real values'!BC38</f>
        <v>0</v>
      </c>
      <c r="BB121" s="49">
        <f>'Real values'!BD38</f>
        <v>0</v>
      </c>
      <c r="BC121" s="49">
        <f>'Real values'!BE38</f>
        <v>0</v>
      </c>
    </row>
    <row r="122" spans="4:55" x14ac:dyDescent="0.35">
      <c r="D122" s="2" t="s">
        <v>134</v>
      </c>
      <c r="E122" s="2"/>
      <c r="F122" s="2"/>
      <c r="G122" s="2"/>
      <c r="H122" s="2"/>
      <c r="I122" s="8" t="s">
        <v>109</v>
      </c>
      <c r="J122" s="49">
        <f>'Real values'!L116</f>
        <v>0</v>
      </c>
      <c r="K122" s="49">
        <f>'Real values'!M116</f>
        <v>0</v>
      </c>
      <c r="L122" s="49">
        <f>'Real values'!N116</f>
        <v>0</v>
      </c>
      <c r="M122" s="49">
        <f>'Real values'!O116</f>
        <v>0</v>
      </c>
      <c r="N122" s="49">
        <f>'Real values'!P116</f>
        <v>0</v>
      </c>
      <c r="O122" s="49">
        <f>'Real values'!Q116</f>
        <v>0</v>
      </c>
      <c r="P122" s="49">
        <f>'Real values'!R116</f>
        <v>0</v>
      </c>
      <c r="Q122" s="49">
        <f>'Real values'!S116</f>
        <v>0</v>
      </c>
      <c r="R122" s="49">
        <f>'Real values'!T116</f>
        <v>0</v>
      </c>
      <c r="S122" s="49">
        <f>'Real values'!U116</f>
        <v>0</v>
      </c>
      <c r="T122" s="49">
        <f>'Real values'!V116</f>
        <v>0</v>
      </c>
      <c r="U122" s="49">
        <f>'Real values'!W116</f>
        <v>0</v>
      </c>
      <c r="V122" s="49">
        <f>'Real values'!X116</f>
        <v>0</v>
      </c>
      <c r="W122" s="49">
        <f>'Real values'!Y116</f>
        <v>0</v>
      </c>
      <c r="X122" s="49">
        <f>'Real values'!Z116</f>
        <v>0</v>
      </c>
      <c r="Y122" s="49">
        <f>'Real values'!AA116</f>
        <v>0</v>
      </c>
      <c r="Z122" s="49">
        <f>'Real values'!AB116</f>
        <v>0</v>
      </c>
      <c r="AA122" s="49">
        <f>'Real values'!AC116</f>
        <v>0</v>
      </c>
      <c r="AB122" s="49">
        <f>'Real values'!AD116</f>
        <v>0</v>
      </c>
      <c r="AC122" s="49">
        <f>'Real values'!AE116</f>
        <v>0</v>
      </c>
      <c r="AD122" s="49">
        <f>'Real values'!AF116</f>
        <v>0</v>
      </c>
      <c r="AE122" s="49">
        <f>'Real values'!AG116</f>
        <v>0</v>
      </c>
      <c r="AF122" s="49">
        <f>'Real values'!AH116</f>
        <v>0</v>
      </c>
      <c r="AG122" s="49">
        <f>'Real values'!AI116</f>
        <v>0</v>
      </c>
      <c r="AH122" s="49">
        <f>'Real values'!AJ116</f>
        <v>0</v>
      </c>
      <c r="AI122" s="49">
        <f>'Real values'!AK116</f>
        <v>0</v>
      </c>
      <c r="AJ122" s="49">
        <f>'Real values'!AL116</f>
        <v>0</v>
      </c>
      <c r="AK122" s="49">
        <f>'Real values'!AM116</f>
        <v>0</v>
      </c>
      <c r="AL122" s="49">
        <f>'Real values'!AN116</f>
        <v>0</v>
      </c>
      <c r="AM122" s="49">
        <f>'Real values'!AO116</f>
        <v>0</v>
      </c>
      <c r="AN122" s="49">
        <f>'Real values'!AP116</f>
        <v>0</v>
      </c>
      <c r="AO122" s="49">
        <f>'Real values'!AQ116</f>
        <v>0</v>
      </c>
      <c r="AP122" s="49">
        <f>'Real values'!AR116</f>
        <v>0</v>
      </c>
      <c r="AQ122" s="49">
        <f>'Real values'!AS116</f>
        <v>0</v>
      </c>
      <c r="AR122" s="49">
        <f>'Real values'!AT116</f>
        <v>0</v>
      </c>
      <c r="AS122" s="49">
        <f>'Real values'!AU116</f>
        <v>0</v>
      </c>
      <c r="AT122" s="49">
        <f>'Real values'!AV116</f>
        <v>0</v>
      </c>
      <c r="AU122" s="49">
        <f>'Real values'!AW116</f>
        <v>0</v>
      </c>
      <c r="AV122" s="49">
        <f>'Real values'!AX116</f>
        <v>0</v>
      </c>
      <c r="AW122" s="49">
        <f>'Real values'!AY116</f>
        <v>0</v>
      </c>
      <c r="AX122" s="49">
        <f>'Real values'!AZ116</f>
        <v>0</v>
      </c>
      <c r="AY122" s="49">
        <f>'Real values'!BA116</f>
        <v>0</v>
      </c>
      <c r="AZ122" s="49">
        <f>'Real values'!BB116</f>
        <v>0</v>
      </c>
      <c r="BA122" s="49">
        <f>'Real values'!BC116</f>
        <v>0</v>
      </c>
      <c r="BB122" s="49">
        <f>'Real values'!BD116</f>
        <v>0</v>
      </c>
      <c r="BC122" s="49">
        <f>'Real values'!BE116</f>
        <v>0</v>
      </c>
    </row>
    <row r="123" spans="4:55" x14ac:dyDescent="0.35">
      <c r="D123" s="2" t="s">
        <v>135</v>
      </c>
      <c r="E123" s="2"/>
      <c r="F123" s="2"/>
      <c r="G123" s="2"/>
      <c r="H123" s="2"/>
      <c r="I123" s="8" t="s">
        <v>109</v>
      </c>
      <c r="J123" s="49">
        <f>'Real values'!L141</f>
        <v>0</v>
      </c>
      <c r="K123" s="49">
        <f>'Real values'!M141</f>
        <v>0</v>
      </c>
      <c r="L123" s="49">
        <f>'Real values'!N141</f>
        <v>0</v>
      </c>
      <c r="M123" s="49">
        <f>'Real values'!O141</f>
        <v>0</v>
      </c>
      <c r="N123" s="49">
        <f>'Real values'!P141</f>
        <v>0</v>
      </c>
      <c r="O123" s="49">
        <f>'Real values'!Q141</f>
        <v>0</v>
      </c>
      <c r="P123" s="49">
        <f>'Real values'!R141</f>
        <v>0</v>
      </c>
      <c r="Q123" s="49">
        <f>'Real values'!S141</f>
        <v>0</v>
      </c>
      <c r="R123" s="49">
        <f>'Real values'!T141</f>
        <v>0</v>
      </c>
      <c r="S123" s="49">
        <f>'Real values'!U141</f>
        <v>0</v>
      </c>
      <c r="T123" s="49">
        <f>'Real values'!V141</f>
        <v>0</v>
      </c>
      <c r="U123" s="49">
        <f>'Real values'!W141</f>
        <v>0</v>
      </c>
      <c r="V123" s="49">
        <f>'Real values'!X141</f>
        <v>0</v>
      </c>
      <c r="W123" s="49">
        <f>'Real values'!Y141</f>
        <v>0</v>
      </c>
      <c r="X123" s="49">
        <f>'Real values'!Z141</f>
        <v>0</v>
      </c>
      <c r="Y123" s="49">
        <f>'Real values'!AA141</f>
        <v>0</v>
      </c>
      <c r="Z123" s="49">
        <f>'Real values'!AB141</f>
        <v>0</v>
      </c>
      <c r="AA123" s="49">
        <f>'Real values'!AC141</f>
        <v>0</v>
      </c>
      <c r="AB123" s="49">
        <f>'Real values'!AD141</f>
        <v>0</v>
      </c>
      <c r="AC123" s="49">
        <f>'Real values'!AE141</f>
        <v>0</v>
      </c>
      <c r="AD123" s="49">
        <f>'Real values'!AF141</f>
        <v>0</v>
      </c>
      <c r="AE123" s="49">
        <f>'Real values'!AG141</f>
        <v>0</v>
      </c>
      <c r="AF123" s="49">
        <f>'Real values'!AH141</f>
        <v>0</v>
      </c>
      <c r="AG123" s="49">
        <f>'Real values'!AI141</f>
        <v>0</v>
      </c>
      <c r="AH123" s="49">
        <f>'Real values'!AJ141</f>
        <v>0</v>
      </c>
      <c r="AI123" s="49">
        <f>'Real values'!AK141</f>
        <v>0</v>
      </c>
      <c r="AJ123" s="49">
        <f>'Real values'!AL141</f>
        <v>0</v>
      </c>
      <c r="AK123" s="49">
        <f>'Real values'!AM141</f>
        <v>0</v>
      </c>
      <c r="AL123" s="49">
        <f>'Real values'!AN141</f>
        <v>0</v>
      </c>
      <c r="AM123" s="49">
        <f>'Real values'!AO141</f>
        <v>0</v>
      </c>
      <c r="AN123" s="49">
        <f>'Real values'!AP141</f>
        <v>0</v>
      </c>
      <c r="AO123" s="49">
        <f>'Real values'!AQ141</f>
        <v>0</v>
      </c>
      <c r="AP123" s="49">
        <f>'Real values'!AR141</f>
        <v>0</v>
      </c>
      <c r="AQ123" s="49">
        <f>'Real values'!AS141</f>
        <v>0</v>
      </c>
      <c r="AR123" s="49">
        <f>'Real values'!AT141</f>
        <v>0</v>
      </c>
      <c r="AS123" s="49">
        <f>'Real values'!AU141</f>
        <v>0</v>
      </c>
      <c r="AT123" s="49">
        <f>'Real values'!AV141</f>
        <v>0</v>
      </c>
      <c r="AU123" s="49">
        <f>'Real values'!AW141</f>
        <v>0</v>
      </c>
      <c r="AV123" s="49">
        <f>'Real values'!AX141</f>
        <v>0</v>
      </c>
      <c r="AW123" s="49">
        <f>'Real values'!AY141</f>
        <v>0</v>
      </c>
      <c r="AX123" s="49">
        <f>'Real values'!AZ141</f>
        <v>0</v>
      </c>
      <c r="AY123" s="49">
        <f>'Real values'!BA141</f>
        <v>0</v>
      </c>
      <c r="AZ123" s="49">
        <f>'Real values'!BB141</f>
        <v>0</v>
      </c>
      <c r="BA123" s="49">
        <f>'Real values'!BC141</f>
        <v>0</v>
      </c>
      <c r="BB123" s="49">
        <f>'Real values'!BD141</f>
        <v>0</v>
      </c>
      <c r="BC123" s="49">
        <f>'Real values'!BE141</f>
        <v>0</v>
      </c>
    </row>
    <row r="124" spans="4:55" x14ac:dyDescent="0.35">
      <c r="D124" s="2" t="s">
        <v>187</v>
      </c>
      <c r="E124" s="2"/>
      <c r="F124" s="2"/>
      <c r="G124" s="2"/>
      <c r="H124" s="2"/>
      <c r="I124" s="8" t="s">
        <v>109</v>
      </c>
      <c r="J124" s="49">
        <f>J118+SUM(J121:J123)</f>
        <v>0</v>
      </c>
      <c r="K124" s="49">
        <f t="shared" ref="K124:BB124" si="58">K118+SUM(K121:K123)</f>
        <v>0</v>
      </c>
      <c r="L124" s="49">
        <f t="shared" si="58"/>
        <v>0</v>
      </c>
      <c r="M124" s="49">
        <f t="shared" si="58"/>
        <v>0</v>
      </c>
      <c r="N124" s="49">
        <f t="shared" si="58"/>
        <v>0</v>
      </c>
      <c r="O124" s="49">
        <f t="shared" si="58"/>
        <v>0</v>
      </c>
      <c r="P124" s="49">
        <f t="shared" si="58"/>
        <v>0</v>
      </c>
      <c r="Q124" s="49">
        <f t="shared" si="58"/>
        <v>0</v>
      </c>
      <c r="R124" s="49">
        <f t="shared" si="58"/>
        <v>0</v>
      </c>
      <c r="S124" s="49">
        <f t="shared" si="58"/>
        <v>0</v>
      </c>
      <c r="T124" s="49">
        <f t="shared" si="58"/>
        <v>0</v>
      </c>
      <c r="U124" s="49">
        <f t="shared" si="58"/>
        <v>0</v>
      </c>
      <c r="V124" s="49">
        <f t="shared" si="58"/>
        <v>0</v>
      </c>
      <c r="W124" s="49">
        <f t="shared" si="58"/>
        <v>0</v>
      </c>
      <c r="X124" s="49">
        <f t="shared" si="58"/>
        <v>0</v>
      </c>
      <c r="Y124" s="49">
        <f t="shared" si="58"/>
        <v>0</v>
      </c>
      <c r="Z124" s="49">
        <f t="shared" si="58"/>
        <v>0</v>
      </c>
      <c r="AA124" s="49">
        <f t="shared" si="58"/>
        <v>0</v>
      </c>
      <c r="AB124" s="49">
        <f t="shared" si="58"/>
        <v>0</v>
      </c>
      <c r="AC124" s="49">
        <f t="shared" si="58"/>
        <v>0</v>
      </c>
      <c r="AD124" s="49">
        <f t="shared" si="58"/>
        <v>0</v>
      </c>
      <c r="AE124" s="49">
        <f t="shared" si="58"/>
        <v>0</v>
      </c>
      <c r="AF124" s="49">
        <f t="shared" si="58"/>
        <v>0</v>
      </c>
      <c r="AG124" s="49">
        <f t="shared" si="58"/>
        <v>0</v>
      </c>
      <c r="AH124" s="49">
        <f t="shared" si="58"/>
        <v>0</v>
      </c>
      <c r="AI124" s="49">
        <f t="shared" si="58"/>
        <v>0</v>
      </c>
      <c r="AJ124" s="49">
        <f t="shared" si="58"/>
        <v>0</v>
      </c>
      <c r="AK124" s="49">
        <f t="shared" si="58"/>
        <v>0</v>
      </c>
      <c r="AL124" s="49">
        <f t="shared" si="58"/>
        <v>0</v>
      </c>
      <c r="AM124" s="49">
        <f t="shared" si="58"/>
        <v>0</v>
      </c>
      <c r="AN124" s="49">
        <f t="shared" si="58"/>
        <v>0</v>
      </c>
      <c r="AO124" s="49">
        <f t="shared" si="58"/>
        <v>0</v>
      </c>
      <c r="AP124" s="49">
        <f t="shared" si="58"/>
        <v>0</v>
      </c>
      <c r="AQ124" s="49">
        <f t="shared" si="58"/>
        <v>0</v>
      </c>
      <c r="AR124" s="49">
        <f t="shared" si="58"/>
        <v>0</v>
      </c>
      <c r="AS124" s="49">
        <f t="shared" si="58"/>
        <v>0</v>
      </c>
      <c r="AT124" s="49">
        <f t="shared" si="58"/>
        <v>0</v>
      </c>
      <c r="AU124" s="49">
        <f t="shared" si="58"/>
        <v>0</v>
      </c>
      <c r="AV124" s="49">
        <f t="shared" si="58"/>
        <v>0</v>
      </c>
      <c r="AW124" s="49">
        <f t="shared" si="58"/>
        <v>0</v>
      </c>
      <c r="AX124" s="49">
        <f t="shared" si="58"/>
        <v>0</v>
      </c>
      <c r="AY124" s="49">
        <f t="shared" si="58"/>
        <v>0</v>
      </c>
      <c r="AZ124" s="49">
        <f t="shared" si="58"/>
        <v>0</v>
      </c>
      <c r="BA124" s="49">
        <f t="shared" si="58"/>
        <v>0</v>
      </c>
      <c r="BB124" s="49">
        <f t="shared" si="58"/>
        <v>0</v>
      </c>
      <c r="BC124" s="49">
        <f t="shared" ref="BC124" si="59">BC118+SUM(BC121:BC123)</f>
        <v>0</v>
      </c>
    </row>
    <row r="125" spans="4:55" x14ac:dyDescent="0.35">
      <c r="D125" s="2" t="s">
        <v>188</v>
      </c>
      <c r="E125" s="2"/>
      <c r="F125" s="2"/>
      <c r="G125" s="2"/>
      <c r="H125" s="2"/>
      <c r="I125" s="8" t="s">
        <v>109</v>
      </c>
      <c r="J125" s="49">
        <f>SUM(J120:J122)</f>
        <v>0</v>
      </c>
      <c r="K125" s="49">
        <f t="shared" ref="K125:BB125" si="60">SUM(K120:K122)</f>
        <v>0</v>
      </c>
      <c r="L125" s="49">
        <f t="shared" si="60"/>
        <v>0</v>
      </c>
      <c r="M125" s="49">
        <f t="shared" si="60"/>
        <v>0</v>
      </c>
      <c r="N125" s="49">
        <f t="shared" si="60"/>
        <v>0</v>
      </c>
      <c r="O125" s="49">
        <f t="shared" si="60"/>
        <v>0</v>
      </c>
      <c r="P125" s="49">
        <f t="shared" si="60"/>
        <v>0</v>
      </c>
      <c r="Q125" s="49">
        <f t="shared" si="60"/>
        <v>0</v>
      </c>
      <c r="R125" s="49">
        <f t="shared" si="60"/>
        <v>0</v>
      </c>
      <c r="S125" s="49">
        <f t="shared" si="60"/>
        <v>0</v>
      </c>
      <c r="T125" s="49">
        <f t="shared" si="60"/>
        <v>0</v>
      </c>
      <c r="U125" s="49">
        <f t="shared" si="60"/>
        <v>0</v>
      </c>
      <c r="V125" s="49">
        <f t="shared" si="60"/>
        <v>0</v>
      </c>
      <c r="W125" s="49">
        <f t="shared" si="60"/>
        <v>0</v>
      </c>
      <c r="X125" s="49">
        <f t="shared" si="60"/>
        <v>0</v>
      </c>
      <c r="Y125" s="49">
        <f t="shared" si="60"/>
        <v>0</v>
      </c>
      <c r="Z125" s="49">
        <f t="shared" si="60"/>
        <v>0</v>
      </c>
      <c r="AA125" s="49">
        <f t="shared" si="60"/>
        <v>0</v>
      </c>
      <c r="AB125" s="49">
        <f t="shared" si="60"/>
        <v>0</v>
      </c>
      <c r="AC125" s="49">
        <f t="shared" si="60"/>
        <v>0</v>
      </c>
      <c r="AD125" s="49">
        <f t="shared" si="60"/>
        <v>0</v>
      </c>
      <c r="AE125" s="49">
        <f t="shared" si="60"/>
        <v>0</v>
      </c>
      <c r="AF125" s="49">
        <f t="shared" si="60"/>
        <v>0</v>
      </c>
      <c r="AG125" s="49">
        <f t="shared" si="60"/>
        <v>0</v>
      </c>
      <c r="AH125" s="49">
        <f t="shared" si="60"/>
        <v>0</v>
      </c>
      <c r="AI125" s="49">
        <f t="shared" si="60"/>
        <v>0</v>
      </c>
      <c r="AJ125" s="49">
        <f t="shared" si="60"/>
        <v>0</v>
      </c>
      <c r="AK125" s="49">
        <f t="shared" si="60"/>
        <v>0</v>
      </c>
      <c r="AL125" s="49">
        <f t="shared" si="60"/>
        <v>0</v>
      </c>
      <c r="AM125" s="49">
        <f t="shared" si="60"/>
        <v>0</v>
      </c>
      <c r="AN125" s="49">
        <f t="shared" si="60"/>
        <v>0</v>
      </c>
      <c r="AO125" s="49">
        <f t="shared" si="60"/>
        <v>0</v>
      </c>
      <c r="AP125" s="49">
        <f t="shared" si="60"/>
        <v>0</v>
      </c>
      <c r="AQ125" s="49">
        <f t="shared" si="60"/>
        <v>0</v>
      </c>
      <c r="AR125" s="49">
        <f t="shared" si="60"/>
        <v>0</v>
      </c>
      <c r="AS125" s="49">
        <f t="shared" si="60"/>
        <v>0</v>
      </c>
      <c r="AT125" s="49">
        <f t="shared" si="60"/>
        <v>0</v>
      </c>
      <c r="AU125" s="49">
        <f t="shared" si="60"/>
        <v>0</v>
      </c>
      <c r="AV125" s="49">
        <f t="shared" si="60"/>
        <v>0</v>
      </c>
      <c r="AW125" s="49">
        <f t="shared" si="60"/>
        <v>0</v>
      </c>
      <c r="AX125" s="49">
        <f t="shared" si="60"/>
        <v>0</v>
      </c>
      <c r="AY125" s="49">
        <f t="shared" si="60"/>
        <v>0</v>
      </c>
      <c r="AZ125" s="49">
        <f t="shared" si="60"/>
        <v>0</v>
      </c>
      <c r="BA125" s="49">
        <f t="shared" si="60"/>
        <v>0</v>
      </c>
      <c r="BB125" s="49">
        <f t="shared" si="60"/>
        <v>0</v>
      </c>
      <c r="BC125" s="49">
        <f t="shared" ref="BC125" si="61">SUM(BC120:BC122)</f>
        <v>0</v>
      </c>
    </row>
    <row r="126" spans="4:55" x14ac:dyDescent="0.35">
      <c r="D126" s="2" t="s">
        <v>127</v>
      </c>
      <c r="E126" s="2"/>
      <c r="F126" s="2"/>
      <c r="G126" s="2"/>
      <c r="H126" s="2"/>
      <c r="I126" s="8" t="s">
        <v>109</v>
      </c>
      <c r="J126" s="49">
        <f>'Real values'!L157</f>
        <v>0</v>
      </c>
      <c r="K126" s="49">
        <f>'Real values'!M157</f>
        <v>0</v>
      </c>
      <c r="L126" s="49">
        <f>'Real values'!N157</f>
        <v>0</v>
      </c>
      <c r="M126" s="49">
        <f>'Real values'!O157</f>
        <v>0</v>
      </c>
      <c r="N126" s="49">
        <f>'Real values'!P157</f>
        <v>0</v>
      </c>
      <c r="O126" s="49">
        <f>'Real values'!Q157</f>
        <v>0</v>
      </c>
      <c r="P126" s="49">
        <f>'Real values'!R157</f>
        <v>0</v>
      </c>
      <c r="Q126" s="49">
        <f>'Real values'!S157</f>
        <v>0</v>
      </c>
      <c r="R126" s="49">
        <f>'Real values'!T157</f>
        <v>0</v>
      </c>
      <c r="S126" s="49">
        <f>'Real values'!U157</f>
        <v>0</v>
      </c>
      <c r="T126" s="49">
        <f>'Real values'!V157</f>
        <v>0</v>
      </c>
      <c r="U126" s="49">
        <f>'Real values'!W157</f>
        <v>0</v>
      </c>
      <c r="V126" s="49">
        <f>'Real values'!X157</f>
        <v>0</v>
      </c>
      <c r="W126" s="49">
        <f>'Real values'!Y157</f>
        <v>0</v>
      </c>
      <c r="X126" s="49">
        <f>'Real values'!Z157</f>
        <v>0</v>
      </c>
      <c r="Y126" s="49">
        <f>'Real values'!AA157</f>
        <v>0</v>
      </c>
      <c r="Z126" s="49">
        <f>'Real values'!AB157</f>
        <v>0</v>
      </c>
      <c r="AA126" s="49">
        <f>'Real values'!AC157</f>
        <v>0</v>
      </c>
      <c r="AB126" s="49">
        <f>'Real values'!AD157</f>
        <v>0</v>
      </c>
      <c r="AC126" s="49">
        <f>'Real values'!AE157</f>
        <v>0</v>
      </c>
      <c r="AD126" s="49">
        <f>'Real values'!AF157</f>
        <v>0</v>
      </c>
      <c r="AE126" s="49">
        <f>'Real values'!AG157</f>
        <v>0</v>
      </c>
      <c r="AF126" s="49">
        <f>'Real values'!AH157</f>
        <v>0</v>
      </c>
      <c r="AG126" s="49">
        <f>'Real values'!AI157</f>
        <v>0</v>
      </c>
      <c r="AH126" s="49">
        <f>'Real values'!AJ157</f>
        <v>0</v>
      </c>
      <c r="AI126" s="49">
        <f>'Real values'!AK157</f>
        <v>0</v>
      </c>
      <c r="AJ126" s="49">
        <f>'Real values'!AL157</f>
        <v>0</v>
      </c>
      <c r="AK126" s="49">
        <f>'Real values'!AM157</f>
        <v>0</v>
      </c>
      <c r="AL126" s="49">
        <f>'Real values'!AN157</f>
        <v>0</v>
      </c>
      <c r="AM126" s="49">
        <f>'Real values'!AO157</f>
        <v>0</v>
      </c>
      <c r="AN126" s="49">
        <f>'Real values'!AP157</f>
        <v>0</v>
      </c>
      <c r="AO126" s="49">
        <f>'Real values'!AQ157</f>
        <v>0</v>
      </c>
      <c r="AP126" s="49">
        <f>'Real values'!AR157</f>
        <v>0</v>
      </c>
      <c r="AQ126" s="49">
        <f>'Real values'!AS157</f>
        <v>0</v>
      </c>
      <c r="AR126" s="49">
        <f>'Real values'!AT157</f>
        <v>0</v>
      </c>
      <c r="AS126" s="49">
        <f>'Real values'!AU157</f>
        <v>0</v>
      </c>
      <c r="AT126" s="49">
        <f>'Real values'!AV157</f>
        <v>0</v>
      </c>
      <c r="AU126" s="49">
        <f>'Real values'!AW157</f>
        <v>0</v>
      </c>
      <c r="AV126" s="49">
        <f>'Real values'!AX157</f>
        <v>0</v>
      </c>
      <c r="AW126" s="49">
        <f>'Real values'!AY157</f>
        <v>0</v>
      </c>
      <c r="AX126" s="49">
        <f>'Real values'!BA157</f>
        <v>0</v>
      </c>
      <c r="AY126" s="49">
        <f>'Real values'!BB157</f>
        <v>0</v>
      </c>
      <c r="AZ126" s="49">
        <f>'Real values'!BC157</f>
        <v>0</v>
      </c>
      <c r="BA126" s="49">
        <f>'Real values'!BD157</f>
        <v>0</v>
      </c>
      <c r="BB126" s="49">
        <f>'Real values'!BE157</f>
        <v>0</v>
      </c>
      <c r="BC126" s="49">
        <f>'Real values'!BF157</f>
        <v>0</v>
      </c>
    </row>
    <row r="127" spans="4:55" x14ac:dyDescent="0.35">
      <c r="D127" s="2" t="s">
        <v>189</v>
      </c>
      <c r="E127" s="2"/>
      <c r="F127" s="2"/>
      <c r="G127" s="2"/>
      <c r="H127" s="2"/>
      <c r="I127" s="8" t="s">
        <v>109</v>
      </c>
      <c r="J127" s="49">
        <f>J126-J124</f>
        <v>0</v>
      </c>
      <c r="K127" s="49">
        <f t="shared" ref="K127:BB127" si="62">K126-K124</f>
        <v>0</v>
      </c>
      <c r="L127" s="49">
        <f t="shared" si="62"/>
        <v>0</v>
      </c>
      <c r="M127" s="49">
        <f t="shared" si="62"/>
        <v>0</v>
      </c>
      <c r="N127" s="49">
        <f t="shared" si="62"/>
        <v>0</v>
      </c>
      <c r="O127" s="49">
        <f t="shared" si="62"/>
        <v>0</v>
      </c>
      <c r="P127" s="49">
        <f t="shared" si="62"/>
        <v>0</v>
      </c>
      <c r="Q127" s="49">
        <f t="shared" si="62"/>
        <v>0</v>
      </c>
      <c r="R127" s="49">
        <f t="shared" si="62"/>
        <v>0</v>
      </c>
      <c r="S127" s="49">
        <f t="shared" si="62"/>
        <v>0</v>
      </c>
      <c r="T127" s="49">
        <f t="shared" si="62"/>
        <v>0</v>
      </c>
      <c r="U127" s="49">
        <f t="shared" si="62"/>
        <v>0</v>
      </c>
      <c r="V127" s="49">
        <f t="shared" si="62"/>
        <v>0</v>
      </c>
      <c r="W127" s="49">
        <f t="shared" si="62"/>
        <v>0</v>
      </c>
      <c r="X127" s="49">
        <f t="shared" si="62"/>
        <v>0</v>
      </c>
      <c r="Y127" s="49">
        <f t="shared" si="62"/>
        <v>0</v>
      </c>
      <c r="Z127" s="49">
        <f t="shared" si="62"/>
        <v>0</v>
      </c>
      <c r="AA127" s="49">
        <f t="shared" si="62"/>
        <v>0</v>
      </c>
      <c r="AB127" s="49">
        <f t="shared" si="62"/>
        <v>0</v>
      </c>
      <c r="AC127" s="49">
        <f t="shared" si="62"/>
        <v>0</v>
      </c>
      <c r="AD127" s="49">
        <f t="shared" si="62"/>
        <v>0</v>
      </c>
      <c r="AE127" s="49">
        <f t="shared" si="62"/>
        <v>0</v>
      </c>
      <c r="AF127" s="49">
        <f t="shared" si="62"/>
        <v>0</v>
      </c>
      <c r="AG127" s="49">
        <f t="shared" si="62"/>
        <v>0</v>
      </c>
      <c r="AH127" s="49">
        <f t="shared" si="62"/>
        <v>0</v>
      </c>
      <c r="AI127" s="49">
        <f t="shared" si="62"/>
        <v>0</v>
      </c>
      <c r="AJ127" s="49">
        <f t="shared" si="62"/>
        <v>0</v>
      </c>
      <c r="AK127" s="49">
        <f t="shared" si="62"/>
        <v>0</v>
      </c>
      <c r="AL127" s="49">
        <f t="shared" si="62"/>
        <v>0</v>
      </c>
      <c r="AM127" s="49">
        <f t="shared" si="62"/>
        <v>0</v>
      </c>
      <c r="AN127" s="49">
        <f t="shared" si="62"/>
        <v>0</v>
      </c>
      <c r="AO127" s="49">
        <f t="shared" si="62"/>
        <v>0</v>
      </c>
      <c r="AP127" s="49">
        <f t="shared" si="62"/>
        <v>0</v>
      </c>
      <c r="AQ127" s="49">
        <f t="shared" si="62"/>
        <v>0</v>
      </c>
      <c r="AR127" s="49">
        <f t="shared" si="62"/>
        <v>0</v>
      </c>
      <c r="AS127" s="49">
        <f t="shared" si="62"/>
        <v>0</v>
      </c>
      <c r="AT127" s="49">
        <f t="shared" si="62"/>
        <v>0</v>
      </c>
      <c r="AU127" s="49">
        <f t="shared" si="62"/>
        <v>0</v>
      </c>
      <c r="AV127" s="49">
        <f t="shared" si="62"/>
        <v>0</v>
      </c>
      <c r="AW127" s="49">
        <f t="shared" si="62"/>
        <v>0</v>
      </c>
      <c r="AX127" s="49">
        <f t="shared" si="62"/>
        <v>0</v>
      </c>
      <c r="AY127" s="49">
        <f t="shared" si="62"/>
        <v>0</v>
      </c>
      <c r="AZ127" s="49">
        <f t="shared" si="62"/>
        <v>0</v>
      </c>
      <c r="BA127" s="49">
        <f t="shared" si="62"/>
        <v>0</v>
      </c>
      <c r="BB127" s="49">
        <f t="shared" si="62"/>
        <v>0</v>
      </c>
      <c r="BC127" s="49">
        <f t="shared" ref="BC127" si="63">BC126-BC124</f>
        <v>0</v>
      </c>
    </row>
    <row r="128" spans="4:55" x14ac:dyDescent="0.35">
      <c r="D128" s="2" t="s">
        <v>190</v>
      </c>
      <c r="E128" s="2"/>
      <c r="F128" s="2"/>
      <c r="G128" s="2"/>
      <c r="H128" s="2"/>
      <c r="I128" s="8" t="s">
        <v>109</v>
      </c>
      <c r="J128" s="49">
        <f>J126-J125</f>
        <v>0</v>
      </c>
      <c r="K128" s="49">
        <f t="shared" ref="K128:BB128" si="64">K126-K125</f>
        <v>0</v>
      </c>
      <c r="L128" s="49">
        <f t="shared" si="64"/>
        <v>0</v>
      </c>
      <c r="M128" s="49">
        <f t="shared" si="64"/>
        <v>0</v>
      </c>
      <c r="N128" s="49">
        <f t="shared" si="64"/>
        <v>0</v>
      </c>
      <c r="O128" s="49">
        <f t="shared" si="64"/>
        <v>0</v>
      </c>
      <c r="P128" s="49">
        <f t="shared" si="64"/>
        <v>0</v>
      </c>
      <c r="Q128" s="49">
        <f t="shared" si="64"/>
        <v>0</v>
      </c>
      <c r="R128" s="49">
        <f t="shared" si="64"/>
        <v>0</v>
      </c>
      <c r="S128" s="49">
        <f t="shared" si="64"/>
        <v>0</v>
      </c>
      <c r="T128" s="49">
        <f t="shared" si="64"/>
        <v>0</v>
      </c>
      <c r="U128" s="49">
        <f t="shared" si="64"/>
        <v>0</v>
      </c>
      <c r="V128" s="49">
        <f t="shared" si="64"/>
        <v>0</v>
      </c>
      <c r="W128" s="49">
        <f t="shared" si="64"/>
        <v>0</v>
      </c>
      <c r="X128" s="49">
        <f t="shared" si="64"/>
        <v>0</v>
      </c>
      <c r="Y128" s="49">
        <f t="shared" si="64"/>
        <v>0</v>
      </c>
      <c r="Z128" s="49">
        <f t="shared" si="64"/>
        <v>0</v>
      </c>
      <c r="AA128" s="49">
        <f t="shared" si="64"/>
        <v>0</v>
      </c>
      <c r="AB128" s="49">
        <f t="shared" si="64"/>
        <v>0</v>
      </c>
      <c r="AC128" s="49">
        <f t="shared" si="64"/>
        <v>0</v>
      </c>
      <c r="AD128" s="49">
        <f t="shared" si="64"/>
        <v>0</v>
      </c>
      <c r="AE128" s="49">
        <f t="shared" si="64"/>
        <v>0</v>
      </c>
      <c r="AF128" s="49">
        <f t="shared" si="64"/>
        <v>0</v>
      </c>
      <c r="AG128" s="49">
        <f t="shared" si="64"/>
        <v>0</v>
      </c>
      <c r="AH128" s="49">
        <f t="shared" si="64"/>
        <v>0</v>
      </c>
      <c r="AI128" s="49">
        <f t="shared" si="64"/>
        <v>0</v>
      </c>
      <c r="AJ128" s="49">
        <f t="shared" si="64"/>
        <v>0</v>
      </c>
      <c r="AK128" s="49">
        <f t="shared" si="64"/>
        <v>0</v>
      </c>
      <c r="AL128" s="49">
        <f t="shared" si="64"/>
        <v>0</v>
      </c>
      <c r="AM128" s="49">
        <f t="shared" si="64"/>
        <v>0</v>
      </c>
      <c r="AN128" s="49">
        <f t="shared" si="64"/>
        <v>0</v>
      </c>
      <c r="AO128" s="49">
        <f t="shared" si="64"/>
        <v>0</v>
      </c>
      <c r="AP128" s="49">
        <f t="shared" si="64"/>
        <v>0</v>
      </c>
      <c r="AQ128" s="49">
        <f t="shared" si="64"/>
        <v>0</v>
      </c>
      <c r="AR128" s="49">
        <f t="shared" si="64"/>
        <v>0</v>
      </c>
      <c r="AS128" s="49">
        <f t="shared" si="64"/>
        <v>0</v>
      </c>
      <c r="AT128" s="49">
        <f t="shared" si="64"/>
        <v>0</v>
      </c>
      <c r="AU128" s="49">
        <f t="shared" si="64"/>
        <v>0</v>
      </c>
      <c r="AV128" s="49">
        <f t="shared" si="64"/>
        <v>0</v>
      </c>
      <c r="AW128" s="49">
        <f t="shared" si="64"/>
        <v>0</v>
      </c>
      <c r="AX128" s="49">
        <f t="shared" si="64"/>
        <v>0</v>
      </c>
      <c r="AY128" s="49">
        <f t="shared" si="64"/>
        <v>0</v>
      </c>
      <c r="AZ128" s="49">
        <f t="shared" si="64"/>
        <v>0</v>
      </c>
      <c r="BA128" s="49">
        <f t="shared" si="64"/>
        <v>0</v>
      </c>
      <c r="BB128" s="49">
        <f t="shared" si="64"/>
        <v>0</v>
      </c>
      <c r="BC128" s="49">
        <f t="shared" ref="BC128" si="65">BC126-BC125</f>
        <v>0</v>
      </c>
    </row>
    <row r="129" spans="4:55" x14ac:dyDescent="0.35">
      <c r="D129" s="2" t="s">
        <v>144</v>
      </c>
      <c r="E129" s="2"/>
      <c r="F129" s="2"/>
      <c r="G129" s="2"/>
      <c r="H129" s="2"/>
      <c r="I129" s="8" t="s">
        <v>109</v>
      </c>
      <c r="J129" s="49">
        <f>'Real values'!L164</f>
        <v>0</v>
      </c>
      <c r="K129" s="49">
        <f>'Real values'!M164</f>
        <v>0</v>
      </c>
      <c r="L129" s="49">
        <f>'Real values'!N164</f>
        <v>0</v>
      </c>
      <c r="M129" s="49">
        <f>'Real values'!O164</f>
        <v>0</v>
      </c>
      <c r="N129" s="49">
        <f>'Real values'!P164</f>
        <v>0</v>
      </c>
      <c r="O129" s="49">
        <f>'Real values'!Q164</f>
        <v>0</v>
      </c>
      <c r="P129" s="49">
        <f>'Real values'!R164</f>
        <v>0</v>
      </c>
      <c r="Q129" s="49">
        <f>'Real values'!S164</f>
        <v>0</v>
      </c>
      <c r="R129" s="49">
        <f>'Real values'!T164</f>
        <v>0</v>
      </c>
      <c r="S129" s="49">
        <f>'Real values'!U164</f>
        <v>0</v>
      </c>
      <c r="T129" s="49">
        <f>'Real values'!V164</f>
        <v>0</v>
      </c>
      <c r="U129" s="49">
        <f>'Real values'!W164</f>
        <v>0</v>
      </c>
      <c r="V129" s="49">
        <f>'Real values'!X164</f>
        <v>0</v>
      </c>
      <c r="W129" s="49">
        <f>'Real values'!Y164</f>
        <v>0</v>
      </c>
      <c r="X129" s="49">
        <f>'Real values'!Z164</f>
        <v>0</v>
      </c>
      <c r="Y129" s="49">
        <f>'Real values'!AA164</f>
        <v>0</v>
      </c>
      <c r="Z129" s="49">
        <f>'Real values'!AB164</f>
        <v>0</v>
      </c>
      <c r="AA129" s="49">
        <f>'Real values'!AC164</f>
        <v>0</v>
      </c>
      <c r="AB129" s="49">
        <f>'Real values'!AD164</f>
        <v>0</v>
      </c>
      <c r="AC129" s="49">
        <f>'Real values'!AE164</f>
        <v>0</v>
      </c>
      <c r="AD129" s="49">
        <f>'Real values'!AF164</f>
        <v>0</v>
      </c>
      <c r="AE129" s="49">
        <f>'Real values'!AG164</f>
        <v>0</v>
      </c>
      <c r="AF129" s="49">
        <f>'Real values'!AH164</f>
        <v>0</v>
      </c>
      <c r="AG129" s="49">
        <f>'Real values'!AI164</f>
        <v>0</v>
      </c>
      <c r="AH129" s="49">
        <f>'Real values'!AJ164</f>
        <v>0</v>
      </c>
      <c r="AI129" s="49">
        <f>'Real values'!AK164</f>
        <v>0</v>
      </c>
      <c r="AJ129" s="49">
        <f>'Real values'!AM164</f>
        <v>0</v>
      </c>
      <c r="AK129" s="49">
        <f>'Real values'!AN164</f>
        <v>0</v>
      </c>
      <c r="AL129" s="49">
        <f>'Real values'!AO164</f>
        <v>0</v>
      </c>
      <c r="AM129" s="49">
        <f>'Real values'!AP164</f>
        <v>0</v>
      </c>
      <c r="AN129" s="49">
        <f>'Real values'!AQ164</f>
        <v>0</v>
      </c>
      <c r="AO129" s="49">
        <f>'Real values'!AR164</f>
        <v>0</v>
      </c>
      <c r="AP129" s="49">
        <f>'Real values'!AS164</f>
        <v>0</v>
      </c>
      <c r="AQ129" s="49">
        <f>'Real values'!AT164</f>
        <v>0</v>
      </c>
      <c r="AR129" s="49">
        <f>'Real values'!AU164</f>
        <v>0</v>
      </c>
      <c r="AS129" s="49">
        <f>'Real values'!AV164</f>
        <v>0</v>
      </c>
      <c r="AT129" s="49">
        <f>'Real values'!AW164</f>
        <v>0</v>
      </c>
      <c r="AU129" s="49">
        <f>'Real values'!AX164</f>
        <v>0</v>
      </c>
      <c r="AV129" s="49">
        <f>'Real values'!AY164</f>
        <v>0</v>
      </c>
      <c r="AW129" s="49">
        <f>'Real values'!AZ164</f>
        <v>0</v>
      </c>
      <c r="AX129" s="49">
        <f>'Real values'!BA164</f>
        <v>0</v>
      </c>
      <c r="AY129" s="49">
        <f>'Real values'!BB164</f>
        <v>0</v>
      </c>
      <c r="AZ129" s="49">
        <f>'Real values'!BC164</f>
        <v>0</v>
      </c>
      <c r="BA129" s="49">
        <f>'Real values'!BD164</f>
        <v>0</v>
      </c>
      <c r="BB129" s="49">
        <f>'Real values'!BE164</f>
        <v>0</v>
      </c>
      <c r="BC129" s="49">
        <f>'Real values'!BF164</f>
        <v>0</v>
      </c>
    </row>
    <row r="130" spans="4:55" x14ac:dyDescent="0.35">
      <c r="D130" s="2" t="s">
        <v>191</v>
      </c>
      <c r="E130" s="2"/>
      <c r="F130" s="2"/>
      <c r="G130" s="2"/>
      <c r="H130" s="2"/>
      <c r="I130" s="8" t="s">
        <v>109</v>
      </c>
      <c r="J130" s="49">
        <f>J127-J129</f>
        <v>0</v>
      </c>
      <c r="K130" s="49">
        <f t="shared" ref="K130:BB130" si="66">K127-K129</f>
        <v>0</v>
      </c>
      <c r="L130" s="49">
        <f t="shared" si="66"/>
        <v>0</v>
      </c>
      <c r="M130" s="49">
        <f t="shared" si="66"/>
        <v>0</v>
      </c>
      <c r="N130" s="49">
        <f t="shared" si="66"/>
        <v>0</v>
      </c>
      <c r="O130" s="49">
        <f t="shared" si="66"/>
        <v>0</v>
      </c>
      <c r="P130" s="49">
        <f t="shared" si="66"/>
        <v>0</v>
      </c>
      <c r="Q130" s="49">
        <f t="shared" si="66"/>
        <v>0</v>
      </c>
      <c r="R130" s="49">
        <f t="shared" si="66"/>
        <v>0</v>
      </c>
      <c r="S130" s="49">
        <f t="shared" si="66"/>
        <v>0</v>
      </c>
      <c r="T130" s="49">
        <f t="shared" si="66"/>
        <v>0</v>
      </c>
      <c r="U130" s="49">
        <f t="shared" si="66"/>
        <v>0</v>
      </c>
      <c r="V130" s="49">
        <f t="shared" si="66"/>
        <v>0</v>
      </c>
      <c r="W130" s="49">
        <f t="shared" si="66"/>
        <v>0</v>
      </c>
      <c r="X130" s="49">
        <f t="shared" si="66"/>
        <v>0</v>
      </c>
      <c r="Y130" s="49">
        <f t="shared" si="66"/>
        <v>0</v>
      </c>
      <c r="Z130" s="49">
        <f t="shared" si="66"/>
        <v>0</v>
      </c>
      <c r="AA130" s="49">
        <f t="shared" si="66"/>
        <v>0</v>
      </c>
      <c r="AB130" s="49">
        <f t="shared" si="66"/>
        <v>0</v>
      </c>
      <c r="AC130" s="49">
        <f t="shared" si="66"/>
        <v>0</v>
      </c>
      <c r="AD130" s="49">
        <f t="shared" si="66"/>
        <v>0</v>
      </c>
      <c r="AE130" s="49">
        <f t="shared" si="66"/>
        <v>0</v>
      </c>
      <c r="AF130" s="49">
        <f t="shared" si="66"/>
        <v>0</v>
      </c>
      <c r="AG130" s="49">
        <f t="shared" si="66"/>
        <v>0</v>
      </c>
      <c r="AH130" s="49">
        <f t="shared" si="66"/>
        <v>0</v>
      </c>
      <c r="AI130" s="49">
        <f t="shared" si="66"/>
        <v>0</v>
      </c>
      <c r="AJ130" s="49">
        <f t="shared" si="66"/>
        <v>0</v>
      </c>
      <c r="AK130" s="49">
        <f t="shared" si="66"/>
        <v>0</v>
      </c>
      <c r="AL130" s="49">
        <f t="shared" si="66"/>
        <v>0</v>
      </c>
      <c r="AM130" s="49">
        <f t="shared" si="66"/>
        <v>0</v>
      </c>
      <c r="AN130" s="49">
        <f t="shared" si="66"/>
        <v>0</v>
      </c>
      <c r="AO130" s="49">
        <f t="shared" si="66"/>
        <v>0</v>
      </c>
      <c r="AP130" s="49">
        <f t="shared" si="66"/>
        <v>0</v>
      </c>
      <c r="AQ130" s="49">
        <f t="shared" si="66"/>
        <v>0</v>
      </c>
      <c r="AR130" s="49">
        <f t="shared" si="66"/>
        <v>0</v>
      </c>
      <c r="AS130" s="49">
        <f t="shared" si="66"/>
        <v>0</v>
      </c>
      <c r="AT130" s="49">
        <f t="shared" si="66"/>
        <v>0</v>
      </c>
      <c r="AU130" s="49">
        <f t="shared" si="66"/>
        <v>0</v>
      </c>
      <c r="AV130" s="49">
        <f t="shared" si="66"/>
        <v>0</v>
      </c>
      <c r="AW130" s="49">
        <f t="shared" si="66"/>
        <v>0</v>
      </c>
      <c r="AX130" s="49">
        <f t="shared" si="66"/>
        <v>0</v>
      </c>
      <c r="AY130" s="49">
        <f t="shared" si="66"/>
        <v>0</v>
      </c>
      <c r="AZ130" s="49">
        <f t="shared" si="66"/>
        <v>0</v>
      </c>
      <c r="BA130" s="49">
        <f t="shared" si="66"/>
        <v>0</v>
      </c>
      <c r="BB130" s="49">
        <f t="shared" si="66"/>
        <v>0</v>
      </c>
      <c r="BC130" s="49">
        <f t="shared" ref="BC130" si="67">BC127-BC129</f>
        <v>0</v>
      </c>
    </row>
    <row r="131" spans="4:55" x14ac:dyDescent="0.35">
      <c r="D131" s="2" t="s">
        <v>192</v>
      </c>
      <c r="E131" s="2"/>
      <c r="F131" s="2"/>
      <c r="G131" s="2"/>
      <c r="H131" s="2"/>
      <c r="I131" s="8" t="s">
        <v>109</v>
      </c>
      <c r="J131" s="49">
        <f>J128-J129</f>
        <v>0</v>
      </c>
      <c r="K131" s="49">
        <f t="shared" ref="K131:BB131" si="68">K128-K129</f>
        <v>0</v>
      </c>
      <c r="L131" s="49">
        <f t="shared" si="68"/>
        <v>0</v>
      </c>
      <c r="M131" s="49">
        <f t="shared" si="68"/>
        <v>0</v>
      </c>
      <c r="N131" s="49">
        <f t="shared" si="68"/>
        <v>0</v>
      </c>
      <c r="O131" s="49">
        <f t="shared" si="68"/>
        <v>0</v>
      </c>
      <c r="P131" s="49">
        <f t="shared" si="68"/>
        <v>0</v>
      </c>
      <c r="Q131" s="49">
        <f t="shared" si="68"/>
        <v>0</v>
      </c>
      <c r="R131" s="49">
        <f t="shared" si="68"/>
        <v>0</v>
      </c>
      <c r="S131" s="49">
        <f t="shared" si="68"/>
        <v>0</v>
      </c>
      <c r="T131" s="49">
        <f t="shared" si="68"/>
        <v>0</v>
      </c>
      <c r="U131" s="49">
        <f t="shared" si="68"/>
        <v>0</v>
      </c>
      <c r="V131" s="49">
        <f t="shared" si="68"/>
        <v>0</v>
      </c>
      <c r="W131" s="49">
        <f t="shared" si="68"/>
        <v>0</v>
      </c>
      <c r="X131" s="49">
        <f t="shared" si="68"/>
        <v>0</v>
      </c>
      <c r="Y131" s="49">
        <f t="shared" si="68"/>
        <v>0</v>
      </c>
      <c r="Z131" s="49">
        <f t="shared" si="68"/>
        <v>0</v>
      </c>
      <c r="AA131" s="49">
        <f t="shared" si="68"/>
        <v>0</v>
      </c>
      <c r="AB131" s="49">
        <f t="shared" si="68"/>
        <v>0</v>
      </c>
      <c r="AC131" s="49">
        <f t="shared" si="68"/>
        <v>0</v>
      </c>
      <c r="AD131" s="49">
        <f t="shared" si="68"/>
        <v>0</v>
      </c>
      <c r="AE131" s="49">
        <f t="shared" si="68"/>
        <v>0</v>
      </c>
      <c r="AF131" s="49">
        <f t="shared" si="68"/>
        <v>0</v>
      </c>
      <c r="AG131" s="49">
        <f t="shared" si="68"/>
        <v>0</v>
      </c>
      <c r="AH131" s="49">
        <f t="shared" si="68"/>
        <v>0</v>
      </c>
      <c r="AI131" s="49">
        <f t="shared" si="68"/>
        <v>0</v>
      </c>
      <c r="AJ131" s="49">
        <f t="shared" si="68"/>
        <v>0</v>
      </c>
      <c r="AK131" s="49">
        <f t="shared" si="68"/>
        <v>0</v>
      </c>
      <c r="AL131" s="49">
        <f t="shared" si="68"/>
        <v>0</v>
      </c>
      <c r="AM131" s="49">
        <f t="shared" si="68"/>
        <v>0</v>
      </c>
      <c r="AN131" s="49">
        <f t="shared" si="68"/>
        <v>0</v>
      </c>
      <c r="AO131" s="49">
        <f t="shared" si="68"/>
        <v>0</v>
      </c>
      <c r="AP131" s="49">
        <f t="shared" si="68"/>
        <v>0</v>
      </c>
      <c r="AQ131" s="49">
        <f t="shared" si="68"/>
        <v>0</v>
      </c>
      <c r="AR131" s="49">
        <f t="shared" si="68"/>
        <v>0</v>
      </c>
      <c r="AS131" s="49">
        <f t="shared" si="68"/>
        <v>0</v>
      </c>
      <c r="AT131" s="49">
        <f t="shared" si="68"/>
        <v>0</v>
      </c>
      <c r="AU131" s="49">
        <f t="shared" si="68"/>
        <v>0</v>
      </c>
      <c r="AV131" s="49">
        <f t="shared" si="68"/>
        <v>0</v>
      </c>
      <c r="AW131" s="49">
        <f t="shared" si="68"/>
        <v>0</v>
      </c>
      <c r="AX131" s="49">
        <f t="shared" si="68"/>
        <v>0</v>
      </c>
      <c r="AY131" s="49">
        <f t="shared" si="68"/>
        <v>0</v>
      </c>
      <c r="AZ131" s="49">
        <f t="shared" si="68"/>
        <v>0</v>
      </c>
      <c r="BA131" s="49">
        <f t="shared" si="68"/>
        <v>0</v>
      </c>
      <c r="BB131" s="49">
        <f t="shared" si="68"/>
        <v>0</v>
      </c>
      <c r="BC131" s="49">
        <f t="shared" ref="BC131" si="69">BC128-BC129</f>
        <v>0</v>
      </c>
    </row>
    <row r="132" spans="4:55" x14ac:dyDescent="0.35">
      <c r="D132" s="2"/>
      <c r="E132" s="2"/>
      <c r="F132" s="2"/>
      <c r="G132" s="2"/>
      <c r="H132" s="2"/>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row>
    <row r="133" spans="4:55" x14ac:dyDescent="0.35">
      <c r="D133" s="27" t="s">
        <v>48</v>
      </c>
      <c r="E133" s="27"/>
      <c r="F133" s="29"/>
      <c r="G133" s="29"/>
      <c r="H133" s="29"/>
      <c r="I133" s="29"/>
      <c r="J133" s="26">
        <f>Start_Yr</f>
        <v>0</v>
      </c>
      <c r="K133" s="26">
        <f t="shared" ref="K133:BC133" si="70">J133+1</f>
        <v>1</v>
      </c>
      <c r="L133" s="26">
        <f t="shared" si="70"/>
        <v>2</v>
      </c>
      <c r="M133" s="26">
        <f t="shared" si="70"/>
        <v>3</v>
      </c>
      <c r="N133" s="26">
        <f t="shared" si="70"/>
        <v>4</v>
      </c>
      <c r="O133" s="26">
        <f t="shared" si="70"/>
        <v>5</v>
      </c>
      <c r="P133" s="26">
        <f t="shared" si="70"/>
        <v>6</v>
      </c>
      <c r="Q133" s="26">
        <f t="shared" si="70"/>
        <v>7</v>
      </c>
      <c r="R133" s="26">
        <f t="shared" si="70"/>
        <v>8</v>
      </c>
      <c r="S133" s="26">
        <f t="shared" si="70"/>
        <v>9</v>
      </c>
      <c r="T133" s="26">
        <f t="shared" si="70"/>
        <v>10</v>
      </c>
      <c r="U133" s="26">
        <f t="shared" si="70"/>
        <v>11</v>
      </c>
      <c r="V133" s="26">
        <f t="shared" si="70"/>
        <v>12</v>
      </c>
      <c r="W133" s="26">
        <f t="shared" si="70"/>
        <v>13</v>
      </c>
      <c r="X133" s="26">
        <f t="shared" si="70"/>
        <v>14</v>
      </c>
      <c r="Y133" s="26">
        <f t="shared" si="70"/>
        <v>15</v>
      </c>
      <c r="Z133" s="26">
        <f t="shared" si="70"/>
        <v>16</v>
      </c>
      <c r="AA133" s="26">
        <f t="shared" si="70"/>
        <v>17</v>
      </c>
      <c r="AB133" s="26">
        <f t="shared" si="70"/>
        <v>18</v>
      </c>
      <c r="AC133" s="26">
        <f t="shared" si="70"/>
        <v>19</v>
      </c>
      <c r="AD133" s="26">
        <f t="shared" si="70"/>
        <v>20</v>
      </c>
      <c r="AE133" s="26">
        <f t="shared" si="70"/>
        <v>21</v>
      </c>
      <c r="AF133" s="26">
        <f t="shared" si="70"/>
        <v>22</v>
      </c>
      <c r="AG133" s="26">
        <f t="shared" si="70"/>
        <v>23</v>
      </c>
      <c r="AH133" s="26">
        <f t="shared" si="70"/>
        <v>24</v>
      </c>
      <c r="AI133" s="26">
        <f t="shared" si="70"/>
        <v>25</v>
      </c>
      <c r="AJ133" s="26">
        <f t="shared" si="70"/>
        <v>26</v>
      </c>
      <c r="AK133" s="26">
        <f t="shared" si="70"/>
        <v>27</v>
      </c>
      <c r="AL133" s="26">
        <f t="shared" si="70"/>
        <v>28</v>
      </c>
      <c r="AM133" s="26">
        <f t="shared" si="70"/>
        <v>29</v>
      </c>
      <c r="AN133" s="26">
        <f t="shared" si="70"/>
        <v>30</v>
      </c>
      <c r="AO133" s="26">
        <f t="shared" si="70"/>
        <v>31</v>
      </c>
      <c r="AP133" s="26">
        <f t="shared" si="70"/>
        <v>32</v>
      </c>
      <c r="AQ133" s="26">
        <f t="shared" si="70"/>
        <v>33</v>
      </c>
      <c r="AR133" s="26">
        <f t="shared" si="70"/>
        <v>34</v>
      </c>
      <c r="AS133" s="26">
        <f t="shared" si="70"/>
        <v>35</v>
      </c>
      <c r="AT133" s="26">
        <f t="shared" si="70"/>
        <v>36</v>
      </c>
      <c r="AU133" s="26">
        <f t="shared" si="70"/>
        <v>37</v>
      </c>
      <c r="AV133" s="26">
        <f t="shared" si="70"/>
        <v>38</v>
      </c>
      <c r="AW133" s="26">
        <f t="shared" si="70"/>
        <v>39</v>
      </c>
      <c r="AX133" s="26">
        <f t="shared" si="70"/>
        <v>40</v>
      </c>
      <c r="AY133" s="26">
        <f t="shared" si="70"/>
        <v>41</v>
      </c>
      <c r="AZ133" s="26">
        <f t="shared" si="70"/>
        <v>42</v>
      </c>
      <c r="BA133" s="26">
        <f t="shared" si="70"/>
        <v>43</v>
      </c>
      <c r="BB133" s="26">
        <f t="shared" si="70"/>
        <v>44</v>
      </c>
      <c r="BC133" s="26">
        <f t="shared" si="70"/>
        <v>45</v>
      </c>
    </row>
    <row r="134" spans="4:55" x14ac:dyDescent="0.35">
      <c r="D134" s="58" t="s">
        <v>184</v>
      </c>
      <c r="E134" s="10"/>
      <c r="F134" s="4"/>
      <c r="G134" s="4"/>
      <c r="H134" s="4"/>
      <c r="I134" s="4" t="s">
        <v>109</v>
      </c>
      <c r="J134" s="51">
        <f>J136-J135</f>
        <v>0</v>
      </c>
      <c r="K134" s="51">
        <f t="shared" ref="K134:BB134" si="71">K136-K135</f>
        <v>0</v>
      </c>
      <c r="L134" s="51">
        <f t="shared" si="71"/>
        <v>0</v>
      </c>
      <c r="M134" s="51">
        <f t="shared" si="71"/>
        <v>0</v>
      </c>
      <c r="N134" s="51">
        <f t="shared" si="71"/>
        <v>0</v>
      </c>
      <c r="O134" s="51">
        <f t="shared" si="71"/>
        <v>0</v>
      </c>
      <c r="P134" s="51">
        <f t="shared" si="71"/>
        <v>0</v>
      </c>
      <c r="Q134" s="51">
        <f t="shared" si="71"/>
        <v>0</v>
      </c>
      <c r="R134" s="51">
        <f t="shared" si="71"/>
        <v>0</v>
      </c>
      <c r="S134" s="51">
        <f t="shared" si="71"/>
        <v>0</v>
      </c>
      <c r="T134" s="51">
        <f t="shared" si="71"/>
        <v>0</v>
      </c>
      <c r="U134" s="51">
        <f t="shared" si="71"/>
        <v>0</v>
      </c>
      <c r="V134" s="51">
        <f t="shared" si="71"/>
        <v>0</v>
      </c>
      <c r="W134" s="51">
        <f t="shared" si="71"/>
        <v>0</v>
      </c>
      <c r="X134" s="51">
        <f t="shared" si="71"/>
        <v>0</v>
      </c>
      <c r="Y134" s="51">
        <f t="shared" si="71"/>
        <v>0</v>
      </c>
      <c r="Z134" s="51">
        <f t="shared" si="71"/>
        <v>0</v>
      </c>
      <c r="AA134" s="51">
        <f t="shared" si="71"/>
        <v>0</v>
      </c>
      <c r="AB134" s="51">
        <f t="shared" si="71"/>
        <v>0</v>
      </c>
      <c r="AC134" s="51">
        <f t="shared" si="71"/>
        <v>0</v>
      </c>
      <c r="AD134" s="51">
        <f t="shared" si="71"/>
        <v>0</v>
      </c>
      <c r="AE134" s="51">
        <f t="shared" si="71"/>
        <v>0</v>
      </c>
      <c r="AF134" s="51">
        <f t="shared" si="71"/>
        <v>0</v>
      </c>
      <c r="AG134" s="51">
        <f t="shared" si="71"/>
        <v>0</v>
      </c>
      <c r="AH134" s="51">
        <f t="shared" si="71"/>
        <v>0</v>
      </c>
      <c r="AI134" s="51">
        <f t="shared" si="71"/>
        <v>0</v>
      </c>
      <c r="AJ134" s="51">
        <f t="shared" si="71"/>
        <v>0</v>
      </c>
      <c r="AK134" s="51">
        <f t="shared" si="71"/>
        <v>0</v>
      </c>
      <c r="AL134" s="51">
        <f t="shared" si="71"/>
        <v>0</v>
      </c>
      <c r="AM134" s="51">
        <f t="shared" si="71"/>
        <v>0</v>
      </c>
      <c r="AN134" s="51">
        <f t="shared" si="71"/>
        <v>0</v>
      </c>
      <c r="AO134" s="51">
        <f t="shared" si="71"/>
        <v>0</v>
      </c>
      <c r="AP134" s="51">
        <f t="shared" si="71"/>
        <v>0</v>
      </c>
      <c r="AQ134" s="51">
        <f t="shared" si="71"/>
        <v>0</v>
      </c>
      <c r="AR134" s="51">
        <f t="shared" si="71"/>
        <v>0</v>
      </c>
      <c r="AS134" s="51">
        <f t="shared" si="71"/>
        <v>0</v>
      </c>
      <c r="AT134" s="51">
        <f t="shared" si="71"/>
        <v>0</v>
      </c>
      <c r="AU134" s="51">
        <f t="shared" si="71"/>
        <v>0</v>
      </c>
      <c r="AV134" s="51">
        <f t="shared" si="71"/>
        <v>0</v>
      </c>
      <c r="AW134" s="51">
        <f t="shared" si="71"/>
        <v>0</v>
      </c>
      <c r="AX134" s="51">
        <f t="shared" si="71"/>
        <v>0</v>
      </c>
      <c r="AY134" s="51">
        <f t="shared" si="71"/>
        <v>0</v>
      </c>
      <c r="AZ134" s="51">
        <f t="shared" si="71"/>
        <v>0</v>
      </c>
      <c r="BA134" s="51">
        <f t="shared" si="71"/>
        <v>0</v>
      </c>
      <c r="BB134" s="51">
        <f t="shared" si="71"/>
        <v>0</v>
      </c>
      <c r="BC134" s="51">
        <f t="shared" ref="BC134" si="72">BC136-BC135</f>
        <v>0</v>
      </c>
    </row>
    <row r="135" spans="4:55" x14ac:dyDescent="0.35">
      <c r="D135" s="58" t="s">
        <v>185</v>
      </c>
      <c r="E135" s="10"/>
      <c r="F135" s="4"/>
      <c r="G135" s="4"/>
      <c r="H135" s="4"/>
      <c r="I135" s="4" t="s">
        <v>109</v>
      </c>
      <c r="J135" s="51">
        <f>'Real values'!L144</f>
        <v>0</v>
      </c>
      <c r="K135" s="51">
        <f>'Real values'!M144</f>
        <v>0</v>
      </c>
      <c r="L135" s="51">
        <f>'Real values'!N144</f>
        <v>0</v>
      </c>
      <c r="M135" s="51">
        <f>'Real values'!O144</f>
        <v>0</v>
      </c>
      <c r="N135" s="51">
        <f>'Real values'!P144</f>
        <v>0</v>
      </c>
      <c r="O135" s="51">
        <f>'Real values'!Q144</f>
        <v>0</v>
      </c>
      <c r="P135" s="51">
        <f>'Real values'!R144</f>
        <v>0</v>
      </c>
      <c r="Q135" s="51">
        <f>'Real values'!S144</f>
        <v>0</v>
      </c>
      <c r="R135" s="51">
        <f>'Real values'!T144</f>
        <v>0</v>
      </c>
      <c r="S135" s="51">
        <f>'Real values'!U144</f>
        <v>0</v>
      </c>
      <c r="T135" s="51">
        <f>'Real values'!V144</f>
        <v>0</v>
      </c>
      <c r="U135" s="51">
        <f>'Real values'!W144</f>
        <v>0</v>
      </c>
      <c r="V135" s="51">
        <f>'Real values'!X144</f>
        <v>0</v>
      </c>
      <c r="W135" s="51">
        <f>'Real values'!Y144</f>
        <v>0</v>
      </c>
      <c r="X135" s="51">
        <f>'Real values'!Z144</f>
        <v>0</v>
      </c>
      <c r="Y135" s="51">
        <f>'Real values'!AA144</f>
        <v>0</v>
      </c>
      <c r="Z135" s="51">
        <f>'Real values'!AB144</f>
        <v>0</v>
      </c>
      <c r="AA135" s="51">
        <f>'Real values'!AC144</f>
        <v>0</v>
      </c>
      <c r="AB135" s="51">
        <f>'Real values'!AD144</f>
        <v>0</v>
      </c>
      <c r="AC135" s="51">
        <f>'Real values'!AE144</f>
        <v>0</v>
      </c>
      <c r="AD135" s="51">
        <f>'Real values'!AF144</f>
        <v>0</v>
      </c>
      <c r="AE135" s="51">
        <f>'Real values'!AG144</f>
        <v>0</v>
      </c>
      <c r="AF135" s="51">
        <f>'Real values'!AH144</f>
        <v>0</v>
      </c>
      <c r="AG135" s="51">
        <f>'Real values'!AI144</f>
        <v>0</v>
      </c>
      <c r="AH135" s="51">
        <f>'Real values'!AJ144</f>
        <v>0</v>
      </c>
      <c r="AI135" s="51">
        <f>'Real values'!AK144</f>
        <v>0</v>
      </c>
      <c r="AJ135" s="51">
        <f>'Real values'!AL144</f>
        <v>0</v>
      </c>
      <c r="AK135" s="51">
        <f>'Real values'!AM144</f>
        <v>0</v>
      </c>
      <c r="AL135" s="51">
        <f>'Real values'!AN144</f>
        <v>0</v>
      </c>
      <c r="AM135" s="51">
        <f>'Real values'!AO144</f>
        <v>0</v>
      </c>
      <c r="AN135" s="51">
        <f>'Real values'!AP144</f>
        <v>0</v>
      </c>
      <c r="AO135" s="51">
        <f>'Real values'!AQ144</f>
        <v>0</v>
      </c>
      <c r="AP135" s="51">
        <f>'Real values'!AR144</f>
        <v>0</v>
      </c>
      <c r="AQ135" s="51">
        <f>'Real values'!AS144</f>
        <v>0</v>
      </c>
      <c r="AR135" s="51">
        <f>'Real values'!AT144</f>
        <v>0</v>
      </c>
      <c r="AS135" s="51">
        <f>'Real values'!AU144</f>
        <v>0</v>
      </c>
      <c r="AT135" s="51">
        <f>'Real values'!AV144</f>
        <v>0</v>
      </c>
      <c r="AU135" s="51">
        <f>'Real values'!AW144</f>
        <v>0</v>
      </c>
      <c r="AV135" s="51">
        <f>'Real values'!AX144</f>
        <v>0</v>
      </c>
      <c r="AW135" s="51">
        <f>'Real values'!AY144</f>
        <v>0</v>
      </c>
      <c r="AX135" s="51">
        <f>'Real values'!BA144</f>
        <v>0</v>
      </c>
      <c r="AY135" s="51">
        <f>'Real values'!BB144</f>
        <v>0</v>
      </c>
      <c r="AZ135" s="51">
        <f>'Real values'!BC144</f>
        <v>0</v>
      </c>
      <c r="BA135" s="51">
        <f>'Real values'!BD144</f>
        <v>0</v>
      </c>
      <c r="BB135" s="51">
        <f>'Real values'!BE144</f>
        <v>0</v>
      </c>
      <c r="BC135" s="51">
        <f>'Real values'!BF144</f>
        <v>0</v>
      </c>
    </row>
    <row r="136" spans="4:55" x14ac:dyDescent="0.35">
      <c r="D136" s="3" t="s">
        <v>186</v>
      </c>
      <c r="E136" s="10"/>
      <c r="F136" s="4"/>
      <c r="G136" s="4"/>
      <c r="H136" s="4"/>
      <c r="I136" s="4" t="s">
        <v>109</v>
      </c>
      <c r="J136" s="51">
        <f t="shared" ref="J136:BC136" si="73">F48</f>
        <v>0</v>
      </c>
      <c r="K136" s="51">
        <f t="shared" si="73"/>
        <v>0</v>
      </c>
      <c r="L136" s="51">
        <f t="shared" si="73"/>
        <v>0</v>
      </c>
      <c r="M136" s="51">
        <f t="shared" si="73"/>
        <v>0</v>
      </c>
      <c r="N136" s="51">
        <f t="shared" si="73"/>
        <v>0</v>
      </c>
      <c r="O136" s="51">
        <f t="shared" si="73"/>
        <v>0</v>
      </c>
      <c r="P136" s="51">
        <f t="shared" si="73"/>
        <v>0</v>
      </c>
      <c r="Q136" s="51">
        <f t="shared" si="73"/>
        <v>0</v>
      </c>
      <c r="R136" s="51">
        <f t="shared" si="73"/>
        <v>0</v>
      </c>
      <c r="S136" s="51">
        <f t="shared" si="73"/>
        <v>0</v>
      </c>
      <c r="T136" s="51">
        <f t="shared" si="73"/>
        <v>0</v>
      </c>
      <c r="U136" s="51">
        <f t="shared" si="73"/>
        <v>0</v>
      </c>
      <c r="V136" s="51">
        <f t="shared" si="73"/>
        <v>0</v>
      </c>
      <c r="W136" s="51">
        <f t="shared" si="73"/>
        <v>0</v>
      </c>
      <c r="X136" s="51">
        <f t="shared" si="73"/>
        <v>0</v>
      </c>
      <c r="Y136" s="51">
        <f t="shared" si="73"/>
        <v>0</v>
      </c>
      <c r="Z136" s="51">
        <f t="shared" si="73"/>
        <v>0</v>
      </c>
      <c r="AA136" s="51">
        <f t="shared" si="73"/>
        <v>0</v>
      </c>
      <c r="AB136" s="51">
        <f t="shared" si="73"/>
        <v>0</v>
      </c>
      <c r="AC136" s="51">
        <f t="shared" si="73"/>
        <v>0</v>
      </c>
      <c r="AD136" s="51">
        <f t="shared" si="73"/>
        <v>0</v>
      </c>
      <c r="AE136" s="51">
        <f t="shared" si="73"/>
        <v>0</v>
      </c>
      <c r="AF136" s="51">
        <f t="shared" si="73"/>
        <v>0</v>
      </c>
      <c r="AG136" s="51">
        <f t="shared" si="73"/>
        <v>0</v>
      </c>
      <c r="AH136" s="51">
        <f t="shared" si="73"/>
        <v>0</v>
      </c>
      <c r="AI136" s="51">
        <f t="shared" si="73"/>
        <v>0</v>
      </c>
      <c r="AJ136" s="51">
        <f t="shared" si="73"/>
        <v>0</v>
      </c>
      <c r="AK136" s="51">
        <f t="shared" si="73"/>
        <v>0</v>
      </c>
      <c r="AL136" s="51">
        <f t="shared" si="73"/>
        <v>0</v>
      </c>
      <c r="AM136" s="51">
        <f t="shared" si="73"/>
        <v>0</v>
      </c>
      <c r="AN136" s="51">
        <f t="shared" si="73"/>
        <v>0</v>
      </c>
      <c r="AO136" s="51">
        <f t="shared" si="73"/>
        <v>0</v>
      </c>
      <c r="AP136" s="51">
        <f t="shared" si="73"/>
        <v>0</v>
      </c>
      <c r="AQ136" s="51">
        <f t="shared" si="73"/>
        <v>0</v>
      </c>
      <c r="AR136" s="51">
        <f t="shared" si="73"/>
        <v>0</v>
      </c>
      <c r="AS136" s="51">
        <f t="shared" si="73"/>
        <v>0</v>
      </c>
      <c r="AT136" s="51">
        <f t="shared" si="73"/>
        <v>0</v>
      </c>
      <c r="AU136" s="51">
        <f t="shared" si="73"/>
        <v>0</v>
      </c>
      <c r="AV136" s="51">
        <f t="shared" si="73"/>
        <v>0</v>
      </c>
      <c r="AW136" s="51">
        <f t="shared" si="73"/>
        <v>0</v>
      </c>
      <c r="AX136" s="51">
        <f t="shared" si="73"/>
        <v>0</v>
      </c>
      <c r="AY136" s="51">
        <f t="shared" si="73"/>
        <v>0</v>
      </c>
      <c r="AZ136" s="51">
        <f t="shared" si="73"/>
        <v>0</v>
      </c>
      <c r="BA136" s="51">
        <f t="shared" si="73"/>
        <v>0</v>
      </c>
      <c r="BB136" s="51">
        <f t="shared" si="73"/>
        <v>0</v>
      </c>
      <c r="BC136" s="51">
        <f t="shared" si="73"/>
        <v>0</v>
      </c>
    </row>
    <row r="137" spans="4:55" x14ac:dyDescent="0.35">
      <c r="D137" s="2" t="s">
        <v>133</v>
      </c>
      <c r="E137" s="2"/>
      <c r="F137" s="2"/>
      <c r="G137" s="2"/>
      <c r="H137" s="2"/>
      <c r="I137" s="4" t="s">
        <v>109</v>
      </c>
      <c r="J137" s="51">
        <f>'Real values'!L47</f>
        <v>0</v>
      </c>
      <c r="K137" s="51">
        <f>'Real values'!M47</f>
        <v>0</v>
      </c>
      <c r="L137" s="51">
        <f>'Real values'!N47</f>
        <v>0</v>
      </c>
      <c r="M137" s="51">
        <f>'Real values'!O47</f>
        <v>0</v>
      </c>
      <c r="N137" s="51">
        <f>'Real values'!P47</f>
        <v>0</v>
      </c>
      <c r="O137" s="51">
        <f>'Real values'!Q47</f>
        <v>0</v>
      </c>
      <c r="P137" s="51">
        <f>'Real values'!R47</f>
        <v>0</v>
      </c>
      <c r="Q137" s="51">
        <f>'Real values'!S47</f>
        <v>0</v>
      </c>
      <c r="R137" s="51">
        <f>'Real values'!T47</f>
        <v>0</v>
      </c>
      <c r="S137" s="51">
        <f>'Real values'!U47</f>
        <v>0</v>
      </c>
      <c r="T137" s="51">
        <f>'Real values'!V47</f>
        <v>0</v>
      </c>
      <c r="U137" s="51">
        <f>'Real values'!W47</f>
        <v>0</v>
      </c>
      <c r="V137" s="51">
        <f>'Real values'!X47</f>
        <v>0</v>
      </c>
      <c r="W137" s="51">
        <f>'Real values'!Y47</f>
        <v>0</v>
      </c>
      <c r="X137" s="51">
        <f>'Real values'!Z47</f>
        <v>0</v>
      </c>
      <c r="Y137" s="51">
        <f>'Real values'!AA47</f>
        <v>0</v>
      </c>
      <c r="Z137" s="51">
        <f>'Real values'!AB47</f>
        <v>0</v>
      </c>
      <c r="AA137" s="51">
        <f>'Real values'!AC47</f>
        <v>0</v>
      </c>
      <c r="AB137" s="51">
        <f>'Real values'!AD47</f>
        <v>0</v>
      </c>
      <c r="AC137" s="51">
        <f>'Real values'!AE47</f>
        <v>0</v>
      </c>
      <c r="AD137" s="51">
        <f>'Real values'!AF47</f>
        <v>0</v>
      </c>
      <c r="AE137" s="51">
        <f>'Real values'!AG47</f>
        <v>0</v>
      </c>
      <c r="AF137" s="51">
        <f>'Real values'!AH47</f>
        <v>0</v>
      </c>
      <c r="AG137" s="51">
        <f>'Real values'!AI47</f>
        <v>0</v>
      </c>
      <c r="AH137" s="51">
        <f>'Real values'!AJ47</f>
        <v>0</v>
      </c>
      <c r="AI137" s="51">
        <f>'Real values'!AK47</f>
        <v>0</v>
      </c>
      <c r="AJ137" s="51">
        <f>'Real values'!AL47</f>
        <v>0</v>
      </c>
      <c r="AK137" s="51">
        <f>'Real values'!AM47</f>
        <v>0</v>
      </c>
      <c r="AL137" s="51">
        <f>'Real values'!AN47</f>
        <v>0</v>
      </c>
      <c r="AM137" s="51">
        <f>'Real values'!AO47</f>
        <v>0</v>
      </c>
      <c r="AN137" s="51">
        <f>'Real values'!AP47</f>
        <v>0</v>
      </c>
      <c r="AO137" s="51">
        <f>'Real values'!AQ47</f>
        <v>0</v>
      </c>
      <c r="AP137" s="51">
        <f>'Real values'!AR47</f>
        <v>0</v>
      </c>
      <c r="AQ137" s="51">
        <f>'Real values'!AS47</f>
        <v>0</v>
      </c>
      <c r="AR137" s="51">
        <f>'Real values'!AT47</f>
        <v>0</v>
      </c>
      <c r="AS137" s="51">
        <f>'Real values'!AU47</f>
        <v>0</v>
      </c>
      <c r="AT137" s="51">
        <f>'Real values'!AV47</f>
        <v>0</v>
      </c>
      <c r="AU137" s="51">
        <f>'Real values'!AW47</f>
        <v>0</v>
      </c>
      <c r="AV137" s="51">
        <f>'Real values'!AX47</f>
        <v>0</v>
      </c>
      <c r="AW137" s="51">
        <f>'Real values'!AY47</f>
        <v>0</v>
      </c>
      <c r="AX137" s="51">
        <f>'Real values'!AZ47</f>
        <v>0</v>
      </c>
      <c r="AY137" s="51">
        <f>'Real values'!BA47</f>
        <v>0</v>
      </c>
      <c r="AZ137" s="51">
        <f>'Real values'!BB47</f>
        <v>0</v>
      </c>
      <c r="BA137" s="51">
        <f>'Real values'!BC47</f>
        <v>0</v>
      </c>
      <c r="BB137" s="51">
        <f>'Real values'!BD47</f>
        <v>0</v>
      </c>
      <c r="BC137" s="51">
        <f>'Real values'!BE47</f>
        <v>0</v>
      </c>
    </row>
    <row r="138" spans="4:55" x14ac:dyDescent="0.35">
      <c r="D138" s="2" t="s">
        <v>134</v>
      </c>
      <c r="E138" s="2"/>
      <c r="F138" s="2"/>
      <c r="G138" s="2"/>
      <c r="H138" s="2"/>
      <c r="I138" s="4" t="s">
        <v>109</v>
      </c>
      <c r="J138" s="51">
        <f>'Real values'!L130</f>
        <v>0</v>
      </c>
      <c r="K138" s="51">
        <f>'Real values'!M130</f>
        <v>0</v>
      </c>
      <c r="L138" s="51">
        <f>'Real values'!N130</f>
        <v>0</v>
      </c>
      <c r="M138" s="51">
        <f>'Real values'!O130</f>
        <v>0</v>
      </c>
      <c r="N138" s="51">
        <f>'Real values'!P130</f>
        <v>0</v>
      </c>
      <c r="O138" s="51">
        <f>'Real values'!Q130</f>
        <v>0</v>
      </c>
      <c r="P138" s="51">
        <f>'Real values'!R130</f>
        <v>0</v>
      </c>
      <c r="Q138" s="51">
        <f>'Real values'!S130</f>
        <v>0</v>
      </c>
      <c r="R138" s="51">
        <f>'Real values'!T130</f>
        <v>0</v>
      </c>
      <c r="S138" s="51">
        <f>'Real values'!U130</f>
        <v>0</v>
      </c>
      <c r="T138" s="51">
        <f>'Real values'!V130</f>
        <v>0</v>
      </c>
      <c r="U138" s="51">
        <f>'Real values'!W130</f>
        <v>0</v>
      </c>
      <c r="V138" s="51">
        <f>'Real values'!X130</f>
        <v>0</v>
      </c>
      <c r="W138" s="51">
        <f>'Real values'!Y130</f>
        <v>0</v>
      </c>
      <c r="X138" s="51">
        <f>'Real values'!Z130</f>
        <v>0</v>
      </c>
      <c r="Y138" s="51">
        <f>'Real values'!AA130</f>
        <v>0</v>
      </c>
      <c r="Z138" s="51">
        <f>'Real values'!AB130</f>
        <v>0</v>
      </c>
      <c r="AA138" s="51">
        <f>'Real values'!AC130</f>
        <v>0</v>
      </c>
      <c r="AB138" s="51">
        <f>'Real values'!AD130</f>
        <v>0</v>
      </c>
      <c r="AC138" s="51">
        <f>'Real values'!AE130</f>
        <v>0</v>
      </c>
      <c r="AD138" s="51">
        <f>'Real values'!AF130</f>
        <v>0</v>
      </c>
      <c r="AE138" s="51">
        <f>'Real values'!AG130</f>
        <v>0</v>
      </c>
      <c r="AF138" s="51">
        <f>'Real values'!AH130</f>
        <v>0</v>
      </c>
      <c r="AG138" s="51">
        <f>'Real values'!AI130</f>
        <v>0</v>
      </c>
      <c r="AH138" s="51">
        <f>'Real values'!AJ130</f>
        <v>0</v>
      </c>
      <c r="AI138" s="51">
        <f>'Real values'!AK130</f>
        <v>0</v>
      </c>
      <c r="AJ138" s="51">
        <f>'Real values'!AL130</f>
        <v>0</v>
      </c>
      <c r="AK138" s="51">
        <f>'Real values'!AM130</f>
        <v>0</v>
      </c>
      <c r="AL138" s="51">
        <f>'Real values'!AN130</f>
        <v>0</v>
      </c>
      <c r="AM138" s="51">
        <f>'Real values'!AO130</f>
        <v>0</v>
      </c>
      <c r="AN138" s="51">
        <f>'Real values'!AP130</f>
        <v>0</v>
      </c>
      <c r="AO138" s="51">
        <f>'Real values'!AQ130</f>
        <v>0</v>
      </c>
      <c r="AP138" s="51">
        <f>'Real values'!AR130</f>
        <v>0</v>
      </c>
      <c r="AQ138" s="51">
        <f>'Real values'!AS130</f>
        <v>0</v>
      </c>
      <c r="AR138" s="51">
        <f>'Real values'!AT130</f>
        <v>0</v>
      </c>
      <c r="AS138" s="51">
        <f>'Real values'!AU130</f>
        <v>0</v>
      </c>
      <c r="AT138" s="51">
        <f>'Real values'!AV130</f>
        <v>0</v>
      </c>
      <c r="AU138" s="51">
        <f>'Real values'!AW130</f>
        <v>0</v>
      </c>
      <c r="AV138" s="51">
        <f>'Real values'!AX130</f>
        <v>0</v>
      </c>
      <c r="AW138" s="51">
        <f>'Real values'!AY130</f>
        <v>0</v>
      </c>
      <c r="AX138" s="51">
        <f>'Real values'!AZ130</f>
        <v>0</v>
      </c>
      <c r="AY138" s="51">
        <f>'Real values'!BA130</f>
        <v>0</v>
      </c>
      <c r="AZ138" s="51">
        <f>'Real values'!BB130</f>
        <v>0</v>
      </c>
      <c r="BA138" s="51">
        <f>'Real values'!BC130</f>
        <v>0</v>
      </c>
      <c r="BB138" s="51">
        <f>'Real values'!BD130</f>
        <v>0</v>
      </c>
      <c r="BC138" s="51">
        <f>'Real values'!BE130</f>
        <v>0</v>
      </c>
    </row>
    <row r="139" spans="4:55" x14ac:dyDescent="0.35">
      <c r="D139" s="2" t="s">
        <v>135</v>
      </c>
      <c r="E139" s="2"/>
      <c r="F139" s="2"/>
      <c r="G139" s="2"/>
      <c r="H139" s="2"/>
      <c r="I139" s="4" t="s">
        <v>109</v>
      </c>
      <c r="J139" s="51">
        <f>'Real values'!L149</f>
        <v>0</v>
      </c>
      <c r="K139" s="51">
        <f>'Real values'!M149</f>
        <v>0</v>
      </c>
      <c r="L139" s="51">
        <f>'Real values'!N149</f>
        <v>0</v>
      </c>
      <c r="M139" s="51">
        <f>'Real values'!O149</f>
        <v>0</v>
      </c>
      <c r="N139" s="51">
        <f>'Real values'!P149</f>
        <v>0</v>
      </c>
      <c r="O139" s="51">
        <f>'Real values'!Q149</f>
        <v>0</v>
      </c>
      <c r="P139" s="51">
        <f>'Real values'!R149</f>
        <v>0</v>
      </c>
      <c r="Q139" s="51">
        <f>'Real values'!S149</f>
        <v>0</v>
      </c>
      <c r="R139" s="51">
        <f>'Real values'!T149</f>
        <v>0</v>
      </c>
      <c r="S139" s="51">
        <f>'Real values'!U149</f>
        <v>0</v>
      </c>
      <c r="T139" s="51">
        <f>'Real values'!V149</f>
        <v>0</v>
      </c>
      <c r="U139" s="51">
        <f>'Real values'!W149</f>
        <v>0</v>
      </c>
      <c r="V139" s="51">
        <f>'Real values'!X149</f>
        <v>0</v>
      </c>
      <c r="W139" s="51">
        <f>'Real values'!Y149</f>
        <v>0</v>
      </c>
      <c r="X139" s="51">
        <f>'Real values'!Z149</f>
        <v>0</v>
      </c>
      <c r="Y139" s="51">
        <f>'Real values'!AA149</f>
        <v>0</v>
      </c>
      <c r="Z139" s="51">
        <f>'Real values'!AB149</f>
        <v>0</v>
      </c>
      <c r="AA139" s="51">
        <f>'Real values'!AC149</f>
        <v>0</v>
      </c>
      <c r="AB139" s="51">
        <f>'Real values'!AD149</f>
        <v>0</v>
      </c>
      <c r="AC139" s="51">
        <f>'Real values'!AE149</f>
        <v>0</v>
      </c>
      <c r="AD139" s="51">
        <f>'Real values'!AF149</f>
        <v>0</v>
      </c>
      <c r="AE139" s="51">
        <f>'Real values'!AG149</f>
        <v>0</v>
      </c>
      <c r="AF139" s="51">
        <f>'Real values'!AH149</f>
        <v>0</v>
      </c>
      <c r="AG139" s="51">
        <f>'Real values'!AI149</f>
        <v>0</v>
      </c>
      <c r="AH139" s="51">
        <f>'Real values'!AJ149</f>
        <v>0</v>
      </c>
      <c r="AI139" s="51">
        <f>'Real values'!AK149</f>
        <v>0</v>
      </c>
      <c r="AJ139" s="51">
        <f>'Real values'!AL149</f>
        <v>0</v>
      </c>
      <c r="AK139" s="51">
        <f>'Real values'!AM149</f>
        <v>0</v>
      </c>
      <c r="AL139" s="51">
        <f>'Real values'!AN149</f>
        <v>0</v>
      </c>
      <c r="AM139" s="51">
        <f>'Real values'!AO149</f>
        <v>0</v>
      </c>
      <c r="AN139" s="51">
        <f>'Real values'!AP149</f>
        <v>0</v>
      </c>
      <c r="AO139" s="51">
        <f>'Real values'!AQ149</f>
        <v>0</v>
      </c>
      <c r="AP139" s="51">
        <f>'Real values'!AR149</f>
        <v>0</v>
      </c>
      <c r="AQ139" s="51">
        <f>'Real values'!AS149</f>
        <v>0</v>
      </c>
      <c r="AR139" s="51">
        <f>'Real values'!AT149</f>
        <v>0</v>
      </c>
      <c r="AS139" s="51">
        <f>'Real values'!AU149</f>
        <v>0</v>
      </c>
      <c r="AT139" s="51">
        <f>'Real values'!AV149</f>
        <v>0</v>
      </c>
      <c r="AU139" s="51">
        <f>'Real values'!AW149</f>
        <v>0</v>
      </c>
      <c r="AV139" s="51">
        <f>'Real values'!AX149</f>
        <v>0</v>
      </c>
      <c r="AW139" s="51">
        <f>'Real values'!AY149</f>
        <v>0</v>
      </c>
      <c r="AX139" s="51">
        <f>'Real values'!AZ149</f>
        <v>0</v>
      </c>
      <c r="AY139" s="51">
        <f>'Real values'!BA149</f>
        <v>0</v>
      </c>
      <c r="AZ139" s="51">
        <f>'Real values'!BB149</f>
        <v>0</v>
      </c>
      <c r="BA139" s="51">
        <f>'Real values'!BC149</f>
        <v>0</v>
      </c>
      <c r="BB139" s="51">
        <f>'Real values'!BD149</f>
        <v>0</v>
      </c>
      <c r="BC139" s="51">
        <f>'Real values'!BE149</f>
        <v>0</v>
      </c>
    </row>
    <row r="140" spans="4:55" x14ac:dyDescent="0.35">
      <c r="D140" s="2" t="s">
        <v>187</v>
      </c>
      <c r="E140" s="2"/>
      <c r="F140" s="2"/>
      <c r="G140" s="2"/>
      <c r="H140" s="2"/>
      <c r="I140" s="4" t="s">
        <v>109</v>
      </c>
      <c r="J140" s="51">
        <f>J134+SUM(J137:J139)</f>
        <v>0</v>
      </c>
      <c r="K140" s="51">
        <f t="shared" ref="K140:BB140" si="74">K134+SUM(K137:K139)</f>
        <v>0</v>
      </c>
      <c r="L140" s="51">
        <f t="shared" si="74"/>
        <v>0</v>
      </c>
      <c r="M140" s="51">
        <f t="shared" si="74"/>
        <v>0</v>
      </c>
      <c r="N140" s="51">
        <f t="shared" si="74"/>
        <v>0</v>
      </c>
      <c r="O140" s="51">
        <f t="shared" si="74"/>
        <v>0</v>
      </c>
      <c r="P140" s="51">
        <f t="shared" si="74"/>
        <v>0</v>
      </c>
      <c r="Q140" s="51">
        <f t="shared" si="74"/>
        <v>0</v>
      </c>
      <c r="R140" s="51">
        <f t="shared" si="74"/>
        <v>0</v>
      </c>
      <c r="S140" s="51">
        <f t="shared" si="74"/>
        <v>0</v>
      </c>
      <c r="T140" s="51">
        <f t="shared" si="74"/>
        <v>0</v>
      </c>
      <c r="U140" s="51">
        <f t="shared" si="74"/>
        <v>0</v>
      </c>
      <c r="V140" s="51">
        <f t="shared" si="74"/>
        <v>0</v>
      </c>
      <c r="W140" s="51">
        <f t="shared" si="74"/>
        <v>0</v>
      </c>
      <c r="X140" s="51">
        <f t="shared" si="74"/>
        <v>0</v>
      </c>
      <c r="Y140" s="51">
        <f t="shared" si="74"/>
        <v>0</v>
      </c>
      <c r="Z140" s="51">
        <f t="shared" si="74"/>
        <v>0</v>
      </c>
      <c r="AA140" s="51">
        <f t="shared" si="74"/>
        <v>0</v>
      </c>
      <c r="AB140" s="51">
        <f t="shared" si="74"/>
        <v>0</v>
      </c>
      <c r="AC140" s="51">
        <f t="shared" si="74"/>
        <v>0</v>
      </c>
      <c r="AD140" s="51">
        <f t="shared" si="74"/>
        <v>0</v>
      </c>
      <c r="AE140" s="51">
        <f t="shared" si="74"/>
        <v>0</v>
      </c>
      <c r="AF140" s="51">
        <f t="shared" si="74"/>
        <v>0</v>
      </c>
      <c r="AG140" s="51">
        <f t="shared" si="74"/>
        <v>0</v>
      </c>
      <c r="AH140" s="51">
        <f t="shared" si="74"/>
        <v>0</v>
      </c>
      <c r="AI140" s="51">
        <f t="shared" si="74"/>
        <v>0</v>
      </c>
      <c r="AJ140" s="51">
        <f t="shared" si="74"/>
        <v>0</v>
      </c>
      <c r="AK140" s="51">
        <f t="shared" si="74"/>
        <v>0</v>
      </c>
      <c r="AL140" s="51">
        <f t="shared" si="74"/>
        <v>0</v>
      </c>
      <c r="AM140" s="51">
        <f t="shared" si="74"/>
        <v>0</v>
      </c>
      <c r="AN140" s="51">
        <f t="shared" si="74"/>
        <v>0</v>
      </c>
      <c r="AO140" s="51">
        <f t="shared" si="74"/>
        <v>0</v>
      </c>
      <c r="AP140" s="51">
        <f t="shared" si="74"/>
        <v>0</v>
      </c>
      <c r="AQ140" s="51">
        <f t="shared" si="74"/>
        <v>0</v>
      </c>
      <c r="AR140" s="51">
        <f t="shared" si="74"/>
        <v>0</v>
      </c>
      <c r="AS140" s="51">
        <f t="shared" si="74"/>
        <v>0</v>
      </c>
      <c r="AT140" s="51">
        <f t="shared" si="74"/>
        <v>0</v>
      </c>
      <c r="AU140" s="51">
        <f t="shared" si="74"/>
        <v>0</v>
      </c>
      <c r="AV140" s="51">
        <f t="shared" si="74"/>
        <v>0</v>
      </c>
      <c r="AW140" s="51">
        <f t="shared" si="74"/>
        <v>0</v>
      </c>
      <c r="AX140" s="51">
        <f t="shared" si="74"/>
        <v>0</v>
      </c>
      <c r="AY140" s="51">
        <f t="shared" si="74"/>
        <v>0</v>
      </c>
      <c r="AZ140" s="51">
        <f t="shared" si="74"/>
        <v>0</v>
      </c>
      <c r="BA140" s="51">
        <f t="shared" si="74"/>
        <v>0</v>
      </c>
      <c r="BB140" s="51">
        <f t="shared" si="74"/>
        <v>0</v>
      </c>
      <c r="BC140" s="51">
        <f t="shared" ref="BC140" si="75">BC134+SUM(BC137:BC139)</f>
        <v>0</v>
      </c>
    </row>
    <row r="141" spans="4:55" x14ac:dyDescent="0.35">
      <c r="D141" s="2" t="s">
        <v>188</v>
      </c>
      <c r="E141" s="2"/>
      <c r="F141" s="2"/>
      <c r="G141" s="2"/>
      <c r="H141" s="2"/>
      <c r="I141" s="4" t="s">
        <v>109</v>
      </c>
      <c r="J141" s="51">
        <f>SUM(J136:J138)</f>
        <v>0</v>
      </c>
      <c r="K141" s="51">
        <f t="shared" ref="K141:BB141" si="76">SUM(K136:K138)</f>
        <v>0</v>
      </c>
      <c r="L141" s="51">
        <f t="shared" si="76"/>
        <v>0</v>
      </c>
      <c r="M141" s="51">
        <f t="shared" si="76"/>
        <v>0</v>
      </c>
      <c r="N141" s="51">
        <f t="shared" si="76"/>
        <v>0</v>
      </c>
      <c r="O141" s="51">
        <f t="shared" si="76"/>
        <v>0</v>
      </c>
      <c r="P141" s="51">
        <f t="shared" si="76"/>
        <v>0</v>
      </c>
      <c r="Q141" s="51">
        <f t="shared" si="76"/>
        <v>0</v>
      </c>
      <c r="R141" s="51">
        <f t="shared" si="76"/>
        <v>0</v>
      </c>
      <c r="S141" s="51">
        <f t="shared" si="76"/>
        <v>0</v>
      </c>
      <c r="T141" s="51">
        <f t="shared" si="76"/>
        <v>0</v>
      </c>
      <c r="U141" s="51">
        <f t="shared" si="76"/>
        <v>0</v>
      </c>
      <c r="V141" s="51">
        <f t="shared" si="76"/>
        <v>0</v>
      </c>
      <c r="W141" s="51">
        <f t="shared" si="76"/>
        <v>0</v>
      </c>
      <c r="X141" s="51">
        <f t="shared" si="76"/>
        <v>0</v>
      </c>
      <c r="Y141" s="51">
        <f t="shared" si="76"/>
        <v>0</v>
      </c>
      <c r="Z141" s="51">
        <f t="shared" si="76"/>
        <v>0</v>
      </c>
      <c r="AA141" s="51">
        <f t="shared" si="76"/>
        <v>0</v>
      </c>
      <c r="AB141" s="51">
        <f t="shared" si="76"/>
        <v>0</v>
      </c>
      <c r="AC141" s="51">
        <f t="shared" si="76"/>
        <v>0</v>
      </c>
      <c r="AD141" s="51">
        <f t="shared" si="76"/>
        <v>0</v>
      </c>
      <c r="AE141" s="51">
        <f t="shared" si="76"/>
        <v>0</v>
      </c>
      <c r="AF141" s="51">
        <f t="shared" si="76"/>
        <v>0</v>
      </c>
      <c r="AG141" s="51">
        <f t="shared" si="76"/>
        <v>0</v>
      </c>
      <c r="AH141" s="51">
        <f t="shared" si="76"/>
        <v>0</v>
      </c>
      <c r="AI141" s="51">
        <f t="shared" si="76"/>
        <v>0</v>
      </c>
      <c r="AJ141" s="51">
        <f t="shared" si="76"/>
        <v>0</v>
      </c>
      <c r="AK141" s="51">
        <f t="shared" si="76"/>
        <v>0</v>
      </c>
      <c r="AL141" s="51">
        <f t="shared" si="76"/>
        <v>0</v>
      </c>
      <c r="AM141" s="51">
        <f t="shared" si="76"/>
        <v>0</v>
      </c>
      <c r="AN141" s="51">
        <f t="shared" si="76"/>
        <v>0</v>
      </c>
      <c r="AO141" s="51">
        <f t="shared" si="76"/>
        <v>0</v>
      </c>
      <c r="AP141" s="51">
        <f t="shared" si="76"/>
        <v>0</v>
      </c>
      <c r="AQ141" s="51">
        <f t="shared" si="76"/>
        <v>0</v>
      </c>
      <c r="AR141" s="51">
        <f t="shared" si="76"/>
        <v>0</v>
      </c>
      <c r="AS141" s="51">
        <f t="shared" si="76"/>
        <v>0</v>
      </c>
      <c r="AT141" s="51">
        <f t="shared" si="76"/>
        <v>0</v>
      </c>
      <c r="AU141" s="51">
        <f t="shared" si="76"/>
        <v>0</v>
      </c>
      <c r="AV141" s="51">
        <f t="shared" si="76"/>
        <v>0</v>
      </c>
      <c r="AW141" s="51">
        <f t="shared" si="76"/>
        <v>0</v>
      </c>
      <c r="AX141" s="51">
        <f t="shared" si="76"/>
        <v>0</v>
      </c>
      <c r="AY141" s="51">
        <f t="shared" si="76"/>
        <v>0</v>
      </c>
      <c r="AZ141" s="51">
        <f t="shared" si="76"/>
        <v>0</v>
      </c>
      <c r="BA141" s="51">
        <f t="shared" si="76"/>
        <v>0</v>
      </c>
      <c r="BB141" s="51">
        <f t="shared" si="76"/>
        <v>0</v>
      </c>
      <c r="BC141" s="51">
        <f t="shared" ref="BC141" si="77">SUM(BC136:BC138)</f>
        <v>0</v>
      </c>
    </row>
    <row r="142" spans="4:55" x14ac:dyDescent="0.35">
      <c r="D142" s="2" t="s">
        <v>127</v>
      </c>
      <c r="E142" s="2"/>
      <c r="F142" s="2"/>
      <c r="G142" s="2"/>
      <c r="H142" s="2"/>
      <c r="I142" s="4" t="s">
        <v>109</v>
      </c>
      <c r="J142" s="51">
        <f>'Real values'!L160</f>
        <v>0</v>
      </c>
      <c r="K142" s="51">
        <f>'Real values'!M160</f>
        <v>0</v>
      </c>
      <c r="L142" s="51">
        <f>'Real values'!N160</f>
        <v>0</v>
      </c>
      <c r="M142" s="51">
        <f>'Real values'!O160</f>
        <v>0</v>
      </c>
      <c r="N142" s="51">
        <f>'Real values'!P160</f>
        <v>0</v>
      </c>
      <c r="O142" s="51">
        <f>'Real values'!Q160</f>
        <v>0</v>
      </c>
      <c r="P142" s="51">
        <f>'Real values'!R160</f>
        <v>0</v>
      </c>
      <c r="Q142" s="51">
        <f>'Real values'!S160</f>
        <v>0</v>
      </c>
      <c r="R142" s="51">
        <f>'Real values'!T160</f>
        <v>0</v>
      </c>
      <c r="S142" s="51">
        <f>'Real values'!U160</f>
        <v>0</v>
      </c>
      <c r="T142" s="51">
        <f>'Real values'!V160</f>
        <v>0</v>
      </c>
      <c r="U142" s="51">
        <f>'Real values'!W160</f>
        <v>0</v>
      </c>
      <c r="V142" s="51">
        <f>'Real values'!X160</f>
        <v>0</v>
      </c>
      <c r="W142" s="51">
        <f>'Real values'!Y160</f>
        <v>0</v>
      </c>
      <c r="X142" s="51">
        <f>'Real values'!Z160</f>
        <v>0</v>
      </c>
      <c r="Y142" s="51">
        <f>'Real values'!AA160</f>
        <v>0</v>
      </c>
      <c r="Z142" s="51">
        <f>'Real values'!AB160</f>
        <v>0</v>
      </c>
      <c r="AA142" s="51">
        <f>'Real values'!AC160</f>
        <v>0</v>
      </c>
      <c r="AB142" s="51">
        <f>'Real values'!AD160</f>
        <v>0</v>
      </c>
      <c r="AC142" s="51">
        <f>'Real values'!AE160</f>
        <v>0</v>
      </c>
      <c r="AD142" s="51">
        <f>'Real values'!AF160</f>
        <v>0</v>
      </c>
      <c r="AE142" s="51">
        <f>'Real values'!AG160</f>
        <v>0</v>
      </c>
      <c r="AF142" s="51">
        <f>'Real values'!AH160</f>
        <v>0</v>
      </c>
      <c r="AG142" s="51">
        <f>'Real values'!AI160</f>
        <v>0</v>
      </c>
      <c r="AH142" s="51">
        <f>'Real values'!AJ160</f>
        <v>0</v>
      </c>
      <c r="AI142" s="51">
        <f>'Real values'!AK160</f>
        <v>0</v>
      </c>
      <c r="AJ142" s="51">
        <f>'Real values'!AL160</f>
        <v>0</v>
      </c>
      <c r="AK142" s="51">
        <f>'Real values'!AM160</f>
        <v>0</v>
      </c>
      <c r="AL142" s="51">
        <f>'Real values'!AN160</f>
        <v>0</v>
      </c>
      <c r="AM142" s="51">
        <f>'Real values'!AO160</f>
        <v>0</v>
      </c>
      <c r="AN142" s="51">
        <f>'Real values'!AP160</f>
        <v>0</v>
      </c>
      <c r="AO142" s="51">
        <f>'Real values'!AQ160</f>
        <v>0</v>
      </c>
      <c r="AP142" s="51">
        <f>'Real values'!AR160</f>
        <v>0</v>
      </c>
      <c r="AQ142" s="51">
        <f>'Real values'!AS160</f>
        <v>0</v>
      </c>
      <c r="AR142" s="51">
        <f>'Real values'!AT160</f>
        <v>0</v>
      </c>
      <c r="AS142" s="51">
        <f>'Real values'!AU160</f>
        <v>0</v>
      </c>
      <c r="AT142" s="51">
        <f>'Real values'!AV160</f>
        <v>0</v>
      </c>
      <c r="AU142" s="51">
        <f>'Real values'!AW160</f>
        <v>0</v>
      </c>
      <c r="AV142" s="51">
        <f>'Real values'!AX160</f>
        <v>0</v>
      </c>
      <c r="AW142" s="51">
        <f>'Real values'!AY160</f>
        <v>0</v>
      </c>
      <c r="AX142" s="51">
        <f>'Real values'!BA160</f>
        <v>0</v>
      </c>
      <c r="AY142" s="51">
        <f>'Real values'!BB160</f>
        <v>0</v>
      </c>
      <c r="AZ142" s="51">
        <f>'Real values'!BC160</f>
        <v>0</v>
      </c>
      <c r="BA142" s="51">
        <f>'Real values'!BD160</f>
        <v>0</v>
      </c>
      <c r="BB142" s="51">
        <f>'Real values'!BE160</f>
        <v>0</v>
      </c>
      <c r="BC142" s="51">
        <f>'Real values'!BF160</f>
        <v>0</v>
      </c>
    </row>
    <row r="143" spans="4:55" x14ac:dyDescent="0.35">
      <c r="D143" s="2" t="s">
        <v>189</v>
      </c>
      <c r="E143" s="2"/>
      <c r="F143" s="2"/>
      <c r="G143" s="2"/>
      <c r="H143" s="2"/>
      <c r="I143" s="4" t="s">
        <v>109</v>
      </c>
      <c r="J143" s="51">
        <f>J142-J140</f>
        <v>0</v>
      </c>
      <c r="K143" s="51">
        <f t="shared" ref="K143:BB143" si="78">K142-K140</f>
        <v>0</v>
      </c>
      <c r="L143" s="51">
        <f t="shared" si="78"/>
        <v>0</v>
      </c>
      <c r="M143" s="51">
        <f t="shared" si="78"/>
        <v>0</v>
      </c>
      <c r="N143" s="51">
        <f t="shared" si="78"/>
        <v>0</v>
      </c>
      <c r="O143" s="51">
        <f t="shared" si="78"/>
        <v>0</v>
      </c>
      <c r="P143" s="51">
        <f t="shared" si="78"/>
        <v>0</v>
      </c>
      <c r="Q143" s="51">
        <f t="shared" si="78"/>
        <v>0</v>
      </c>
      <c r="R143" s="51">
        <f t="shared" si="78"/>
        <v>0</v>
      </c>
      <c r="S143" s="51">
        <f t="shared" si="78"/>
        <v>0</v>
      </c>
      <c r="T143" s="51">
        <f t="shared" si="78"/>
        <v>0</v>
      </c>
      <c r="U143" s="51">
        <f t="shared" si="78"/>
        <v>0</v>
      </c>
      <c r="V143" s="51">
        <f t="shared" si="78"/>
        <v>0</v>
      </c>
      <c r="W143" s="51">
        <f t="shared" si="78"/>
        <v>0</v>
      </c>
      <c r="X143" s="51">
        <f t="shared" si="78"/>
        <v>0</v>
      </c>
      <c r="Y143" s="51">
        <f t="shared" si="78"/>
        <v>0</v>
      </c>
      <c r="Z143" s="51">
        <f t="shared" si="78"/>
        <v>0</v>
      </c>
      <c r="AA143" s="51">
        <f t="shared" si="78"/>
        <v>0</v>
      </c>
      <c r="AB143" s="51">
        <f t="shared" si="78"/>
        <v>0</v>
      </c>
      <c r="AC143" s="51">
        <f t="shared" si="78"/>
        <v>0</v>
      </c>
      <c r="AD143" s="51">
        <f t="shared" si="78"/>
        <v>0</v>
      </c>
      <c r="AE143" s="51">
        <f t="shared" si="78"/>
        <v>0</v>
      </c>
      <c r="AF143" s="51">
        <f t="shared" si="78"/>
        <v>0</v>
      </c>
      <c r="AG143" s="51">
        <f t="shared" si="78"/>
        <v>0</v>
      </c>
      <c r="AH143" s="51">
        <f t="shared" si="78"/>
        <v>0</v>
      </c>
      <c r="AI143" s="51">
        <f t="shared" si="78"/>
        <v>0</v>
      </c>
      <c r="AJ143" s="51">
        <f t="shared" si="78"/>
        <v>0</v>
      </c>
      <c r="AK143" s="51">
        <f t="shared" si="78"/>
        <v>0</v>
      </c>
      <c r="AL143" s="51">
        <f t="shared" si="78"/>
        <v>0</v>
      </c>
      <c r="AM143" s="51">
        <f t="shared" si="78"/>
        <v>0</v>
      </c>
      <c r="AN143" s="51">
        <f t="shared" si="78"/>
        <v>0</v>
      </c>
      <c r="AO143" s="51">
        <f t="shared" si="78"/>
        <v>0</v>
      </c>
      <c r="AP143" s="51">
        <f t="shared" si="78"/>
        <v>0</v>
      </c>
      <c r="AQ143" s="51">
        <f t="shared" si="78"/>
        <v>0</v>
      </c>
      <c r="AR143" s="51">
        <f t="shared" si="78"/>
        <v>0</v>
      </c>
      <c r="AS143" s="51">
        <f t="shared" si="78"/>
        <v>0</v>
      </c>
      <c r="AT143" s="51">
        <f t="shared" si="78"/>
        <v>0</v>
      </c>
      <c r="AU143" s="51">
        <f t="shared" si="78"/>
        <v>0</v>
      </c>
      <c r="AV143" s="51">
        <f t="shared" si="78"/>
        <v>0</v>
      </c>
      <c r="AW143" s="51">
        <f t="shared" si="78"/>
        <v>0</v>
      </c>
      <c r="AX143" s="51">
        <f t="shared" si="78"/>
        <v>0</v>
      </c>
      <c r="AY143" s="51">
        <f t="shared" si="78"/>
        <v>0</v>
      </c>
      <c r="AZ143" s="51">
        <f t="shared" si="78"/>
        <v>0</v>
      </c>
      <c r="BA143" s="51">
        <f t="shared" si="78"/>
        <v>0</v>
      </c>
      <c r="BB143" s="51">
        <f t="shared" si="78"/>
        <v>0</v>
      </c>
      <c r="BC143" s="51">
        <f t="shared" ref="BC143" si="79">BC142-BC140</f>
        <v>0</v>
      </c>
    </row>
    <row r="144" spans="4:55" x14ac:dyDescent="0.35">
      <c r="D144" s="2" t="s">
        <v>190</v>
      </c>
      <c r="E144" s="2"/>
      <c r="F144" s="2"/>
      <c r="G144" s="2"/>
      <c r="H144" s="2"/>
      <c r="I144" s="4" t="s">
        <v>109</v>
      </c>
      <c r="J144" s="51">
        <f>J142-J141</f>
        <v>0</v>
      </c>
      <c r="K144" s="51">
        <f t="shared" ref="K144:BB144" si="80">K142-K141</f>
        <v>0</v>
      </c>
      <c r="L144" s="51">
        <f t="shared" si="80"/>
        <v>0</v>
      </c>
      <c r="M144" s="51">
        <f t="shared" si="80"/>
        <v>0</v>
      </c>
      <c r="N144" s="51">
        <f t="shared" si="80"/>
        <v>0</v>
      </c>
      <c r="O144" s="51">
        <f t="shared" si="80"/>
        <v>0</v>
      </c>
      <c r="P144" s="51">
        <f t="shared" si="80"/>
        <v>0</v>
      </c>
      <c r="Q144" s="51">
        <f t="shared" si="80"/>
        <v>0</v>
      </c>
      <c r="R144" s="51">
        <f t="shared" si="80"/>
        <v>0</v>
      </c>
      <c r="S144" s="51">
        <f t="shared" si="80"/>
        <v>0</v>
      </c>
      <c r="T144" s="51">
        <f t="shared" si="80"/>
        <v>0</v>
      </c>
      <c r="U144" s="51">
        <f t="shared" si="80"/>
        <v>0</v>
      </c>
      <c r="V144" s="51">
        <f t="shared" si="80"/>
        <v>0</v>
      </c>
      <c r="W144" s="51">
        <f t="shared" si="80"/>
        <v>0</v>
      </c>
      <c r="X144" s="51">
        <f t="shared" si="80"/>
        <v>0</v>
      </c>
      <c r="Y144" s="51">
        <f t="shared" si="80"/>
        <v>0</v>
      </c>
      <c r="Z144" s="51">
        <f t="shared" si="80"/>
        <v>0</v>
      </c>
      <c r="AA144" s="51">
        <f t="shared" si="80"/>
        <v>0</v>
      </c>
      <c r="AB144" s="51">
        <f t="shared" si="80"/>
        <v>0</v>
      </c>
      <c r="AC144" s="51">
        <f t="shared" si="80"/>
        <v>0</v>
      </c>
      <c r="AD144" s="51">
        <f t="shared" si="80"/>
        <v>0</v>
      </c>
      <c r="AE144" s="51">
        <f t="shared" si="80"/>
        <v>0</v>
      </c>
      <c r="AF144" s="51">
        <f t="shared" si="80"/>
        <v>0</v>
      </c>
      <c r="AG144" s="51">
        <f t="shared" si="80"/>
        <v>0</v>
      </c>
      <c r="AH144" s="51">
        <f t="shared" si="80"/>
        <v>0</v>
      </c>
      <c r="AI144" s="51">
        <f t="shared" si="80"/>
        <v>0</v>
      </c>
      <c r="AJ144" s="51">
        <f t="shared" si="80"/>
        <v>0</v>
      </c>
      <c r="AK144" s="51">
        <f t="shared" si="80"/>
        <v>0</v>
      </c>
      <c r="AL144" s="51">
        <f t="shared" si="80"/>
        <v>0</v>
      </c>
      <c r="AM144" s="51">
        <f t="shared" si="80"/>
        <v>0</v>
      </c>
      <c r="AN144" s="51">
        <f t="shared" si="80"/>
        <v>0</v>
      </c>
      <c r="AO144" s="51">
        <f t="shared" si="80"/>
        <v>0</v>
      </c>
      <c r="AP144" s="51">
        <f t="shared" si="80"/>
        <v>0</v>
      </c>
      <c r="AQ144" s="51">
        <f t="shared" si="80"/>
        <v>0</v>
      </c>
      <c r="AR144" s="51">
        <f t="shared" si="80"/>
        <v>0</v>
      </c>
      <c r="AS144" s="51">
        <f t="shared" si="80"/>
        <v>0</v>
      </c>
      <c r="AT144" s="51">
        <f t="shared" si="80"/>
        <v>0</v>
      </c>
      <c r="AU144" s="51">
        <f t="shared" si="80"/>
        <v>0</v>
      </c>
      <c r="AV144" s="51">
        <f t="shared" si="80"/>
        <v>0</v>
      </c>
      <c r="AW144" s="51">
        <f t="shared" si="80"/>
        <v>0</v>
      </c>
      <c r="AX144" s="51">
        <f t="shared" si="80"/>
        <v>0</v>
      </c>
      <c r="AY144" s="51">
        <f t="shared" si="80"/>
        <v>0</v>
      </c>
      <c r="AZ144" s="51">
        <f t="shared" si="80"/>
        <v>0</v>
      </c>
      <c r="BA144" s="51">
        <f t="shared" si="80"/>
        <v>0</v>
      </c>
      <c r="BB144" s="51">
        <f t="shared" si="80"/>
        <v>0</v>
      </c>
      <c r="BC144" s="51">
        <f t="shared" ref="BC144" si="81">BC142-BC141</f>
        <v>0</v>
      </c>
    </row>
    <row r="145" spans="4:55" x14ac:dyDescent="0.35">
      <c r="D145" s="2" t="s">
        <v>144</v>
      </c>
      <c r="E145" s="2"/>
      <c r="F145" s="2"/>
      <c r="G145" s="2"/>
      <c r="H145" s="2"/>
      <c r="I145" s="4" t="s">
        <v>109</v>
      </c>
      <c r="J145" s="51">
        <f>'Real values'!L167</f>
        <v>0</v>
      </c>
      <c r="K145" s="51">
        <f>'Real values'!M167</f>
        <v>0</v>
      </c>
      <c r="L145" s="51">
        <f>'Real values'!N167</f>
        <v>0</v>
      </c>
      <c r="M145" s="51">
        <f>'Real values'!O167</f>
        <v>0</v>
      </c>
      <c r="N145" s="51">
        <f>'Real values'!P167</f>
        <v>0</v>
      </c>
      <c r="O145" s="51">
        <f>'Real values'!Q167</f>
        <v>0</v>
      </c>
      <c r="P145" s="51">
        <f>'Real values'!R167</f>
        <v>0</v>
      </c>
      <c r="Q145" s="51">
        <f>'Real values'!S167</f>
        <v>0</v>
      </c>
      <c r="R145" s="51">
        <f>'Real values'!T167</f>
        <v>0</v>
      </c>
      <c r="S145" s="51">
        <f>'Real values'!U167</f>
        <v>0</v>
      </c>
      <c r="T145" s="51">
        <f>'Real values'!V167</f>
        <v>0</v>
      </c>
      <c r="U145" s="51">
        <f>'Real values'!W167</f>
        <v>0</v>
      </c>
      <c r="V145" s="51">
        <f>'Real values'!X167</f>
        <v>0</v>
      </c>
      <c r="W145" s="51">
        <f>'Real values'!Y167</f>
        <v>0</v>
      </c>
      <c r="X145" s="51">
        <f>'Real values'!Z167</f>
        <v>0</v>
      </c>
      <c r="Y145" s="51">
        <f>'Real values'!AA167</f>
        <v>0</v>
      </c>
      <c r="Z145" s="51">
        <f>'Real values'!AB167</f>
        <v>0</v>
      </c>
      <c r="AA145" s="51">
        <f>'Real values'!AC167</f>
        <v>0</v>
      </c>
      <c r="AB145" s="51">
        <f>'Real values'!AD167</f>
        <v>0</v>
      </c>
      <c r="AC145" s="51">
        <f>'Real values'!AE167</f>
        <v>0</v>
      </c>
      <c r="AD145" s="51">
        <f>'Real values'!AF167</f>
        <v>0</v>
      </c>
      <c r="AE145" s="51">
        <f>'Real values'!AG167</f>
        <v>0</v>
      </c>
      <c r="AF145" s="51">
        <f>'Real values'!AH167</f>
        <v>0</v>
      </c>
      <c r="AG145" s="51">
        <f>'Real values'!AI167</f>
        <v>0</v>
      </c>
      <c r="AH145" s="51">
        <f>'Real values'!AJ167</f>
        <v>0</v>
      </c>
      <c r="AI145" s="51">
        <f>'Real values'!AK167</f>
        <v>0</v>
      </c>
      <c r="AJ145" s="51">
        <f>'Real values'!AL167</f>
        <v>0</v>
      </c>
      <c r="AK145" s="51">
        <f>'Real values'!AM167</f>
        <v>0</v>
      </c>
      <c r="AL145" s="51">
        <f>'Real values'!AN167</f>
        <v>0</v>
      </c>
      <c r="AM145" s="51">
        <f>'Real values'!AO167</f>
        <v>0</v>
      </c>
      <c r="AN145" s="51">
        <f>'Real values'!AP167</f>
        <v>0</v>
      </c>
      <c r="AO145" s="51">
        <f>'Real values'!AQ167</f>
        <v>0</v>
      </c>
      <c r="AP145" s="51">
        <f>'Real values'!AR167</f>
        <v>0</v>
      </c>
      <c r="AQ145" s="51">
        <f>'Real values'!AS167</f>
        <v>0</v>
      </c>
      <c r="AR145" s="51">
        <f>'Real values'!AT167</f>
        <v>0</v>
      </c>
      <c r="AS145" s="51">
        <f>'Real values'!AU167</f>
        <v>0</v>
      </c>
      <c r="AT145" s="51">
        <f>'Real values'!AV167</f>
        <v>0</v>
      </c>
      <c r="AU145" s="51">
        <f>'Real values'!AW167</f>
        <v>0</v>
      </c>
      <c r="AV145" s="51">
        <f>'Real values'!AX167</f>
        <v>0</v>
      </c>
      <c r="AW145" s="51">
        <f>'Real values'!AY167</f>
        <v>0</v>
      </c>
      <c r="AX145" s="51">
        <f>'Real values'!BA167</f>
        <v>0</v>
      </c>
      <c r="AY145" s="51">
        <f>'Real values'!BB167</f>
        <v>0</v>
      </c>
      <c r="AZ145" s="51">
        <f>'Real values'!BC167</f>
        <v>0</v>
      </c>
      <c r="BA145" s="51">
        <f>'Real values'!BD167</f>
        <v>0</v>
      </c>
      <c r="BB145" s="51">
        <f>'Real values'!BE167</f>
        <v>0</v>
      </c>
      <c r="BC145" s="51">
        <f>'Real values'!BF167</f>
        <v>0</v>
      </c>
    </row>
    <row r="146" spans="4:55" x14ac:dyDescent="0.35">
      <c r="D146" s="2" t="s">
        <v>191</v>
      </c>
      <c r="E146" s="2"/>
      <c r="F146" s="2"/>
      <c r="G146" s="2"/>
      <c r="H146" s="2"/>
      <c r="I146" s="4" t="s">
        <v>109</v>
      </c>
      <c r="J146" s="51">
        <f>J143-J145</f>
        <v>0</v>
      </c>
      <c r="K146" s="51">
        <f t="shared" ref="K146:BB146" si="82">K143-K145</f>
        <v>0</v>
      </c>
      <c r="L146" s="51">
        <f t="shared" si="82"/>
        <v>0</v>
      </c>
      <c r="M146" s="51">
        <f t="shared" si="82"/>
        <v>0</v>
      </c>
      <c r="N146" s="51">
        <f t="shared" si="82"/>
        <v>0</v>
      </c>
      <c r="O146" s="51">
        <f t="shared" si="82"/>
        <v>0</v>
      </c>
      <c r="P146" s="51">
        <f t="shared" si="82"/>
        <v>0</v>
      </c>
      <c r="Q146" s="51">
        <f t="shared" si="82"/>
        <v>0</v>
      </c>
      <c r="R146" s="51">
        <f t="shared" si="82"/>
        <v>0</v>
      </c>
      <c r="S146" s="51">
        <f t="shared" si="82"/>
        <v>0</v>
      </c>
      <c r="T146" s="51">
        <f t="shared" si="82"/>
        <v>0</v>
      </c>
      <c r="U146" s="51">
        <f t="shared" si="82"/>
        <v>0</v>
      </c>
      <c r="V146" s="51">
        <f t="shared" si="82"/>
        <v>0</v>
      </c>
      <c r="W146" s="51">
        <f t="shared" si="82"/>
        <v>0</v>
      </c>
      <c r="X146" s="51">
        <f t="shared" si="82"/>
        <v>0</v>
      </c>
      <c r="Y146" s="51">
        <f t="shared" si="82"/>
        <v>0</v>
      </c>
      <c r="Z146" s="51">
        <f t="shared" si="82"/>
        <v>0</v>
      </c>
      <c r="AA146" s="51">
        <f t="shared" si="82"/>
        <v>0</v>
      </c>
      <c r="AB146" s="51">
        <f t="shared" si="82"/>
        <v>0</v>
      </c>
      <c r="AC146" s="51">
        <f t="shared" si="82"/>
        <v>0</v>
      </c>
      <c r="AD146" s="51">
        <f t="shared" si="82"/>
        <v>0</v>
      </c>
      <c r="AE146" s="51">
        <f t="shared" si="82"/>
        <v>0</v>
      </c>
      <c r="AF146" s="51">
        <f t="shared" si="82"/>
        <v>0</v>
      </c>
      <c r="AG146" s="51">
        <f t="shared" si="82"/>
        <v>0</v>
      </c>
      <c r="AH146" s="51">
        <f t="shared" si="82"/>
        <v>0</v>
      </c>
      <c r="AI146" s="51">
        <f t="shared" si="82"/>
        <v>0</v>
      </c>
      <c r="AJ146" s="51">
        <f t="shared" si="82"/>
        <v>0</v>
      </c>
      <c r="AK146" s="51">
        <f t="shared" si="82"/>
        <v>0</v>
      </c>
      <c r="AL146" s="51">
        <f t="shared" si="82"/>
        <v>0</v>
      </c>
      <c r="AM146" s="51">
        <f t="shared" si="82"/>
        <v>0</v>
      </c>
      <c r="AN146" s="51">
        <f t="shared" si="82"/>
        <v>0</v>
      </c>
      <c r="AO146" s="51">
        <f t="shared" si="82"/>
        <v>0</v>
      </c>
      <c r="AP146" s="51">
        <f t="shared" si="82"/>
        <v>0</v>
      </c>
      <c r="AQ146" s="51">
        <f t="shared" si="82"/>
        <v>0</v>
      </c>
      <c r="AR146" s="51">
        <f t="shared" si="82"/>
        <v>0</v>
      </c>
      <c r="AS146" s="51">
        <f t="shared" si="82"/>
        <v>0</v>
      </c>
      <c r="AT146" s="51">
        <f t="shared" si="82"/>
        <v>0</v>
      </c>
      <c r="AU146" s="51">
        <f t="shared" si="82"/>
        <v>0</v>
      </c>
      <c r="AV146" s="51">
        <f t="shared" si="82"/>
        <v>0</v>
      </c>
      <c r="AW146" s="51">
        <f t="shared" si="82"/>
        <v>0</v>
      </c>
      <c r="AX146" s="51">
        <f t="shared" si="82"/>
        <v>0</v>
      </c>
      <c r="AY146" s="51">
        <f t="shared" si="82"/>
        <v>0</v>
      </c>
      <c r="AZ146" s="51">
        <f t="shared" si="82"/>
        <v>0</v>
      </c>
      <c r="BA146" s="51">
        <f t="shared" si="82"/>
        <v>0</v>
      </c>
      <c r="BB146" s="51">
        <f t="shared" si="82"/>
        <v>0</v>
      </c>
      <c r="BC146" s="51">
        <f t="shared" ref="BC146" si="83">BC143-BC145</f>
        <v>0</v>
      </c>
    </row>
    <row r="147" spans="4:55" x14ac:dyDescent="0.35">
      <c r="D147" s="26" t="s">
        <v>192</v>
      </c>
      <c r="E147" s="26"/>
      <c r="F147" s="26"/>
      <c r="G147" s="26"/>
      <c r="H147" s="26"/>
      <c r="I147" s="29" t="s">
        <v>109</v>
      </c>
      <c r="J147" s="60">
        <f>J144-J145</f>
        <v>0</v>
      </c>
      <c r="K147" s="60">
        <f t="shared" ref="K147:BB147" si="84">K144-K145</f>
        <v>0</v>
      </c>
      <c r="L147" s="60">
        <f t="shared" si="84"/>
        <v>0</v>
      </c>
      <c r="M147" s="60">
        <f t="shared" si="84"/>
        <v>0</v>
      </c>
      <c r="N147" s="60">
        <f t="shared" si="84"/>
        <v>0</v>
      </c>
      <c r="O147" s="60">
        <f t="shared" si="84"/>
        <v>0</v>
      </c>
      <c r="P147" s="60">
        <f t="shared" si="84"/>
        <v>0</v>
      </c>
      <c r="Q147" s="60">
        <f t="shared" si="84"/>
        <v>0</v>
      </c>
      <c r="R147" s="60">
        <f t="shared" si="84"/>
        <v>0</v>
      </c>
      <c r="S147" s="60">
        <f t="shared" si="84"/>
        <v>0</v>
      </c>
      <c r="T147" s="60">
        <f t="shared" si="84"/>
        <v>0</v>
      </c>
      <c r="U147" s="60">
        <f t="shared" si="84"/>
        <v>0</v>
      </c>
      <c r="V147" s="60">
        <f t="shared" si="84"/>
        <v>0</v>
      </c>
      <c r="W147" s="60">
        <f t="shared" si="84"/>
        <v>0</v>
      </c>
      <c r="X147" s="60">
        <f t="shared" si="84"/>
        <v>0</v>
      </c>
      <c r="Y147" s="60">
        <f t="shared" si="84"/>
        <v>0</v>
      </c>
      <c r="Z147" s="60">
        <f t="shared" si="84"/>
        <v>0</v>
      </c>
      <c r="AA147" s="60">
        <f t="shared" si="84"/>
        <v>0</v>
      </c>
      <c r="AB147" s="60">
        <f t="shared" si="84"/>
        <v>0</v>
      </c>
      <c r="AC147" s="60">
        <f t="shared" si="84"/>
        <v>0</v>
      </c>
      <c r="AD147" s="60">
        <f t="shared" si="84"/>
        <v>0</v>
      </c>
      <c r="AE147" s="60">
        <f t="shared" si="84"/>
        <v>0</v>
      </c>
      <c r="AF147" s="60">
        <f t="shared" si="84"/>
        <v>0</v>
      </c>
      <c r="AG147" s="60">
        <f t="shared" si="84"/>
        <v>0</v>
      </c>
      <c r="AH147" s="60">
        <f t="shared" si="84"/>
        <v>0</v>
      </c>
      <c r="AI147" s="60">
        <f t="shared" si="84"/>
        <v>0</v>
      </c>
      <c r="AJ147" s="60">
        <f t="shared" si="84"/>
        <v>0</v>
      </c>
      <c r="AK147" s="60">
        <f t="shared" si="84"/>
        <v>0</v>
      </c>
      <c r="AL147" s="60">
        <f t="shared" si="84"/>
        <v>0</v>
      </c>
      <c r="AM147" s="60">
        <f t="shared" si="84"/>
        <v>0</v>
      </c>
      <c r="AN147" s="60">
        <f t="shared" si="84"/>
        <v>0</v>
      </c>
      <c r="AO147" s="60">
        <f t="shared" si="84"/>
        <v>0</v>
      </c>
      <c r="AP147" s="60">
        <f t="shared" si="84"/>
        <v>0</v>
      </c>
      <c r="AQ147" s="60">
        <f t="shared" si="84"/>
        <v>0</v>
      </c>
      <c r="AR147" s="60">
        <f t="shared" si="84"/>
        <v>0</v>
      </c>
      <c r="AS147" s="60">
        <f t="shared" si="84"/>
        <v>0</v>
      </c>
      <c r="AT147" s="60">
        <f t="shared" si="84"/>
        <v>0</v>
      </c>
      <c r="AU147" s="60">
        <f t="shared" si="84"/>
        <v>0</v>
      </c>
      <c r="AV147" s="60">
        <f t="shared" si="84"/>
        <v>0</v>
      </c>
      <c r="AW147" s="60">
        <f t="shared" si="84"/>
        <v>0</v>
      </c>
      <c r="AX147" s="60">
        <f t="shared" si="84"/>
        <v>0</v>
      </c>
      <c r="AY147" s="60">
        <f t="shared" si="84"/>
        <v>0</v>
      </c>
      <c r="AZ147" s="60">
        <f t="shared" si="84"/>
        <v>0</v>
      </c>
      <c r="BA147" s="60">
        <f t="shared" si="84"/>
        <v>0</v>
      </c>
      <c r="BB147" s="60">
        <f t="shared" si="84"/>
        <v>0</v>
      </c>
      <c r="BC147" s="60">
        <f t="shared" ref="BC147" si="85">BC144-BC145</f>
        <v>0</v>
      </c>
    </row>
    <row r="150" spans="4:55" x14ac:dyDescent="0.35">
      <c r="D150" s="26" t="s">
        <v>291</v>
      </c>
      <c r="E150" s="26"/>
      <c r="F150" s="26"/>
      <c r="G150" s="26"/>
      <c r="H150" s="26"/>
      <c r="I150" s="26"/>
      <c r="J150" s="26">
        <f t="shared" ref="J150:BB150" si="86">J133</f>
        <v>0</v>
      </c>
      <c r="K150" s="26">
        <f t="shared" si="86"/>
        <v>1</v>
      </c>
      <c r="L150" s="26">
        <f t="shared" si="86"/>
        <v>2</v>
      </c>
      <c r="M150" s="26">
        <f t="shared" si="86"/>
        <v>3</v>
      </c>
      <c r="N150" s="26">
        <f t="shared" si="86"/>
        <v>4</v>
      </c>
      <c r="O150" s="26">
        <f t="shared" si="86"/>
        <v>5</v>
      </c>
      <c r="P150" s="26">
        <f t="shared" si="86"/>
        <v>6</v>
      </c>
      <c r="Q150" s="26">
        <f t="shared" si="86"/>
        <v>7</v>
      </c>
      <c r="R150" s="26">
        <f t="shared" si="86"/>
        <v>8</v>
      </c>
      <c r="S150" s="26">
        <f t="shared" si="86"/>
        <v>9</v>
      </c>
      <c r="T150" s="26">
        <f t="shared" si="86"/>
        <v>10</v>
      </c>
      <c r="U150" s="26">
        <f t="shared" si="86"/>
        <v>11</v>
      </c>
      <c r="V150" s="26">
        <f t="shared" si="86"/>
        <v>12</v>
      </c>
      <c r="W150" s="26">
        <f t="shared" si="86"/>
        <v>13</v>
      </c>
      <c r="X150" s="26">
        <f t="shared" si="86"/>
        <v>14</v>
      </c>
      <c r="Y150" s="26">
        <f t="shared" si="86"/>
        <v>15</v>
      </c>
      <c r="Z150" s="26">
        <f t="shared" si="86"/>
        <v>16</v>
      </c>
      <c r="AA150" s="26">
        <f t="shared" si="86"/>
        <v>17</v>
      </c>
      <c r="AB150" s="26">
        <f t="shared" si="86"/>
        <v>18</v>
      </c>
      <c r="AC150" s="26">
        <f t="shared" si="86"/>
        <v>19</v>
      </c>
      <c r="AD150" s="26">
        <f t="shared" si="86"/>
        <v>20</v>
      </c>
      <c r="AE150" s="26">
        <f t="shared" si="86"/>
        <v>21</v>
      </c>
      <c r="AF150" s="26">
        <f t="shared" si="86"/>
        <v>22</v>
      </c>
      <c r="AG150" s="26">
        <f t="shared" si="86"/>
        <v>23</v>
      </c>
      <c r="AH150" s="26">
        <f t="shared" si="86"/>
        <v>24</v>
      </c>
      <c r="AI150" s="26">
        <f t="shared" si="86"/>
        <v>25</v>
      </c>
      <c r="AJ150" s="26">
        <f t="shared" si="86"/>
        <v>26</v>
      </c>
      <c r="AK150" s="26">
        <f t="shared" si="86"/>
        <v>27</v>
      </c>
      <c r="AL150" s="26">
        <f t="shared" si="86"/>
        <v>28</v>
      </c>
      <c r="AM150" s="26">
        <f t="shared" si="86"/>
        <v>29</v>
      </c>
      <c r="AN150" s="26">
        <f t="shared" si="86"/>
        <v>30</v>
      </c>
      <c r="AO150" s="26">
        <f t="shared" si="86"/>
        <v>31</v>
      </c>
      <c r="AP150" s="26">
        <f t="shared" si="86"/>
        <v>32</v>
      </c>
      <c r="AQ150" s="26">
        <f t="shared" si="86"/>
        <v>33</v>
      </c>
      <c r="AR150" s="26">
        <f t="shared" si="86"/>
        <v>34</v>
      </c>
      <c r="AS150" s="26">
        <f t="shared" si="86"/>
        <v>35</v>
      </c>
      <c r="AT150" s="26">
        <f t="shared" si="86"/>
        <v>36</v>
      </c>
      <c r="AU150" s="26">
        <f t="shared" si="86"/>
        <v>37</v>
      </c>
      <c r="AV150" s="26">
        <f t="shared" si="86"/>
        <v>38</v>
      </c>
      <c r="AW150" s="26">
        <f t="shared" si="86"/>
        <v>39</v>
      </c>
      <c r="AX150" s="26">
        <f t="shared" si="86"/>
        <v>40</v>
      </c>
      <c r="AY150" s="26">
        <f t="shared" si="86"/>
        <v>41</v>
      </c>
      <c r="AZ150" s="26">
        <f t="shared" si="86"/>
        <v>42</v>
      </c>
      <c r="BA150" s="26">
        <f t="shared" si="86"/>
        <v>43</v>
      </c>
      <c r="BB150" s="26">
        <f t="shared" si="86"/>
        <v>44</v>
      </c>
      <c r="BC150" s="26">
        <f t="shared" ref="BC150" si="87">BC133</f>
        <v>45</v>
      </c>
    </row>
    <row r="151" spans="4:55" x14ac:dyDescent="0.35">
      <c r="D151" s="80" t="s">
        <v>287</v>
      </c>
      <c r="E151" s="80"/>
      <c r="F151" s="80"/>
      <c r="G151" s="80"/>
      <c r="H151" s="82" t="b">
        <f>Results!$B$30&gt;0</f>
        <v>0</v>
      </c>
      <c r="I151" s="80"/>
      <c r="J151" s="81">
        <f>IF($H$151,Results!C30/Results!$B$30,0)</f>
        <v>0</v>
      </c>
      <c r="K151" s="81">
        <f>IF($H$151,Results!D30/Results!$B$30,0)</f>
        <v>0</v>
      </c>
      <c r="L151" s="81">
        <f>IF($H$151,Results!E30/Results!$B$30,0)</f>
        <v>0</v>
      </c>
      <c r="M151" s="81">
        <f>IF($H$151,Results!F30/Results!$B$30,0)</f>
        <v>0</v>
      </c>
      <c r="N151" s="81">
        <f>IF($H$151,Results!G30/Results!$B$30,0)</f>
        <v>0</v>
      </c>
      <c r="O151" s="81">
        <f>IF($H$151,Results!H30/Results!$B$30,0)</f>
        <v>0</v>
      </c>
      <c r="P151" s="81">
        <f>IF($H$151,Results!I30/Results!$B$30,0)</f>
        <v>0</v>
      </c>
      <c r="Q151" s="81">
        <f>IF($H$151,Results!J30/Results!$B$30,0)</f>
        <v>0</v>
      </c>
      <c r="R151" s="81">
        <f>IF($H$151,Results!K30/Results!$B$30,0)</f>
        <v>0</v>
      </c>
      <c r="S151" s="81">
        <f>IF($H$151,Results!L30/Results!$B$30,0)</f>
        <v>0</v>
      </c>
      <c r="T151" s="81">
        <f>IF($H$151,Results!M30/Results!$B$30,0)</f>
        <v>0</v>
      </c>
      <c r="U151" s="81">
        <f>IF($H$151,Results!N30/Results!$B$30,0)</f>
        <v>0</v>
      </c>
      <c r="V151" s="81">
        <f>IF($H$151,Results!O30/Results!$B$30,0)</f>
        <v>0</v>
      </c>
      <c r="W151" s="81">
        <f>IF($H$151,Results!P30/Results!$B$30,0)</f>
        <v>0</v>
      </c>
      <c r="X151" s="81">
        <f>IF($H$151,Results!Q30/Results!$B$30,0)</f>
        <v>0</v>
      </c>
      <c r="Y151" s="81">
        <f>IF($H$151,Results!R30/Results!$B$30,0)</f>
        <v>0</v>
      </c>
      <c r="Z151" s="81">
        <f>IF($H$151,Results!S30/Results!$B$30,0)</f>
        <v>0</v>
      </c>
      <c r="AA151" s="81">
        <f>IF($H$151,Results!T30/Results!$B$30,0)</f>
        <v>0</v>
      </c>
      <c r="AB151" s="81">
        <f>IF($H$151,Results!U30/Results!$B$30,0)</f>
        <v>0</v>
      </c>
      <c r="AC151" s="81">
        <f>IF($H$151,Results!V30/Results!$B$30,0)</f>
        <v>0</v>
      </c>
      <c r="AD151" s="81">
        <f>IF($H$151,Results!W30/Results!$B$30,0)</f>
        <v>0</v>
      </c>
      <c r="AE151" s="81">
        <f>IF($H$151,Results!X30/Results!$B$30,0)</f>
        <v>0</v>
      </c>
      <c r="AF151" s="81">
        <f>IF($H$151,Results!Y30/Results!$B$30,0)</f>
        <v>0</v>
      </c>
      <c r="AG151" s="81">
        <f>IF($H$151,Results!Z30/Results!$B$30,0)</f>
        <v>0</v>
      </c>
      <c r="AH151" s="81">
        <f>IF($H$151,Results!AA30/Results!$B$30,0)</f>
        <v>0</v>
      </c>
      <c r="AI151" s="81">
        <f>IF($H$151,Results!AB30/Results!$B$30,0)</f>
        <v>0</v>
      </c>
      <c r="AJ151" s="81">
        <f>IF($H$151,Results!AC30/Results!$B$30,0)</f>
        <v>0</v>
      </c>
      <c r="AK151" s="81">
        <f>IF($H$151,Results!AD30/Results!$B$30,0)</f>
        <v>0</v>
      </c>
      <c r="AL151" s="81">
        <f>IF($H$151,Results!AE30/Results!$B$30,0)</f>
        <v>0</v>
      </c>
      <c r="AM151" s="81">
        <f>IF($H$151,Results!AF30/Results!$B$30,0)</f>
        <v>0</v>
      </c>
      <c r="AN151" s="81">
        <f>IF($H$151,Results!AG30/Results!$B$30,0)</f>
        <v>0</v>
      </c>
      <c r="AO151" s="81">
        <f>IF($H$151,Results!AH30/Results!$B$30,0)</f>
        <v>0</v>
      </c>
      <c r="AP151" s="81">
        <f>IF($H$151,Results!AI30/Results!$B$30,0)</f>
        <v>0</v>
      </c>
      <c r="AQ151" s="81">
        <f>IF($H$151,Results!AJ30/Results!$B$30,0)</f>
        <v>0</v>
      </c>
      <c r="AR151" s="81">
        <f>IF($H$151,Results!AK30/Results!$B$30,0)</f>
        <v>0</v>
      </c>
      <c r="AS151" s="81">
        <f>IF($H$151,Results!AL30/Results!$B$30,0)</f>
        <v>0</v>
      </c>
      <c r="AT151" s="81">
        <f>IF($H$151,Results!AM30/Results!$B$30,0)</f>
        <v>0</v>
      </c>
      <c r="AU151" s="81">
        <f>IF($H$151,Results!AN30/Results!$B$30,0)</f>
        <v>0</v>
      </c>
      <c r="AV151" s="81">
        <f>IF($H$151,Results!AO30/Results!$B$30,0)</f>
        <v>0</v>
      </c>
      <c r="AW151" s="81">
        <f>IF($H$151,Results!AP30/Results!$B$30,0)</f>
        <v>0</v>
      </c>
      <c r="AX151" s="81">
        <f>IF($H$151,Results!AQ30/Results!$B$30,0)</f>
        <v>0</v>
      </c>
      <c r="AY151" s="81">
        <f>IF($H$151,Results!AR30/Results!$B$30,0)</f>
        <v>0</v>
      </c>
      <c r="AZ151" s="81">
        <f>IF($H$151,Results!AS30/Results!$B$30,0)</f>
        <v>0</v>
      </c>
      <c r="BA151" s="81">
        <f>IF($H$151,Results!AT30/Results!$B$30,0)</f>
        <v>0</v>
      </c>
      <c r="BB151" s="81">
        <f>IF($H$151,Results!AU30/Results!$B$30,0)</f>
        <v>0</v>
      </c>
      <c r="BC151" s="81">
        <f>IF($H$151,Results!AV30/Results!$B$30,0)</f>
        <v>0</v>
      </c>
    </row>
    <row r="152" spans="4:55" x14ac:dyDescent="0.35">
      <c r="D152" s="80" t="s">
        <v>292</v>
      </c>
      <c r="E152" s="80"/>
      <c r="F152" s="80"/>
      <c r="G152" s="80"/>
      <c r="H152" s="82" t="b">
        <f>Results!$B$30&lt;=0</f>
        <v>1</v>
      </c>
      <c r="I152" s="80"/>
      <c r="J152" s="80"/>
      <c r="K152" s="81"/>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row>
    <row r="155" spans="4:55" x14ac:dyDescent="0.35">
      <c r="D155" s="15" t="s">
        <v>298</v>
      </c>
      <c r="E155" s="26"/>
      <c r="F155" s="26"/>
      <c r="G155" s="26"/>
      <c r="H155" s="26"/>
      <c r="I155" s="26" t="s">
        <v>288</v>
      </c>
      <c r="J155" s="182">
        <v>2025</v>
      </c>
      <c r="K155" s="182">
        <f>J155+1</f>
        <v>2026</v>
      </c>
      <c r="L155" s="182">
        <f t="shared" ref="L155:BB155" si="88">K155+1</f>
        <v>2027</v>
      </c>
      <c r="M155" s="182">
        <f t="shared" si="88"/>
        <v>2028</v>
      </c>
      <c r="N155" s="182">
        <f t="shared" si="88"/>
        <v>2029</v>
      </c>
      <c r="O155" s="182">
        <f t="shared" si="88"/>
        <v>2030</v>
      </c>
      <c r="P155" s="182">
        <f t="shared" si="88"/>
        <v>2031</v>
      </c>
      <c r="Q155" s="182">
        <f t="shared" si="88"/>
        <v>2032</v>
      </c>
      <c r="R155" s="182">
        <f t="shared" si="88"/>
        <v>2033</v>
      </c>
      <c r="S155" s="182">
        <f t="shared" si="88"/>
        <v>2034</v>
      </c>
      <c r="T155" s="182">
        <f t="shared" si="88"/>
        <v>2035</v>
      </c>
      <c r="U155" s="182">
        <f t="shared" si="88"/>
        <v>2036</v>
      </c>
      <c r="V155" s="182">
        <f t="shared" si="88"/>
        <v>2037</v>
      </c>
      <c r="W155" s="182">
        <f t="shared" si="88"/>
        <v>2038</v>
      </c>
      <c r="X155" s="182">
        <f t="shared" si="88"/>
        <v>2039</v>
      </c>
      <c r="Y155" s="182">
        <f t="shared" si="88"/>
        <v>2040</v>
      </c>
      <c r="Z155" s="182">
        <f t="shared" si="88"/>
        <v>2041</v>
      </c>
      <c r="AA155" s="182">
        <f t="shared" si="88"/>
        <v>2042</v>
      </c>
      <c r="AB155" s="182">
        <f t="shared" si="88"/>
        <v>2043</v>
      </c>
      <c r="AC155" s="182">
        <f t="shared" si="88"/>
        <v>2044</v>
      </c>
      <c r="AD155" s="182">
        <f t="shared" si="88"/>
        <v>2045</v>
      </c>
      <c r="AE155" s="182">
        <f t="shared" si="88"/>
        <v>2046</v>
      </c>
      <c r="AF155" s="182">
        <f t="shared" si="88"/>
        <v>2047</v>
      </c>
      <c r="AG155" s="182">
        <f t="shared" si="88"/>
        <v>2048</v>
      </c>
      <c r="AH155" s="182">
        <f t="shared" si="88"/>
        <v>2049</v>
      </c>
      <c r="AI155" s="182">
        <f t="shared" si="88"/>
        <v>2050</v>
      </c>
      <c r="AJ155" s="182">
        <f t="shared" si="88"/>
        <v>2051</v>
      </c>
      <c r="AK155" s="182">
        <f t="shared" si="88"/>
        <v>2052</v>
      </c>
      <c r="AL155" s="182">
        <f t="shared" si="88"/>
        <v>2053</v>
      </c>
      <c r="AM155" s="182">
        <f t="shared" si="88"/>
        <v>2054</v>
      </c>
      <c r="AN155" s="182">
        <f t="shared" si="88"/>
        <v>2055</v>
      </c>
      <c r="AO155" s="182">
        <f t="shared" si="88"/>
        <v>2056</v>
      </c>
      <c r="AP155" s="182">
        <f t="shared" si="88"/>
        <v>2057</v>
      </c>
      <c r="AQ155" s="182">
        <f t="shared" si="88"/>
        <v>2058</v>
      </c>
      <c r="AR155" s="182">
        <f t="shared" si="88"/>
        <v>2059</v>
      </c>
      <c r="AS155" s="182">
        <f t="shared" si="88"/>
        <v>2060</v>
      </c>
      <c r="AT155" s="182">
        <f t="shared" si="88"/>
        <v>2061</v>
      </c>
      <c r="AU155" s="182">
        <f t="shared" si="88"/>
        <v>2062</v>
      </c>
      <c r="AV155" s="182">
        <f t="shared" si="88"/>
        <v>2063</v>
      </c>
      <c r="AW155" s="182">
        <f t="shared" si="88"/>
        <v>2064</v>
      </c>
      <c r="AX155" s="182">
        <f t="shared" si="88"/>
        <v>2065</v>
      </c>
      <c r="AY155" s="182">
        <f t="shared" si="88"/>
        <v>2066</v>
      </c>
      <c r="AZ155" s="182">
        <f t="shared" si="88"/>
        <v>2067</v>
      </c>
      <c r="BA155" s="182">
        <f t="shared" si="88"/>
        <v>2068</v>
      </c>
      <c r="BB155" s="182">
        <f t="shared" si="88"/>
        <v>2069</v>
      </c>
      <c r="BC155" s="182">
        <f t="shared" ref="BC155" si="89">BB155+1</f>
        <v>2070</v>
      </c>
    </row>
    <row r="156" spans="4:55" x14ac:dyDescent="0.35">
      <c r="D156" t="s">
        <v>260</v>
      </c>
      <c r="E156" s="59">
        <f>Start_Yr+'Project description'!B27</f>
        <v>0</v>
      </c>
    </row>
    <row r="157" spans="4:55" x14ac:dyDescent="0.35">
      <c r="D157" t="s">
        <v>302</v>
      </c>
      <c r="I157" s="184">
        <f t="shared" ref="I157" si="90">SUM(J157:BC157)</f>
        <v>0</v>
      </c>
      <c r="J157" s="184">
        <f>IF(J$155&gt;$E$156,0,Results!C44)</f>
        <v>0</v>
      </c>
      <c r="K157" s="184">
        <f>IF(K$155&gt;$E$156,0,Results!D44)</f>
        <v>0</v>
      </c>
      <c r="L157" s="184">
        <f>IF(L$155&gt;$E$156,0,Results!E44)</f>
        <v>0</v>
      </c>
      <c r="M157" s="184">
        <f>IF(M$155&gt;$E$156,0,Results!F44)</f>
        <v>0</v>
      </c>
      <c r="N157" s="184">
        <f>IF(N$155&gt;$E$156,0,Results!G44)</f>
        <v>0</v>
      </c>
      <c r="O157" s="184">
        <f>IF(O$155&gt;$E$156,0,Results!H44)</f>
        <v>0</v>
      </c>
      <c r="P157" s="184">
        <f>IF(P$155&gt;$E$156,0,Results!I44)</f>
        <v>0</v>
      </c>
      <c r="Q157" s="184">
        <f>IF(Q$155&gt;$E$156,0,Results!J44)</f>
        <v>0</v>
      </c>
      <c r="R157" s="184">
        <f>IF(R$155&gt;$E$156,0,Results!K44)</f>
        <v>0</v>
      </c>
      <c r="S157" s="184">
        <f>IF(S$155&gt;$E$156,0,Results!L44)</f>
        <v>0</v>
      </c>
      <c r="T157" s="184">
        <f>IF(T$155&gt;$E$156,0,Results!M44)</f>
        <v>0</v>
      </c>
      <c r="U157" s="184">
        <f>IF(U$155&gt;$E$156,0,Results!N44)</f>
        <v>0</v>
      </c>
      <c r="V157" s="184">
        <f>IF(V$155&gt;$E$156,0,Results!O44)</f>
        <v>0</v>
      </c>
      <c r="W157" s="184">
        <f>IF(W$155&gt;$E$156,0,Results!P44)</f>
        <v>0</v>
      </c>
      <c r="X157" s="184">
        <f>IF(X$155&gt;$E$156,0,Results!Q44)</f>
        <v>0</v>
      </c>
      <c r="Y157" s="184">
        <f>IF(Y$155&gt;$E$156,0,Results!R44)</f>
        <v>0</v>
      </c>
      <c r="Z157" s="184">
        <f>IF(Z$155&gt;$E$156,0,Results!S44)</f>
        <v>0</v>
      </c>
      <c r="AA157" s="184">
        <f>IF(AA$155&gt;$E$156,0,Results!T44)</f>
        <v>0</v>
      </c>
      <c r="AB157" s="184">
        <f>IF(AB$155&gt;$E$156,0,Results!U44)</f>
        <v>0</v>
      </c>
      <c r="AC157" s="184">
        <f>IF(AC$155&gt;$E$156,0,Results!V44)</f>
        <v>0</v>
      </c>
      <c r="AD157" s="184">
        <f>IF(AD$155&gt;$E$156,0,Results!W44)</f>
        <v>0</v>
      </c>
      <c r="AE157" s="184">
        <f>IF(AE$155&gt;$E$156,0,Results!X44)</f>
        <v>0</v>
      </c>
      <c r="AF157" s="184">
        <f>IF(AF$155&gt;$E$156,0,Results!Y44)</f>
        <v>0</v>
      </c>
      <c r="AG157" s="184">
        <f>IF(AG$155&gt;$E$156,0,Results!Z44)</f>
        <v>0</v>
      </c>
      <c r="AH157" s="184">
        <f>IF(AH$155&gt;$E$156,0,Results!AA44)</f>
        <v>0</v>
      </c>
      <c r="AI157" s="184">
        <f>IF(AI$155&gt;$E$156,0,Results!AB44)</f>
        <v>0</v>
      </c>
      <c r="AJ157" s="184">
        <f>IF(AJ$155&gt;$E$156,0,Results!AC44)</f>
        <v>0</v>
      </c>
      <c r="AK157" s="184">
        <f>IF(AK$155&gt;$E$156,0,Results!AD44)</f>
        <v>0</v>
      </c>
      <c r="AL157" s="184">
        <f>IF(AL$155&gt;$E$156,0,Results!AE44)</f>
        <v>0</v>
      </c>
      <c r="AM157" s="184">
        <f>IF(AM$155&gt;$E$156,0,Results!AF44)</f>
        <v>0</v>
      </c>
      <c r="AN157" s="184">
        <f>IF(AN$155&gt;$E$156,0,Results!AG44)</f>
        <v>0</v>
      </c>
      <c r="AO157" s="184">
        <f>IF(AO$155&gt;$E$156,0,Results!AH44)</f>
        <v>0</v>
      </c>
      <c r="AP157" s="184">
        <f>IF(AP$155&gt;$E$156,0,Results!AI44)</f>
        <v>0</v>
      </c>
      <c r="AQ157" s="184">
        <f>IF(AQ$155&gt;$E$156,0,Results!AJ44)</f>
        <v>0</v>
      </c>
      <c r="AR157" s="184">
        <f>IF(AR$155&gt;$E$156,0,Results!AK44)</f>
        <v>0</v>
      </c>
      <c r="AS157" s="184">
        <f>IF(AS$155&gt;$E$156,0,Results!AL44)</f>
        <v>0</v>
      </c>
      <c r="AT157" s="184">
        <f>IF(AT$155&gt;$E$156,0,Results!AM44)</f>
        <v>0</v>
      </c>
      <c r="AU157" s="184">
        <f>IF(AU$155&gt;$E$156,0,Results!AN44)</f>
        <v>0</v>
      </c>
      <c r="AV157" s="184">
        <f>IF(AV$155&gt;$E$156,0,Results!AO44)</f>
        <v>0</v>
      </c>
      <c r="AW157" s="184">
        <f>IF(AW$155&gt;$E$156,0,Results!AP44)</f>
        <v>0</v>
      </c>
      <c r="AX157" s="184">
        <f>IF(AX$155&gt;$E$156,0,Results!AQ44)</f>
        <v>0</v>
      </c>
      <c r="AY157" s="184">
        <f>IF(AY$155&gt;$E$156,0,Results!AR44)</f>
        <v>0</v>
      </c>
      <c r="AZ157" s="184">
        <f>IF(AZ$155&gt;$E$156,0,Results!AS44)</f>
        <v>0</v>
      </c>
      <c r="BA157" s="184">
        <f>IF(BA$155&gt;$E$156,0,Results!AT44)</f>
        <v>0</v>
      </c>
      <c r="BB157" s="184">
        <f>IF(BB$155&gt;$E$156,0,Results!AU44)</f>
        <v>0</v>
      </c>
      <c r="BC157" s="184">
        <f>IF(BC$155&gt;$E$156,0,Results!AV44)</f>
        <v>0</v>
      </c>
    </row>
    <row r="158" spans="4:55" x14ac:dyDescent="0.35">
      <c r="D158" t="s">
        <v>299</v>
      </c>
      <c r="I158">
        <f>SUM(J158:BC158)</f>
        <v>0</v>
      </c>
      <c r="J158" cm="1">
        <f t="array" ref="J158">IFERROR(IF($I$157&gt;0,MAX(J157,0),MAX(0,-J157/('Real values'!$L$157:$L$157-'Real values'!$L$160:$L$160))),0)</f>
        <v>0</v>
      </c>
      <c r="K158" cm="1">
        <f t="array" ref="K158">IFERROR(IF($I$157&gt;0,MAX(K157,0),MAX(0,-K157/('Real values'!$M$157:$M$157-'Real values'!$M$160:$M$160))),0)</f>
        <v>0</v>
      </c>
      <c r="L158" cm="1">
        <f t="array" ref="L158">IFERROR(IF($I$157&gt;0,MAX(L157,0),MAX(0,-L157/('Real values'!$N$157:$N$157-'Real values'!$N$160:$N$160))),0)</f>
        <v>0</v>
      </c>
      <c r="M158" cm="1">
        <f t="array" ref="M158">IFERROR(IF($I$157&gt;0,MAX(M157,0),MAX(0,-M157/('Real values'!$O$157:$O$157-'Real values'!$O$160:$O$160))),0)</f>
        <v>0</v>
      </c>
      <c r="N158" cm="1">
        <f t="array" ref="N158">IFERROR(IF($I$157&gt;0,MAX(N157,0),MAX(0,-N157/('Real values'!$P$157:$P$157-'Real values'!$P$160:$P$160))),0)</f>
        <v>0</v>
      </c>
      <c r="O158" cm="1">
        <f t="array" ref="O158">IFERROR(IF($I$157&gt;0,MAX(O157,0),MAX(0,-O157/('Real values'!$Q$157:$Q$157-'Real values'!$Q$160:$Q$160))),0)</f>
        <v>0</v>
      </c>
      <c r="P158" cm="1">
        <f t="array" ref="P158">IFERROR(IF($I$157&gt;0,MAX(P157,0),MAX(0,-P157/('Real values'!$R$157:$R$157-'Real values'!$R$160:$R$160))),0)</f>
        <v>0</v>
      </c>
      <c r="Q158" cm="1">
        <f t="array" ref="Q158">IFERROR(IF($I$157&gt;0,MAX(Q157,0),MAX(0,-Q157/('Real values'!$S$157:$S$157-'Real values'!$S$160:$S$160))),0)</f>
        <v>0</v>
      </c>
      <c r="R158" cm="1">
        <f t="array" ref="R158">IFERROR(IF($I$157&gt;0,MAX(R157,0),MAX(0,-R157/('Real values'!$T$157:$T$157-'Real values'!$T$160:$T$160))),0)</f>
        <v>0</v>
      </c>
      <c r="S158" cm="1">
        <f t="array" ref="S158">IFERROR(IF($I$157&gt;0,MAX(S157,0),MAX(0,-S157/('Real values'!$U$157:$U$157-'Real values'!$U$160:$U$160))),0)</f>
        <v>0</v>
      </c>
      <c r="T158" cm="1">
        <f t="array" ref="T158">IFERROR(IF($I$157&gt;0,MAX(T157,0),MAX(0,-T157/('Real values'!$V$157:$V$157-'Real values'!$V$160:$V$160))),0)</f>
        <v>0</v>
      </c>
      <c r="U158" cm="1">
        <f t="array" ref="U158">IFERROR(IF($I$157&gt;0,MAX(U157,0),MAX(0,-U157/('Real values'!$W$157:$W$157-'Real values'!$W$160:$W$160))),0)</f>
        <v>0</v>
      </c>
      <c r="V158" cm="1">
        <f t="array" ref="V158">IFERROR(IF($I$157&gt;0,MAX(V157,0),MAX(0,-V157/('Real values'!$X$157:$X$157-'Real values'!$X$160:$X$160))),0)</f>
        <v>0</v>
      </c>
      <c r="W158" cm="1">
        <f t="array" ref="W158">IFERROR(IF($I$157&gt;0,MAX(W157,0),MAX(0,-W157/('Real values'!$Y$157:$Y$157-'Real values'!$Y$160:$Y$160))),0)</f>
        <v>0</v>
      </c>
      <c r="X158" cm="1">
        <f t="array" ref="X158">IFERROR(IF($I$157&gt;0,MAX(X157,0),MAX(0,-X157/('Real values'!$Z$157:$Z$157-'Real values'!$Z$160:$Z$160))),0)</f>
        <v>0</v>
      </c>
      <c r="Y158" cm="1">
        <f t="array" ref="Y158">IFERROR(IF($I$157&gt;0,MAX(Y157,0),MAX(0,-Y157/('Real values'!$AA$157:$AA$157-'Real values'!$AA$160:$AA$160))),0)</f>
        <v>0</v>
      </c>
      <c r="Z158" cm="1">
        <f t="array" ref="Z158">IFERROR(IF($I$157&gt;0,MAX(Z157,0),MAX(0,-Z157/('Real values'!$AB$157:$AB$157-'Real values'!$AB$160:$AB$160))),0)</f>
        <v>0</v>
      </c>
      <c r="AA158" cm="1">
        <f t="array" ref="AA158">IFERROR(IF($I$157&gt;0,MAX(AA157,0),MAX(0,-AA157/('Real values'!$AC$157:$AC$157-'Real values'!$AC$160:$AC$160))),0)</f>
        <v>0</v>
      </c>
      <c r="AB158" cm="1">
        <f t="array" ref="AB158">IFERROR(IF($I$157&gt;0,MAX(AB157,0),MAX(0,-AB157/('Real values'!$AD$157:$AD$157-'Real values'!$AD$160:$AD$160))),0)</f>
        <v>0</v>
      </c>
      <c r="AC158" cm="1">
        <f t="array" ref="AC158">IFERROR(IF($I$157&gt;0,MAX(AC157,0),MAX(0,-AC157/('Real values'!$AE$157:$AE$157-'Real values'!$AE$160:$AE$160))),0)</f>
        <v>0</v>
      </c>
      <c r="AD158" cm="1">
        <f t="array" ref="AD158">IFERROR(IF($I$157&gt;0,MAX(AD157,0),MAX(0,-AD157/('Real values'!$AF$157:$AF$157-'Real values'!$AF$160:$AF$160))),0)</f>
        <v>0</v>
      </c>
      <c r="AE158" cm="1">
        <f t="array" ref="AE158">IFERROR(IF($I$157&gt;0,MAX(AE157,0),MAX(0,-AE157/('Real values'!$AG$157:$AG$157-'Real values'!$AG$160:$AG$160))),0)</f>
        <v>0</v>
      </c>
      <c r="AF158" cm="1">
        <f t="array" ref="AF158">IFERROR(IF($I$157&gt;0,MAX(AF157,0),MAX(0,-AF157/('Real values'!$AH$157:$AH$157-'Real values'!$AH$160:$AH$160))),0)</f>
        <v>0</v>
      </c>
      <c r="AG158" cm="1">
        <f t="array" ref="AG158">IFERROR(IF($I$157&gt;0,MAX(AG157,0),MAX(0,-AG157/('Real values'!$AI$157:$AI$157-'Real values'!$AI$160:$AI$160))),0)</f>
        <v>0</v>
      </c>
      <c r="AH158" cm="1">
        <f t="array" ref="AH158">IFERROR(IF($I$157&gt;0,MAX(AH157,0),MAX(0,-AH157/('Real values'!$AJ$157:$AJ$157-'Real values'!$AJ$160:$AJ$160))),0)</f>
        <v>0</v>
      </c>
      <c r="AI158" cm="1">
        <f t="array" ref="AI158">IFERROR(IF($I$157&gt;0,MAX(AI157,0),MAX(0,-AI157/('Real values'!$AK$157:$AK$157-'Real values'!$AK$160:$AK$160))),0)</f>
        <v>0</v>
      </c>
      <c r="AJ158" cm="1">
        <f t="array" ref="AJ158">IFERROR(IF($I$157&gt;0,MAX(AJ157,0),MAX(0,-AJ157/('Real values'!$AL$157:$AL$157-'Real values'!$AL$160:$AL$160))),0)</f>
        <v>0</v>
      </c>
      <c r="AK158" cm="1">
        <f t="array" ref="AK158">IFERROR(IF($I$157&gt;0,MAX(AK157,0),MAX(0,-AK157/('Real values'!$AM$157:$AM$157-'Real values'!$AM$160:$AM$160))),0)</f>
        <v>0</v>
      </c>
      <c r="AL158" cm="1">
        <f t="array" ref="AL158">IFERROR(IF($I$157&gt;0,MAX(AL157,0),MAX(0,-AL157/('Real values'!$AN$157:$AN$157-'Real values'!$AN$160:$AN$160))),0)</f>
        <v>0</v>
      </c>
      <c r="AM158" cm="1">
        <f t="array" ref="AM158">IFERROR(IF($I$157&gt;0,MAX(AM157,0),MAX(0,-AM157/('Real values'!$AO$157:$AO$157-'Real values'!$AO$160:$AO$160))),0)</f>
        <v>0</v>
      </c>
      <c r="AN158" cm="1">
        <f t="array" ref="AN158">IFERROR(IF($I$157&gt;0,MAX(AN157,0),MAX(0,-AN157/('Real values'!$AP$157:$AP$157-'Real values'!$AP$160:$AP$160))),0)</f>
        <v>0</v>
      </c>
      <c r="AO158" cm="1">
        <f t="array" ref="AO158">IFERROR(IF($I$157&gt;0,MAX(AO157,0),MAX(0,-AO157/('Real values'!$AQ$157:$AQ$157-'Real values'!$AQ$160:$AQ$160))),0)</f>
        <v>0</v>
      </c>
      <c r="AP158" cm="1">
        <f t="array" ref="AP158">IFERROR(IF($I$157&gt;0,MAX(AP157,0),MAX(0,-AP157/('Real values'!$AR$157:$AR$157-'Real values'!$AR$160:$AR$160))),0)</f>
        <v>0</v>
      </c>
      <c r="AQ158" cm="1">
        <f t="array" ref="AQ158">IFERROR(IF($I$157&gt;0,MAX(AQ157,0),MAX(0,-AQ157/('Real values'!$AS$157:$AS$157-'Real values'!$AS$160:$AS$160))),0)</f>
        <v>0</v>
      </c>
      <c r="AR158" cm="1">
        <f t="array" ref="AR158">IFERROR(IF($I$157&gt;0,MAX(AR157,0),MAX(0,-AR157/('Real values'!$AT$157:$AT$157-'Real values'!$AT$160:$AT$160))),0)</f>
        <v>0</v>
      </c>
      <c r="AS158" cm="1">
        <f t="array" ref="AS158">IFERROR(IF($I$157&gt;0,MAX(AS157,0),MAX(0,-AS157/('Real values'!$AU$157:$AU$157-'Real values'!$AU$160:$AU$160))),0)</f>
        <v>0</v>
      </c>
      <c r="AT158" cm="1">
        <f t="array" ref="AT158">IFERROR(IF($I$157&gt;0,MAX(AT157,0),MAX(0,-AT157/('Real values'!$AV$157:$AV$157-'Real values'!$AV$160:$AV$160))),0)</f>
        <v>0</v>
      </c>
      <c r="AU158" cm="1">
        <f t="array" ref="AU158">IFERROR(IF($I$157&gt;0,MAX(AU157,0),MAX(0,-AU157/('Real values'!$AW$157:$AW$157-'Real values'!$AW$160:$AW$160))),0)</f>
        <v>0</v>
      </c>
      <c r="AV158" cm="1">
        <f t="array" ref="AV158">IFERROR(IF($I$157&gt;0,MAX(AV157,0),MAX(0,-AV157/('Real values'!$AX$157:$AX$157-'Real values'!$AX$160:$AX$160))),0)</f>
        <v>0</v>
      </c>
      <c r="AW158" cm="1">
        <f t="array" ref="AW158">IFERROR(IF($I$157&gt;0,MAX(AW157,0),MAX(0,-AW157/('Real values'!$AY$157:$AY$157-'Real values'!$AY$160:$AY$160))),0)</f>
        <v>0</v>
      </c>
      <c r="AX158" cm="1">
        <f t="array" ref="AX158">IFERROR(IF($I$157&gt;0,MAX(AX157,0),MAX(0,-AX157/('Real values'!$AZ$157:$AZ$157-'Real values'!$AZ$160:$AZ$160))),0)</f>
        <v>0</v>
      </c>
      <c r="AY158" cm="1">
        <f t="array" ref="AY158">IFERROR(IF($I$157&gt;0,MAX(AY157,0),MAX(0,-AY157/('Real values'!$BA$157:$BA$157-'Real values'!$BA$160:$BA$160))),0)</f>
        <v>0</v>
      </c>
      <c r="AZ158" cm="1">
        <f t="array" ref="AZ158">IFERROR(IF($I$157&gt;0,MAX(AZ157,0),MAX(0,-AZ157/('Real values'!$BB$157:$BB$157-'Real values'!$BB$160:$BB$160))),0)</f>
        <v>0</v>
      </c>
      <c r="BA158" cm="1">
        <f t="array" ref="BA158">IFERROR(IF($I$157&gt;0,MAX(BA157,0),MAX(0,-BA157/('Real values'!$BC$157:$BC$157-'Real values'!$BC$160:$BC$160))),0)</f>
        <v>0</v>
      </c>
      <c r="BB158" cm="1">
        <f t="array" ref="BB158">IFERROR(IF($I$157&gt;0,MAX(BB157,0),MAX(0,-BB157/('Real values'!$BD$157:$BD$157-'Real values'!$BD$160:$BD$160))),0)</f>
        <v>0</v>
      </c>
      <c r="BC158" cm="1">
        <f t="array" ref="BC158">IFERROR(IF($I$157&gt;0,MAX(BC157,0),MAX(0,-BC157/('Real values'!$BE$157:$BE$157-'Real values'!$BE$160:$BE$160))),0)</f>
        <v>0</v>
      </c>
    </row>
    <row r="159" spans="4:55" x14ac:dyDescent="0.35">
      <c r="D159" t="s">
        <v>300</v>
      </c>
      <c r="J159" s="178">
        <f t="shared" ref="J159:BC159" si="91">IFERROR(J158/$I$158,0)</f>
        <v>0</v>
      </c>
      <c r="K159" s="178">
        <f t="shared" si="91"/>
        <v>0</v>
      </c>
      <c r="L159" s="178">
        <f t="shared" si="91"/>
        <v>0</v>
      </c>
      <c r="M159" s="178">
        <f t="shared" si="91"/>
        <v>0</v>
      </c>
      <c r="N159" s="178">
        <f t="shared" si="91"/>
        <v>0</v>
      </c>
      <c r="O159" s="178">
        <f t="shared" si="91"/>
        <v>0</v>
      </c>
      <c r="P159" s="178">
        <f t="shared" si="91"/>
        <v>0</v>
      </c>
      <c r="Q159" s="178">
        <f t="shared" si="91"/>
        <v>0</v>
      </c>
      <c r="R159" s="178">
        <f t="shared" si="91"/>
        <v>0</v>
      </c>
      <c r="S159" s="178">
        <f t="shared" si="91"/>
        <v>0</v>
      </c>
      <c r="T159" s="178">
        <f t="shared" si="91"/>
        <v>0</v>
      </c>
      <c r="U159" s="178">
        <f t="shared" si="91"/>
        <v>0</v>
      </c>
      <c r="V159" s="178">
        <f t="shared" si="91"/>
        <v>0</v>
      </c>
      <c r="W159" s="178">
        <f t="shared" si="91"/>
        <v>0</v>
      </c>
      <c r="X159" s="178">
        <f t="shared" si="91"/>
        <v>0</v>
      </c>
      <c r="Y159" s="178">
        <f t="shared" si="91"/>
        <v>0</v>
      </c>
      <c r="Z159" s="178">
        <f t="shared" si="91"/>
        <v>0</v>
      </c>
      <c r="AA159" s="178">
        <f t="shared" si="91"/>
        <v>0</v>
      </c>
      <c r="AB159" s="178">
        <f t="shared" si="91"/>
        <v>0</v>
      </c>
      <c r="AC159" s="178">
        <f t="shared" si="91"/>
        <v>0</v>
      </c>
      <c r="AD159" s="178">
        <f t="shared" si="91"/>
        <v>0</v>
      </c>
      <c r="AE159" s="178">
        <f t="shared" si="91"/>
        <v>0</v>
      </c>
      <c r="AF159" s="178">
        <f t="shared" si="91"/>
        <v>0</v>
      </c>
      <c r="AG159" s="178">
        <f t="shared" si="91"/>
        <v>0</v>
      </c>
      <c r="AH159" s="178">
        <f t="shared" si="91"/>
        <v>0</v>
      </c>
      <c r="AI159" s="178">
        <f t="shared" si="91"/>
        <v>0</v>
      </c>
      <c r="AJ159" s="178">
        <f t="shared" si="91"/>
        <v>0</v>
      </c>
      <c r="AK159" s="178">
        <f t="shared" si="91"/>
        <v>0</v>
      </c>
      <c r="AL159" s="178">
        <f t="shared" si="91"/>
        <v>0</v>
      </c>
      <c r="AM159" s="178">
        <f t="shared" si="91"/>
        <v>0</v>
      </c>
      <c r="AN159" s="178">
        <f t="shared" si="91"/>
        <v>0</v>
      </c>
      <c r="AO159" s="178">
        <f t="shared" si="91"/>
        <v>0</v>
      </c>
      <c r="AP159" s="178">
        <f t="shared" si="91"/>
        <v>0</v>
      </c>
      <c r="AQ159" s="178">
        <f t="shared" si="91"/>
        <v>0</v>
      </c>
      <c r="AR159" s="178">
        <f t="shared" si="91"/>
        <v>0</v>
      </c>
      <c r="AS159" s="178">
        <f t="shared" si="91"/>
        <v>0</v>
      </c>
      <c r="AT159" s="178">
        <f t="shared" si="91"/>
        <v>0</v>
      </c>
      <c r="AU159" s="178">
        <f t="shared" si="91"/>
        <v>0</v>
      </c>
      <c r="AV159" s="178">
        <f t="shared" si="91"/>
        <v>0</v>
      </c>
      <c r="AW159" s="178">
        <f t="shared" si="91"/>
        <v>0</v>
      </c>
      <c r="AX159" s="178">
        <f t="shared" si="91"/>
        <v>0</v>
      </c>
      <c r="AY159" s="178">
        <f t="shared" si="91"/>
        <v>0</v>
      </c>
      <c r="AZ159" s="178">
        <f t="shared" si="91"/>
        <v>0</v>
      </c>
      <c r="BA159" s="178">
        <f t="shared" si="91"/>
        <v>0</v>
      </c>
      <c r="BB159" s="178">
        <f t="shared" si="91"/>
        <v>0</v>
      </c>
      <c r="BC159" s="178">
        <f t="shared" si="91"/>
        <v>0</v>
      </c>
    </row>
    <row r="160" spans="4:55" x14ac:dyDescent="0.35">
      <c r="D160" t="s">
        <v>301</v>
      </c>
      <c r="I160" s="184">
        <f>SUM(J160:BC160)</f>
        <v>0</v>
      </c>
      <c r="J160" s="184">
        <f>'Project description'!$B$25*Calculations!J159</f>
        <v>0</v>
      </c>
      <c r="K160" s="184">
        <f>'Project description'!$B$25*Calculations!K159</f>
        <v>0</v>
      </c>
      <c r="L160" s="184">
        <f>'Project description'!$B$25*Calculations!L159</f>
        <v>0</v>
      </c>
      <c r="M160" s="184">
        <f>'Project description'!$B$25*Calculations!M159</f>
        <v>0</v>
      </c>
      <c r="N160" s="184">
        <f>'Project description'!$B$25*Calculations!N159</f>
        <v>0</v>
      </c>
      <c r="O160" s="184">
        <f>'Project description'!$B$25*Calculations!O159</f>
        <v>0</v>
      </c>
      <c r="P160" s="184">
        <f>'Project description'!$B$25*Calculations!P159</f>
        <v>0</v>
      </c>
      <c r="Q160" s="184">
        <f>'Project description'!$B$25*Calculations!Q159</f>
        <v>0</v>
      </c>
      <c r="R160" s="184">
        <f>'Project description'!$B$25*Calculations!R159</f>
        <v>0</v>
      </c>
      <c r="S160" s="184">
        <f>'Project description'!$B$25*Calculations!S159</f>
        <v>0</v>
      </c>
      <c r="T160" s="184">
        <f>'Project description'!$B$25*Calculations!T159</f>
        <v>0</v>
      </c>
      <c r="U160" s="184">
        <f>'Project description'!$B$25*Calculations!U159</f>
        <v>0</v>
      </c>
      <c r="V160" s="184">
        <f>'Project description'!$B$25*Calculations!V159</f>
        <v>0</v>
      </c>
      <c r="W160" s="184">
        <f>'Project description'!$B$25*Calculations!W159</f>
        <v>0</v>
      </c>
      <c r="X160" s="184">
        <f>'Project description'!$B$25*Calculations!X159</f>
        <v>0</v>
      </c>
      <c r="Y160" s="184">
        <f>'Project description'!$B$25*Calculations!Y159</f>
        <v>0</v>
      </c>
      <c r="Z160" s="184">
        <f>'Project description'!$B$25*Calculations!Z159</f>
        <v>0</v>
      </c>
      <c r="AA160" s="184">
        <f>'Project description'!$B$25*Calculations!AA159</f>
        <v>0</v>
      </c>
      <c r="AB160" s="184">
        <f>'Project description'!$B$25*Calculations!AB159</f>
        <v>0</v>
      </c>
      <c r="AC160" s="184">
        <f>'Project description'!$B$25*Calculations!AC159</f>
        <v>0</v>
      </c>
      <c r="AD160" s="184">
        <f>'Project description'!$B$25*Calculations!AD159</f>
        <v>0</v>
      </c>
      <c r="AE160" s="184">
        <f>'Project description'!$B$25*Calculations!AE159</f>
        <v>0</v>
      </c>
      <c r="AF160" s="184">
        <f>'Project description'!$B$25*Calculations!AF159</f>
        <v>0</v>
      </c>
      <c r="AG160" s="184">
        <f>'Project description'!$B$25*Calculations!AG159</f>
        <v>0</v>
      </c>
      <c r="AH160" s="184">
        <f>'Project description'!$B$25*Calculations!AH159</f>
        <v>0</v>
      </c>
      <c r="AI160" s="184">
        <f>'Project description'!$B$25*Calculations!AI159</f>
        <v>0</v>
      </c>
      <c r="AJ160" s="184">
        <f>'Project description'!$B$25*Calculations!AJ159</f>
        <v>0</v>
      </c>
      <c r="AK160" s="184">
        <f>'Project description'!$B$25*Calculations!AK159</f>
        <v>0</v>
      </c>
      <c r="AL160" s="184">
        <f>'Project description'!$B$25*Calculations!AL159</f>
        <v>0</v>
      </c>
      <c r="AM160" s="184">
        <f>'Project description'!$B$25*Calculations!AM159</f>
        <v>0</v>
      </c>
      <c r="AN160" s="184">
        <f>'Project description'!$B$25*Calculations!AN159</f>
        <v>0</v>
      </c>
      <c r="AO160" s="184">
        <f>'Project description'!$B$25*Calculations!AO159</f>
        <v>0</v>
      </c>
      <c r="AP160" s="184">
        <f>'Project description'!$B$25*Calculations!AP159</f>
        <v>0</v>
      </c>
      <c r="AQ160" s="184">
        <f>'Project description'!$B$25*Calculations!AQ159</f>
        <v>0</v>
      </c>
      <c r="AR160" s="184">
        <f>'Project description'!$B$25*Calculations!AR159</f>
        <v>0</v>
      </c>
      <c r="AS160" s="184">
        <f>'Project description'!$B$25*Calculations!AS159</f>
        <v>0</v>
      </c>
      <c r="AT160" s="184">
        <f>'Project description'!$B$25*Calculations!AT159</f>
        <v>0</v>
      </c>
      <c r="AU160" s="184">
        <f>'Project description'!$B$25*Calculations!AU159</f>
        <v>0</v>
      </c>
      <c r="AV160" s="184">
        <f>'Project description'!$B$25*Calculations!AV159</f>
        <v>0</v>
      </c>
      <c r="AW160" s="184">
        <f>'Project description'!$B$25*Calculations!AW159</f>
        <v>0</v>
      </c>
      <c r="AX160" s="184">
        <f>'Project description'!$B$25*Calculations!AX159</f>
        <v>0</v>
      </c>
      <c r="AY160" s="184">
        <f>'Project description'!$B$25*Calculations!AY159</f>
        <v>0</v>
      </c>
      <c r="AZ160" s="184">
        <f>'Project description'!$B$25*Calculations!AZ159</f>
        <v>0</v>
      </c>
      <c r="BA160" s="184">
        <f>'Project description'!$B$25*Calculations!BA159</f>
        <v>0</v>
      </c>
      <c r="BB160" s="184">
        <f>'Project description'!$B$25*Calculations!BB159</f>
        <v>0</v>
      </c>
      <c r="BC160" s="184">
        <f>'Project description'!$B$25*Calculations!BC159</f>
        <v>0</v>
      </c>
    </row>
    <row r="161" spans="4:55" x14ac:dyDescent="0.35">
      <c r="J161" s="184"/>
      <c r="K161" s="184"/>
      <c r="L161" s="184"/>
      <c r="M161" s="184"/>
      <c r="N161" s="184"/>
      <c r="O161" s="184"/>
      <c r="P161" s="184"/>
      <c r="Q161" s="184"/>
      <c r="R161" s="184"/>
      <c r="S161" s="184"/>
      <c r="T161" s="184"/>
      <c r="U161" s="184"/>
      <c r="V161" s="184"/>
      <c r="W161" s="184"/>
      <c r="X161" s="184"/>
      <c r="Y161" s="184"/>
      <c r="Z161" s="184"/>
      <c r="AA161" s="184"/>
      <c r="AB161" s="184"/>
      <c r="AC161" s="184"/>
      <c r="AD161" s="184"/>
      <c r="AE161" s="184"/>
      <c r="AF161" s="184"/>
      <c r="AG161" s="184"/>
      <c r="AH161" s="184"/>
      <c r="AI161" s="184"/>
      <c r="AJ161" s="184"/>
      <c r="AK161" s="184"/>
      <c r="AL161" s="184"/>
      <c r="AM161" s="184"/>
      <c r="AN161" s="184"/>
      <c r="AO161" s="184"/>
      <c r="AP161" s="184"/>
      <c r="AQ161" s="184"/>
      <c r="AR161" s="184"/>
      <c r="AS161" s="184"/>
      <c r="AT161" s="184"/>
      <c r="AU161" s="184"/>
      <c r="AV161" s="184"/>
      <c r="AW161" s="184"/>
      <c r="AX161" s="184"/>
      <c r="AY161" s="184"/>
      <c r="AZ161" s="184"/>
      <c r="BA161" s="184"/>
      <c r="BB161" s="184"/>
      <c r="BC161" s="184"/>
    </row>
    <row r="162" spans="4:55" x14ac:dyDescent="0.35">
      <c r="D162" t="s">
        <v>314</v>
      </c>
      <c r="I162" s="184">
        <f>SUM(J162:BC162)</f>
        <v>0</v>
      </c>
      <c r="J162" s="184">
        <f>Results!C48</f>
        <v>0</v>
      </c>
      <c r="K162" s="184">
        <f>Results!D48</f>
        <v>0</v>
      </c>
      <c r="L162" s="184">
        <f>Results!E48</f>
        <v>0</v>
      </c>
      <c r="M162" s="184">
        <f>Results!F48</f>
        <v>0</v>
      </c>
      <c r="N162" s="184">
        <f>Results!G48</f>
        <v>0</v>
      </c>
      <c r="O162" s="184">
        <f>Results!H48</f>
        <v>0</v>
      </c>
      <c r="P162" s="184">
        <f>Results!I48</f>
        <v>0</v>
      </c>
      <c r="Q162" s="184">
        <f>Results!J48</f>
        <v>0</v>
      </c>
      <c r="R162" s="184">
        <f>Results!K48</f>
        <v>0</v>
      </c>
      <c r="S162" s="184">
        <f>Results!L48</f>
        <v>0</v>
      </c>
      <c r="T162" s="184">
        <f>Results!M48</f>
        <v>0</v>
      </c>
      <c r="U162" s="184">
        <f>Results!N48</f>
        <v>0</v>
      </c>
      <c r="V162" s="184">
        <f>Results!O48</f>
        <v>0</v>
      </c>
      <c r="W162" s="184">
        <f>Results!P48</f>
        <v>0</v>
      </c>
      <c r="X162" s="184">
        <f>Results!Q48</f>
        <v>0</v>
      </c>
      <c r="Y162" s="184">
        <f>Results!R48</f>
        <v>0</v>
      </c>
      <c r="Z162" s="184">
        <f>Results!S48</f>
        <v>0</v>
      </c>
      <c r="AA162" s="184">
        <f>Results!T48</f>
        <v>0</v>
      </c>
      <c r="AB162" s="184">
        <f>Results!U48</f>
        <v>0</v>
      </c>
      <c r="AC162" s="184">
        <f>Results!V48</f>
        <v>0</v>
      </c>
      <c r="AD162" s="184">
        <f>Results!W48</f>
        <v>0</v>
      </c>
      <c r="AE162" s="184">
        <f>Results!X48</f>
        <v>0</v>
      </c>
      <c r="AF162" s="184">
        <f>Results!Y48</f>
        <v>0</v>
      </c>
      <c r="AG162" s="184">
        <f>Results!Z48</f>
        <v>0</v>
      </c>
      <c r="AH162" s="184">
        <f>Results!AA48</f>
        <v>0</v>
      </c>
      <c r="AI162" s="184">
        <f>Results!AB48</f>
        <v>0</v>
      </c>
      <c r="AJ162" s="184">
        <f>Results!AC48</f>
        <v>0</v>
      </c>
      <c r="AK162" s="184">
        <f>Results!AD48</f>
        <v>0</v>
      </c>
      <c r="AL162" s="184">
        <f>Results!AE48</f>
        <v>0</v>
      </c>
      <c r="AM162" s="184">
        <f>Results!AF48</f>
        <v>0</v>
      </c>
      <c r="AN162" s="184">
        <f>Results!AG48</f>
        <v>0</v>
      </c>
      <c r="AO162" s="184">
        <f>Results!AH48</f>
        <v>0</v>
      </c>
      <c r="AP162" s="184">
        <f>Results!AI48</f>
        <v>0</v>
      </c>
      <c r="AQ162" s="184">
        <f>Results!AJ48</f>
        <v>0</v>
      </c>
      <c r="AR162" s="184">
        <f>Results!AK48</f>
        <v>0</v>
      </c>
      <c r="AS162" s="184">
        <f>Results!AL48</f>
        <v>0</v>
      </c>
      <c r="AT162" s="184">
        <f>Results!AM48</f>
        <v>0</v>
      </c>
      <c r="AU162" s="184">
        <f>Results!AN48</f>
        <v>0</v>
      </c>
      <c r="AV162" s="184">
        <f>Results!AO48</f>
        <v>0</v>
      </c>
      <c r="AW162" s="184">
        <f>Results!AP48</f>
        <v>0</v>
      </c>
      <c r="AX162" s="184">
        <f>Results!AQ48</f>
        <v>0</v>
      </c>
      <c r="AY162" s="184">
        <f>Results!AR48</f>
        <v>0</v>
      </c>
      <c r="AZ162" s="184">
        <f>Results!AS48</f>
        <v>0</v>
      </c>
      <c r="BA162" s="184">
        <f>Results!AT48</f>
        <v>0</v>
      </c>
      <c r="BB162" s="184">
        <f>Results!AU48</f>
        <v>0</v>
      </c>
      <c r="BC162" s="184">
        <f>Results!AV48</f>
        <v>0</v>
      </c>
    </row>
    <row r="163" spans="4:55" x14ac:dyDescent="0.35">
      <c r="D163" t="s">
        <v>299</v>
      </c>
      <c r="J163" s="184">
        <f t="shared" ref="J163:BC163" si="92">IF(J155&lt;Analysis_year,0,J160)</f>
        <v>0</v>
      </c>
      <c r="K163" s="184">
        <f t="shared" si="92"/>
        <v>0</v>
      </c>
      <c r="L163" s="184">
        <f t="shared" si="92"/>
        <v>0</v>
      </c>
      <c r="M163" s="184">
        <f t="shared" si="92"/>
        <v>0</v>
      </c>
      <c r="N163" s="184">
        <f t="shared" si="92"/>
        <v>0</v>
      </c>
      <c r="O163" s="184">
        <f t="shared" si="92"/>
        <v>0</v>
      </c>
      <c r="P163" s="184">
        <f t="shared" si="92"/>
        <v>0</v>
      </c>
      <c r="Q163" s="184">
        <f t="shared" si="92"/>
        <v>0</v>
      </c>
      <c r="R163" s="184">
        <f t="shared" si="92"/>
        <v>0</v>
      </c>
      <c r="S163" s="184">
        <f t="shared" si="92"/>
        <v>0</v>
      </c>
      <c r="T163" s="184">
        <f t="shared" si="92"/>
        <v>0</v>
      </c>
      <c r="U163" s="184">
        <f t="shared" si="92"/>
        <v>0</v>
      </c>
      <c r="V163" s="184">
        <f t="shared" si="92"/>
        <v>0</v>
      </c>
      <c r="W163" s="184">
        <f t="shared" si="92"/>
        <v>0</v>
      </c>
      <c r="X163" s="184">
        <f t="shared" si="92"/>
        <v>0</v>
      </c>
      <c r="Y163" s="184">
        <f t="shared" si="92"/>
        <v>0</v>
      </c>
      <c r="Z163" s="184">
        <f t="shared" si="92"/>
        <v>0</v>
      </c>
      <c r="AA163" s="184">
        <f t="shared" si="92"/>
        <v>0</v>
      </c>
      <c r="AB163" s="184">
        <f t="shared" si="92"/>
        <v>0</v>
      </c>
      <c r="AC163" s="184">
        <f t="shared" si="92"/>
        <v>0</v>
      </c>
      <c r="AD163" s="184">
        <f t="shared" si="92"/>
        <v>0</v>
      </c>
      <c r="AE163" s="184">
        <f t="shared" si="92"/>
        <v>0</v>
      </c>
      <c r="AF163" s="184">
        <f t="shared" si="92"/>
        <v>0</v>
      </c>
      <c r="AG163" s="184">
        <f t="shared" si="92"/>
        <v>0</v>
      </c>
      <c r="AH163" s="184">
        <f t="shared" si="92"/>
        <v>0</v>
      </c>
      <c r="AI163" s="184">
        <f t="shared" si="92"/>
        <v>0</v>
      </c>
      <c r="AJ163" s="184">
        <f t="shared" si="92"/>
        <v>0</v>
      </c>
      <c r="AK163" s="184">
        <f t="shared" si="92"/>
        <v>0</v>
      </c>
      <c r="AL163" s="184">
        <f t="shared" si="92"/>
        <v>0</v>
      </c>
      <c r="AM163" s="184">
        <f t="shared" si="92"/>
        <v>0</v>
      </c>
      <c r="AN163" s="184">
        <f t="shared" si="92"/>
        <v>0</v>
      </c>
      <c r="AO163" s="184">
        <f t="shared" si="92"/>
        <v>0</v>
      </c>
      <c r="AP163" s="184">
        <f t="shared" si="92"/>
        <v>0</v>
      </c>
      <c r="AQ163" s="184">
        <f t="shared" si="92"/>
        <v>0</v>
      </c>
      <c r="AR163" s="184">
        <f t="shared" si="92"/>
        <v>0</v>
      </c>
      <c r="AS163" s="184">
        <f t="shared" si="92"/>
        <v>0</v>
      </c>
      <c r="AT163" s="184">
        <f t="shared" si="92"/>
        <v>0</v>
      </c>
      <c r="AU163" s="184">
        <f t="shared" si="92"/>
        <v>0</v>
      </c>
      <c r="AV163" s="184">
        <f t="shared" si="92"/>
        <v>0</v>
      </c>
      <c r="AW163" s="184">
        <f t="shared" si="92"/>
        <v>0</v>
      </c>
      <c r="AX163" s="184">
        <f t="shared" si="92"/>
        <v>0</v>
      </c>
      <c r="AY163" s="184">
        <f t="shared" si="92"/>
        <v>0</v>
      </c>
      <c r="AZ163" s="184">
        <f t="shared" si="92"/>
        <v>0</v>
      </c>
      <c r="BA163" s="184">
        <f t="shared" si="92"/>
        <v>0</v>
      </c>
      <c r="BB163" s="184">
        <f t="shared" si="92"/>
        <v>0</v>
      </c>
      <c r="BC163" s="184">
        <f t="shared" si="92"/>
        <v>0</v>
      </c>
    </row>
    <row r="164" spans="4:55" x14ac:dyDescent="0.35">
      <c r="D164" t="s">
        <v>316</v>
      </c>
      <c r="I164" s="184">
        <f>I160-I162</f>
        <v>0</v>
      </c>
      <c r="J164" s="184">
        <f>IFERROR($I$164*(J163/SUM($J$163:$BC$163)),0)</f>
        <v>0</v>
      </c>
      <c r="K164" s="184">
        <f t="shared" ref="K164:BC164" si="93">IFERROR($I$164*(K163/SUM($J$163:$BC$163)),0)</f>
        <v>0</v>
      </c>
      <c r="L164" s="184">
        <f t="shared" si="93"/>
        <v>0</v>
      </c>
      <c r="M164" s="184">
        <f t="shared" si="93"/>
        <v>0</v>
      </c>
      <c r="N164" s="184">
        <f t="shared" si="93"/>
        <v>0</v>
      </c>
      <c r="O164" s="184">
        <f t="shared" si="93"/>
        <v>0</v>
      </c>
      <c r="P164" s="184">
        <f t="shared" si="93"/>
        <v>0</v>
      </c>
      <c r="Q164" s="184">
        <f t="shared" si="93"/>
        <v>0</v>
      </c>
      <c r="R164" s="184">
        <f t="shared" si="93"/>
        <v>0</v>
      </c>
      <c r="S164" s="184">
        <f t="shared" si="93"/>
        <v>0</v>
      </c>
      <c r="T164" s="184">
        <f t="shared" si="93"/>
        <v>0</v>
      </c>
      <c r="U164" s="184">
        <f t="shared" si="93"/>
        <v>0</v>
      </c>
      <c r="V164" s="184">
        <f t="shared" si="93"/>
        <v>0</v>
      </c>
      <c r="W164" s="184">
        <f t="shared" si="93"/>
        <v>0</v>
      </c>
      <c r="X164" s="184">
        <f t="shared" si="93"/>
        <v>0</v>
      </c>
      <c r="Y164" s="184">
        <f t="shared" si="93"/>
        <v>0</v>
      </c>
      <c r="Z164" s="184">
        <f t="shared" si="93"/>
        <v>0</v>
      </c>
      <c r="AA164" s="184">
        <f t="shared" si="93"/>
        <v>0</v>
      </c>
      <c r="AB164" s="184">
        <f t="shared" si="93"/>
        <v>0</v>
      </c>
      <c r="AC164" s="184">
        <f t="shared" si="93"/>
        <v>0</v>
      </c>
      <c r="AD164" s="184">
        <f t="shared" si="93"/>
        <v>0</v>
      </c>
      <c r="AE164" s="184">
        <f t="shared" si="93"/>
        <v>0</v>
      </c>
      <c r="AF164" s="184">
        <f t="shared" si="93"/>
        <v>0</v>
      </c>
      <c r="AG164" s="184">
        <f t="shared" si="93"/>
        <v>0</v>
      </c>
      <c r="AH164" s="184">
        <f t="shared" si="93"/>
        <v>0</v>
      </c>
      <c r="AI164" s="184">
        <f t="shared" si="93"/>
        <v>0</v>
      </c>
      <c r="AJ164" s="184">
        <f t="shared" si="93"/>
        <v>0</v>
      </c>
      <c r="AK164" s="184">
        <f t="shared" si="93"/>
        <v>0</v>
      </c>
      <c r="AL164" s="184">
        <f t="shared" si="93"/>
        <v>0</v>
      </c>
      <c r="AM164" s="184">
        <f t="shared" si="93"/>
        <v>0</v>
      </c>
      <c r="AN164" s="184">
        <f t="shared" si="93"/>
        <v>0</v>
      </c>
      <c r="AO164" s="184">
        <f t="shared" si="93"/>
        <v>0</v>
      </c>
      <c r="AP164" s="184">
        <f t="shared" si="93"/>
        <v>0</v>
      </c>
      <c r="AQ164" s="184">
        <f t="shared" si="93"/>
        <v>0</v>
      </c>
      <c r="AR164" s="184">
        <f t="shared" si="93"/>
        <v>0</v>
      </c>
      <c r="AS164" s="184">
        <f t="shared" si="93"/>
        <v>0</v>
      </c>
      <c r="AT164" s="184">
        <f t="shared" si="93"/>
        <v>0</v>
      </c>
      <c r="AU164" s="184">
        <f t="shared" si="93"/>
        <v>0</v>
      </c>
      <c r="AV164" s="184">
        <f t="shared" si="93"/>
        <v>0</v>
      </c>
      <c r="AW164" s="184">
        <f t="shared" si="93"/>
        <v>0</v>
      </c>
      <c r="AX164" s="184">
        <f t="shared" si="93"/>
        <v>0</v>
      </c>
      <c r="AY164" s="184">
        <f t="shared" si="93"/>
        <v>0</v>
      </c>
      <c r="AZ164" s="184">
        <f t="shared" si="93"/>
        <v>0</v>
      </c>
      <c r="BA164" s="184">
        <f t="shared" si="93"/>
        <v>0</v>
      </c>
      <c r="BB164" s="184">
        <f t="shared" si="93"/>
        <v>0</v>
      </c>
      <c r="BC164" s="184">
        <f t="shared" si="93"/>
        <v>0</v>
      </c>
    </row>
  </sheetData>
  <sheetProtection algorithmName="SHA-512" hashValue="qB6NNbbxOxGcLyV7GGveAZlL4E5hlSdGoHTjLQJ9gFEHGYCz1bTLvcpayd8EGsQkXtiwLQK+vsB48eUoYYU7xw==" saltValue="lkOnNqqg0HOJLuHQdqUL6g==" spinCount="100000" sheet="1" objects="1" scenarios="1"/>
  <phoneticPr fontId="20" type="noConversion"/>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F13A-3187-4E50-944A-75C528744A4A}">
  <sheetPr codeName="Sheet4"/>
  <dimension ref="A1:BK34"/>
  <sheetViews>
    <sheetView zoomScale="80" zoomScaleNormal="80" workbookViewId="0">
      <selection activeCell="K24" sqref="K24"/>
    </sheetView>
  </sheetViews>
  <sheetFormatPr defaultRowHeight="14.5" x14ac:dyDescent="0.35"/>
  <cols>
    <col min="1" max="1" width="29.54296875" customWidth="1"/>
    <col min="2" max="2" width="19.08984375" bestFit="1" customWidth="1"/>
    <col min="3" max="3" width="4.453125" customWidth="1"/>
    <col min="4" max="4" width="17.90625" customWidth="1"/>
    <col min="5" max="5" width="10.453125" customWidth="1"/>
    <col min="6" max="6" width="11" customWidth="1"/>
    <col min="8" max="8" width="13.54296875" customWidth="1"/>
    <col min="9" max="9" width="16.90625" customWidth="1"/>
    <col min="10" max="10" width="10.08984375" customWidth="1"/>
    <col min="11" max="11" width="38.54296875" bestFit="1" customWidth="1"/>
    <col min="12" max="12" width="11.453125" customWidth="1"/>
  </cols>
  <sheetData>
    <row r="1" spans="1:63" ht="45.5" x14ac:dyDescent="0.35">
      <c r="A1" s="15" t="s">
        <v>196</v>
      </c>
      <c r="B1" s="15" t="s">
        <v>197</v>
      </c>
      <c r="D1" s="15" t="s">
        <v>198</v>
      </c>
      <c r="E1" s="14" t="s">
        <v>199</v>
      </c>
      <c r="F1" s="14" t="s">
        <v>200</v>
      </c>
      <c r="G1" s="14" t="s">
        <v>201</v>
      </c>
      <c r="H1" s="32" t="s">
        <v>202</v>
      </c>
      <c r="I1" s="32" t="s">
        <v>203</v>
      </c>
      <c r="J1" s="16"/>
      <c r="K1" s="33" t="s">
        <v>204</v>
      </c>
      <c r="L1" s="52">
        <v>2025</v>
      </c>
      <c r="M1" s="52">
        <v>2026</v>
      </c>
      <c r="N1" s="52">
        <v>2027</v>
      </c>
      <c r="O1" s="52">
        <v>2028</v>
      </c>
      <c r="P1" s="52">
        <v>2029</v>
      </c>
      <c r="Q1" s="52">
        <v>2030</v>
      </c>
      <c r="R1" s="52">
        <v>2031</v>
      </c>
      <c r="S1" s="52">
        <v>2032</v>
      </c>
      <c r="T1" s="52">
        <v>2033</v>
      </c>
      <c r="U1" s="52">
        <v>2034</v>
      </c>
      <c r="V1" s="52">
        <v>2035</v>
      </c>
      <c r="W1" s="52">
        <v>2036</v>
      </c>
      <c r="X1" s="52">
        <v>2037</v>
      </c>
      <c r="Y1" s="52">
        <v>2038</v>
      </c>
      <c r="Z1" s="52">
        <v>2039</v>
      </c>
      <c r="AA1" s="52">
        <v>2040</v>
      </c>
      <c r="AB1" s="52">
        <v>2041</v>
      </c>
      <c r="AC1" s="52">
        <v>2042</v>
      </c>
      <c r="AD1" s="52">
        <v>2043</v>
      </c>
      <c r="AE1" s="52">
        <v>2044</v>
      </c>
      <c r="AF1" s="52">
        <v>2045</v>
      </c>
      <c r="AG1" s="52">
        <v>2046</v>
      </c>
      <c r="AH1" s="52">
        <v>2047</v>
      </c>
      <c r="AI1" s="52">
        <v>2048</v>
      </c>
      <c r="AJ1" s="52">
        <v>2049</v>
      </c>
      <c r="AK1" s="52">
        <v>2050</v>
      </c>
      <c r="AL1" s="52">
        <v>2051</v>
      </c>
      <c r="AM1" s="52">
        <v>2052</v>
      </c>
      <c r="AN1" s="52">
        <v>2053</v>
      </c>
      <c r="AO1" s="52">
        <v>2054</v>
      </c>
      <c r="AP1" s="52">
        <v>2055</v>
      </c>
      <c r="AQ1" s="52">
        <v>2056</v>
      </c>
      <c r="AR1" s="52">
        <v>2057</v>
      </c>
      <c r="AS1" s="52">
        <v>2058</v>
      </c>
      <c r="AT1" s="52">
        <v>2059</v>
      </c>
      <c r="AU1" s="52">
        <v>2060</v>
      </c>
      <c r="AV1" s="52">
        <v>2061</v>
      </c>
      <c r="AW1" s="52">
        <v>2062</v>
      </c>
      <c r="AX1" s="52">
        <v>2063</v>
      </c>
      <c r="AY1" s="52">
        <v>2064</v>
      </c>
      <c r="AZ1" s="52">
        <v>2065</v>
      </c>
      <c r="BA1" s="52">
        <v>2066</v>
      </c>
      <c r="BB1" s="52">
        <v>2067</v>
      </c>
      <c r="BC1" s="52">
        <v>2068</v>
      </c>
      <c r="BD1" s="52">
        <v>2069</v>
      </c>
      <c r="BE1" s="52">
        <v>2070</v>
      </c>
    </row>
    <row r="2" spans="1:63" ht="14.4" customHeight="1" x14ac:dyDescent="0.35">
      <c r="A2" t="s">
        <v>205</v>
      </c>
      <c r="B2" t="s">
        <v>205</v>
      </c>
      <c r="D2" t="s">
        <v>205</v>
      </c>
      <c r="I2" s="16"/>
      <c r="K2" s="16" t="str">
        <f t="shared" ref="K2:K12" si="0">D3</f>
        <v>Electricity</v>
      </c>
      <c r="L2" s="16">
        <f t="shared" ref="L2:AK2" si="1">L18</f>
        <v>6.697875405113432E-2</v>
      </c>
      <c r="M2" s="16">
        <f t="shared" si="1"/>
        <v>6.7432426057832909E-2</v>
      </c>
      <c r="N2" s="16">
        <f t="shared" si="1"/>
        <v>6.7544020542920039E-2</v>
      </c>
      <c r="O2" s="16">
        <f t="shared" si="1"/>
        <v>6.5221803748223992E-2</v>
      </c>
      <c r="P2" s="16">
        <f t="shared" si="1"/>
        <v>6.1132009063111808E-2</v>
      </c>
      <c r="Q2" s="16">
        <f t="shared" si="1"/>
        <v>5.4806089084255438E-2</v>
      </c>
      <c r="R2" s="16">
        <f t="shared" si="1"/>
        <v>5.3734391286774867E-2</v>
      </c>
      <c r="S2" s="16">
        <f t="shared" si="1"/>
        <v>5.4925984778790661E-2</v>
      </c>
      <c r="T2" s="16">
        <f t="shared" si="1"/>
        <v>5.4936469427196849E-2</v>
      </c>
      <c r="U2" s="16">
        <f t="shared" si="1"/>
        <v>5.4465043014661332E-2</v>
      </c>
      <c r="V2" s="16">
        <f t="shared" si="1"/>
        <v>5.4689820406708514E-2</v>
      </c>
      <c r="W2" s="16">
        <f t="shared" si="1"/>
        <v>5.413425916946292E-2</v>
      </c>
      <c r="X2" s="16">
        <f t="shared" si="1"/>
        <v>3.9401193054447357E-2</v>
      </c>
      <c r="Y2" s="16">
        <f t="shared" si="1"/>
        <v>3.8607524280876715E-2</v>
      </c>
      <c r="Z2" s="16">
        <f t="shared" si="1"/>
        <v>3.8397024504084012E-2</v>
      </c>
      <c r="AA2" s="16">
        <f t="shared" si="1"/>
        <v>3.8662374821173101E-2</v>
      </c>
      <c r="AB2" s="16">
        <f t="shared" si="1"/>
        <v>3.8547358434211219E-2</v>
      </c>
      <c r="AC2" s="16">
        <f t="shared" si="1"/>
        <v>3.9380982880091397E-2</v>
      </c>
      <c r="AD2" s="16">
        <f t="shared" si="1"/>
        <v>4.0377287562155049E-2</v>
      </c>
      <c r="AE2" s="16">
        <f t="shared" si="1"/>
        <v>4.0909475107767726E-2</v>
      </c>
      <c r="AF2" s="16">
        <f t="shared" si="1"/>
        <v>4.0725118007431955E-2</v>
      </c>
      <c r="AG2" s="16">
        <f t="shared" si="1"/>
        <v>4.05712484864569E-2</v>
      </c>
      <c r="AH2" s="16">
        <f t="shared" si="1"/>
        <v>4.0806592213687723E-2</v>
      </c>
      <c r="AI2" s="16">
        <f t="shared" si="1"/>
        <v>4.072376042159534E-2</v>
      </c>
      <c r="AJ2" s="16">
        <f t="shared" si="1"/>
        <v>4.0516877979182207E-2</v>
      </c>
      <c r="AK2" s="16">
        <f t="shared" si="1"/>
        <v>4.070516952430063E-2</v>
      </c>
      <c r="AL2" s="16">
        <f>AK2</f>
        <v>4.070516952430063E-2</v>
      </c>
      <c r="AM2" s="16">
        <f t="shared" ref="AM2:BE2" si="2">AL2</f>
        <v>4.070516952430063E-2</v>
      </c>
      <c r="AN2" s="16">
        <f t="shared" si="2"/>
        <v>4.070516952430063E-2</v>
      </c>
      <c r="AO2" s="16">
        <f t="shared" si="2"/>
        <v>4.070516952430063E-2</v>
      </c>
      <c r="AP2" s="16">
        <f t="shared" si="2"/>
        <v>4.070516952430063E-2</v>
      </c>
      <c r="AQ2" s="16">
        <f t="shared" si="2"/>
        <v>4.070516952430063E-2</v>
      </c>
      <c r="AR2" s="16">
        <f t="shared" si="2"/>
        <v>4.070516952430063E-2</v>
      </c>
      <c r="AS2" s="16">
        <f t="shared" si="2"/>
        <v>4.070516952430063E-2</v>
      </c>
      <c r="AT2" s="16">
        <f t="shared" si="2"/>
        <v>4.070516952430063E-2</v>
      </c>
      <c r="AU2" s="16">
        <f t="shared" si="2"/>
        <v>4.070516952430063E-2</v>
      </c>
      <c r="AV2" s="16">
        <f t="shared" si="2"/>
        <v>4.070516952430063E-2</v>
      </c>
      <c r="AW2" s="16">
        <f t="shared" si="2"/>
        <v>4.070516952430063E-2</v>
      </c>
      <c r="AX2" s="16">
        <f t="shared" si="2"/>
        <v>4.070516952430063E-2</v>
      </c>
      <c r="AY2" s="16">
        <f t="shared" si="2"/>
        <v>4.070516952430063E-2</v>
      </c>
      <c r="AZ2" s="16">
        <f t="shared" si="2"/>
        <v>4.070516952430063E-2</v>
      </c>
      <c r="BA2" s="16">
        <f t="shared" si="2"/>
        <v>4.070516952430063E-2</v>
      </c>
      <c r="BB2" s="16">
        <f t="shared" si="2"/>
        <v>4.070516952430063E-2</v>
      </c>
      <c r="BC2" s="16">
        <f t="shared" si="2"/>
        <v>4.070516952430063E-2</v>
      </c>
      <c r="BD2" s="16">
        <f t="shared" si="2"/>
        <v>4.070516952430063E-2</v>
      </c>
      <c r="BE2" s="16">
        <f t="shared" si="2"/>
        <v>4.070516952430063E-2</v>
      </c>
      <c r="BG2" s="46"/>
      <c r="BH2" s="46"/>
      <c r="BI2" s="46"/>
      <c r="BJ2" s="46"/>
      <c r="BK2" s="46"/>
    </row>
    <row r="3" spans="1:63" ht="14.4" customHeight="1" x14ac:dyDescent="0.35">
      <c r="A3" t="s">
        <v>206</v>
      </c>
      <c r="B3" t="s">
        <v>207</v>
      </c>
      <c r="D3" s="6" t="s">
        <v>149</v>
      </c>
      <c r="E3" s="6" t="s">
        <v>208</v>
      </c>
      <c r="F3">
        <v>3.6</v>
      </c>
      <c r="G3" t="s">
        <v>209</v>
      </c>
      <c r="H3" s="18"/>
      <c r="I3" s="16"/>
      <c r="K3" s="16" t="str">
        <f t="shared" si="0"/>
        <v>Natural Gas</v>
      </c>
      <c r="L3" s="16">
        <f t="shared" ref="L3:L12" si="3">I4</f>
        <v>5.7212000000000006E-2</v>
      </c>
      <c r="M3" s="16">
        <f t="shared" ref="M3:AB12" si="4">L3</f>
        <v>5.7212000000000006E-2</v>
      </c>
      <c r="N3" s="16">
        <f t="shared" si="4"/>
        <v>5.7212000000000006E-2</v>
      </c>
      <c r="O3" s="16">
        <f t="shared" si="4"/>
        <v>5.7212000000000006E-2</v>
      </c>
      <c r="P3" s="16">
        <f t="shared" si="4"/>
        <v>5.7212000000000006E-2</v>
      </c>
      <c r="Q3" s="16">
        <f t="shared" si="4"/>
        <v>5.7212000000000006E-2</v>
      </c>
      <c r="R3" s="16">
        <f t="shared" si="4"/>
        <v>5.7212000000000006E-2</v>
      </c>
      <c r="S3" s="16">
        <f t="shared" si="4"/>
        <v>5.7212000000000006E-2</v>
      </c>
      <c r="T3" s="16">
        <f t="shared" si="4"/>
        <v>5.7212000000000006E-2</v>
      </c>
      <c r="U3" s="16">
        <f t="shared" si="4"/>
        <v>5.7212000000000006E-2</v>
      </c>
      <c r="V3" s="16">
        <f t="shared" si="4"/>
        <v>5.7212000000000006E-2</v>
      </c>
      <c r="W3" s="16">
        <f t="shared" si="4"/>
        <v>5.7212000000000006E-2</v>
      </c>
      <c r="X3" s="16">
        <f t="shared" si="4"/>
        <v>5.7212000000000006E-2</v>
      </c>
      <c r="Y3" s="16">
        <f t="shared" si="4"/>
        <v>5.7212000000000006E-2</v>
      </c>
      <c r="Z3" s="16">
        <f t="shared" si="4"/>
        <v>5.7212000000000006E-2</v>
      </c>
      <c r="AA3" s="16">
        <f t="shared" si="4"/>
        <v>5.7212000000000006E-2</v>
      </c>
      <c r="AB3" s="16">
        <f t="shared" si="4"/>
        <v>5.7212000000000006E-2</v>
      </c>
      <c r="AC3" s="16">
        <f t="shared" ref="N3:BE8" si="5">AB3</f>
        <v>5.7212000000000006E-2</v>
      </c>
      <c r="AD3" s="16">
        <f t="shared" si="5"/>
        <v>5.7212000000000006E-2</v>
      </c>
      <c r="AE3" s="16">
        <f t="shared" si="5"/>
        <v>5.7212000000000006E-2</v>
      </c>
      <c r="AF3" s="16">
        <f t="shared" si="5"/>
        <v>5.7212000000000006E-2</v>
      </c>
      <c r="AG3" s="16">
        <f t="shared" si="5"/>
        <v>5.7212000000000006E-2</v>
      </c>
      <c r="AH3" s="16">
        <f t="shared" si="5"/>
        <v>5.7212000000000006E-2</v>
      </c>
      <c r="AI3" s="16">
        <f t="shared" si="5"/>
        <v>5.7212000000000006E-2</v>
      </c>
      <c r="AJ3" s="16">
        <f t="shared" si="5"/>
        <v>5.7212000000000006E-2</v>
      </c>
      <c r="AK3" s="16">
        <f t="shared" si="5"/>
        <v>5.7212000000000006E-2</v>
      </c>
      <c r="AL3" s="16">
        <f t="shared" si="5"/>
        <v>5.7212000000000006E-2</v>
      </c>
      <c r="AM3" s="16">
        <f t="shared" si="5"/>
        <v>5.7212000000000006E-2</v>
      </c>
      <c r="AN3" s="16">
        <f t="shared" si="5"/>
        <v>5.7212000000000006E-2</v>
      </c>
      <c r="AO3" s="16">
        <f t="shared" si="5"/>
        <v>5.7212000000000006E-2</v>
      </c>
      <c r="AP3" s="16">
        <f t="shared" si="5"/>
        <v>5.7212000000000006E-2</v>
      </c>
      <c r="AQ3" s="16">
        <f t="shared" si="5"/>
        <v>5.7212000000000006E-2</v>
      </c>
      <c r="AR3" s="16">
        <f t="shared" si="5"/>
        <v>5.7212000000000006E-2</v>
      </c>
      <c r="AS3" s="16">
        <f t="shared" si="5"/>
        <v>5.7212000000000006E-2</v>
      </c>
      <c r="AT3" s="16">
        <f t="shared" si="5"/>
        <v>5.7212000000000006E-2</v>
      </c>
      <c r="AU3" s="16">
        <f t="shared" si="5"/>
        <v>5.7212000000000006E-2</v>
      </c>
      <c r="AV3" s="16">
        <f t="shared" si="5"/>
        <v>5.7212000000000006E-2</v>
      </c>
      <c r="AW3" s="16">
        <f t="shared" si="5"/>
        <v>5.7212000000000006E-2</v>
      </c>
      <c r="AX3" s="16">
        <f t="shared" si="5"/>
        <v>5.7212000000000006E-2</v>
      </c>
      <c r="AY3" s="16">
        <f t="shared" si="5"/>
        <v>5.7212000000000006E-2</v>
      </c>
      <c r="AZ3" s="16">
        <f t="shared" si="5"/>
        <v>5.7212000000000006E-2</v>
      </c>
      <c r="BA3" s="16">
        <f t="shared" si="5"/>
        <v>5.7212000000000006E-2</v>
      </c>
      <c r="BB3" s="16">
        <f t="shared" si="5"/>
        <v>5.7212000000000006E-2</v>
      </c>
      <c r="BC3" s="16">
        <f t="shared" si="5"/>
        <v>5.7212000000000006E-2</v>
      </c>
      <c r="BD3" s="16">
        <f t="shared" si="5"/>
        <v>5.7212000000000006E-2</v>
      </c>
      <c r="BE3" s="16">
        <f t="shared" si="5"/>
        <v>5.7212000000000006E-2</v>
      </c>
      <c r="BG3" s="20"/>
      <c r="BH3" s="20"/>
      <c r="BI3" s="20"/>
      <c r="BJ3" s="20"/>
      <c r="BK3" s="20"/>
    </row>
    <row r="4" spans="1:63" ht="14.4" customHeight="1" x14ac:dyDescent="0.35">
      <c r="A4" t="s">
        <v>210</v>
      </c>
      <c r="B4" t="s">
        <v>211</v>
      </c>
      <c r="D4" s="6" t="s">
        <v>150</v>
      </c>
      <c r="E4" s="6" t="s">
        <v>141</v>
      </c>
      <c r="F4">
        <v>1</v>
      </c>
      <c r="G4" t="s">
        <v>141</v>
      </c>
      <c r="H4" s="18">
        <v>57.212000000000003</v>
      </c>
      <c r="I4" s="16" cm="1">
        <f t="array" ref="I4">IF(E4=G4,H4/1000,(H4/$H$20)*INDEX($H$18:$H$23,MATCH(1,(G4=$E$18:$E$23)*(E4=$G$18:$G$23),0)))</f>
        <v>5.7212000000000006E-2</v>
      </c>
      <c r="K4" s="16" t="str">
        <f t="shared" si="0"/>
        <v>Coal - sub bituminous</v>
      </c>
      <c r="L4" s="16">
        <f t="shared" si="3"/>
        <v>2.0125535999999999</v>
      </c>
      <c r="M4" s="16">
        <f t="shared" si="4"/>
        <v>2.0125535999999999</v>
      </c>
      <c r="N4" s="16">
        <f t="shared" si="5"/>
        <v>2.0125535999999999</v>
      </c>
      <c r="O4" s="16">
        <f t="shared" si="5"/>
        <v>2.0125535999999999</v>
      </c>
      <c r="P4" s="16">
        <f t="shared" si="5"/>
        <v>2.0125535999999999</v>
      </c>
      <c r="Q4" s="16">
        <f t="shared" si="5"/>
        <v>2.0125535999999999</v>
      </c>
      <c r="R4" s="16">
        <f t="shared" si="5"/>
        <v>2.0125535999999999</v>
      </c>
      <c r="S4" s="16">
        <f t="shared" si="5"/>
        <v>2.0125535999999999</v>
      </c>
      <c r="T4" s="16">
        <f t="shared" si="5"/>
        <v>2.0125535999999999</v>
      </c>
      <c r="U4" s="16">
        <f t="shared" si="5"/>
        <v>2.0125535999999999</v>
      </c>
      <c r="V4" s="16">
        <f t="shared" si="5"/>
        <v>2.0125535999999999</v>
      </c>
      <c r="W4" s="16">
        <f t="shared" si="5"/>
        <v>2.0125535999999999</v>
      </c>
      <c r="X4" s="16">
        <f t="shared" si="5"/>
        <v>2.0125535999999999</v>
      </c>
      <c r="Y4" s="16">
        <f t="shared" si="5"/>
        <v>2.0125535999999999</v>
      </c>
      <c r="Z4" s="16">
        <f t="shared" si="5"/>
        <v>2.0125535999999999</v>
      </c>
      <c r="AA4" s="16">
        <f t="shared" si="5"/>
        <v>2.0125535999999999</v>
      </c>
      <c r="AB4" s="16">
        <f t="shared" si="5"/>
        <v>2.0125535999999999</v>
      </c>
      <c r="AC4" s="16">
        <f t="shared" si="5"/>
        <v>2.0125535999999999</v>
      </c>
      <c r="AD4" s="16">
        <f t="shared" si="5"/>
        <v>2.0125535999999999</v>
      </c>
      <c r="AE4" s="16">
        <f t="shared" si="5"/>
        <v>2.0125535999999999</v>
      </c>
      <c r="AF4" s="16">
        <f t="shared" si="5"/>
        <v>2.0125535999999999</v>
      </c>
      <c r="AG4" s="16">
        <f t="shared" si="5"/>
        <v>2.0125535999999999</v>
      </c>
      <c r="AH4" s="16">
        <f t="shared" si="5"/>
        <v>2.0125535999999999</v>
      </c>
      <c r="AI4" s="16">
        <f t="shared" si="5"/>
        <v>2.0125535999999999</v>
      </c>
      <c r="AJ4" s="16">
        <f t="shared" si="5"/>
        <v>2.0125535999999999</v>
      </c>
      <c r="AK4" s="16">
        <f t="shared" si="5"/>
        <v>2.0125535999999999</v>
      </c>
      <c r="AL4" s="16">
        <f t="shared" si="5"/>
        <v>2.0125535999999999</v>
      </c>
      <c r="AM4" s="16">
        <f t="shared" si="5"/>
        <v>2.0125535999999999</v>
      </c>
      <c r="AN4" s="16">
        <f t="shared" si="5"/>
        <v>2.0125535999999999</v>
      </c>
      <c r="AO4" s="16">
        <f t="shared" si="5"/>
        <v>2.0125535999999999</v>
      </c>
      <c r="AP4" s="16">
        <f t="shared" si="5"/>
        <v>2.0125535999999999</v>
      </c>
      <c r="AQ4" s="16">
        <f t="shared" si="5"/>
        <v>2.0125535999999999</v>
      </c>
      <c r="AR4" s="16">
        <f t="shared" si="5"/>
        <v>2.0125535999999999</v>
      </c>
      <c r="AS4" s="16">
        <f t="shared" si="5"/>
        <v>2.0125535999999999</v>
      </c>
      <c r="AT4" s="16">
        <f t="shared" si="5"/>
        <v>2.0125535999999999</v>
      </c>
      <c r="AU4" s="16">
        <f t="shared" si="5"/>
        <v>2.0125535999999999</v>
      </c>
      <c r="AV4" s="16">
        <f t="shared" si="5"/>
        <v>2.0125535999999999</v>
      </c>
      <c r="AW4" s="16">
        <f t="shared" si="5"/>
        <v>2.0125535999999999</v>
      </c>
      <c r="AX4" s="16">
        <f t="shared" si="5"/>
        <v>2.0125535999999999</v>
      </c>
      <c r="AY4" s="16">
        <f t="shared" si="5"/>
        <v>2.0125535999999999</v>
      </c>
      <c r="AZ4" s="16">
        <f t="shared" si="5"/>
        <v>2.0125535999999999</v>
      </c>
      <c r="BA4" s="16">
        <f t="shared" si="5"/>
        <v>2.0125535999999999</v>
      </c>
      <c r="BB4" s="16">
        <f t="shared" si="5"/>
        <v>2.0125535999999999</v>
      </c>
      <c r="BC4" s="16">
        <f t="shared" si="5"/>
        <v>2.0125535999999999</v>
      </c>
      <c r="BD4" s="16">
        <f t="shared" si="5"/>
        <v>2.0125535999999999</v>
      </c>
      <c r="BE4" s="16">
        <f t="shared" si="5"/>
        <v>2.0125535999999999</v>
      </c>
      <c r="BG4" s="21"/>
      <c r="BH4" s="21"/>
      <c r="BI4" s="21"/>
      <c r="BJ4" s="21"/>
      <c r="BK4" s="21"/>
    </row>
    <row r="5" spans="1:63" ht="14.4" customHeight="1" x14ac:dyDescent="0.35">
      <c r="A5" t="s">
        <v>4</v>
      </c>
      <c r="B5" t="s">
        <v>212</v>
      </c>
      <c r="D5" s="6" t="s">
        <v>151</v>
      </c>
      <c r="E5" s="6" t="s">
        <v>213</v>
      </c>
      <c r="F5">
        <v>22</v>
      </c>
      <c r="G5" t="s">
        <v>214</v>
      </c>
      <c r="H5" s="18">
        <v>2.0125535999999999</v>
      </c>
      <c r="I5" s="16" cm="1">
        <f t="array" ref="I5">IF(E5=G5,H5/1000,(H5/$H$20)*INDEX($H$18:$H$23,MATCH(1,(G5=$E$18:$E$23)*(E5=$G$18:$G$23),0)))</f>
        <v>2.0125535999999999</v>
      </c>
      <c r="K5" s="16" t="str">
        <f t="shared" si="0"/>
        <v>Coal - bituminous</v>
      </c>
      <c r="L5" s="16">
        <f t="shared" si="3"/>
        <v>2.6225536000000003</v>
      </c>
      <c r="M5" s="16">
        <f t="shared" si="4"/>
        <v>2.6225536000000003</v>
      </c>
      <c r="N5" s="16">
        <f t="shared" si="5"/>
        <v>2.6225536000000003</v>
      </c>
      <c r="O5" s="16">
        <f t="shared" si="5"/>
        <v>2.6225536000000003</v>
      </c>
      <c r="P5" s="16">
        <f t="shared" si="5"/>
        <v>2.6225536000000003</v>
      </c>
      <c r="Q5" s="16">
        <f t="shared" si="5"/>
        <v>2.6225536000000003</v>
      </c>
      <c r="R5" s="16">
        <f t="shared" si="5"/>
        <v>2.6225536000000003</v>
      </c>
      <c r="S5" s="16">
        <f t="shared" si="5"/>
        <v>2.6225536000000003</v>
      </c>
      <c r="T5" s="16">
        <f t="shared" si="5"/>
        <v>2.6225536000000003</v>
      </c>
      <c r="U5" s="16">
        <f t="shared" si="5"/>
        <v>2.6225536000000003</v>
      </c>
      <c r="V5" s="16">
        <f t="shared" si="5"/>
        <v>2.6225536000000003</v>
      </c>
      <c r="W5" s="16">
        <f t="shared" si="5"/>
        <v>2.6225536000000003</v>
      </c>
      <c r="X5" s="16">
        <f t="shared" si="5"/>
        <v>2.6225536000000003</v>
      </c>
      <c r="Y5" s="16">
        <f t="shared" si="5"/>
        <v>2.6225536000000003</v>
      </c>
      <c r="Z5" s="16">
        <f t="shared" si="5"/>
        <v>2.6225536000000003</v>
      </c>
      <c r="AA5" s="16">
        <f t="shared" si="5"/>
        <v>2.6225536000000003</v>
      </c>
      <c r="AB5" s="16">
        <f t="shared" si="5"/>
        <v>2.6225536000000003</v>
      </c>
      <c r="AC5" s="16">
        <f t="shared" si="5"/>
        <v>2.6225536000000003</v>
      </c>
      <c r="AD5" s="16">
        <f t="shared" si="5"/>
        <v>2.6225536000000003</v>
      </c>
      <c r="AE5" s="16">
        <f t="shared" si="5"/>
        <v>2.6225536000000003</v>
      </c>
      <c r="AF5" s="16">
        <f t="shared" si="5"/>
        <v>2.6225536000000003</v>
      </c>
      <c r="AG5" s="16">
        <f t="shared" si="5"/>
        <v>2.6225536000000003</v>
      </c>
      <c r="AH5" s="16">
        <f t="shared" si="5"/>
        <v>2.6225536000000003</v>
      </c>
      <c r="AI5" s="16">
        <f t="shared" si="5"/>
        <v>2.6225536000000003</v>
      </c>
      <c r="AJ5" s="16">
        <f t="shared" si="5"/>
        <v>2.6225536000000003</v>
      </c>
      <c r="AK5" s="16">
        <f t="shared" si="5"/>
        <v>2.6225536000000003</v>
      </c>
      <c r="AL5" s="16">
        <f t="shared" si="5"/>
        <v>2.6225536000000003</v>
      </c>
      <c r="AM5" s="16">
        <f t="shared" si="5"/>
        <v>2.6225536000000003</v>
      </c>
      <c r="AN5" s="16">
        <f t="shared" si="5"/>
        <v>2.6225536000000003</v>
      </c>
      <c r="AO5" s="16">
        <f t="shared" si="5"/>
        <v>2.6225536000000003</v>
      </c>
      <c r="AP5" s="16">
        <f t="shared" si="5"/>
        <v>2.6225536000000003</v>
      </c>
      <c r="AQ5" s="16">
        <f t="shared" si="5"/>
        <v>2.6225536000000003</v>
      </c>
      <c r="AR5" s="16">
        <f t="shared" si="5"/>
        <v>2.6225536000000003</v>
      </c>
      <c r="AS5" s="16">
        <f t="shared" si="5"/>
        <v>2.6225536000000003</v>
      </c>
      <c r="AT5" s="16">
        <f t="shared" si="5"/>
        <v>2.6225536000000003</v>
      </c>
      <c r="AU5" s="16">
        <f t="shared" si="5"/>
        <v>2.6225536000000003</v>
      </c>
      <c r="AV5" s="16">
        <f t="shared" si="5"/>
        <v>2.6225536000000003</v>
      </c>
      <c r="AW5" s="16">
        <f t="shared" si="5"/>
        <v>2.6225536000000003</v>
      </c>
      <c r="AX5" s="16">
        <f t="shared" si="5"/>
        <v>2.6225536000000003</v>
      </c>
      <c r="AY5" s="16">
        <f t="shared" si="5"/>
        <v>2.6225536000000003</v>
      </c>
      <c r="AZ5" s="16">
        <f t="shared" si="5"/>
        <v>2.6225536000000003</v>
      </c>
      <c r="BA5" s="16">
        <f t="shared" si="5"/>
        <v>2.6225536000000003</v>
      </c>
      <c r="BB5" s="16">
        <f t="shared" si="5"/>
        <v>2.6225536000000003</v>
      </c>
      <c r="BC5" s="16">
        <f t="shared" si="5"/>
        <v>2.6225536000000003</v>
      </c>
      <c r="BD5" s="16">
        <f t="shared" si="5"/>
        <v>2.6225536000000003</v>
      </c>
      <c r="BE5" s="16">
        <f t="shared" si="5"/>
        <v>2.6225536000000003</v>
      </c>
      <c r="BG5" s="22"/>
      <c r="BH5" s="22"/>
      <c r="BI5" s="22"/>
      <c r="BJ5" s="22"/>
      <c r="BK5" s="22"/>
    </row>
    <row r="6" spans="1:63" ht="14.4" customHeight="1" x14ac:dyDescent="0.35">
      <c r="A6" t="s">
        <v>215</v>
      </c>
      <c r="B6" t="s">
        <v>216</v>
      </c>
      <c r="D6" s="6" t="s">
        <v>152</v>
      </c>
      <c r="E6" s="6" t="s">
        <v>213</v>
      </c>
      <c r="F6">
        <v>27</v>
      </c>
      <c r="G6" t="s">
        <v>214</v>
      </c>
      <c r="H6" s="18">
        <v>2.6225536000000003</v>
      </c>
      <c r="I6" s="16" cm="1">
        <f t="array" ref="I6">IF(E6=G6,H6/1000,(H6/$H$20)*INDEX($H$18:$H$23,MATCH(1,(G6=$E$18:$E$23)*(E6=$G$18:$G$23),0)))</f>
        <v>2.6225536000000003</v>
      </c>
      <c r="K6" s="16" t="str">
        <f t="shared" si="0"/>
        <v>Coal - lignite</v>
      </c>
      <c r="L6" s="16">
        <f t="shared" si="3"/>
        <v>1.4325535999999999</v>
      </c>
      <c r="M6" s="16">
        <f t="shared" si="4"/>
        <v>1.4325535999999999</v>
      </c>
      <c r="N6" s="16">
        <f t="shared" si="5"/>
        <v>1.4325535999999999</v>
      </c>
      <c r="O6" s="16">
        <f t="shared" si="5"/>
        <v>1.4325535999999999</v>
      </c>
      <c r="P6" s="16">
        <f t="shared" si="5"/>
        <v>1.4325535999999999</v>
      </c>
      <c r="Q6" s="16">
        <f t="shared" si="5"/>
        <v>1.4325535999999999</v>
      </c>
      <c r="R6" s="16">
        <f t="shared" si="5"/>
        <v>1.4325535999999999</v>
      </c>
      <c r="S6" s="16">
        <f t="shared" si="5"/>
        <v>1.4325535999999999</v>
      </c>
      <c r="T6" s="16">
        <f t="shared" si="5"/>
        <v>1.4325535999999999</v>
      </c>
      <c r="U6" s="16">
        <f t="shared" si="5"/>
        <v>1.4325535999999999</v>
      </c>
      <c r="V6" s="16">
        <f t="shared" si="5"/>
        <v>1.4325535999999999</v>
      </c>
      <c r="W6" s="16">
        <f t="shared" si="5"/>
        <v>1.4325535999999999</v>
      </c>
      <c r="X6" s="16">
        <f t="shared" si="5"/>
        <v>1.4325535999999999</v>
      </c>
      <c r="Y6" s="16">
        <f t="shared" si="5"/>
        <v>1.4325535999999999</v>
      </c>
      <c r="Z6" s="16">
        <f t="shared" si="5"/>
        <v>1.4325535999999999</v>
      </c>
      <c r="AA6" s="16">
        <f t="shared" si="5"/>
        <v>1.4325535999999999</v>
      </c>
      <c r="AB6" s="16">
        <f t="shared" si="5"/>
        <v>1.4325535999999999</v>
      </c>
      <c r="AC6" s="16">
        <f t="shared" si="5"/>
        <v>1.4325535999999999</v>
      </c>
      <c r="AD6" s="16">
        <f t="shared" si="5"/>
        <v>1.4325535999999999</v>
      </c>
      <c r="AE6" s="16">
        <f t="shared" si="5"/>
        <v>1.4325535999999999</v>
      </c>
      <c r="AF6" s="16">
        <f t="shared" si="5"/>
        <v>1.4325535999999999</v>
      </c>
      <c r="AG6" s="16">
        <f t="shared" si="5"/>
        <v>1.4325535999999999</v>
      </c>
      <c r="AH6" s="16">
        <f t="shared" si="5"/>
        <v>1.4325535999999999</v>
      </c>
      <c r="AI6" s="16">
        <f t="shared" si="5"/>
        <v>1.4325535999999999</v>
      </c>
      <c r="AJ6" s="16">
        <f t="shared" si="5"/>
        <v>1.4325535999999999</v>
      </c>
      <c r="AK6" s="16">
        <f t="shared" si="5"/>
        <v>1.4325535999999999</v>
      </c>
      <c r="AL6" s="16">
        <f t="shared" si="5"/>
        <v>1.4325535999999999</v>
      </c>
      <c r="AM6" s="16">
        <f t="shared" si="5"/>
        <v>1.4325535999999999</v>
      </c>
      <c r="AN6" s="16">
        <f t="shared" si="5"/>
        <v>1.4325535999999999</v>
      </c>
      <c r="AO6" s="16">
        <f t="shared" si="5"/>
        <v>1.4325535999999999</v>
      </c>
      <c r="AP6" s="16">
        <f t="shared" si="5"/>
        <v>1.4325535999999999</v>
      </c>
      <c r="AQ6" s="16">
        <f t="shared" si="5"/>
        <v>1.4325535999999999</v>
      </c>
      <c r="AR6" s="16">
        <f t="shared" si="5"/>
        <v>1.4325535999999999</v>
      </c>
      <c r="AS6" s="16">
        <f t="shared" si="5"/>
        <v>1.4325535999999999</v>
      </c>
      <c r="AT6" s="16">
        <f t="shared" si="5"/>
        <v>1.4325535999999999</v>
      </c>
      <c r="AU6" s="16">
        <f t="shared" si="5"/>
        <v>1.4325535999999999</v>
      </c>
      <c r="AV6" s="16">
        <f t="shared" si="5"/>
        <v>1.4325535999999999</v>
      </c>
      <c r="AW6" s="16">
        <f t="shared" si="5"/>
        <v>1.4325535999999999</v>
      </c>
      <c r="AX6" s="16">
        <f t="shared" si="5"/>
        <v>1.4325535999999999</v>
      </c>
      <c r="AY6" s="16">
        <f t="shared" si="5"/>
        <v>1.4325535999999999</v>
      </c>
      <c r="AZ6" s="16">
        <f t="shared" si="5"/>
        <v>1.4325535999999999</v>
      </c>
      <c r="BA6" s="16">
        <f t="shared" si="5"/>
        <v>1.4325535999999999</v>
      </c>
      <c r="BB6" s="16">
        <f t="shared" si="5"/>
        <v>1.4325535999999999</v>
      </c>
      <c r="BC6" s="16">
        <f t="shared" si="5"/>
        <v>1.4325535999999999</v>
      </c>
      <c r="BD6" s="16">
        <f t="shared" si="5"/>
        <v>1.4325535999999999</v>
      </c>
      <c r="BE6" s="16">
        <f t="shared" si="5"/>
        <v>1.4325535999999999</v>
      </c>
      <c r="BG6" s="17"/>
      <c r="BH6" s="17"/>
      <c r="BI6" s="17"/>
      <c r="BJ6" s="17"/>
      <c r="BK6" s="17"/>
    </row>
    <row r="7" spans="1:63" ht="14.4" customHeight="1" x14ac:dyDescent="0.35">
      <c r="A7" t="s">
        <v>217</v>
      </c>
      <c r="B7" t="s">
        <v>6</v>
      </c>
      <c r="D7" s="6" t="s">
        <v>153</v>
      </c>
      <c r="E7" s="6" t="s">
        <v>213</v>
      </c>
      <c r="F7">
        <v>19</v>
      </c>
      <c r="G7" t="s">
        <v>214</v>
      </c>
      <c r="H7" s="18">
        <v>1.4325535999999999</v>
      </c>
      <c r="I7" s="16" cm="1">
        <f t="array" ref="I7">IF(E7=G7,H7/1000,(H7/$H$20)*INDEX($H$18:$H$23,MATCH(1,(G7=$E$18:$E$23)*(E7=$G$18:$G$23),0)))</f>
        <v>1.4325535999999999</v>
      </c>
      <c r="K7" s="16" t="str">
        <f t="shared" si="0"/>
        <v>Diesel</v>
      </c>
      <c r="L7" s="16">
        <f t="shared" si="3"/>
        <v>2.66E-3</v>
      </c>
      <c r="M7" s="16">
        <f t="shared" si="4"/>
        <v>2.66E-3</v>
      </c>
      <c r="N7" s="16">
        <f t="shared" si="5"/>
        <v>2.66E-3</v>
      </c>
      <c r="O7" s="16">
        <f t="shared" si="5"/>
        <v>2.66E-3</v>
      </c>
      <c r="P7" s="16">
        <f t="shared" si="5"/>
        <v>2.66E-3</v>
      </c>
      <c r="Q7" s="16">
        <f t="shared" si="5"/>
        <v>2.66E-3</v>
      </c>
      <c r="R7" s="16">
        <f t="shared" si="5"/>
        <v>2.66E-3</v>
      </c>
      <c r="S7" s="16">
        <f t="shared" si="5"/>
        <v>2.66E-3</v>
      </c>
      <c r="T7" s="16">
        <f t="shared" si="5"/>
        <v>2.66E-3</v>
      </c>
      <c r="U7" s="16">
        <f t="shared" si="5"/>
        <v>2.66E-3</v>
      </c>
      <c r="V7" s="16">
        <f t="shared" si="5"/>
        <v>2.66E-3</v>
      </c>
      <c r="W7" s="16">
        <f t="shared" si="5"/>
        <v>2.66E-3</v>
      </c>
      <c r="X7" s="16">
        <f t="shared" si="5"/>
        <v>2.66E-3</v>
      </c>
      <c r="Y7" s="16">
        <f t="shared" si="5"/>
        <v>2.66E-3</v>
      </c>
      <c r="Z7" s="16">
        <f t="shared" si="5"/>
        <v>2.66E-3</v>
      </c>
      <c r="AA7" s="16">
        <f t="shared" si="5"/>
        <v>2.66E-3</v>
      </c>
      <c r="AB7" s="16">
        <f t="shared" si="5"/>
        <v>2.66E-3</v>
      </c>
      <c r="AC7" s="16">
        <f t="shared" si="5"/>
        <v>2.66E-3</v>
      </c>
      <c r="AD7" s="16">
        <f t="shared" si="5"/>
        <v>2.66E-3</v>
      </c>
      <c r="AE7" s="16">
        <f t="shared" si="5"/>
        <v>2.66E-3</v>
      </c>
      <c r="AF7" s="16">
        <f t="shared" si="5"/>
        <v>2.66E-3</v>
      </c>
      <c r="AG7" s="16">
        <f t="shared" si="5"/>
        <v>2.66E-3</v>
      </c>
      <c r="AH7" s="16">
        <f t="shared" si="5"/>
        <v>2.66E-3</v>
      </c>
      <c r="AI7" s="16">
        <f t="shared" si="5"/>
        <v>2.66E-3</v>
      </c>
      <c r="AJ7" s="16">
        <f t="shared" si="5"/>
        <v>2.66E-3</v>
      </c>
      <c r="AK7" s="16">
        <f t="shared" si="5"/>
        <v>2.66E-3</v>
      </c>
      <c r="AL7" s="16">
        <f t="shared" si="5"/>
        <v>2.66E-3</v>
      </c>
      <c r="AM7" s="16">
        <f t="shared" si="5"/>
        <v>2.66E-3</v>
      </c>
      <c r="AN7" s="16">
        <f t="shared" si="5"/>
        <v>2.66E-3</v>
      </c>
      <c r="AO7" s="16">
        <f t="shared" si="5"/>
        <v>2.66E-3</v>
      </c>
      <c r="AP7" s="16">
        <f t="shared" si="5"/>
        <v>2.66E-3</v>
      </c>
      <c r="AQ7" s="16">
        <f t="shared" si="5"/>
        <v>2.66E-3</v>
      </c>
      <c r="AR7" s="16">
        <f t="shared" si="5"/>
        <v>2.66E-3</v>
      </c>
      <c r="AS7" s="16">
        <f t="shared" si="5"/>
        <v>2.66E-3</v>
      </c>
      <c r="AT7" s="16">
        <f t="shared" si="5"/>
        <v>2.66E-3</v>
      </c>
      <c r="AU7" s="16">
        <f t="shared" si="5"/>
        <v>2.66E-3</v>
      </c>
      <c r="AV7" s="16">
        <f t="shared" si="5"/>
        <v>2.66E-3</v>
      </c>
      <c r="AW7" s="16">
        <f t="shared" si="5"/>
        <v>2.66E-3</v>
      </c>
      <c r="AX7" s="16">
        <f t="shared" si="5"/>
        <v>2.66E-3</v>
      </c>
      <c r="AY7" s="16">
        <f t="shared" si="5"/>
        <v>2.66E-3</v>
      </c>
      <c r="AZ7" s="16">
        <f t="shared" si="5"/>
        <v>2.66E-3</v>
      </c>
      <c r="BA7" s="16">
        <f t="shared" si="5"/>
        <v>2.66E-3</v>
      </c>
      <c r="BB7" s="16">
        <f t="shared" si="5"/>
        <v>2.66E-3</v>
      </c>
      <c r="BC7" s="16">
        <f t="shared" si="5"/>
        <v>2.66E-3</v>
      </c>
      <c r="BD7" s="16">
        <f t="shared" si="5"/>
        <v>2.66E-3</v>
      </c>
      <c r="BE7" s="16">
        <f t="shared" si="5"/>
        <v>2.66E-3</v>
      </c>
      <c r="BG7" s="17"/>
      <c r="BH7" s="17"/>
      <c r="BI7" s="17"/>
      <c r="BJ7" s="17"/>
      <c r="BK7" s="17"/>
    </row>
    <row r="8" spans="1:63" ht="14.4" customHeight="1" x14ac:dyDescent="0.35">
      <c r="A8" t="s">
        <v>218</v>
      </c>
      <c r="B8" t="s">
        <v>219</v>
      </c>
      <c r="D8" s="6" t="s">
        <v>154</v>
      </c>
      <c r="E8" s="6" t="s">
        <v>220</v>
      </c>
      <c r="F8">
        <v>35.700000000000003</v>
      </c>
      <c r="G8" t="s">
        <v>220</v>
      </c>
      <c r="H8" s="19">
        <v>2.66</v>
      </c>
      <c r="I8" s="16" cm="1">
        <f t="array" ref="I8">IF(E8=G8,H8/1000,(H8/$H$20)*INDEX($H$18:$H$23,MATCH(1,(G8=$E$18:$E$23)*(E8=$G$18:$G$23),0)))</f>
        <v>2.66E-3</v>
      </c>
      <c r="K8" s="16" t="str">
        <f t="shared" si="0"/>
        <v>LPG</v>
      </c>
      <c r="L8" s="16">
        <f t="shared" si="3"/>
        <v>1.6489200000000001E-3</v>
      </c>
      <c r="M8" s="16">
        <f t="shared" si="4"/>
        <v>1.6489200000000001E-3</v>
      </c>
      <c r="N8" s="16">
        <f t="shared" si="5"/>
        <v>1.6489200000000001E-3</v>
      </c>
      <c r="O8" s="16">
        <f t="shared" si="5"/>
        <v>1.6489200000000001E-3</v>
      </c>
      <c r="P8" s="16">
        <f t="shared" si="5"/>
        <v>1.6489200000000001E-3</v>
      </c>
      <c r="Q8" s="16">
        <f t="shared" si="5"/>
        <v>1.6489200000000001E-3</v>
      </c>
      <c r="R8" s="16">
        <f t="shared" si="5"/>
        <v>1.6489200000000001E-3</v>
      </c>
      <c r="S8" s="16">
        <f t="shared" si="5"/>
        <v>1.6489200000000001E-3</v>
      </c>
      <c r="T8" s="16">
        <f t="shared" ref="N8:BE12" si="6">S8</f>
        <v>1.6489200000000001E-3</v>
      </c>
      <c r="U8" s="16">
        <f t="shared" si="6"/>
        <v>1.6489200000000001E-3</v>
      </c>
      <c r="V8" s="16">
        <f t="shared" si="6"/>
        <v>1.6489200000000001E-3</v>
      </c>
      <c r="W8" s="16">
        <f t="shared" si="6"/>
        <v>1.6489200000000001E-3</v>
      </c>
      <c r="X8" s="16">
        <f t="shared" si="6"/>
        <v>1.6489200000000001E-3</v>
      </c>
      <c r="Y8" s="16">
        <f t="shared" si="6"/>
        <v>1.6489200000000001E-3</v>
      </c>
      <c r="Z8" s="16">
        <f t="shared" si="6"/>
        <v>1.6489200000000001E-3</v>
      </c>
      <c r="AA8" s="16">
        <f t="shared" si="6"/>
        <v>1.6489200000000001E-3</v>
      </c>
      <c r="AB8" s="16">
        <f t="shared" si="6"/>
        <v>1.6489200000000001E-3</v>
      </c>
      <c r="AC8" s="16">
        <f t="shared" si="6"/>
        <v>1.6489200000000001E-3</v>
      </c>
      <c r="AD8" s="16">
        <f t="shared" si="6"/>
        <v>1.6489200000000001E-3</v>
      </c>
      <c r="AE8" s="16">
        <f t="shared" si="6"/>
        <v>1.6489200000000001E-3</v>
      </c>
      <c r="AF8" s="16">
        <f t="shared" si="6"/>
        <v>1.6489200000000001E-3</v>
      </c>
      <c r="AG8" s="16">
        <f t="shared" si="6"/>
        <v>1.6489200000000001E-3</v>
      </c>
      <c r="AH8" s="16">
        <f t="shared" si="6"/>
        <v>1.6489200000000001E-3</v>
      </c>
      <c r="AI8" s="16">
        <f t="shared" si="6"/>
        <v>1.6489200000000001E-3</v>
      </c>
      <c r="AJ8" s="16">
        <f t="shared" si="6"/>
        <v>1.6489200000000001E-3</v>
      </c>
      <c r="AK8" s="16">
        <f t="shared" si="6"/>
        <v>1.6489200000000001E-3</v>
      </c>
      <c r="AL8" s="16">
        <f t="shared" si="6"/>
        <v>1.6489200000000001E-3</v>
      </c>
      <c r="AM8" s="16">
        <f t="shared" si="6"/>
        <v>1.6489200000000001E-3</v>
      </c>
      <c r="AN8" s="16">
        <f t="shared" si="6"/>
        <v>1.6489200000000001E-3</v>
      </c>
      <c r="AO8" s="16">
        <f t="shared" si="6"/>
        <v>1.6489200000000001E-3</v>
      </c>
      <c r="AP8" s="16">
        <f t="shared" si="6"/>
        <v>1.6489200000000001E-3</v>
      </c>
      <c r="AQ8" s="16">
        <f t="shared" si="6"/>
        <v>1.6489200000000001E-3</v>
      </c>
      <c r="AR8" s="16">
        <f t="shared" si="6"/>
        <v>1.6489200000000001E-3</v>
      </c>
      <c r="AS8" s="16">
        <f t="shared" si="6"/>
        <v>1.6489200000000001E-3</v>
      </c>
      <c r="AT8" s="16">
        <f t="shared" si="6"/>
        <v>1.6489200000000001E-3</v>
      </c>
      <c r="AU8" s="16">
        <f t="shared" si="6"/>
        <v>1.6489200000000001E-3</v>
      </c>
      <c r="AV8" s="16">
        <f t="shared" si="6"/>
        <v>1.6489200000000001E-3</v>
      </c>
      <c r="AW8" s="16">
        <f t="shared" si="6"/>
        <v>1.6489200000000001E-3</v>
      </c>
      <c r="AX8" s="16">
        <f t="shared" si="6"/>
        <v>1.6489200000000001E-3</v>
      </c>
      <c r="AY8" s="16">
        <f t="shared" si="6"/>
        <v>1.6489200000000001E-3</v>
      </c>
      <c r="AZ8" s="16">
        <f t="shared" si="6"/>
        <v>1.6489200000000001E-3</v>
      </c>
      <c r="BA8" s="16">
        <f t="shared" si="6"/>
        <v>1.6489200000000001E-3</v>
      </c>
      <c r="BB8" s="16">
        <f t="shared" si="6"/>
        <v>1.6489200000000001E-3</v>
      </c>
      <c r="BC8" s="16">
        <f t="shared" si="6"/>
        <v>1.6489200000000001E-3</v>
      </c>
      <c r="BD8" s="16">
        <f t="shared" si="6"/>
        <v>1.6489200000000001E-3</v>
      </c>
      <c r="BE8" s="16">
        <f t="shared" si="6"/>
        <v>1.6489200000000001E-3</v>
      </c>
      <c r="BG8" s="31"/>
      <c r="BH8" s="31"/>
      <c r="BI8" s="31"/>
      <c r="BJ8" s="31"/>
      <c r="BK8" s="31"/>
    </row>
    <row r="9" spans="1:63" ht="14.4" customHeight="1" x14ac:dyDescent="0.35">
      <c r="A9" t="s">
        <v>221</v>
      </c>
      <c r="B9" t="s">
        <v>222</v>
      </c>
      <c r="D9" s="6" t="s">
        <v>155</v>
      </c>
      <c r="E9" s="6" t="s">
        <v>223</v>
      </c>
      <c r="F9" s="16">
        <f>0.025/0.546</f>
        <v>4.5787545787545784E-2</v>
      </c>
      <c r="G9" t="s">
        <v>214</v>
      </c>
      <c r="H9" s="19">
        <v>3.02</v>
      </c>
      <c r="I9" s="16" cm="1">
        <f t="array" ref="I9">IF(E9=G9,H9/1000,(H9/$H$20)*INDEX($H$18:$H$23,MATCH(1,(G9=$E$18:$E$23)*(E9=$G$18:$G$23),0)))</f>
        <v>1.6489200000000001E-3</v>
      </c>
      <c r="K9" s="16" t="str">
        <f t="shared" si="0"/>
        <v>Light fuel oil</v>
      </c>
      <c r="L9" s="16">
        <f t="shared" si="3"/>
        <v>2.9199999999999999E-3</v>
      </c>
      <c r="M9" s="16">
        <f t="shared" si="4"/>
        <v>2.9199999999999999E-3</v>
      </c>
      <c r="N9" s="16">
        <f t="shared" si="6"/>
        <v>2.9199999999999999E-3</v>
      </c>
      <c r="O9" s="16">
        <f t="shared" si="6"/>
        <v>2.9199999999999999E-3</v>
      </c>
      <c r="P9" s="16">
        <f t="shared" si="6"/>
        <v>2.9199999999999999E-3</v>
      </c>
      <c r="Q9" s="16">
        <f t="shared" si="6"/>
        <v>2.9199999999999999E-3</v>
      </c>
      <c r="R9" s="16">
        <f t="shared" si="6"/>
        <v>2.9199999999999999E-3</v>
      </c>
      <c r="S9" s="16">
        <f t="shared" si="6"/>
        <v>2.9199999999999999E-3</v>
      </c>
      <c r="T9" s="16">
        <f t="shared" si="6"/>
        <v>2.9199999999999999E-3</v>
      </c>
      <c r="U9" s="16">
        <f t="shared" si="6"/>
        <v>2.9199999999999999E-3</v>
      </c>
      <c r="V9" s="16">
        <f t="shared" si="6"/>
        <v>2.9199999999999999E-3</v>
      </c>
      <c r="W9" s="16">
        <f t="shared" si="6"/>
        <v>2.9199999999999999E-3</v>
      </c>
      <c r="X9" s="16">
        <f t="shared" si="6"/>
        <v>2.9199999999999999E-3</v>
      </c>
      <c r="Y9" s="16">
        <f t="shared" si="6"/>
        <v>2.9199999999999999E-3</v>
      </c>
      <c r="Z9" s="16">
        <f t="shared" si="6"/>
        <v>2.9199999999999999E-3</v>
      </c>
      <c r="AA9" s="16">
        <f t="shared" si="6"/>
        <v>2.9199999999999999E-3</v>
      </c>
      <c r="AB9" s="16">
        <f t="shared" si="6"/>
        <v>2.9199999999999999E-3</v>
      </c>
      <c r="AC9" s="16">
        <f t="shared" si="6"/>
        <v>2.9199999999999999E-3</v>
      </c>
      <c r="AD9" s="16">
        <f t="shared" si="6"/>
        <v>2.9199999999999999E-3</v>
      </c>
      <c r="AE9" s="16">
        <f t="shared" si="6"/>
        <v>2.9199999999999999E-3</v>
      </c>
      <c r="AF9" s="16">
        <f t="shared" si="6"/>
        <v>2.9199999999999999E-3</v>
      </c>
      <c r="AG9" s="16">
        <f t="shared" si="6"/>
        <v>2.9199999999999999E-3</v>
      </c>
      <c r="AH9" s="16">
        <f t="shared" si="6"/>
        <v>2.9199999999999999E-3</v>
      </c>
      <c r="AI9" s="16">
        <f t="shared" si="6"/>
        <v>2.9199999999999999E-3</v>
      </c>
      <c r="AJ9" s="16">
        <f t="shared" si="6"/>
        <v>2.9199999999999999E-3</v>
      </c>
      <c r="AK9" s="16">
        <f t="shared" si="6"/>
        <v>2.9199999999999999E-3</v>
      </c>
      <c r="AL9" s="16">
        <f t="shared" si="6"/>
        <v>2.9199999999999999E-3</v>
      </c>
      <c r="AM9" s="16">
        <f t="shared" si="6"/>
        <v>2.9199999999999999E-3</v>
      </c>
      <c r="AN9" s="16">
        <f t="shared" si="6"/>
        <v>2.9199999999999999E-3</v>
      </c>
      <c r="AO9" s="16">
        <f t="shared" si="6"/>
        <v>2.9199999999999999E-3</v>
      </c>
      <c r="AP9" s="16">
        <f t="shared" si="6"/>
        <v>2.9199999999999999E-3</v>
      </c>
      <c r="AQ9" s="16">
        <f t="shared" si="6"/>
        <v>2.9199999999999999E-3</v>
      </c>
      <c r="AR9" s="16">
        <f t="shared" si="6"/>
        <v>2.9199999999999999E-3</v>
      </c>
      <c r="AS9" s="16">
        <f t="shared" si="6"/>
        <v>2.9199999999999999E-3</v>
      </c>
      <c r="AT9" s="16">
        <f t="shared" si="6"/>
        <v>2.9199999999999999E-3</v>
      </c>
      <c r="AU9" s="16">
        <f t="shared" si="6"/>
        <v>2.9199999999999999E-3</v>
      </c>
      <c r="AV9" s="16">
        <f t="shared" si="6"/>
        <v>2.9199999999999999E-3</v>
      </c>
      <c r="AW9" s="16">
        <f t="shared" si="6"/>
        <v>2.9199999999999999E-3</v>
      </c>
      <c r="AX9" s="16">
        <f t="shared" si="6"/>
        <v>2.9199999999999999E-3</v>
      </c>
      <c r="AY9" s="16">
        <f t="shared" si="6"/>
        <v>2.9199999999999999E-3</v>
      </c>
      <c r="AZ9" s="16">
        <f t="shared" si="6"/>
        <v>2.9199999999999999E-3</v>
      </c>
      <c r="BA9" s="16">
        <f t="shared" si="6"/>
        <v>2.9199999999999999E-3</v>
      </c>
      <c r="BB9" s="16">
        <f t="shared" si="6"/>
        <v>2.9199999999999999E-3</v>
      </c>
      <c r="BC9" s="16">
        <f t="shared" si="6"/>
        <v>2.9199999999999999E-3</v>
      </c>
      <c r="BD9" s="16">
        <f t="shared" si="6"/>
        <v>2.9199999999999999E-3</v>
      </c>
      <c r="BE9" s="16">
        <f t="shared" si="6"/>
        <v>2.9199999999999999E-3</v>
      </c>
    </row>
    <row r="10" spans="1:63" ht="14.4" customHeight="1" x14ac:dyDescent="0.35">
      <c r="A10" t="s">
        <v>224</v>
      </c>
      <c r="B10" t="s">
        <v>225</v>
      </c>
      <c r="D10" s="6" t="s">
        <v>156</v>
      </c>
      <c r="E10" s="6" t="s">
        <v>220</v>
      </c>
      <c r="F10">
        <v>37.299999999999997</v>
      </c>
      <c r="G10" t="s">
        <v>220</v>
      </c>
      <c r="H10" s="19">
        <v>2.92</v>
      </c>
      <c r="I10" s="16" cm="1">
        <f t="array" ref="I10">IF(E10=G10,H10/1000,(H10/$H$20)*INDEX($H$18:$H$23,MATCH(1,(G10=$E$18:$E$23)*(E10=$G$18:$G$23),0)))</f>
        <v>2.9199999999999999E-3</v>
      </c>
      <c r="K10" s="16" t="str">
        <f t="shared" si="0"/>
        <v>Heavy fuel oil</v>
      </c>
      <c r="L10" s="16">
        <f t="shared" si="3"/>
        <v>3.0200000000000001E-3</v>
      </c>
      <c r="M10" s="16">
        <f t="shared" si="4"/>
        <v>3.0200000000000001E-3</v>
      </c>
      <c r="N10" s="16">
        <f t="shared" si="6"/>
        <v>3.0200000000000001E-3</v>
      </c>
      <c r="O10" s="16">
        <f t="shared" si="6"/>
        <v>3.0200000000000001E-3</v>
      </c>
      <c r="P10" s="16">
        <f t="shared" si="6"/>
        <v>3.0200000000000001E-3</v>
      </c>
      <c r="Q10" s="16">
        <f t="shared" si="6"/>
        <v>3.0200000000000001E-3</v>
      </c>
      <c r="R10" s="16">
        <f t="shared" si="6"/>
        <v>3.0200000000000001E-3</v>
      </c>
      <c r="S10" s="16">
        <f t="shared" si="6"/>
        <v>3.0200000000000001E-3</v>
      </c>
      <c r="T10" s="16">
        <f t="shared" si="6"/>
        <v>3.0200000000000001E-3</v>
      </c>
      <c r="U10" s="16">
        <f t="shared" si="6"/>
        <v>3.0200000000000001E-3</v>
      </c>
      <c r="V10" s="16">
        <f t="shared" si="6"/>
        <v>3.0200000000000001E-3</v>
      </c>
      <c r="W10" s="16">
        <f t="shared" si="6"/>
        <v>3.0200000000000001E-3</v>
      </c>
      <c r="X10" s="16">
        <f t="shared" si="6"/>
        <v>3.0200000000000001E-3</v>
      </c>
      <c r="Y10" s="16">
        <f t="shared" si="6"/>
        <v>3.0200000000000001E-3</v>
      </c>
      <c r="Z10" s="16">
        <f t="shared" si="6"/>
        <v>3.0200000000000001E-3</v>
      </c>
      <c r="AA10" s="16">
        <f t="shared" si="6"/>
        <v>3.0200000000000001E-3</v>
      </c>
      <c r="AB10" s="16">
        <f t="shared" si="6"/>
        <v>3.0200000000000001E-3</v>
      </c>
      <c r="AC10" s="16">
        <f t="shared" si="6"/>
        <v>3.0200000000000001E-3</v>
      </c>
      <c r="AD10" s="16">
        <f t="shared" si="6"/>
        <v>3.0200000000000001E-3</v>
      </c>
      <c r="AE10" s="16">
        <f t="shared" si="6"/>
        <v>3.0200000000000001E-3</v>
      </c>
      <c r="AF10" s="16">
        <f t="shared" si="6"/>
        <v>3.0200000000000001E-3</v>
      </c>
      <c r="AG10" s="16">
        <f t="shared" si="6"/>
        <v>3.0200000000000001E-3</v>
      </c>
      <c r="AH10" s="16">
        <f t="shared" si="6"/>
        <v>3.0200000000000001E-3</v>
      </c>
      <c r="AI10" s="16">
        <f t="shared" si="6"/>
        <v>3.0200000000000001E-3</v>
      </c>
      <c r="AJ10" s="16">
        <f t="shared" si="6"/>
        <v>3.0200000000000001E-3</v>
      </c>
      <c r="AK10" s="16">
        <f t="shared" si="6"/>
        <v>3.0200000000000001E-3</v>
      </c>
      <c r="AL10" s="16">
        <f t="shared" si="6"/>
        <v>3.0200000000000001E-3</v>
      </c>
      <c r="AM10" s="16">
        <f t="shared" si="6"/>
        <v>3.0200000000000001E-3</v>
      </c>
      <c r="AN10" s="16">
        <f t="shared" si="6"/>
        <v>3.0200000000000001E-3</v>
      </c>
      <c r="AO10" s="16">
        <f t="shared" si="6"/>
        <v>3.0200000000000001E-3</v>
      </c>
      <c r="AP10" s="16">
        <f t="shared" si="6"/>
        <v>3.0200000000000001E-3</v>
      </c>
      <c r="AQ10" s="16">
        <f t="shared" si="6"/>
        <v>3.0200000000000001E-3</v>
      </c>
      <c r="AR10" s="16">
        <f t="shared" si="6"/>
        <v>3.0200000000000001E-3</v>
      </c>
      <c r="AS10" s="16">
        <f t="shared" si="6"/>
        <v>3.0200000000000001E-3</v>
      </c>
      <c r="AT10" s="16">
        <f t="shared" si="6"/>
        <v>3.0200000000000001E-3</v>
      </c>
      <c r="AU10" s="16">
        <f t="shared" si="6"/>
        <v>3.0200000000000001E-3</v>
      </c>
      <c r="AV10" s="16">
        <f t="shared" si="6"/>
        <v>3.0200000000000001E-3</v>
      </c>
      <c r="AW10" s="16">
        <f t="shared" si="6"/>
        <v>3.0200000000000001E-3</v>
      </c>
      <c r="AX10" s="16">
        <f t="shared" si="6"/>
        <v>3.0200000000000001E-3</v>
      </c>
      <c r="AY10" s="16">
        <f t="shared" si="6"/>
        <v>3.0200000000000001E-3</v>
      </c>
      <c r="AZ10" s="16">
        <f t="shared" si="6"/>
        <v>3.0200000000000001E-3</v>
      </c>
      <c r="BA10" s="16">
        <f t="shared" si="6"/>
        <v>3.0200000000000001E-3</v>
      </c>
      <c r="BB10" s="16">
        <f t="shared" si="6"/>
        <v>3.0200000000000001E-3</v>
      </c>
      <c r="BC10" s="16">
        <f t="shared" si="6"/>
        <v>3.0200000000000001E-3</v>
      </c>
      <c r="BD10" s="16">
        <f t="shared" si="6"/>
        <v>3.0200000000000001E-3</v>
      </c>
      <c r="BE10" s="16">
        <f t="shared" si="6"/>
        <v>3.0200000000000001E-3</v>
      </c>
    </row>
    <row r="11" spans="1:63" ht="14.4" customHeight="1" x14ac:dyDescent="0.35">
      <c r="A11" t="s">
        <v>226</v>
      </c>
      <c r="B11" t="s">
        <v>227</v>
      </c>
      <c r="D11" s="6" t="s">
        <v>157</v>
      </c>
      <c r="E11" s="6" t="s">
        <v>220</v>
      </c>
      <c r="F11">
        <v>38.4</v>
      </c>
      <c r="G11" t="s">
        <v>220</v>
      </c>
      <c r="H11" s="19">
        <v>3.02</v>
      </c>
      <c r="I11" s="16" cm="1">
        <f t="array" ref="I11">IF(E11=G11,H11/1000,(H11/$H$20)*INDEX($H$18:$H$23,MATCH(1,(G11=$E$18:$E$23)*(E11=$G$18:$G$23),0)))</f>
        <v>3.0200000000000001E-3</v>
      </c>
      <c r="K11" s="16" t="str">
        <f t="shared" si="0"/>
        <v>Geothermal</v>
      </c>
      <c r="L11" s="16">
        <f t="shared" si="3"/>
        <v>6.2000000000000003E-5</v>
      </c>
      <c r="M11" s="16">
        <f t="shared" si="4"/>
        <v>6.2000000000000003E-5</v>
      </c>
      <c r="N11" s="16">
        <f t="shared" si="6"/>
        <v>6.2000000000000003E-5</v>
      </c>
      <c r="O11" s="16">
        <f t="shared" si="6"/>
        <v>6.2000000000000003E-5</v>
      </c>
      <c r="P11" s="16">
        <f t="shared" si="6"/>
        <v>6.2000000000000003E-5</v>
      </c>
      <c r="Q11" s="16">
        <f t="shared" si="6"/>
        <v>6.2000000000000003E-5</v>
      </c>
      <c r="R11" s="16">
        <f t="shared" si="6"/>
        <v>6.2000000000000003E-5</v>
      </c>
      <c r="S11" s="16">
        <f t="shared" si="6"/>
        <v>6.2000000000000003E-5</v>
      </c>
      <c r="T11" s="16">
        <f t="shared" si="6"/>
        <v>6.2000000000000003E-5</v>
      </c>
      <c r="U11" s="16">
        <f t="shared" si="6"/>
        <v>6.2000000000000003E-5</v>
      </c>
      <c r="V11" s="16">
        <f t="shared" si="6"/>
        <v>6.2000000000000003E-5</v>
      </c>
      <c r="W11" s="16">
        <f t="shared" si="6"/>
        <v>6.2000000000000003E-5</v>
      </c>
      <c r="X11" s="16">
        <f t="shared" si="6"/>
        <v>6.2000000000000003E-5</v>
      </c>
      <c r="Y11" s="16">
        <f t="shared" si="6"/>
        <v>6.2000000000000003E-5</v>
      </c>
      <c r="Z11" s="16">
        <f t="shared" si="6"/>
        <v>6.2000000000000003E-5</v>
      </c>
      <c r="AA11" s="16">
        <f t="shared" si="6"/>
        <v>6.2000000000000003E-5</v>
      </c>
      <c r="AB11" s="16">
        <f t="shared" si="6"/>
        <v>6.2000000000000003E-5</v>
      </c>
      <c r="AC11" s="16">
        <f t="shared" si="6"/>
        <v>6.2000000000000003E-5</v>
      </c>
      <c r="AD11" s="16">
        <f t="shared" si="6"/>
        <v>6.2000000000000003E-5</v>
      </c>
      <c r="AE11" s="16">
        <f t="shared" si="6"/>
        <v>6.2000000000000003E-5</v>
      </c>
      <c r="AF11" s="16">
        <f t="shared" si="6"/>
        <v>6.2000000000000003E-5</v>
      </c>
      <c r="AG11" s="16">
        <f t="shared" si="6"/>
        <v>6.2000000000000003E-5</v>
      </c>
      <c r="AH11" s="16">
        <f t="shared" si="6"/>
        <v>6.2000000000000003E-5</v>
      </c>
      <c r="AI11" s="16">
        <f t="shared" si="6"/>
        <v>6.2000000000000003E-5</v>
      </c>
      <c r="AJ11" s="16">
        <f t="shared" si="6"/>
        <v>6.2000000000000003E-5</v>
      </c>
      <c r="AK11" s="16">
        <f t="shared" si="6"/>
        <v>6.2000000000000003E-5</v>
      </c>
      <c r="AL11" s="16">
        <f t="shared" si="6"/>
        <v>6.2000000000000003E-5</v>
      </c>
      <c r="AM11" s="16">
        <f t="shared" si="6"/>
        <v>6.2000000000000003E-5</v>
      </c>
      <c r="AN11" s="16">
        <f t="shared" si="6"/>
        <v>6.2000000000000003E-5</v>
      </c>
      <c r="AO11" s="16">
        <f t="shared" si="6"/>
        <v>6.2000000000000003E-5</v>
      </c>
      <c r="AP11" s="16">
        <f t="shared" si="6"/>
        <v>6.2000000000000003E-5</v>
      </c>
      <c r="AQ11" s="16">
        <f t="shared" si="6"/>
        <v>6.2000000000000003E-5</v>
      </c>
      <c r="AR11" s="16">
        <f t="shared" si="6"/>
        <v>6.2000000000000003E-5</v>
      </c>
      <c r="AS11" s="16">
        <f t="shared" si="6"/>
        <v>6.2000000000000003E-5</v>
      </c>
      <c r="AT11" s="16">
        <f t="shared" si="6"/>
        <v>6.2000000000000003E-5</v>
      </c>
      <c r="AU11" s="16">
        <f t="shared" si="6"/>
        <v>6.2000000000000003E-5</v>
      </c>
      <c r="AV11" s="16">
        <f t="shared" si="6"/>
        <v>6.2000000000000003E-5</v>
      </c>
      <c r="AW11" s="16">
        <f t="shared" si="6"/>
        <v>6.2000000000000003E-5</v>
      </c>
      <c r="AX11" s="16">
        <f t="shared" si="6"/>
        <v>6.2000000000000003E-5</v>
      </c>
      <c r="AY11" s="16">
        <f t="shared" si="6"/>
        <v>6.2000000000000003E-5</v>
      </c>
      <c r="AZ11" s="16">
        <f t="shared" si="6"/>
        <v>6.2000000000000003E-5</v>
      </c>
      <c r="BA11" s="16">
        <f t="shared" si="6"/>
        <v>6.2000000000000003E-5</v>
      </c>
      <c r="BB11" s="16">
        <f t="shared" si="6"/>
        <v>6.2000000000000003E-5</v>
      </c>
      <c r="BC11" s="16">
        <f t="shared" si="6"/>
        <v>6.2000000000000003E-5</v>
      </c>
      <c r="BD11" s="16">
        <f t="shared" si="6"/>
        <v>6.2000000000000003E-5</v>
      </c>
      <c r="BE11" s="16">
        <f t="shared" si="6"/>
        <v>6.2000000000000003E-5</v>
      </c>
    </row>
    <row r="12" spans="1:63" ht="14.4" customHeight="1" x14ac:dyDescent="0.35">
      <c r="A12" t="s">
        <v>228</v>
      </c>
      <c r="B12" t="s">
        <v>229</v>
      </c>
      <c r="D12" s="6" t="s">
        <v>158</v>
      </c>
      <c r="E12" s="6" t="s">
        <v>209</v>
      </c>
      <c r="F12">
        <f>3.6/1000</f>
        <v>3.5999999999999999E-3</v>
      </c>
      <c r="G12" t="s">
        <v>209</v>
      </c>
      <c r="H12" s="18">
        <v>6.2E-2</v>
      </c>
      <c r="I12" s="16" cm="1">
        <f t="array" ref="I12">IF(E12=G12,H12/1000,(H12/$H$20)*INDEX($H$18:$H$23,MATCH(1,(G12=$E$18:$E$23)*(E12=$G$18:$G$23),0)))</f>
        <v>6.2000000000000003E-5</v>
      </c>
      <c r="K12" s="68" t="str">
        <f t="shared" si="0"/>
        <v>Wood or wood chips</v>
      </c>
      <c r="L12" s="68">
        <f t="shared" si="3"/>
        <v>2.0107199999999999E-2</v>
      </c>
      <c r="M12" s="68">
        <f t="shared" si="4"/>
        <v>2.0107199999999999E-2</v>
      </c>
      <c r="N12" s="68">
        <f t="shared" si="6"/>
        <v>2.0107199999999999E-2</v>
      </c>
      <c r="O12" s="68">
        <f t="shared" si="6"/>
        <v>2.0107199999999999E-2</v>
      </c>
      <c r="P12" s="68">
        <f t="shared" si="6"/>
        <v>2.0107199999999999E-2</v>
      </c>
      <c r="Q12" s="68">
        <f t="shared" si="6"/>
        <v>2.0107199999999999E-2</v>
      </c>
      <c r="R12" s="68">
        <f t="shared" si="6"/>
        <v>2.0107199999999999E-2</v>
      </c>
      <c r="S12" s="68">
        <f t="shared" si="6"/>
        <v>2.0107199999999999E-2</v>
      </c>
      <c r="T12" s="68">
        <f t="shared" si="6"/>
        <v>2.0107199999999999E-2</v>
      </c>
      <c r="U12" s="68">
        <f t="shared" si="6"/>
        <v>2.0107199999999999E-2</v>
      </c>
      <c r="V12" s="68">
        <f t="shared" si="6"/>
        <v>2.0107199999999999E-2</v>
      </c>
      <c r="W12" s="68">
        <f t="shared" si="6"/>
        <v>2.0107199999999999E-2</v>
      </c>
      <c r="X12" s="68">
        <f t="shared" si="6"/>
        <v>2.0107199999999999E-2</v>
      </c>
      <c r="Y12" s="68">
        <f t="shared" si="6"/>
        <v>2.0107199999999999E-2</v>
      </c>
      <c r="Z12" s="68">
        <f t="shared" si="6"/>
        <v>2.0107199999999999E-2</v>
      </c>
      <c r="AA12" s="68">
        <f t="shared" si="6"/>
        <v>2.0107199999999999E-2</v>
      </c>
      <c r="AB12" s="68">
        <f t="shared" si="6"/>
        <v>2.0107199999999999E-2</v>
      </c>
      <c r="AC12" s="68">
        <f t="shared" si="6"/>
        <v>2.0107199999999999E-2</v>
      </c>
      <c r="AD12" s="68">
        <f t="shared" si="6"/>
        <v>2.0107199999999999E-2</v>
      </c>
      <c r="AE12" s="68">
        <f t="shared" si="6"/>
        <v>2.0107199999999999E-2</v>
      </c>
      <c r="AF12" s="68">
        <f t="shared" si="6"/>
        <v>2.0107199999999999E-2</v>
      </c>
      <c r="AG12" s="68">
        <f t="shared" si="6"/>
        <v>2.0107199999999999E-2</v>
      </c>
      <c r="AH12" s="68">
        <f t="shared" si="6"/>
        <v>2.0107199999999999E-2</v>
      </c>
      <c r="AI12" s="68">
        <f t="shared" si="6"/>
        <v>2.0107199999999999E-2</v>
      </c>
      <c r="AJ12" s="68">
        <f t="shared" si="6"/>
        <v>2.0107199999999999E-2</v>
      </c>
      <c r="AK12" s="68">
        <f t="shared" si="6"/>
        <v>2.0107199999999999E-2</v>
      </c>
      <c r="AL12" s="68">
        <f t="shared" si="6"/>
        <v>2.0107199999999999E-2</v>
      </c>
      <c r="AM12" s="68">
        <f t="shared" si="6"/>
        <v>2.0107199999999999E-2</v>
      </c>
      <c r="AN12" s="68">
        <f t="shared" si="6"/>
        <v>2.0107199999999999E-2</v>
      </c>
      <c r="AO12" s="68">
        <f t="shared" si="6"/>
        <v>2.0107199999999999E-2</v>
      </c>
      <c r="AP12" s="68">
        <f t="shared" si="6"/>
        <v>2.0107199999999999E-2</v>
      </c>
      <c r="AQ12" s="68">
        <f t="shared" si="6"/>
        <v>2.0107199999999999E-2</v>
      </c>
      <c r="AR12" s="68">
        <f t="shared" si="6"/>
        <v>2.0107199999999999E-2</v>
      </c>
      <c r="AS12" s="68">
        <f t="shared" si="6"/>
        <v>2.0107199999999999E-2</v>
      </c>
      <c r="AT12" s="68">
        <f t="shared" si="6"/>
        <v>2.0107199999999999E-2</v>
      </c>
      <c r="AU12" s="68">
        <f t="shared" si="6"/>
        <v>2.0107199999999999E-2</v>
      </c>
      <c r="AV12" s="68">
        <f t="shared" si="6"/>
        <v>2.0107199999999999E-2</v>
      </c>
      <c r="AW12" s="68">
        <f t="shared" si="6"/>
        <v>2.0107199999999999E-2</v>
      </c>
      <c r="AX12" s="68">
        <f t="shared" si="6"/>
        <v>2.0107199999999999E-2</v>
      </c>
      <c r="AY12" s="68">
        <f t="shared" si="6"/>
        <v>2.0107199999999999E-2</v>
      </c>
      <c r="AZ12" s="68">
        <f t="shared" si="6"/>
        <v>2.0107199999999999E-2</v>
      </c>
      <c r="BA12" s="68">
        <f t="shared" si="6"/>
        <v>2.0107199999999999E-2</v>
      </c>
      <c r="BB12" s="68">
        <f t="shared" si="6"/>
        <v>2.0107199999999999E-2</v>
      </c>
      <c r="BC12" s="68">
        <f t="shared" si="6"/>
        <v>2.0107199999999999E-2</v>
      </c>
      <c r="BD12" s="68">
        <f t="shared" si="6"/>
        <v>2.0107199999999999E-2</v>
      </c>
      <c r="BE12" s="68">
        <f t="shared" si="6"/>
        <v>2.0107199999999999E-2</v>
      </c>
    </row>
    <row r="13" spans="1:63" ht="14.4" customHeight="1" x14ac:dyDescent="0.35">
      <c r="A13" t="s">
        <v>230</v>
      </c>
      <c r="B13" t="s">
        <v>231</v>
      </c>
      <c r="D13" s="6" t="s">
        <v>159</v>
      </c>
      <c r="E13" s="6" t="s">
        <v>213</v>
      </c>
      <c r="F13">
        <v>10</v>
      </c>
      <c r="G13" t="s">
        <v>214</v>
      </c>
      <c r="H13" s="18">
        <v>2.0107199999999999E-2</v>
      </c>
      <c r="I13" s="16" cm="1">
        <f t="array" ref="I13">IF(E13=G13,H13/1000,(H13/$H$20)*INDEX($H$18:$H$23,MATCH(1,(G13=$E$18:$E$23)*(E13=$G$18:$G$23),0)))</f>
        <v>2.0107199999999999E-2</v>
      </c>
    </row>
    <row r="14" spans="1:63" ht="14.4" customHeight="1" x14ac:dyDescent="0.35">
      <c r="A14" t="s">
        <v>232</v>
      </c>
      <c r="B14" t="s">
        <v>233</v>
      </c>
      <c r="D14" s="6"/>
      <c r="E14" s="6"/>
      <c r="F14" s="6"/>
      <c r="H14" s="18"/>
      <c r="I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row>
    <row r="15" spans="1:63" x14ac:dyDescent="0.35">
      <c r="A15" t="s">
        <v>234</v>
      </c>
      <c r="B15" t="s">
        <v>235</v>
      </c>
      <c r="D15" s="6"/>
      <c r="E15" s="6"/>
      <c r="F15" s="6"/>
      <c r="H15" s="18"/>
      <c r="I15" s="16"/>
    </row>
    <row r="16" spans="1:63" x14ac:dyDescent="0.35">
      <c r="B16" t="s">
        <v>236</v>
      </c>
      <c r="K16" s="5" t="s">
        <v>237</v>
      </c>
    </row>
    <row r="17" spans="2:57" x14ac:dyDescent="0.35">
      <c r="B17" t="s">
        <v>238</v>
      </c>
      <c r="D17" s="14" t="s">
        <v>198</v>
      </c>
      <c r="E17" s="14" t="s">
        <v>239</v>
      </c>
      <c r="F17" s="14"/>
      <c r="G17" s="15" t="s">
        <v>240</v>
      </c>
      <c r="H17" s="15" t="s">
        <v>241</v>
      </c>
      <c r="K17" s="33" t="s">
        <v>242</v>
      </c>
      <c r="L17" s="52">
        <v>2025</v>
      </c>
      <c r="M17" s="52">
        <v>2026</v>
      </c>
      <c r="N17" s="52">
        <v>2027</v>
      </c>
      <c r="O17" s="52">
        <v>2028</v>
      </c>
      <c r="P17" s="52">
        <v>2029</v>
      </c>
      <c r="Q17" s="52">
        <v>2030</v>
      </c>
      <c r="R17" s="52">
        <v>2031</v>
      </c>
      <c r="S17" s="52">
        <v>2032</v>
      </c>
      <c r="T17" s="52">
        <v>2033</v>
      </c>
      <c r="U17" s="52">
        <v>2034</v>
      </c>
      <c r="V17" s="52">
        <v>2035</v>
      </c>
      <c r="W17" s="52">
        <v>2036</v>
      </c>
      <c r="X17" s="52">
        <v>2037</v>
      </c>
      <c r="Y17" s="52">
        <v>2038</v>
      </c>
      <c r="Z17" s="52">
        <v>2039</v>
      </c>
      <c r="AA17" s="52">
        <v>2040</v>
      </c>
      <c r="AB17" s="52">
        <v>2041</v>
      </c>
      <c r="AC17" s="52">
        <v>2042</v>
      </c>
      <c r="AD17" s="52">
        <v>2043</v>
      </c>
      <c r="AE17" s="52">
        <v>2044</v>
      </c>
      <c r="AF17" s="52">
        <v>2045</v>
      </c>
      <c r="AG17" s="52">
        <v>2046</v>
      </c>
      <c r="AH17" s="52">
        <v>2047</v>
      </c>
      <c r="AI17" s="52">
        <v>2048</v>
      </c>
      <c r="AJ17" s="52">
        <v>2049</v>
      </c>
      <c r="AK17" s="52">
        <v>2050</v>
      </c>
      <c r="AL17" s="52">
        <v>2051</v>
      </c>
      <c r="AM17" s="52">
        <v>2052</v>
      </c>
      <c r="AN17" s="52">
        <v>2053</v>
      </c>
      <c r="AO17" s="52">
        <v>2054</v>
      </c>
      <c r="AP17" s="52">
        <v>2055</v>
      </c>
      <c r="AQ17" s="52">
        <v>2056</v>
      </c>
      <c r="AR17" s="52">
        <v>2057</v>
      </c>
      <c r="AS17" s="52">
        <v>2058</v>
      </c>
      <c r="AT17" s="52">
        <v>2059</v>
      </c>
      <c r="AU17" s="52">
        <v>2060</v>
      </c>
      <c r="AV17" s="52">
        <v>2061</v>
      </c>
      <c r="AW17" s="52">
        <v>2062</v>
      </c>
      <c r="AX17" s="52">
        <v>2063</v>
      </c>
      <c r="AY17" s="52">
        <v>2064</v>
      </c>
      <c r="AZ17" s="52">
        <v>2065</v>
      </c>
      <c r="BA17" s="52">
        <v>2066</v>
      </c>
      <c r="BB17" s="52">
        <v>2067</v>
      </c>
      <c r="BC17" s="52">
        <v>2068</v>
      </c>
      <c r="BD17" s="52">
        <v>2069</v>
      </c>
      <c r="BE17" s="52">
        <v>2070</v>
      </c>
    </row>
    <row r="18" spans="2:57" x14ac:dyDescent="0.35">
      <c r="B18" t="s">
        <v>243</v>
      </c>
      <c r="D18" t="s">
        <v>244</v>
      </c>
      <c r="E18" t="s">
        <v>209</v>
      </c>
      <c r="G18" t="s">
        <v>208</v>
      </c>
      <c r="H18">
        <v>1000</v>
      </c>
      <c r="K18" t="s">
        <v>245</v>
      </c>
      <c r="L18" s="17">
        <v>6.697875405113432E-2</v>
      </c>
      <c r="M18" s="17">
        <v>6.7432426057832909E-2</v>
      </c>
      <c r="N18" s="17">
        <v>6.7544020542920039E-2</v>
      </c>
      <c r="O18" s="17">
        <v>6.5221803748223992E-2</v>
      </c>
      <c r="P18" s="17">
        <v>6.1132009063111808E-2</v>
      </c>
      <c r="Q18" s="17">
        <v>5.4806089084255438E-2</v>
      </c>
      <c r="R18" s="17">
        <v>5.3734391286774867E-2</v>
      </c>
      <c r="S18" s="17">
        <v>5.4925984778790661E-2</v>
      </c>
      <c r="T18" s="17">
        <v>5.4936469427196849E-2</v>
      </c>
      <c r="U18" s="17">
        <v>5.4465043014661332E-2</v>
      </c>
      <c r="V18" s="17">
        <v>5.4689820406708514E-2</v>
      </c>
      <c r="W18" s="17">
        <v>5.413425916946292E-2</v>
      </c>
      <c r="X18" s="17">
        <v>3.9401193054447357E-2</v>
      </c>
      <c r="Y18" s="17">
        <v>3.8607524280876715E-2</v>
      </c>
      <c r="Z18" s="17">
        <v>3.8397024504084012E-2</v>
      </c>
      <c r="AA18" s="17">
        <v>3.8662374821173101E-2</v>
      </c>
      <c r="AB18" s="17">
        <v>3.8547358434211219E-2</v>
      </c>
      <c r="AC18" s="17">
        <v>3.9380982880091397E-2</v>
      </c>
      <c r="AD18" s="17">
        <v>4.0377287562155049E-2</v>
      </c>
      <c r="AE18" s="17">
        <v>4.0909475107767726E-2</v>
      </c>
      <c r="AF18" s="17">
        <v>4.0725118007431955E-2</v>
      </c>
      <c r="AG18" s="17">
        <v>4.05712484864569E-2</v>
      </c>
      <c r="AH18" s="17">
        <v>4.0806592213687723E-2</v>
      </c>
      <c r="AI18" s="17">
        <v>4.072376042159534E-2</v>
      </c>
      <c r="AJ18" s="17">
        <v>4.0516877979182207E-2</v>
      </c>
      <c r="AK18" s="17">
        <v>4.070516952430063E-2</v>
      </c>
      <c r="AL18" s="17">
        <f>AK18</f>
        <v>4.070516952430063E-2</v>
      </c>
      <c r="AM18" s="17">
        <f t="shared" ref="AM18:BE18" si="7">AL18</f>
        <v>4.070516952430063E-2</v>
      </c>
      <c r="AN18" s="17">
        <f t="shared" si="7"/>
        <v>4.070516952430063E-2</v>
      </c>
      <c r="AO18" s="17">
        <f t="shared" si="7"/>
        <v>4.070516952430063E-2</v>
      </c>
      <c r="AP18" s="17">
        <f t="shared" si="7"/>
        <v>4.070516952430063E-2</v>
      </c>
      <c r="AQ18" s="17">
        <f t="shared" si="7"/>
        <v>4.070516952430063E-2</v>
      </c>
      <c r="AR18" s="17">
        <f t="shared" si="7"/>
        <v>4.070516952430063E-2</v>
      </c>
      <c r="AS18" s="17">
        <f t="shared" si="7"/>
        <v>4.070516952430063E-2</v>
      </c>
      <c r="AT18" s="17">
        <f t="shared" si="7"/>
        <v>4.070516952430063E-2</v>
      </c>
      <c r="AU18" s="17">
        <f t="shared" si="7"/>
        <v>4.070516952430063E-2</v>
      </c>
      <c r="AV18" s="17">
        <f t="shared" si="7"/>
        <v>4.070516952430063E-2</v>
      </c>
      <c r="AW18" s="17">
        <f t="shared" si="7"/>
        <v>4.070516952430063E-2</v>
      </c>
      <c r="AX18" s="17">
        <f t="shared" si="7"/>
        <v>4.070516952430063E-2</v>
      </c>
      <c r="AY18" s="17">
        <f t="shared" si="7"/>
        <v>4.070516952430063E-2</v>
      </c>
      <c r="AZ18" s="17">
        <f t="shared" si="7"/>
        <v>4.070516952430063E-2</v>
      </c>
      <c r="BA18" s="17">
        <f t="shared" si="7"/>
        <v>4.070516952430063E-2</v>
      </c>
      <c r="BB18" s="17">
        <f t="shared" si="7"/>
        <v>4.070516952430063E-2</v>
      </c>
      <c r="BC18" s="17">
        <f t="shared" si="7"/>
        <v>4.070516952430063E-2</v>
      </c>
      <c r="BD18" s="17">
        <f t="shared" si="7"/>
        <v>4.070516952430063E-2</v>
      </c>
      <c r="BE18" s="17">
        <f t="shared" si="7"/>
        <v>4.070516952430063E-2</v>
      </c>
    </row>
    <row r="19" spans="2:57" x14ac:dyDescent="0.35">
      <c r="D19" t="s">
        <v>244</v>
      </c>
      <c r="E19" t="s">
        <v>208</v>
      </c>
      <c r="G19" t="s">
        <v>209</v>
      </c>
      <c r="H19">
        <v>1E-3</v>
      </c>
      <c r="K19" t="s">
        <v>246</v>
      </c>
      <c r="L19" s="17">
        <v>0.55400000000000005</v>
      </c>
      <c r="M19" s="17">
        <f t="shared" ref="M19:AK19" si="8">L19</f>
        <v>0.55400000000000005</v>
      </c>
      <c r="N19" s="17">
        <f t="shared" si="8"/>
        <v>0.55400000000000005</v>
      </c>
      <c r="O19" s="17">
        <f t="shared" si="8"/>
        <v>0.55400000000000005</v>
      </c>
      <c r="P19" s="17">
        <f t="shared" si="8"/>
        <v>0.55400000000000005</v>
      </c>
      <c r="Q19" s="17">
        <f t="shared" si="8"/>
        <v>0.55400000000000005</v>
      </c>
      <c r="R19" s="17">
        <f t="shared" si="8"/>
        <v>0.55400000000000005</v>
      </c>
      <c r="S19" s="17">
        <f t="shared" si="8"/>
        <v>0.55400000000000005</v>
      </c>
      <c r="T19" s="17">
        <f t="shared" si="8"/>
        <v>0.55400000000000005</v>
      </c>
      <c r="U19" s="17">
        <f t="shared" si="8"/>
        <v>0.55400000000000005</v>
      </c>
      <c r="V19" s="17">
        <f t="shared" si="8"/>
        <v>0.55400000000000005</v>
      </c>
      <c r="W19" s="17">
        <f t="shared" si="8"/>
        <v>0.55400000000000005</v>
      </c>
      <c r="X19" s="17">
        <f t="shared" si="8"/>
        <v>0.55400000000000005</v>
      </c>
      <c r="Y19" s="17">
        <f t="shared" si="8"/>
        <v>0.55400000000000005</v>
      </c>
      <c r="Z19" s="17">
        <f t="shared" si="8"/>
        <v>0.55400000000000005</v>
      </c>
      <c r="AA19" s="17">
        <f t="shared" si="8"/>
        <v>0.55400000000000005</v>
      </c>
      <c r="AB19" s="17">
        <f t="shared" si="8"/>
        <v>0.55400000000000005</v>
      </c>
      <c r="AC19" s="17">
        <f t="shared" si="8"/>
        <v>0.55400000000000005</v>
      </c>
      <c r="AD19" s="17">
        <f t="shared" si="8"/>
        <v>0.55400000000000005</v>
      </c>
      <c r="AE19" s="17">
        <f t="shared" si="8"/>
        <v>0.55400000000000005</v>
      </c>
      <c r="AF19" s="17">
        <f t="shared" si="8"/>
        <v>0.55400000000000005</v>
      </c>
      <c r="AG19" s="17">
        <f t="shared" si="8"/>
        <v>0.55400000000000005</v>
      </c>
      <c r="AH19" s="17">
        <f t="shared" si="8"/>
        <v>0.55400000000000005</v>
      </c>
      <c r="AI19" s="17">
        <f t="shared" si="8"/>
        <v>0.55400000000000005</v>
      </c>
      <c r="AJ19" s="17">
        <f t="shared" si="8"/>
        <v>0.55400000000000005</v>
      </c>
      <c r="AK19" s="17">
        <f t="shared" si="8"/>
        <v>0.55400000000000005</v>
      </c>
      <c r="AL19" s="17">
        <f>AK19</f>
        <v>0.55400000000000005</v>
      </c>
      <c r="AM19" s="17">
        <f t="shared" ref="AM19:BE19" si="9">AL19</f>
        <v>0.55400000000000005</v>
      </c>
      <c r="AN19" s="17">
        <f t="shared" si="9"/>
        <v>0.55400000000000005</v>
      </c>
      <c r="AO19" s="17">
        <f t="shared" si="9"/>
        <v>0.55400000000000005</v>
      </c>
      <c r="AP19" s="17">
        <f t="shared" si="9"/>
        <v>0.55400000000000005</v>
      </c>
      <c r="AQ19" s="17">
        <f t="shared" si="9"/>
        <v>0.55400000000000005</v>
      </c>
      <c r="AR19" s="17">
        <f t="shared" si="9"/>
        <v>0.55400000000000005</v>
      </c>
      <c r="AS19" s="17">
        <f t="shared" si="9"/>
        <v>0.55400000000000005</v>
      </c>
      <c r="AT19" s="17">
        <f t="shared" si="9"/>
        <v>0.55400000000000005</v>
      </c>
      <c r="AU19" s="17">
        <f t="shared" si="9"/>
        <v>0.55400000000000005</v>
      </c>
      <c r="AV19" s="17">
        <f t="shared" si="9"/>
        <v>0.55400000000000005</v>
      </c>
      <c r="AW19" s="17">
        <f t="shared" si="9"/>
        <v>0.55400000000000005</v>
      </c>
      <c r="AX19" s="17">
        <f t="shared" si="9"/>
        <v>0.55400000000000005</v>
      </c>
      <c r="AY19" s="17">
        <f t="shared" si="9"/>
        <v>0.55400000000000005</v>
      </c>
      <c r="AZ19" s="17">
        <f t="shared" si="9"/>
        <v>0.55400000000000005</v>
      </c>
      <c r="BA19" s="17">
        <f t="shared" si="9"/>
        <v>0.55400000000000005</v>
      </c>
      <c r="BB19" s="17">
        <f t="shared" si="9"/>
        <v>0.55400000000000005</v>
      </c>
      <c r="BC19" s="17">
        <f t="shared" si="9"/>
        <v>0.55400000000000005</v>
      </c>
      <c r="BD19" s="17">
        <f t="shared" si="9"/>
        <v>0.55400000000000005</v>
      </c>
      <c r="BE19" s="17">
        <f t="shared" si="9"/>
        <v>0.55400000000000005</v>
      </c>
    </row>
    <row r="20" spans="2:57" x14ac:dyDescent="0.35">
      <c r="D20" t="s">
        <v>244</v>
      </c>
      <c r="E20" t="s">
        <v>214</v>
      </c>
      <c r="G20" t="s">
        <v>213</v>
      </c>
      <c r="H20">
        <v>1000</v>
      </c>
      <c r="K20" t="s">
        <v>247</v>
      </c>
      <c r="L20" s="67">
        <f>L30</f>
        <v>123.04524286419741</v>
      </c>
      <c r="M20" s="67">
        <f t="shared" ref="M20:AK20" si="10">M30</f>
        <v>113.47832966782008</v>
      </c>
      <c r="N20" s="67">
        <f t="shared" si="10"/>
        <v>106.2606134166605</v>
      </c>
      <c r="O20" s="67">
        <f t="shared" si="10"/>
        <v>96.538137099914593</v>
      </c>
      <c r="P20" s="67">
        <f t="shared" si="10"/>
        <v>90.126733669155982</v>
      </c>
      <c r="Q20" s="67">
        <f t="shared" si="10"/>
        <v>83.713572463622228</v>
      </c>
      <c r="R20" s="67">
        <f t="shared" si="10"/>
        <v>77.299387850492252</v>
      </c>
      <c r="S20" s="67">
        <f t="shared" si="10"/>
        <v>70.186889247146297</v>
      </c>
      <c r="T20" s="67">
        <f t="shared" si="10"/>
        <v>64.049575596176027</v>
      </c>
      <c r="U20" s="67">
        <f t="shared" si="10"/>
        <v>65.966688941850578</v>
      </c>
      <c r="V20" s="67">
        <f t="shared" si="10"/>
        <v>67.964687470473649</v>
      </c>
      <c r="W20" s="67">
        <f t="shared" si="10"/>
        <v>67.943748453122836</v>
      </c>
      <c r="X20" s="67">
        <f t="shared" si="10"/>
        <v>68.180619303147864</v>
      </c>
      <c r="Y20" s="67">
        <f t="shared" si="10"/>
        <v>68.137552683505007</v>
      </c>
      <c r="Z20" s="67">
        <f t="shared" si="10"/>
        <v>68.079528179122903</v>
      </c>
      <c r="AA20" s="67">
        <f t="shared" si="10"/>
        <v>68.021737765154143</v>
      </c>
      <c r="AB20" s="67">
        <f t="shared" si="10"/>
        <v>67.963761292154089</v>
      </c>
      <c r="AC20" s="67">
        <f t="shared" si="10"/>
        <v>67.905800412568183</v>
      </c>
      <c r="AD20" s="67">
        <f t="shared" si="10"/>
        <v>67.847797509339728</v>
      </c>
      <c r="AE20" s="67">
        <f t="shared" si="10"/>
        <v>67.78973550639239</v>
      </c>
      <c r="AF20" s="67">
        <f t="shared" si="10"/>
        <v>67.731571494956555</v>
      </c>
      <c r="AG20" s="67">
        <f t="shared" si="10"/>
        <v>67.673442200237005</v>
      </c>
      <c r="AH20" s="67">
        <f t="shared" si="10"/>
        <v>67.61523005026163</v>
      </c>
      <c r="AI20" s="67">
        <f t="shared" si="10"/>
        <v>67.557074305733806</v>
      </c>
      <c r="AJ20" s="67">
        <f t="shared" si="10"/>
        <v>67.498908613980646</v>
      </c>
      <c r="AK20" s="67">
        <f t="shared" si="10"/>
        <v>67.440640453036181</v>
      </c>
      <c r="AL20" s="67">
        <f>AK20</f>
        <v>67.440640453036181</v>
      </c>
      <c r="AM20" s="67">
        <f t="shared" ref="AM20:BE20" si="11">AL20</f>
        <v>67.440640453036181</v>
      </c>
      <c r="AN20" s="67">
        <f t="shared" si="11"/>
        <v>67.440640453036181</v>
      </c>
      <c r="AO20" s="67">
        <f t="shared" si="11"/>
        <v>67.440640453036181</v>
      </c>
      <c r="AP20" s="67">
        <f t="shared" si="11"/>
        <v>67.440640453036181</v>
      </c>
      <c r="AQ20" s="67">
        <f t="shared" si="11"/>
        <v>67.440640453036181</v>
      </c>
      <c r="AR20" s="67">
        <f t="shared" si="11"/>
        <v>67.440640453036181</v>
      </c>
      <c r="AS20" s="67">
        <f t="shared" si="11"/>
        <v>67.440640453036181</v>
      </c>
      <c r="AT20" s="67">
        <f t="shared" si="11"/>
        <v>67.440640453036181</v>
      </c>
      <c r="AU20" s="67">
        <f t="shared" si="11"/>
        <v>67.440640453036181</v>
      </c>
      <c r="AV20" s="67">
        <f t="shared" si="11"/>
        <v>67.440640453036181</v>
      </c>
      <c r="AW20" s="67">
        <f t="shared" si="11"/>
        <v>67.440640453036181</v>
      </c>
      <c r="AX20" s="67">
        <f t="shared" si="11"/>
        <v>67.440640453036181</v>
      </c>
      <c r="AY20" s="67">
        <f t="shared" si="11"/>
        <v>67.440640453036181</v>
      </c>
      <c r="AZ20" s="67">
        <f t="shared" si="11"/>
        <v>67.440640453036181</v>
      </c>
      <c r="BA20" s="67">
        <f t="shared" si="11"/>
        <v>67.440640453036181</v>
      </c>
      <c r="BB20" s="67">
        <f t="shared" si="11"/>
        <v>67.440640453036181</v>
      </c>
      <c r="BC20" s="67">
        <f t="shared" si="11"/>
        <v>67.440640453036181</v>
      </c>
      <c r="BD20" s="67">
        <f t="shared" si="11"/>
        <v>67.440640453036181</v>
      </c>
      <c r="BE20" s="67">
        <f t="shared" si="11"/>
        <v>67.440640453036181</v>
      </c>
    </row>
    <row r="21" spans="2:57" x14ac:dyDescent="0.35">
      <c r="D21" t="s">
        <v>244</v>
      </c>
      <c r="E21" t="s">
        <v>213</v>
      </c>
      <c r="G21" t="s">
        <v>214</v>
      </c>
      <c r="H21">
        <v>1E-3</v>
      </c>
      <c r="K21" t="s">
        <v>248</v>
      </c>
      <c r="L21" s="67">
        <v>50</v>
      </c>
      <c r="M21" s="67">
        <f t="shared" ref="M21:AK21" si="12">L21</f>
        <v>50</v>
      </c>
      <c r="N21" s="67">
        <f t="shared" si="12"/>
        <v>50</v>
      </c>
      <c r="O21" s="67">
        <f t="shared" si="12"/>
        <v>50</v>
      </c>
      <c r="P21" s="67">
        <f t="shared" si="12"/>
        <v>50</v>
      </c>
      <c r="Q21" s="67">
        <f t="shared" si="12"/>
        <v>50</v>
      </c>
      <c r="R21" s="67">
        <f t="shared" si="12"/>
        <v>50</v>
      </c>
      <c r="S21" s="67">
        <f t="shared" si="12"/>
        <v>50</v>
      </c>
      <c r="T21" s="67">
        <f t="shared" si="12"/>
        <v>50</v>
      </c>
      <c r="U21" s="67">
        <f t="shared" si="12"/>
        <v>50</v>
      </c>
      <c r="V21" s="67">
        <f t="shared" si="12"/>
        <v>50</v>
      </c>
      <c r="W21" s="67">
        <f t="shared" si="12"/>
        <v>50</v>
      </c>
      <c r="X21" s="67">
        <f t="shared" si="12"/>
        <v>50</v>
      </c>
      <c r="Y21" s="67">
        <f t="shared" si="12"/>
        <v>50</v>
      </c>
      <c r="Z21" s="67">
        <f t="shared" si="12"/>
        <v>50</v>
      </c>
      <c r="AA21" s="67">
        <f t="shared" si="12"/>
        <v>50</v>
      </c>
      <c r="AB21" s="67">
        <f t="shared" si="12"/>
        <v>50</v>
      </c>
      <c r="AC21" s="67">
        <f t="shared" si="12"/>
        <v>50</v>
      </c>
      <c r="AD21" s="67">
        <f t="shared" si="12"/>
        <v>50</v>
      </c>
      <c r="AE21" s="67">
        <f t="shared" si="12"/>
        <v>50</v>
      </c>
      <c r="AF21" s="67">
        <f t="shared" si="12"/>
        <v>50</v>
      </c>
      <c r="AG21" s="67">
        <f t="shared" si="12"/>
        <v>50</v>
      </c>
      <c r="AH21" s="67">
        <f t="shared" si="12"/>
        <v>50</v>
      </c>
      <c r="AI21" s="67">
        <f t="shared" si="12"/>
        <v>50</v>
      </c>
      <c r="AJ21" s="67">
        <f t="shared" si="12"/>
        <v>50</v>
      </c>
      <c r="AK21" s="67">
        <f t="shared" si="12"/>
        <v>50</v>
      </c>
      <c r="AL21" s="67">
        <f>AK21</f>
        <v>50</v>
      </c>
      <c r="AM21" s="67">
        <f t="shared" ref="AM21:BE21" si="13">AL21</f>
        <v>50</v>
      </c>
      <c r="AN21" s="67">
        <f t="shared" si="13"/>
        <v>50</v>
      </c>
      <c r="AO21" s="67">
        <f t="shared" si="13"/>
        <v>50</v>
      </c>
      <c r="AP21" s="67">
        <f t="shared" si="13"/>
        <v>50</v>
      </c>
      <c r="AQ21" s="67">
        <f t="shared" si="13"/>
        <v>50</v>
      </c>
      <c r="AR21" s="67">
        <f t="shared" si="13"/>
        <v>50</v>
      </c>
      <c r="AS21" s="67">
        <f t="shared" si="13"/>
        <v>50</v>
      </c>
      <c r="AT21" s="67">
        <f t="shared" si="13"/>
        <v>50</v>
      </c>
      <c r="AU21" s="67">
        <f t="shared" si="13"/>
        <v>50</v>
      </c>
      <c r="AV21" s="67">
        <f t="shared" si="13"/>
        <v>50</v>
      </c>
      <c r="AW21" s="67">
        <f t="shared" si="13"/>
        <v>50</v>
      </c>
      <c r="AX21" s="67">
        <f t="shared" si="13"/>
        <v>50</v>
      </c>
      <c r="AY21" s="67">
        <f t="shared" si="13"/>
        <v>50</v>
      </c>
      <c r="AZ21" s="67">
        <f t="shared" si="13"/>
        <v>50</v>
      </c>
      <c r="BA21" s="67">
        <f t="shared" si="13"/>
        <v>50</v>
      </c>
      <c r="BB21" s="67">
        <f t="shared" si="13"/>
        <v>50</v>
      </c>
      <c r="BC21" s="67">
        <f t="shared" si="13"/>
        <v>50</v>
      </c>
      <c r="BD21" s="67">
        <f t="shared" si="13"/>
        <v>50</v>
      </c>
      <c r="BE21" s="67">
        <f t="shared" si="13"/>
        <v>50</v>
      </c>
    </row>
    <row r="22" spans="2:57" x14ac:dyDescent="0.35">
      <c r="D22" t="s">
        <v>155</v>
      </c>
      <c r="E22" t="s">
        <v>223</v>
      </c>
      <c r="G22" t="s">
        <v>214</v>
      </c>
      <c r="H22">
        <v>1.8314999999999999</v>
      </c>
      <c r="K22" t="s">
        <v>249</v>
      </c>
      <c r="L22" s="56">
        <f t="shared" ref="L22:BE22" si="14">L20+L21</f>
        <v>173.04524286419741</v>
      </c>
      <c r="M22" s="56">
        <f t="shared" si="14"/>
        <v>163.47832966782008</v>
      </c>
      <c r="N22" s="56">
        <f t="shared" si="14"/>
        <v>156.2606134166605</v>
      </c>
      <c r="O22" s="56">
        <f t="shared" si="14"/>
        <v>146.53813709991459</v>
      </c>
      <c r="P22" s="56">
        <f t="shared" si="14"/>
        <v>140.12673366915598</v>
      </c>
      <c r="Q22" s="56">
        <f t="shared" si="14"/>
        <v>133.71357246362223</v>
      </c>
      <c r="R22" s="56">
        <f t="shared" si="14"/>
        <v>127.29938785049225</v>
      </c>
      <c r="S22" s="56">
        <f t="shared" si="14"/>
        <v>120.1868892471463</v>
      </c>
      <c r="T22" s="56">
        <f t="shared" si="14"/>
        <v>114.04957559617603</v>
      </c>
      <c r="U22" s="56">
        <f t="shared" si="14"/>
        <v>115.96668894185058</v>
      </c>
      <c r="V22" s="56">
        <f t="shared" si="14"/>
        <v>117.96468747047365</v>
      </c>
      <c r="W22" s="56">
        <f t="shared" si="14"/>
        <v>117.94374845312284</v>
      </c>
      <c r="X22" s="56">
        <f t="shared" si="14"/>
        <v>118.18061930314786</v>
      </c>
      <c r="Y22" s="56">
        <f t="shared" si="14"/>
        <v>118.13755268350501</v>
      </c>
      <c r="Z22" s="56">
        <f t="shared" si="14"/>
        <v>118.0795281791229</v>
      </c>
      <c r="AA22" s="56">
        <f t="shared" si="14"/>
        <v>118.02173776515414</v>
      </c>
      <c r="AB22" s="56">
        <f t="shared" si="14"/>
        <v>117.96376129215409</v>
      </c>
      <c r="AC22" s="56">
        <f t="shared" si="14"/>
        <v>117.90580041256818</v>
      </c>
      <c r="AD22" s="56">
        <f t="shared" si="14"/>
        <v>117.84779750933973</v>
      </c>
      <c r="AE22" s="56">
        <f t="shared" si="14"/>
        <v>117.78973550639239</v>
      </c>
      <c r="AF22" s="56">
        <f t="shared" si="14"/>
        <v>117.73157149495655</v>
      </c>
      <c r="AG22" s="56">
        <f t="shared" si="14"/>
        <v>117.67344220023701</v>
      </c>
      <c r="AH22" s="56">
        <f t="shared" si="14"/>
        <v>117.61523005026163</v>
      </c>
      <c r="AI22" s="56">
        <f t="shared" si="14"/>
        <v>117.55707430573381</v>
      </c>
      <c r="AJ22" s="56">
        <f t="shared" si="14"/>
        <v>117.49890861398065</v>
      </c>
      <c r="AK22" s="56">
        <f t="shared" si="14"/>
        <v>117.44064045303618</v>
      </c>
      <c r="AL22" s="56">
        <f t="shared" si="14"/>
        <v>117.44064045303618</v>
      </c>
      <c r="AM22" s="56">
        <f t="shared" si="14"/>
        <v>117.44064045303618</v>
      </c>
      <c r="AN22" s="56">
        <f t="shared" si="14"/>
        <v>117.44064045303618</v>
      </c>
      <c r="AO22" s="56">
        <f t="shared" si="14"/>
        <v>117.44064045303618</v>
      </c>
      <c r="AP22" s="56">
        <f t="shared" si="14"/>
        <v>117.44064045303618</v>
      </c>
      <c r="AQ22" s="56">
        <f t="shared" si="14"/>
        <v>117.44064045303618</v>
      </c>
      <c r="AR22" s="56">
        <f t="shared" si="14"/>
        <v>117.44064045303618</v>
      </c>
      <c r="AS22" s="56">
        <f t="shared" si="14"/>
        <v>117.44064045303618</v>
      </c>
      <c r="AT22" s="56">
        <f t="shared" si="14"/>
        <v>117.44064045303618</v>
      </c>
      <c r="AU22" s="56">
        <f t="shared" si="14"/>
        <v>117.44064045303618</v>
      </c>
      <c r="AV22" s="56">
        <f t="shared" si="14"/>
        <v>117.44064045303618</v>
      </c>
      <c r="AW22" s="56">
        <f t="shared" si="14"/>
        <v>117.44064045303618</v>
      </c>
      <c r="AX22" s="56">
        <f t="shared" si="14"/>
        <v>117.44064045303618</v>
      </c>
      <c r="AY22" s="56">
        <f t="shared" si="14"/>
        <v>117.44064045303618</v>
      </c>
      <c r="AZ22" s="56">
        <f t="shared" si="14"/>
        <v>117.44064045303618</v>
      </c>
      <c r="BA22" s="56">
        <f t="shared" si="14"/>
        <v>117.44064045303618</v>
      </c>
      <c r="BB22" s="56">
        <f t="shared" si="14"/>
        <v>117.44064045303618</v>
      </c>
      <c r="BC22" s="56">
        <f t="shared" si="14"/>
        <v>117.44064045303618</v>
      </c>
      <c r="BD22" s="56">
        <f t="shared" si="14"/>
        <v>117.44064045303618</v>
      </c>
      <c r="BE22" s="56">
        <f t="shared" si="14"/>
        <v>117.44064045303618</v>
      </c>
    </row>
    <row r="23" spans="2:57" x14ac:dyDescent="0.35">
      <c r="D23" t="s">
        <v>155</v>
      </c>
      <c r="E23" t="s">
        <v>214</v>
      </c>
      <c r="G23" t="s">
        <v>223</v>
      </c>
      <c r="H23">
        <v>0.54600000000000004</v>
      </c>
      <c r="K23" t="s">
        <v>250</v>
      </c>
      <c r="L23" s="37">
        <v>67.551000000000002</v>
      </c>
      <c r="M23" s="37">
        <v>69.947999999999993</v>
      </c>
      <c r="N23" s="37">
        <v>72.430000000000007</v>
      </c>
      <c r="O23" s="37">
        <v>75</v>
      </c>
      <c r="P23" s="37">
        <v>71.429000000000002</v>
      </c>
      <c r="Q23" s="37">
        <v>67.856999999999999</v>
      </c>
      <c r="R23" s="37">
        <v>64.286000000000001</v>
      </c>
      <c r="S23" s="37">
        <v>60.713999999999999</v>
      </c>
      <c r="T23" s="37">
        <v>57.143000000000001</v>
      </c>
      <c r="U23" s="37">
        <v>53.570999999999998</v>
      </c>
      <c r="V23" s="37">
        <v>50</v>
      </c>
      <c r="W23" s="37">
        <v>50</v>
      </c>
      <c r="X23" s="37">
        <v>50</v>
      </c>
      <c r="Y23" s="37">
        <v>50</v>
      </c>
      <c r="Z23" s="37">
        <v>50</v>
      </c>
      <c r="AA23" s="37">
        <v>50</v>
      </c>
      <c r="AB23" s="37">
        <v>50</v>
      </c>
      <c r="AC23" s="37">
        <v>50</v>
      </c>
      <c r="AD23" s="37">
        <v>50</v>
      </c>
      <c r="AE23" s="37">
        <v>50</v>
      </c>
      <c r="AF23" s="37">
        <v>50</v>
      </c>
      <c r="AG23" s="37">
        <v>50</v>
      </c>
      <c r="AH23" s="37">
        <v>50</v>
      </c>
      <c r="AI23" s="37">
        <v>50</v>
      </c>
      <c r="AJ23" s="37">
        <v>50</v>
      </c>
      <c r="AK23" s="37">
        <v>50</v>
      </c>
      <c r="AL23" s="37">
        <f>AK23</f>
        <v>50</v>
      </c>
      <c r="AM23" s="37">
        <f t="shared" ref="AM23:BE23" si="15">AL23</f>
        <v>50</v>
      </c>
      <c r="AN23" s="37">
        <f t="shared" si="15"/>
        <v>50</v>
      </c>
      <c r="AO23" s="37">
        <f t="shared" si="15"/>
        <v>50</v>
      </c>
      <c r="AP23" s="37">
        <f t="shared" si="15"/>
        <v>50</v>
      </c>
      <c r="AQ23" s="37">
        <f t="shared" si="15"/>
        <v>50</v>
      </c>
      <c r="AR23" s="37">
        <f t="shared" si="15"/>
        <v>50</v>
      </c>
      <c r="AS23" s="37">
        <f t="shared" si="15"/>
        <v>50</v>
      </c>
      <c r="AT23" s="37">
        <f t="shared" si="15"/>
        <v>50</v>
      </c>
      <c r="AU23" s="37">
        <f t="shared" si="15"/>
        <v>50</v>
      </c>
      <c r="AV23" s="37">
        <f t="shared" si="15"/>
        <v>50</v>
      </c>
      <c r="AW23" s="37">
        <f t="shared" si="15"/>
        <v>50</v>
      </c>
      <c r="AX23" s="37">
        <f t="shared" si="15"/>
        <v>50</v>
      </c>
      <c r="AY23" s="37">
        <f t="shared" si="15"/>
        <v>50</v>
      </c>
      <c r="AZ23" s="37">
        <f t="shared" si="15"/>
        <v>50</v>
      </c>
      <c r="BA23" s="37">
        <f t="shared" si="15"/>
        <v>50</v>
      </c>
      <c r="BB23" s="37">
        <f t="shared" si="15"/>
        <v>50</v>
      </c>
      <c r="BC23" s="37">
        <f t="shared" si="15"/>
        <v>50</v>
      </c>
      <c r="BD23" s="37">
        <f t="shared" si="15"/>
        <v>50</v>
      </c>
      <c r="BE23" s="37">
        <f t="shared" si="15"/>
        <v>50</v>
      </c>
    </row>
    <row r="24" spans="2:57" x14ac:dyDescent="0.35">
      <c r="K24" t="s">
        <v>251</v>
      </c>
      <c r="L24">
        <v>120</v>
      </c>
      <c r="M24">
        <v>132</v>
      </c>
      <c r="N24">
        <v>143</v>
      </c>
      <c r="O24">
        <v>155</v>
      </c>
      <c r="P24">
        <v>166</v>
      </c>
      <c r="Q24">
        <v>178</v>
      </c>
      <c r="R24">
        <v>183</v>
      </c>
      <c r="S24">
        <v>189</v>
      </c>
      <c r="T24">
        <v>194</v>
      </c>
      <c r="U24">
        <v>200</v>
      </c>
      <c r="V24">
        <v>206</v>
      </c>
      <c r="W24">
        <v>212</v>
      </c>
      <c r="X24">
        <v>219</v>
      </c>
      <c r="Y24">
        <v>225</v>
      </c>
      <c r="Z24">
        <v>232</v>
      </c>
      <c r="AA24">
        <v>239</v>
      </c>
      <c r="AB24">
        <v>246</v>
      </c>
      <c r="AC24">
        <v>253</v>
      </c>
      <c r="AD24">
        <v>261</v>
      </c>
      <c r="AE24">
        <v>269</v>
      </c>
      <c r="AF24">
        <v>277</v>
      </c>
      <c r="AG24">
        <v>285</v>
      </c>
      <c r="AH24">
        <v>294</v>
      </c>
      <c r="AI24">
        <v>303</v>
      </c>
      <c r="AJ24">
        <v>312</v>
      </c>
      <c r="AK24">
        <v>321</v>
      </c>
      <c r="AL24">
        <v>331</v>
      </c>
      <c r="AM24">
        <v>341</v>
      </c>
      <c r="AN24">
        <v>351</v>
      </c>
      <c r="AO24">
        <v>361</v>
      </c>
      <c r="AP24">
        <v>372</v>
      </c>
      <c r="AQ24">
        <v>383</v>
      </c>
      <c r="AR24">
        <v>395</v>
      </c>
      <c r="AS24">
        <v>407</v>
      </c>
      <c r="AT24">
        <v>419</v>
      </c>
      <c r="AU24">
        <v>432</v>
      </c>
      <c r="AV24">
        <v>444</v>
      </c>
      <c r="AW24">
        <v>458</v>
      </c>
      <c r="AX24">
        <v>472</v>
      </c>
      <c r="AY24">
        <v>486</v>
      </c>
      <c r="AZ24">
        <v>500</v>
      </c>
      <c r="BA24">
        <v>515</v>
      </c>
      <c r="BB24">
        <v>531</v>
      </c>
      <c r="BC24">
        <v>547</v>
      </c>
      <c r="BD24">
        <v>563</v>
      </c>
      <c r="BE24">
        <v>580</v>
      </c>
    </row>
    <row r="25" spans="2:57" x14ac:dyDescent="0.35">
      <c r="K25" t="s">
        <v>252</v>
      </c>
      <c r="L25">
        <v>80</v>
      </c>
      <c r="M25">
        <v>88</v>
      </c>
      <c r="N25">
        <v>96</v>
      </c>
      <c r="O25">
        <v>103</v>
      </c>
      <c r="P25">
        <v>111</v>
      </c>
      <c r="Q25">
        <v>119</v>
      </c>
      <c r="R25">
        <v>122</v>
      </c>
      <c r="S25">
        <v>126</v>
      </c>
      <c r="T25">
        <v>130</v>
      </c>
      <c r="U25">
        <v>133</v>
      </c>
      <c r="V25">
        <v>137</v>
      </c>
      <c r="W25">
        <v>142</v>
      </c>
      <c r="X25">
        <v>146</v>
      </c>
      <c r="Y25">
        <v>150</v>
      </c>
      <c r="Z25">
        <v>155</v>
      </c>
      <c r="AA25">
        <v>159</v>
      </c>
      <c r="AB25">
        <v>164</v>
      </c>
      <c r="AC25">
        <v>169</v>
      </c>
      <c r="AD25">
        <v>174</v>
      </c>
      <c r="AE25">
        <v>179</v>
      </c>
      <c r="AF25">
        <v>185</v>
      </c>
      <c r="AG25">
        <v>190</v>
      </c>
      <c r="AH25">
        <v>196</v>
      </c>
      <c r="AI25">
        <v>202</v>
      </c>
      <c r="AJ25">
        <v>208</v>
      </c>
      <c r="AK25">
        <v>214</v>
      </c>
      <c r="AL25">
        <v>216</v>
      </c>
      <c r="AM25">
        <v>218</v>
      </c>
      <c r="AN25">
        <v>221</v>
      </c>
      <c r="AO25">
        <v>223</v>
      </c>
      <c r="AP25">
        <v>225</v>
      </c>
      <c r="AQ25">
        <v>227</v>
      </c>
      <c r="AR25">
        <v>230</v>
      </c>
      <c r="AS25">
        <v>232</v>
      </c>
      <c r="AT25">
        <v>234</v>
      </c>
      <c r="AU25">
        <v>236</v>
      </c>
      <c r="AV25">
        <v>239</v>
      </c>
      <c r="AW25">
        <v>241</v>
      </c>
      <c r="AX25">
        <v>244</v>
      </c>
      <c r="AY25">
        <v>246</v>
      </c>
      <c r="AZ25">
        <v>249</v>
      </c>
      <c r="BA25">
        <v>251</v>
      </c>
      <c r="BB25">
        <v>254</v>
      </c>
      <c r="BC25">
        <v>256</v>
      </c>
      <c r="BD25">
        <v>259</v>
      </c>
      <c r="BE25">
        <v>261</v>
      </c>
    </row>
    <row r="26" spans="2:57" x14ac:dyDescent="0.35">
      <c r="K26" t="s">
        <v>253</v>
      </c>
      <c r="L26">
        <v>161</v>
      </c>
      <c r="M26">
        <v>176</v>
      </c>
      <c r="N26">
        <v>191</v>
      </c>
      <c r="O26">
        <v>206</v>
      </c>
      <c r="P26">
        <v>222</v>
      </c>
      <c r="Q26">
        <v>237</v>
      </c>
      <c r="R26">
        <v>244</v>
      </c>
      <c r="S26">
        <v>251</v>
      </c>
      <c r="T26">
        <v>259</v>
      </c>
      <c r="U26">
        <v>267</v>
      </c>
      <c r="V26">
        <v>275</v>
      </c>
      <c r="W26">
        <v>283</v>
      </c>
      <c r="X26">
        <v>292</v>
      </c>
      <c r="Y26">
        <v>300</v>
      </c>
      <c r="Z26">
        <v>309</v>
      </c>
      <c r="AA26">
        <v>319</v>
      </c>
      <c r="AB26">
        <v>328</v>
      </c>
      <c r="AC26">
        <v>338</v>
      </c>
      <c r="AD26">
        <v>348</v>
      </c>
      <c r="AE26">
        <v>359</v>
      </c>
      <c r="AF26">
        <v>369</v>
      </c>
      <c r="AG26">
        <v>380</v>
      </c>
      <c r="AH26">
        <v>392</v>
      </c>
      <c r="AI26">
        <v>404</v>
      </c>
      <c r="AJ26">
        <v>416</v>
      </c>
      <c r="AK26">
        <v>428</v>
      </c>
      <c r="AL26">
        <v>450</v>
      </c>
      <c r="AM26">
        <v>472</v>
      </c>
      <c r="AN26">
        <v>496</v>
      </c>
      <c r="AO26">
        <v>520</v>
      </c>
      <c r="AP26">
        <v>546</v>
      </c>
      <c r="AQ26">
        <v>574</v>
      </c>
      <c r="AR26">
        <v>602</v>
      </c>
      <c r="AS26">
        <v>633</v>
      </c>
      <c r="AT26">
        <v>664</v>
      </c>
      <c r="AU26">
        <v>697</v>
      </c>
      <c r="AV26">
        <v>732</v>
      </c>
      <c r="AW26">
        <v>769</v>
      </c>
      <c r="AX26">
        <v>807</v>
      </c>
      <c r="AY26">
        <v>848</v>
      </c>
      <c r="AZ26">
        <v>890</v>
      </c>
      <c r="BA26">
        <v>935</v>
      </c>
      <c r="BB26">
        <v>981</v>
      </c>
      <c r="BC26">
        <v>1030</v>
      </c>
      <c r="BD26">
        <v>1082</v>
      </c>
      <c r="BE26">
        <v>1136</v>
      </c>
    </row>
    <row r="28" spans="2:57" x14ac:dyDescent="0.35">
      <c r="K28" t="s">
        <v>254</v>
      </c>
      <c r="L28" s="69">
        <v>160.60644286419742</v>
      </c>
      <c r="M28" s="69">
        <v>152.36912966782009</v>
      </c>
      <c r="N28" s="69">
        <v>146.48101341666052</v>
      </c>
      <c r="O28" s="69">
        <v>138.0881370999146</v>
      </c>
      <c r="P28" s="69">
        <v>129.69816224058457</v>
      </c>
      <c r="Q28" s="69">
        <v>121.30642960647938</v>
      </c>
      <c r="R28" s="69">
        <v>112.91367356477797</v>
      </c>
      <c r="S28" s="69">
        <v>103.8226035328606</v>
      </c>
      <c r="T28" s="69">
        <v>95.706718453318885</v>
      </c>
      <c r="U28" s="69">
        <v>95.645260370422008</v>
      </c>
      <c r="V28" s="69">
        <v>95.664687470473652</v>
      </c>
      <c r="W28" s="69">
        <v>95.643748453122839</v>
      </c>
      <c r="X28" s="69">
        <v>95.880619303147867</v>
      </c>
      <c r="Y28" s="69">
        <v>95.83755268350501</v>
      </c>
      <c r="Z28" s="69">
        <v>95.779528179122906</v>
      </c>
      <c r="AA28" s="69">
        <v>95.721737765154145</v>
      </c>
      <c r="AB28" s="69">
        <v>95.663761292154092</v>
      </c>
      <c r="AC28" s="69">
        <v>95.605800412568186</v>
      </c>
      <c r="AD28" s="69">
        <v>95.54779750933973</v>
      </c>
      <c r="AE28" s="69">
        <v>95.489735506392392</v>
      </c>
      <c r="AF28" s="69">
        <v>95.431571494956557</v>
      </c>
      <c r="AG28" s="69">
        <v>95.373442200237008</v>
      </c>
      <c r="AH28" s="69">
        <v>95.315230050261633</v>
      </c>
      <c r="AI28" s="69">
        <v>95.257074305733809</v>
      </c>
      <c r="AJ28" s="69">
        <v>95.198908613980649</v>
      </c>
      <c r="AK28" s="69">
        <v>95.140640453036184</v>
      </c>
    </row>
    <row r="29" spans="2:57" x14ac:dyDescent="0.35">
      <c r="K29" t="s">
        <v>255</v>
      </c>
      <c r="L29" s="70">
        <v>67.800000000000011</v>
      </c>
      <c r="M29" s="70">
        <v>70.200000000000017</v>
      </c>
      <c r="N29" s="70">
        <v>72.600000000000023</v>
      </c>
      <c r="O29" s="70">
        <v>75</v>
      </c>
      <c r="P29" s="70">
        <v>71.428571428571431</v>
      </c>
      <c r="Q29" s="70">
        <v>67.857142857142861</v>
      </c>
      <c r="R29" s="70">
        <v>64.285714285714292</v>
      </c>
      <c r="S29" s="70">
        <v>60.714285714285722</v>
      </c>
      <c r="T29" s="70">
        <v>57.142857142857153</v>
      </c>
      <c r="U29" s="70">
        <v>53.571428571428584</v>
      </c>
      <c r="V29" s="70">
        <v>50</v>
      </c>
      <c r="W29" s="70">
        <v>50</v>
      </c>
      <c r="X29" s="70">
        <v>50</v>
      </c>
      <c r="Y29" s="70">
        <v>50</v>
      </c>
      <c r="Z29" s="70">
        <v>50</v>
      </c>
      <c r="AA29" s="70">
        <v>50</v>
      </c>
      <c r="AB29" s="70">
        <v>50</v>
      </c>
      <c r="AC29" s="70">
        <v>50</v>
      </c>
      <c r="AD29" s="70">
        <v>50</v>
      </c>
      <c r="AE29" s="70">
        <v>50</v>
      </c>
      <c r="AF29" s="70">
        <v>50</v>
      </c>
      <c r="AG29" s="70">
        <v>50</v>
      </c>
      <c r="AH29" s="70">
        <v>50</v>
      </c>
      <c r="AI29" s="70">
        <v>50</v>
      </c>
      <c r="AJ29" s="70">
        <v>50</v>
      </c>
      <c r="AK29" s="70">
        <v>50</v>
      </c>
    </row>
    <row r="30" spans="2:57" x14ac:dyDescent="0.35">
      <c r="K30" t="s">
        <v>256</v>
      </c>
      <c r="L30" s="37">
        <f>L28-L19*L29</f>
        <v>123.04524286419741</v>
      </c>
      <c r="M30" s="37">
        <f t="shared" ref="M30:AK30" si="16">M28-M19*M29</f>
        <v>113.47832966782008</v>
      </c>
      <c r="N30" s="37">
        <f t="shared" si="16"/>
        <v>106.2606134166605</v>
      </c>
      <c r="O30" s="37">
        <f t="shared" si="16"/>
        <v>96.538137099914593</v>
      </c>
      <c r="P30" s="37">
        <f t="shared" si="16"/>
        <v>90.126733669155982</v>
      </c>
      <c r="Q30" s="37">
        <f t="shared" si="16"/>
        <v>83.713572463622228</v>
      </c>
      <c r="R30" s="37">
        <f t="shared" si="16"/>
        <v>77.299387850492252</v>
      </c>
      <c r="S30" s="37">
        <f t="shared" si="16"/>
        <v>70.186889247146297</v>
      </c>
      <c r="T30" s="37">
        <f t="shared" si="16"/>
        <v>64.049575596176027</v>
      </c>
      <c r="U30" s="37">
        <f t="shared" si="16"/>
        <v>65.966688941850578</v>
      </c>
      <c r="V30" s="37">
        <f t="shared" si="16"/>
        <v>67.964687470473649</v>
      </c>
      <c r="W30" s="37">
        <f t="shared" si="16"/>
        <v>67.943748453122836</v>
      </c>
      <c r="X30" s="37">
        <f t="shared" si="16"/>
        <v>68.180619303147864</v>
      </c>
      <c r="Y30" s="37">
        <f t="shared" si="16"/>
        <v>68.137552683505007</v>
      </c>
      <c r="Z30" s="37">
        <f t="shared" si="16"/>
        <v>68.079528179122903</v>
      </c>
      <c r="AA30" s="37">
        <f t="shared" si="16"/>
        <v>68.021737765154143</v>
      </c>
      <c r="AB30" s="37">
        <f t="shared" si="16"/>
        <v>67.963761292154089</v>
      </c>
      <c r="AC30" s="37">
        <f t="shared" si="16"/>
        <v>67.905800412568183</v>
      </c>
      <c r="AD30" s="37">
        <f t="shared" si="16"/>
        <v>67.847797509339728</v>
      </c>
      <c r="AE30" s="37">
        <f t="shared" si="16"/>
        <v>67.78973550639239</v>
      </c>
      <c r="AF30" s="37">
        <f t="shared" si="16"/>
        <v>67.731571494956555</v>
      </c>
      <c r="AG30" s="37">
        <f t="shared" si="16"/>
        <v>67.673442200237005</v>
      </c>
      <c r="AH30" s="37">
        <f t="shared" si="16"/>
        <v>67.61523005026163</v>
      </c>
      <c r="AI30" s="37">
        <f t="shared" si="16"/>
        <v>67.557074305733806</v>
      </c>
      <c r="AJ30" s="37">
        <f t="shared" si="16"/>
        <v>67.498908613980646</v>
      </c>
      <c r="AK30" s="37">
        <f t="shared" si="16"/>
        <v>67.440640453036181</v>
      </c>
    </row>
    <row r="31" spans="2:57" x14ac:dyDescent="0.35">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row>
    <row r="32" spans="2:57" x14ac:dyDescent="0.35">
      <c r="K32" s="33" t="s">
        <v>257</v>
      </c>
      <c r="L32" s="52">
        <v>2025</v>
      </c>
      <c r="M32" s="52">
        <v>2026</v>
      </c>
      <c r="N32" s="52">
        <v>2027</v>
      </c>
      <c r="O32" s="52">
        <v>2028</v>
      </c>
      <c r="P32" s="52">
        <v>2029</v>
      </c>
      <c r="Q32" s="52">
        <v>2030</v>
      </c>
      <c r="R32" s="52">
        <v>2031</v>
      </c>
      <c r="S32" s="52">
        <v>2032</v>
      </c>
      <c r="T32" s="52">
        <v>2033</v>
      </c>
      <c r="U32" s="52">
        <v>2034</v>
      </c>
      <c r="V32" s="52">
        <v>2035</v>
      </c>
      <c r="W32" s="52">
        <v>2036</v>
      </c>
      <c r="X32" s="52">
        <v>2037</v>
      </c>
      <c r="Y32" s="52">
        <v>2038</v>
      </c>
      <c r="Z32" s="52">
        <v>2039</v>
      </c>
      <c r="AA32" s="52">
        <v>2040</v>
      </c>
      <c r="AB32" s="52">
        <v>2041</v>
      </c>
      <c r="AC32" s="52">
        <v>2042</v>
      </c>
      <c r="AD32" s="52">
        <v>2043</v>
      </c>
      <c r="AE32" s="52">
        <v>2044</v>
      </c>
      <c r="AF32" s="52">
        <v>2045</v>
      </c>
      <c r="AG32" s="52">
        <v>2046</v>
      </c>
      <c r="AH32" s="52">
        <v>2047</v>
      </c>
      <c r="AI32" s="52">
        <v>2048</v>
      </c>
      <c r="AJ32" s="52">
        <v>2049</v>
      </c>
      <c r="AK32" s="52">
        <v>2050</v>
      </c>
      <c r="AL32" s="52">
        <v>2051</v>
      </c>
      <c r="AM32" s="52">
        <v>2052</v>
      </c>
      <c r="AN32" s="52">
        <v>2053</v>
      </c>
      <c r="AO32" s="52">
        <v>2054</v>
      </c>
      <c r="AP32" s="52">
        <v>2055</v>
      </c>
      <c r="AQ32" s="52">
        <v>2056</v>
      </c>
      <c r="AR32" s="52">
        <v>2057</v>
      </c>
      <c r="AS32" s="52">
        <v>2058</v>
      </c>
      <c r="AT32" s="52">
        <v>2059</v>
      </c>
      <c r="AU32" s="52">
        <v>2060</v>
      </c>
      <c r="AV32" s="52">
        <v>2061</v>
      </c>
      <c r="AW32" s="52">
        <v>2062</v>
      </c>
      <c r="AX32" s="52">
        <v>2063</v>
      </c>
      <c r="AY32" s="52">
        <v>2064</v>
      </c>
      <c r="AZ32" s="52">
        <v>2065</v>
      </c>
      <c r="BA32" s="52">
        <v>2066</v>
      </c>
      <c r="BB32" s="52">
        <v>2067</v>
      </c>
      <c r="BC32" s="52">
        <v>2068</v>
      </c>
      <c r="BD32" s="52">
        <v>2069</v>
      </c>
      <c r="BE32" s="52">
        <v>2070</v>
      </c>
    </row>
    <row r="33" spans="12:57" x14ac:dyDescent="0.35">
      <c r="L33" s="71">
        <v>2.1999999999999999E-2</v>
      </c>
      <c r="M33" s="71">
        <v>0.02</v>
      </c>
      <c r="N33" s="71">
        <v>0.02</v>
      </c>
      <c r="O33" s="71">
        <v>0.02</v>
      </c>
      <c r="P33" s="71">
        <v>0.02</v>
      </c>
      <c r="Q33" s="71">
        <v>0.02</v>
      </c>
      <c r="R33" s="71">
        <v>0.02</v>
      </c>
      <c r="S33" s="71">
        <v>0.02</v>
      </c>
      <c r="T33" s="71">
        <v>0.02</v>
      </c>
      <c r="U33" s="71">
        <v>0.02</v>
      </c>
      <c r="V33" s="71">
        <v>0.02</v>
      </c>
      <c r="W33" s="71">
        <v>0.02</v>
      </c>
      <c r="X33" s="71">
        <v>0.02</v>
      </c>
      <c r="Y33" s="71">
        <v>0.02</v>
      </c>
      <c r="Z33" s="71">
        <v>0.02</v>
      </c>
      <c r="AA33" s="71">
        <v>0.02</v>
      </c>
      <c r="AB33" s="71">
        <v>0.02</v>
      </c>
      <c r="AC33" s="71">
        <v>0.02</v>
      </c>
      <c r="AD33" s="71">
        <v>0.02</v>
      </c>
      <c r="AE33" s="71">
        <v>0.02</v>
      </c>
      <c r="AF33" s="71">
        <v>0.02</v>
      </c>
      <c r="AG33" s="71">
        <v>0.02</v>
      </c>
      <c r="AH33" s="71">
        <v>0.02</v>
      </c>
      <c r="AI33" s="71">
        <v>0.02</v>
      </c>
      <c r="AJ33" s="71">
        <v>0.02</v>
      </c>
      <c r="AK33" s="71">
        <v>0.02</v>
      </c>
      <c r="AL33" s="71">
        <v>0.02</v>
      </c>
      <c r="AM33" s="71">
        <v>0.02</v>
      </c>
      <c r="AN33" s="71">
        <v>0.02</v>
      </c>
      <c r="AO33" s="71">
        <v>0.02</v>
      </c>
      <c r="AP33" s="71">
        <v>0.02</v>
      </c>
      <c r="AQ33" s="71">
        <v>0.02</v>
      </c>
      <c r="AR33" s="71">
        <v>0.02</v>
      </c>
      <c r="AS33" s="71">
        <v>0.02</v>
      </c>
      <c r="AT33" s="71">
        <v>0.02</v>
      </c>
      <c r="AU33" s="71">
        <v>0.02</v>
      </c>
      <c r="AV33" s="71">
        <v>0.02</v>
      </c>
      <c r="AW33" s="71">
        <v>0.02</v>
      </c>
      <c r="AX33" s="71">
        <v>0.02</v>
      </c>
      <c r="AY33" s="71">
        <v>0.02</v>
      </c>
      <c r="AZ33" s="71">
        <v>0.02</v>
      </c>
      <c r="BA33" s="71">
        <v>0.02</v>
      </c>
      <c r="BB33" s="71">
        <v>0.02</v>
      </c>
      <c r="BC33" s="71">
        <v>0.02</v>
      </c>
      <c r="BD33" s="71">
        <v>0.02</v>
      </c>
      <c r="BE33" s="71">
        <v>0.02</v>
      </c>
    </row>
    <row r="34" spans="12:57" x14ac:dyDescent="0.35">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row>
  </sheetData>
  <sheetProtection algorithmName="SHA-512" hashValue="DsVfuzIE6ZYPJNr23MI9owIAy2U2aHMJwSLzMTwCkNj7daqTYWSJiVMs+762NVO+Sh4zb5jPat/HG/GHWuOmnQ==" saltValue="ieZbvtyCuAN/IarYWnmTxg==" spinCount="100000" sheet="1" objects="1" scenarios="1"/>
  <phoneticPr fontId="20"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98DE-7C2E-442D-B2BA-1C1E17BC17E3}">
  <sheetPr codeName="Sheet5"/>
  <dimension ref="A1:G34"/>
  <sheetViews>
    <sheetView workbookViewId="0">
      <selection activeCell="B34" sqref="B34"/>
    </sheetView>
  </sheetViews>
  <sheetFormatPr defaultRowHeight="14.5" x14ac:dyDescent="0.35"/>
  <cols>
    <col min="1" max="1" width="28.54296875" bestFit="1" customWidth="1"/>
    <col min="3" max="3" width="36.54296875" bestFit="1" customWidth="1"/>
    <col min="4" max="4" width="36.54296875" customWidth="1"/>
    <col min="5" max="5" width="53.54296875" bestFit="1" customWidth="1"/>
    <col min="6" max="6" width="68.6328125" bestFit="1" customWidth="1"/>
    <col min="7" max="7" width="68" bestFit="1" customWidth="1"/>
  </cols>
  <sheetData>
    <row r="1" spans="1:7" x14ac:dyDescent="0.35">
      <c r="A1" s="15" t="s">
        <v>258</v>
      </c>
      <c r="B1" s="26"/>
      <c r="C1" s="26" t="s">
        <v>259</v>
      </c>
      <c r="D1" s="26" t="s">
        <v>260</v>
      </c>
      <c r="E1" s="26" t="s">
        <v>261</v>
      </c>
      <c r="F1" s="26" t="s">
        <v>262</v>
      </c>
      <c r="G1" s="26" t="s">
        <v>317</v>
      </c>
    </row>
    <row r="2" spans="1:7" x14ac:dyDescent="0.35">
      <c r="A2" t="s">
        <v>205</v>
      </c>
      <c r="B2">
        <v>0</v>
      </c>
      <c r="C2" s="41" t="s">
        <v>263</v>
      </c>
      <c r="D2" s="45">
        <v>2026</v>
      </c>
    </row>
    <row r="3" spans="1:7" x14ac:dyDescent="0.35">
      <c r="A3" t="s">
        <v>264</v>
      </c>
      <c r="B3">
        <v>1</v>
      </c>
      <c r="C3" t="s">
        <v>265</v>
      </c>
      <c r="D3" s="45">
        <f>'Project description'!B16</f>
        <v>0</v>
      </c>
      <c r="E3" s="41" t="s">
        <v>266</v>
      </c>
      <c r="F3" s="41" t="str">
        <f>E3</f>
        <v>Information not required</v>
      </c>
      <c r="G3" s="41" t="str">
        <f>F3</f>
        <v>Information not required</v>
      </c>
    </row>
    <row r="4" spans="1:7" x14ac:dyDescent="0.35">
      <c r="A4" t="s">
        <v>267</v>
      </c>
      <c r="B4">
        <v>2</v>
      </c>
      <c r="C4" s="41" t="s">
        <v>266</v>
      </c>
      <c r="D4" s="45">
        <f>YEAR('Project description'!B12)+'Project description'!B17</f>
        <v>1900</v>
      </c>
      <c r="E4" t="s">
        <v>268</v>
      </c>
      <c r="F4" t="s">
        <v>269</v>
      </c>
      <c r="G4" t="s">
        <v>13</v>
      </c>
    </row>
    <row r="5" spans="1:7" x14ac:dyDescent="0.35">
      <c r="A5" t="s">
        <v>12</v>
      </c>
      <c r="B5">
        <v>3</v>
      </c>
      <c r="C5" t="s">
        <v>270</v>
      </c>
      <c r="D5" s="45">
        <f>IF('Project description'!B18=Lists!E9,Lists!D3,Lists!D4)</f>
        <v>1900</v>
      </c>
      <c r="E5" t="s">
        <v>268</v>
      </c>
      <c r="F5" t="s">
        <v>269</v>
      </c>
      <c r="G5" t="s">
        <v>13</v>
      </c>
    </row>
    <row r="6" spans="1:7" x14ac:dyDescent="0.35">
      <c r="A6" t="s">
        <v>271</v>
      </c>
      <c r="B6" s="38">
        <f>INDEX(B2:B5,MATCH('Project description'!B15,$A$2:$A$5,0))</f>
        <v>0</v>
      </c>
      <c r="E6" s="2" t="s">
        <v>272</v>
      </c>
    </row>
    <row r="7" spans="1:7" x14ac:dyDescent="0.35">
      <c r="E7" t="s">
        <v>205</v>
      </c>
    </row>
    <row r="8" spans="1:7" x14ac:dyDescent="0.35">
      <c r="E8" t="s">
        <v>273</v>
      </c>
    </row>
    <row r="9" spans="1:7" x14ac:dyDescent="0.35">
      <c r="A9" s="26" t="s">
        <v>274</v>
      </c>
      <c r="B9" s="26"/>
      <c r="E9" t="s">
        <v>14</v>
      </c>
    </row>
    <row r="10" spans="1:7" x14ac:dyDescent="0.35">
      <c r="A10" t="s">
        <v>205</v>
      </c>
      <c r="E10" t="s">
        <v>275</v>
      </c>
    </row>
    <row r="11" spans="1:7" x14ac:dyDescent="0.35">
      <c r="A11" t="s">
        <v>276</v>
      </c>
      <c r="B11">
        <v>1</v>
      </c>
    </row>
    <row r="12" spans="1:7" x14ac:dyDescent="0.35">
      <c r="A12" t="s">
        <v>277</v>
      </c>
      <c r="B12">
        <v>2</v>
      </c>
    </row>
    <row r="13" spans="1:7" x14ac:dyDescent="0.35">
      <c r="A13" t="s">
        <v>25</v>
      </c>
      <c r="B13">
        <v>3</v>
      </c>
    </row>
    <row r="14" spans="1:7" x14ac:dyDescent="0.35">
      <c r="A14" t="s">
        <v>278</v>
      </c>
      <c r="B14">
        <v>4</v>
      </c>
    </row>
    <row r="16" spans="1:7" x14ac:dyDescent="0.35">
      <c r="A16" t="s">
        <v>205</v>
      </c>
      <c r="E16" s="41"/>
    </row>
    <row r="17" spans="1:3" x14ac:dyDescent="0.35">
      <c r="A17" t="s">
        <v>26</v>
      </c>
      <c r="B17">
        <v>1</v>
      </c>
    </row>
    <row r="18" spans="1:3" x14ac:dyDescent="0.35">
      <c r="A18" t="s">
        <v>279</v>
      </c>
      <c r="B18">
        <v>2</v>
      </c>
    </row>
    <row r="20" spans="1:3" x14ac:dyDescent="0.35">
      <c r="A20" s="26" t="s">
        <v>318</v>
      </c>
      <c r="B20" s="26"/>
      <c r="C20" s="26" t="s">
        <v>319</v>
      </c>
    </row>
    <row r="21" spans="1:3" x14ac:dyDescent="0.35">
      <c r="A21" t="s">
        <v>205</v>
      </c>
      <c r="C21">
        <v>0</v>
      </c>
    </row>
    <row r="22" spans="1:3" x14ac:dyDescent="0.35">
      <c r="A22" t="s">
        <v>309</v>
      </c>
      <c r="B22">
        <v>0</v>
      </c>
      <c r="C22" s="188">
        <v>10000000</v>
      </c>
    </row>
    <row r="23" spans="1:3" x14ac:dyDescent="0.35">
      <c r="A23" t="s">
        <v>320</v>
      </c>
      <c r="B23">
        <v>12</v>
      </c>
    </row>
    <row r="24" spans="1:3" x14ac:dyDescent="0.35">
      <c r="A24" t="s">
        <v>321</v>
      </c>
      <c r="B24">
        <v>24</v>
      </c>
    </row>
    <row r="25" spans="1:3" x14ac:dyDescent="0.35">
      <c r="A25" t="s">
        <v>322</v>
      </c>
      <c r="B25">
        <v>36</v>
      </c>
    </row>
    <row r="26" spans="1:3" x14ac:dyDescent="0.35">
      <c r="A26" t="s">
        <v>323</v>
      </c>
      <c r="B26">
        <v>48</v>
      </c>
    </row>
    <row r="27" spans="1:3" x14ac:dyDescent="0.35">
      <c r="A27" t="s">
        <v>324</v>
      </c>
      <c r="B27">
        <v>60</v>
      </c>
    </row>
    <row r="28" spans="1:3" x14ac:dyDescent="0.35">
      <c r="A28" t="s">
        <v>334</v>
      </c>
      <c r="B28">
        <v>72</v>
      </c>
    </row>
    <row r="29" spans="1:3" x14ac:dyDescent="0.35">
      <c r="A29" t="s">
        <v>335</v>
      </c>
      <c r="B29">
        <v>84</v>
      </c>
    </row>
    <row r="30" spans="1:3" x14ac:dyDescent="0.35">
      <c r="A30" t="s">
        <v>336</v>
      </c>
      <c r="B30">
        <v>96</v>
      </c>
    </row>
    <row r="31" spans="1:3" x14ac:dyDescent="0.35">
      <c r="A31" t="s">
        <v>337</v>
      </c>
      <c r="B31">
        <v>108</v>
      </c>
    </row>
    <row r="32" spans="1:3" x14ac:dyDescent="0.35">
      <c r="A32" t="s">
        <v>338</v>
      </c>
      <c r="B32">
        <v>120</v>
      </c>
    </row>
    <row r="34" spans="1:2" x14ac:dyDescent="0.35">
      <c r="A34" t="s">
        <v>271</v>
      </c>
      <c r="B34" s="38" t="str">
        <f>IFERROR(VLOOKUP('Project description'!B4,Lists!A22:B32,2,FALSE),"")</f>
        <v/>
      </c>
    </row>
  </sheetData>
  <sheetProtection algorithmName="SHA-512" hashValue="47PWw1u0leB3z97V5mV20caaNNt8uprPsERFKADl7yL2nNpldS/k5T5WQL4tbpMsRPkbhGAgU/mYPwnQwRYN9A==" saltValue="RaDccohC5XjDeunBe1wAIA==" spinCount="100000" sheet="1" objects="1" scenarios="1"/>
  <phoneticPr fontId="2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F96E-4AB0-4D13-8B64-63F7E1AB602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c6fc0d7-05d9-440e-b79d-1f4cf045e610"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FBEEC6BE8106234FA14174CF7DD0C034" ma:contentTypeVersion="10" ma:contentTypeDescription="Create a new document." ma:contentTypeScope="" ma:versionID="7b3d9ebd308db11b31d796e48f38ecbb">
  <xsd:schema xmlns:xsd="http://www.w3.org/2001/XMLSchema" xmlns:xs="http://www.w3.org/2001/XMLSchema" xmlns:p="http://schemas.microsoft.com/office/2006/metadata/properties" xmlns:ns3="2c6fc0d7-05d9-440e-b79d-1f4cf045e610" targetNamespace="http://schemas.microsoft.com/office/2006/metadata/properties" ma:root="true" ma:fieldsID="a585c4f5f565a37cbda3a7073dc54480" ns3:_="">
    <xsd:import namespace="2c6fc0d7-05d9-440e-b79d-1f4cf045e61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6fc0d7-05d9-440e-b79d-1f4cf045e61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643D7C-81B1-40D0-BEA7-6D95685E80D9}">
  <ds:schemaRefs>
    <ds:schemaRef ds:uri="http://schemas.microsoft.com/sharepoint/v3/contenttype/forms"/>
  </ds:schemaRefs>
</ds:datastoreItem>
</file>

<file path=customXml/itemProps2.xml><?xml version="1.0" encoding="utf-8"?>
<ds:datastoreItem xmlns:ds="http://schemas.openxmlformats.org/officeDocument/2006/customXml" ds:itemID="{DE91BC42-C965-4F34-A28B-28A65869C742}">
  <ds:schemaRefs>
    <ds:schemaRef ds:uri="http://schemas.microsoft.com/office/2006/documentManagement/types"/>
    <ds:schemaRef ds:uri="http://purl.org/dc/terms/"/>
    <ds:schemaRef ds:uri="2c6fc0d7-05d9-440e-b79d-1f4cf045e610"/>
    <ds:schemaRef ds:uri="http://www.w3.org/XML/1998/namespace"/>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339B74B-1B99-4C9C-809F-0A5612EAADDF}">
  <ds:schemaRefs>
    <ds:schemaRef ds:uri="http://schemas.microsoft.com/DataMashup"/>
  </ds:schemaRefs>
</ds:datastoreItem>
</file>

<file path=customXml/itemProps4.xml><?xml version="1.0" encoding="utf-8"?>
<ds:datastoreItem xmlns:ds="http://schemas.openxmlformats.org/officeDocument/2006/customXml" ds:itemID="{1C372F2D-1D8A-4088-81D2-80B50D18DA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6fc0d7-05d9-440e-b79d-1f4cf045e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Guidance</vt:lpstr>
      <vt:lpstr>Project description</vt:lpstr>
      <vt:lpstr>Inputs</vt:lpstr>
      <vt:lpstr>Scratch</vt:lpstr>
      <vt:lpstr>Real values</vt:lpstr>
      <vt:lpstr>Results</vt:lpstr>
      <vt:lpstr>Calculations</vt:lpstr>
      <vt:lpstr>Data</vt:lpstr>
      <vt:lpstr>Lists</vt:lpstr>
      <vt:lpstr>Output</vt:lpstr>
      <vt:lpstr>Analysis_year</vt:lpstr>
      <vt:lpstr>FinalYear_BC</vt:lpstr>
      <vt:lpstr>FinalYear_PP</vt:lpstr>
      <vt:lpstr>HurdleRateBasis</vt:lpstr>
      <vt:lpstr>Occasion</vt:lpstr>
      <vt:lpstr>ReturnType</vt:lpstr>
      <vt:lpstr>Start_Yr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Denne</dc:creator>
  <cp:keywords/>
  <dc:description/>
  <cp:lastModifiedBy>Jared Braggins</cp:lastModifiedBy>
  <cp:revision/>
  <dcterms:created xsi:type="dcterms:W3CDTF">2025-01-27T20:36:59Z</dcterms:created>
  <dcterms:modified xsi:type="dcterms:W3CDTF">2025-03-09T19:35:18Z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0x010100FBEEC6BE8106234FA14174CF7DD0C034</vt:lpwstr>
  </property>
  <property fmtid="{D5CDD505-2E9C-101B-9397-08002B2CF9AE}" pid="3" name="MediaServiceImageTags">
    <vt:lpwstr/>
  </property>
</Properties>
</file>