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18.xml" ContentType="application/vnd.openxmlformats-officedocument.spreadsheetml.table+xml"/>
  <Override PartName="/xl/tables/table1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C:\Users\cattonw\git\machine-readable-xlsx\ConcessionaryLoansAssessmentTemplate\input\"/>
    </mc:Choice>
  </mc:AlternateContent>
  <xr:revisionPtr revIDLastSave="0" documentId="13_ncr:1_{F80CD8BF-3671-48FF-83A9-16E9599DBB95}" xr6:coauthVersionLast="47" xr6:coauthVersionMax="47" xr10:uidLastSave="{00000000-0000-0000-0000-000000000000}"/>
  <bookViews>
    <workbookView xWindow="-120" yWindow="-120" windowWidth="51840" windowHeight="21120" activeTab="3" xr2:uid="{7468444B-38F4-40DC-B04E-B4E942B6977E}"/>
  </bookViews>
  <sheets>
    <sheet name="Guidance" sheetId="9" r:id="rId1"/>
    <sheet name="Project description" sheetId="1" r:id="rId2"/>
    <sheet name="Inputs" sheetId="3" r:id="rId3"/>
    <sheet name="Scratch" sheetId="10" r:id="rId4"/>
    <sheet name="Real values" sheetId="7" r:id="rId5"/>
    <sheet name="Calculations" sheetId="4" r:id="rId6"/>
    <sheet name="Results" sheetId="8" r:id="rId7"/>
    <sheet name="Data" sheetId="2" r:id="rId8"/>
    <sheet name="Lists" sheetId="5" r:id="rId9"/>
    <sheet name="Output" sheetId="6" r:id="rId10"/>
  </sheets>
  <definedNames>
    <definedName name="Analysis_year">'Project description'!$B$29</definedName>
    <definedName name="FinalYear_BC">Calculations!$B$3</definedName>
    <definedName name="FinalYear_PP">Calculations!$B$2</definedName>
    <definedName name="HurdleRateBasis">'Project description'!$B$27</definedName>
    <definedName name="ReturnType">'Project description'!$B$28</definedName>
    <definedName name="Start_Yr">'Project description'!$B$10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7" l="1"/>
  <c r="J65" i="3"/>
  <c r="K65" i="3"/>
  <c r="L65" i="3"/>
  <c r="M65" i="3"/>
  <c r="N65" i="3"/>
  <c r="O65" i="3"/>
  <c r="P65" i="3"/>
  <c r="Q65" i="3"/>
  <c r="R65" i="3"/>
  <c r="S65" i="3"/>
  <c r="T65" i="3"/>
  <c r="U65" i="3"/>
  <c r="V65" i="3"/>
  <c r="W65" i="3"/>
  <c r="X65" i="3"/>
  <c r="Y65" i="3"/>
  <c r="Z65" i="3"/>
  <c r="AA65" i="3"/>
  <c r="AB65" i="3"/>
  <c r="AC65" i="3"/>
  <c r="I65" i="3"/>
  <c r="L9" i="10"/>
  <c r="L6" i="10"/>
  <c r="B18" i="10"/>
  <c r="L5" i="10"/>
  <c r="F5" i="10"/>
  <c r="B15" i="10"/>
  <c r="G5" i="7"/>
  <c r="G4" i="7"/>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O8" i="3"/>
  <c r="AP8" i="3"/>
  <c r="AQ8" i="3"/>
  <c r="AR8" i="3"/>
  <c r="AS8" i="3"/>
  <c r="AT8" i="3"/>
  <c r="AU8" i="3"/>
  <c r="AV8" i="3"/>
  <c r="AW8" i="3"/>
  <c r="AX8" i="3"/>
  <c r="AY8" i="3"/>
  <c r="AZ8" i="3"/>
  <c r="H8" i="3"/>
  <c r="G8" i="3"/>
  <c r="H10" i="3" l="1"/>
  <c r="H5" i="7" s="1"/>
  <c r="H9" i="3"/>
  <c r="H4" i="7" s="1"/>
  <c r="L30" i="2"/>
  <c r="L20" i="2" s="1"/>
  <c r="K3" i="2"/>
  <c r="K4" i="2"/>
  <c r="K5" i="2"/>
  <c r="K6" i="2"/>
  <c r="K7" i="2"/>
  <c r="K8" i="2"/>
  <c r="K9" i="2"/>
  <c r="K10" i="2"/>
  <c r="K11" i="2"/>
  <c r="K12" i="2"/>
  <c r="K2" i="2"/>
  <c r="AL18" i="2"/>
  <c r="AM18" i="2" s="1"/>
  <c r="AN18" i="2" s="1"/>
  <c r="AO18" i="2" s="1"/>
  <c r="AP18" i="2" s="1"/>
  <c r="AQ18" i="2" s="1"/>
  <c r="AR18" i="2" s="1"/>
  <c r="AS18" i="2" s="1"/>
  <c r="AT18" i="2" s="1"/>
  <c r="AU18" i="2" s="1"/>
  <c r="AV18" i="2" s="1"/>
  <c r="AW18" i="2" s="1"/>
  <c r="AX18" i="2" s="1"/>
  <c r="AY18" i="2" s="1"/>
  <c r="AZ18" i="2" s="1"/>
  <c r="BA18" i="2" s="1"/>
  <c r="BB18" i="2" s="1"/>
  <c r="BC18" i="2" s="1"/>
  <c r="BD18" i="2" s="1"/>
  <c r="BE18" i="2" s="1"/>
  <c r="I54" i="3"/>
  <c r="J54" i="3" s="1"/>
  <c r="K54" i="3" s="1"/>
  <c r="L54" i="3" s="1"/>
  <c r="M54" i="3" s="1"/>
  <c r="N54" i="3" s="1"/>
  <c r="O54" i="3" s="1"/>
  <c r="P54" i="3" s="1"/>
  <c r="Q54" i="3" s="1"/>
  <c r="R54" i="3" s="1"/>
  <c r="S54" i="3" s="1"/>
  <c r="T54" i="3" s="1"/>
  <c r="U54" i="3" s="1"/>
  <c r="V54" i="3" s="1"/>
  <c r="W54" i="3" s="1"/>
  <c r="X54" i="3" s="1"/>
  <c r="Y54" i="3" s="1"/>
  <c r="Z54" i="3" s="1"/>
  <c r="AA54" i="3" s="1"/>
  <c r="AB54" i="3" s="1"/>
  <c r="AC54" i="3" s="1"/>
  <c r="I42" i="3"/>
  <c r="J42" i="3" s="1"/>
  <c r="K42" i="3" s="1"/>
  <c r="L42" i="3" s="1"/>
  <c r="M42" i="3" s="1"/>
  <c r="N42" i="3" s="1"/>
  <c r="O42" i="3" s="1"/>
  <c r="P42" i="3" s="1"/>
  <c r="Q42" i="3" s="1"/>
  <c r="R42" i="3" s="1"/>
  <c r="S42" i="3" s="1"/>
  <c r="T42" i="3" s="1"/>
  <c r="U42" i="3" s="1"/>
  <c r="V42" i="3" s="1"/>
  <c r="W42" i="3" s="1"/>
  <c r="X42" i="3" s="1"/>
  <c r="Y42" i="3" s="1"/>
  <c r="Z42" i="3" s="1"/>
  <c r="AA42" i="3" s="1"/>
  <c r="AB42" i="3" s="1"/>
  <c r="AC42" i="3" s="1"/>
  <c r="B10" i="8"/>
  <c r="I94" i="7"/>
  <c r="J94" i="7"/>
  <c r="K94" i="7"/>
  <c r="L94" i="7"/>
  <c r="M94" i="7"/>
  <c r="N94" i="7"/>
  <c r="O94" i="7"/>
  <c r="P94" i="7"/>
  <c r="Q94" i="7"/>
  <c r="R94" i="7"/>
  <c r="S94" i="7"/>
  <c r="T94" i="7"/>
  <c r="U94" i="7"/>
  <c r="V94" i="7"/>
  <c r="W94" i="7"/>
  <c r="X94" i="7"/>
  <c r="Y94" i="7"/>
  <c r="Z94" i="7"/>
  <c r="AA94" i="7"/>
  <c r="AB94" i="7"/>
  <c r="AC94" i="7"/>
  <c r="AD94" i="7"/>
  <c r="AE94" i="7"/>
  <c r="AF94" i="7"/>
  <c r="AG94" i="7"/>
  <c r="AH94" i="7"/>
  <c r="AI94" i="7"/>
  <c r="AJ94" i="7"/>
  <c r="AK94" i="7"/>
  <c r="AL94" i="7"/>
  <c r="AM94" i="7"/>
  <c r="AN94" i="7"/>
  <c r="AO94" i="7"/>
  <c r="AP94" i="7"/>
  <c r="AQ94" i="7"/>
  <c r="AR94" i="7"/>
  <c r="AS94" i="7"/>
  <c r="AT94" i="7"/>
  <c r="AU94" i="7"/>
  <c r="AV94" i="7"/>
  <c r="AW94" i="7"/>
  <c r="AX94" i="7"/>
  <c r="AY94" i="7"/>
  <c r="AZ94" i="7"/>
  <c r="I95" i="7"/>
  <c r="J95" i="7"/>
  <c r="K95" i="7"/>
  <c r="L95" i="7"/>
  <c r="M95" i="7"/>
  <c r="N95" i="7"/>
  <c r="O95" i="7"/>
  <c r="P95" i="7"/>
  <c r="Q95" i="7"/>
  <c r="R95" i="7"/>
  <c r="S95" i="7"/>
  <c r="T95" i="7"/>
  <c r="U95" i="7"/>
  <c r="V95" i="7"/>
  <c r="W95" i="7"/>
  <c r="X95" i="7"/>
  <c r="Y95" i="7"/>
  <c r="Z95" i="7"/>
  <c r="AA95" i="7"/>
  <c r="AB95" i="7"/>
  <c r="AC95" i="7"/>
  <c r="AD95" i="7"/>
  <c r="AE95" i="7"/>
  <c r="AF95" i="7"/>
  <c r="AG95" i="7"/>
  <c r="AH95" i="7"/>
  <c r="AI95" i="7"/>
  <c r="AJ95" i="7"/>
  <c r="AK95" i="7"/>
  <c r="AL95" i="7"/>
  <c r="AM95" i="7"/>
  <c r="AN95" i="7"/>
  <c r="AO95" i="7"/>
  <c r="AP95" i="7"/>
  <c r="AQ95" i="7"/>
  <c r="AR95" i="7"/>
  <c r="AS95" i="7"/>
  <c r="AT95" i="7"/>
  <c r="AU95" i="7"/>
  <c r="AV95" i="7"/>
  <c r="AW95" i="7"/>
  <c r="AX95" i="7"/>
  <c r="AY95" i="7"/>
  <c r="AZ95" i="7"/>
  <c r="I96" i="7"/>
  <c r="J96" i="7"/>
  <c r="K96" i="7"/>
  <c r="L96" i="7"/>
  <c r="M96" i="7"/>
  <c r="N96" i="7"/>
  <c r="O96" i="7"/>
  <c r="P96" i="7"/>
  <c r="Q96" i="7"/>
  <c r="R96" i="7"/>
  <c r="S96" i="7"/>
  <c r="T96" i="7"/>
  <c r="U96" i="7"/>
  <c r="V96" i="7"/>
  <c r="W96" i="7"/>
  <c r="X96" i="7"/>
  <c r="Y96" i="7"/>
  <c r="Z96" i="7"/>
  <c r="AA96" i="7"/>
  <c r="AB96" i="7"/>
  <c r="AC96" i="7"/>
  <c r="AD96" i="7"/>
  <c r="AE96" i="7"/>
  <c r="AF96" i="7"/>
  <c r="AG96" i="7"/>
  <c r="AH96" i="7"/>
  <c r="AI96" i="7"/>
  <c r="AJ96" i="7"/>
  <c r="AK96" i="7"/>
  <c r="AL96" i="7"/>
  <c r="AM96" i="7"/>
  <c r="AN96" i="7"/>
  <c r="AO96" i="7"/>
  <c r="AP96" i="7"/>
  <c r="AQ96" i="7"/>
  <c r="AR96" i="7"/>
  <c r="AS96" i="7"/>
  <c r="AT96" i="7"/>
  <c r="AU96" i="7"/>
  <c r="AV96" i="7"/>
  <c r="AW96" i="7"/>
  <c r="AX96" i="7"/>
  <c r="AY96" i="7"/>
  <c r="AZ96" i="7"/>
  <c r="I97" i="7"/>
  <c r="J97" i="7"/>
  <c r="K97" i="7"/>
  <c r="L97" i="7"/>
  <c r="M97" i="7"/>
  <c r="N97" i="7"/>
  <c r="O97" i="7"/>
  <c r="P97" i="7"/>
  <c r="Q97" i="7"/>
  <c r="R97" i="7"/>
  <c r="S97" i="7"/>
  <c r="T97" i="7"/>
  <c r="U97" i="7"/>
  <c r="V97" i="7"/>
  <c r="W97" i="7"/>
  <c r="X97" i="7"/>
  <c r="Y97" i="7"/>
  <c r="Z97" i="7"/>
  <c r="AA97" i="7"/>
  <c r="AB97" i="7"/>
  <c r="AC97" i="7"/>
  <c r="AD97" i="7"/>
  <c r="AE97" i="7"/>
  <c r="AF97" i="7"/>
  <c r="AG97" i="7"/>
  <c r="AH97" i="7"/>
  <c r="AI97" i="7"/>
  <c r="AJ97" i="7"/>
  <c r="AK97" i="7"/>
  <c r="AL97" i="7"/>
  <c r="AM97" i="7"/>
  <c r="AN97" i="7"/>
  <c r="AO97" i="7"/>
  <c r="AP97" i="7"/>
  <c r="AQ97" i="7"/>
  <c r="AR97" i="7"/>
  <c r="AS97" i="7"/>
  <c r="AT97" i="7"/>
  <c r="AU97" i="7"/>
  <c r="AV97" i="7"/>
  <c r="AW97" i="7"/>
  <c r="AX97" i="7"/>
  <c r="AY97" i="7"/>
  <c r="AZ97" i="7"/>
  <c r="I98" i="7"/>
  <c r="J98" i="7"/>
  <c r="K98" i="7"/>
  <c r="L98" i="7"/>
  <c r="M98" i="7"/>
  <c r="N98" i="7"/>
  <c r="O98" i="7"/>
  <c r="P98" i="7"/>
  <c r="Q98" i="7"/>
  <c r="R98" i="7"/>
  <c r="S98" i="7"/>
  <c r="T98" i="7"/>
  <c r="U98" i="7"/>
  <c r="V98" i="7"/>
  <c r="W98" i="7"/>
  <c r="X98" i="7"/>
  <c r="Y98" i="7"/>
  <c r="Z98" i="7"/>
  <c r="AA98" i="7"/>
  <c r="AB98" i="7"/>
  <c r="AC98" i="7"/>
  <c r="AD98" i="7"/>
  <c r="AE98" i="7"/>
  <c r="AF98" i="7"/>
  <c r="AG98" i="7"/>
  <c r="AH98" i="7"/>
  <c r="AI98" i="7"/>
  <c r="AJ98" i="7"/>
  <c r="AK98" i="7"/>
  <c r="AL98" i="7"/>
  <c r="AM98" i="7"/>
  <c r="AN98" i="7"/>
  <c r="AO98" i="7"/>
  <c r="AP98" i="7"/>
  <c r="AQ98" i="7"/>
  <c r="AR98" i="7"/>
  <c r="AS98" i="7"/>
  <c r="AT98" i="7"/>
  <c r="AU98" i="7"/>
  <c r="AV98" i="7"/>
  <c r="AW98" i="7"/>
  <c r="AX98" i="7"/>
  <c r="AY98" i="7"/>
  <c r="AZ98" i="7"/>
  <c r="I100" i="7"/>
  <c r="J100" i="7"/>
  <c r="K100" i="7"/>
  <c r="L100" i="7"/>
  <c r="M100" i="7"/>
  <c r="N100" i="7"/>
  <c r="O100" i="7"/>
  <c r="P100" i="7"/>
  <c r="Q100" i="7"/>
  <c r="R100" i="7"/>
  <c r="S100" i="7"/>
  <c r="T100" i="7"/>
  <c r="U100" i="7"/>
  <c r="V100" i="7"/>
  <c r="W100" i="7"/>
  <c r="X100" i="7"/>
  <c r="Y100" i="7"/>
  <c r="Z100" i="7"/>
  <c r="AA100" i="7"/>
  <c r="AB100" i="7"/>
  <c r="AC100" i="7"/>
  <c r="AD100" i="7"/>
  <c r="AE100" i="7"/>
  <c r="AF100" i="7"/>
  <c r="AG100" i="7"/>
  <c r="AH100" i="7"/>
  <c r="AI100" i="7"/>
  <c r="AJ100" i="7"/>
  <c r="AK100" i="7"/>
  <c r="AL100" i="7"/>
  <c r="AM100" i="7"/>
  <c r="AN100" i="7"/>
  <c r="AO100" i="7"/>
  <c r="AP100" i="7"/>
  <c r="AQ100" i="7"/>
  <c r="AR100" i="7"/>
  <c r="AS100" i="7"/>
  <c r="AT100" i="7"/>
  <c r="AU100" i="7"/>
  <c r="AV100" i="7"/>
  <c r="AW100" i="7"/>
  <c r="AX100" i="7"/>
  <c r="AY100" i="7"/>
  <c r="AZ100" i="7"/>
  <c r="I101" i="7"/>
  <c r="J101" i="7"/>
  <c r="K101" i="7"/>
  <c r="L101" i="7"/>
  <c r="M101" i="7"/>
  <c r="N101" i="7"/>
  <c r="O101" i="7"/>
  <c r="P101" i="7"/>
  <c r="Q101" i="7"/>
  <c r="R101" i="7"/>
  <c r="S101" i="7"/>
  <c r="T101" i="7"/>
  <c r="U101" i="7"/>
  <c r="V101" i="7"/>
  <c r="W101" i="7"/>
  <c r="X101" i="7"/>
  <c r="Y101" i="7"/>
  <c r="Z101" i="7"/>
  <c r="AA101" i="7"/>
  <c r="AB101" i="7"/>
  <c r="AC101" i="7"/>
  <c r="AD101" i="7"/>
  <c r="AE101" i="7"/>
  <c r="AF101" i="7"/>
  <c r="AG101" i="7"/>
  <c r="AH101" i="7"/>
  <c r="AI101" i="7"/>
  <c r="AJ101" i="7"/>
  <c r="AK101" i="7"/>
  <c r="AL101" i="7"/>
  <c r="AM101" i="7"/>
  <c r="AN101" i="7"/>
  <c r="AO101" i="7"/>
  <c r="AP101" i="7"/>
  <c r="AQ101" i="7"/>
  <c r="AR101" i="7"/>
  <c r="AS101" i="7"/>
  <c r="AT101" i="7"/>
  <c r="AU101" i="7"/>
  <c r="AV101" i="7"/>
  <c r="AW101" i="7"/>
  <c r="AX101" i="7"/>
  <c r="AY101" i="7"/>
  <c r="AZ101" i="7"/>
  <c r="I103" i="7"/>
  <c r="J103" i="7"/>
  <c r="K103" i="7"/>
  <c r="L103" i="7"/>
  <c r="M103" i="7"/>
  <c r="N103" i="7"/>
  <c r="O103" i="7"/>
  <c r="P103" i="7"/>
  <c r="Q103" i="7"/>
  <c r="R103" i="7"/>
  <c r="S103" i="7"/>
  <c r="T103" i="7"/>
  <c r="U103" i="7"/>
  <c r="V103" i="7"/>
  <c r="W103" i="7"/>
  <c r="X103" i="7"/>
  <c r="Y103" i="7"/>
  <c r="Z103" i="7"/>
  <c r="AA103" i="7"/>
  <c r="AB103" i="7"/>
  <c r="AC103" i="7"/>
  <c r="AD103" i="7"/>
  <c r="AE103" i="7"/>
  <c r="AF103" i="7"/>
  <c r="AG103" i="7"/>
  <c r="AH103" i="7"/>
  <c r="AI103" i="7"/>
  <c r="AJ103" i="7"/>
  <c r="AK103" i="7"/>
  <c r="AL103" i="7"/>
  <c r="AM103" i="7"/>
  <c r="AN103" i="7"/>
  <c r="AO103" i="7"/>
  <c r="AP103" i="7"/>
  <c r="AQ103" i="7"/>
  <c r="AR103" i="7"/>
  <c r="AS103" i="7"/>
  <c r="AT103" i="7"/>
  <c r="AU103" i="7"/>
  <c r="AV103" i="7"/>
  <c r="AW103" i="7"/>
  <c r="AX103" i="7"/>
  <c r="AY103" i="7"/>
  <c r="AZ103" i="7"/>
  <c r="H95" i="7"/>
  <c r="H96" i="7"/>
  <c r="H97" i="7"/>
  <c r="H98" i="7"/>
  <c r="H100" i="7"/>
  <c r="H101" i="7"/>
  <c r="H103" i="7"/>
  <c r="H94" i="7"/>
  <c r="I81" i="7"/>
  <c r="J81" i="7"/>
  <c r="K81" i="7"/>
  <c r="L81" i="7"/>
  <c r="M81" i="7"/>
  <c r="N81" i="7"/>
  <c r="O81" i="7"/>
  <c r="P81" i="7"/>
  <c r="Q81" i="7"/>
  <c r="R81" i="7"/>
  <c r="S81" i="7"/>
  <c r="T81" i="7"/>
  <c r="U81" i="7"/>
  <c r="V81" i="7"/>
  <c r="W81" i="7"/>
  <c r="X81" i="7"/>
  <c r="Y81" i="7"/>
  <c r="Z81" i="7"/>
  <c r="AA81" i="7"/>
  <c r="AB81" i="7"/>
  <c r="AC81" i="7"/>
  <c r="AD81" i="7"/>
  <c r="AE81" i="7"/>
  <c r="AF81" i="7"/>
  <c r="AG81" i="7"/>
  <c r="AH81" i="7"/>
  <c r="AI81" i="7"/>
  <c r="AJ81" i="7"/>
  <c r="AK81" i="7"/>
  <c r="AL81" i="7"/>
  <c r="AM81" i="7"/>
  <c r="AN81" i="7"/>
  <c r="AO81" i="7"/>
  <c r="AP81" i="7"/>
  <c r="AQ81" i="7"/>
  <c r="AR81" i="7"/>
  <c r="AS81" i="7"/>
  <c r="AT81" i="7"/>
  <c r="AU81" i="7"/>
  <c r="AV81" i="7"/>
  <c r="AW81" i="7"/>
  <c r="AX81" i="7"/>
  <c r="AY81" i="7"/>
  <c r="AZ81" i="7"/>
  <c r="I82" i="7"/>
  <c r="J82" i="7"/>
  <c r="K82" i="7"/>
  <c r="L82" i="7"/>
  <c r="M82" i="7"/>
  <c r="N82" i="7"/>
  <c r="O82" i="7"/>
  <c r="P82" i="7"/>
  <c r="Q82" i="7"/>
  <c r="R82" i="7"/>
  <c r="S82" i="7"/>
  <c r="T82" i="7"/>
  <c r="U82" i="7"/>
  <c r="V82" i="7"/>
  <c r="W82" i="7"/>
  <c r="X82" i="7"/>
  <c r="Y82" i="7"/>
  <c r="Z82" i="7"/>
  <c r="AA82" i="7"/>
  <c r="AB82" i="7"/>
  <c r="AC82" i="7"/>
  <c r="AD82" i="7"/>
  <c r="AE82" i="7"/>
  <c r="AF82" i="7"/>
  <c r="AG82" i="7"/>
  <c r="AH82" i="7"/>
  <c r="AI82" i="7"/>
  <c r="AJ82" i="7"/>
  <c r="AK82" i="7"/>
  <c r="AL82" i="7"/>
  <c r="AM82" i="7"/>
  <c r="AN82" i="7"/>
  <c r="AO82" i="7"/>
  <c r="AP82" i="7"/>
  <c r="AQ82" i="7"/>
  <c r="AR82" i="7"/>
  <c r="AS82" i="7"/>
  <c r="AT82" i="7"/>
  <c r="AU82" i="7"/>
  <c r="AV82" i="7"/>
  <c r="AW82" i="7"/>
  <c r="AX82" i="7"/>
  <c r="AY82" i="7"/>
  <c r="AZ82" i="7"/>
  <c r="I83" i="7"/>
  <c r="J83" i="7"/>
  <c r="K83" i="7"/>
  <c r="L83" i="7"/>
  <c r="M83" i="7"/>
  <c r="N83" i="7"/>
  <c r="O83" i="7"/>
  <c r="P83" i="7"/>
  <c r="Q83" i="7"/>
  <c r="R83" i="7"/>
  <c r="S83" i="7"/>
  <c r="T83" i="7"/>
  <c r="U83" i="7"/>
  <c r="V83" i="7"/>
  <c r="W83" i="7"/>
  <c r="X83" i="7"/>
  <c r="Y83" i="7"/>
  <c r="Z83" i="7"/>
  <c r="AA83" i="7"/>
  <c r="AB83" i="7"/>
  <c r="AC83" i="7"/>
  <c r="AD83" i="7"/>
  <c r="AE83" i="7"/>
  <c r="AF83" i="7"/>
  <c r="AG83" i="7"/>
  <c r="AH83" i="7"/>
  <c r="AI83" i="7"/>
  <c r="AJ83" i="7"/>
  <c r="AK83" i="7"/>
  <c r="AL83" i="7"/>
  <c r="AM83" i="7"/>
  <c r="AN83" i="7"/>
  <c r="AO83" i="7"/>
  <c r="AP83" i="7"/>
  <c r="AQ83" i="7"/>
  <c r="AR83" i="7"/>
  <c r="AS83" i="7"/>
  <c r="AT83" i="7"/>
  <c r="AU83" i="7"/>
  <c r="AV83" i="7"/>
  <c r="AW83" i="7"/>
  <c r="AX83" i="7"/>
  <c r="AY83" i="7"/>
  <c r="AZ83" i="7"/>
  <c r="I84" i="7"/>
  <c r="J84" i="7"/>
  <c r="K84" i="7"/>
  <c r="L84" i="7"/>
  <c r="M84" i="7"/>
  <c r="N84" i="7"/>
  <c r="O84" i="7"/>
  <c r="P84" i="7"/>
  <c r="Q84" i="7"/>
  <c r="R84" i="7"/>
  <c r="S84" i="7"/>
  <c r="T84" i="7"/>
  <c r="U84" i="7"/>
  <c r="V84" i="7"/>
  <c r="W84" i="7"/>
  <c r="X84" i="7"/>
  <c r="Y84" i="7"/>
  <c r="Z84" i="7"/>
  <c r="AA84" i="7"/>
  <c r="AB84" i="7"/>
  <c r="AC84" i="7"/>
  <c r="AD84" i="7"/>
  <c r="AE84" i="7"/>
  <c r="AF84" i="7"/>
  <c r="AG84" i="7"/>
  <c r="AH84" i="7"/>
  <c r="AI84" i="7"/>
  <c r="AJ84" i="7"/>
  <c r="AK84" i="7"/>
  <c r="AL84" i="7"/>
  <c r="AM84" i="7"/>
  <c r="AN84" i="7"/>
  <c r="AO84" i="7"/>
  <c r="AP84" i="7"/>
  <c r="AQ84" i="7"/>
  <c r="AR84" i="7"/>
  <c r="AS84" i="7"/>
  <c r="AT84" i="7"/>
  <c r="AU84" i="7"/>
  <c r="AV84" i="7"/>
  <c r="AW84" i="7"/>
  <c r="AX84" i="7"/>
  <c r="AY84" i="7"/>
  <c r="AZ84" i="7"/>
  <c r="I85" i="7"/>
  <c r="J85" i="7"/>
  <c r="K85" i="7"/>
  <c r="L85" i="7"/>
  <c r="M85" i="7"/>
  <c r="N85" i="7"/>
  <c r="O85" i="7"/>
  <c r="P85" i="7"/>
  <c r="Q85" i="7"/>
  <c r="R85" i="7"/>
  <c r="S85" i="7"/>
  <c r="T85" i="7"/>
  <c r="U85" i="7"/>
  <c r="V85" i="7"/>
  <c r="W85" i="7"/>
  <c r="X85" i="7"/>
  <c r="Y85" i="7"/>
  <c r="Z85" i="7"/>
  <c r="AA85" i="7"/>
  <c r="AB85" i="7"/>
  <c r="AC85" i="7"/>
  <c r="AD85" i="7"/>
  <c r="AE85" i="7"/>
  <c r="AF85" i="7"/>
  <c r="AG85" i="7"/>
  <c r="AH85" i="7"/>
  <c r="AI85" i="7"/>
  <c r="AJ85" i="7"/>
  <c r="AK85" i="7"/>
  <c r="AL85" i="7"/>
  <c r="AM85" i="7"/>
  <c r="AN85" i="7"/>
  <c r="AO85" i="7"/>
  <c r="AP85" i="7"/>
  <c r="AQ85" i="7"/>
  <c r="AR85" i="7"/>
  <c r="AS85" i="7"/>
  <c r="AT85" i="7"/>
  <c r="AU85" i="7"/>
  <c r="AV85" i="7"/>
  <c r="AW85" i="7"/>
  <c r="AX85" i="7"/>
  <c r="AY85" i="7"/>
  <c r="AZ85" i="7"/>
  <c r="I87" i="7"/>
  <c r="J87" i="7"/>
  <c r="K87" i="7"/>
  <c r="L87" i="7"/>
  <c r="M87" i="7"/>
  <c r="N87" i="7"/>
  <c r="O87" i="7"/>
  <c r="P87" i="7"/>
  <c r="Q87" i="7"/>
  <c r="R87" i="7"/>
  <c r="S87" i="7"/>
  <c r="T87" i="7"/>
  <c r="U87" i="7"/>
  <c r="V87" i="7"/>
  <c r="W87" i="7"/>
  <c r="X87" i="7"/>
  <c r="Y87" i="7"/>
  <c r="Z87" i="7"/>
  <c r="AA87" i="7"/>
  <c r="AB87" i="7"/>
  <c r="AC87" i="7"/>
  <c r="AD87" i="7"/>
  <c r="AE87" i="7"/>
  <c r="AF87" i="7"/>
  <c r="AG87" i="7"/>
  <c r="AH87" i="7"/>
  <c r="AI87" i="7"/>
  <c r="AJ87" i="7"/>
  <c r="AK87" i="7"/>
  <c r="AL87" i="7"/>
  <c r="AM87" i="7"/>
  <c r="AN87" i="7"/>
  <c r="AO87" i="7"/>
  <c r="AP87" i="7"/>
  <c r="AQ87" i="7"/>
  <c r="AR87" i="7"/>
  <c r="AS87" i="7"/>
  <c r="AT87" i="7"/>
  <c r="AU87" i="7"/>
  <c r="AV87" i="7"/>
  <c r="AW87" i="7"/>
  <c r="AX87" i="7"/>
  <c r="AY87" i="7"/>
  <c r="AZ87" i="7"/>
  <c r="I88" i="7"/>
  <c r="J88" i="7"/>
  <c r="K88" i="7"/>
  <c r="L88" i="7"/>
  <c r="M88" i="7"/>
  <c r="N88" i="7"/>
  <c r="O88" i="7"/>
  <c r="P88" i="7"/>
  <c r="Q88" i="7"/>
  <c r="R88" i="7"/>
  <c r="S88" i="7"/>
  <c r="T88" i="7"/>
  <c r="U88" i="7"/>
  <c r="V88" i="7"/>
  <c r="W88" i="7"/>
  <c r="X88" i="7"/>
  <c r="Y88" i="7"/>
  <c r="Z88" i="7"/>
  <c r="AA88" i="7"/>
  <c r="AB88" i="7"/>
  <c r="AC88" i="7"/>
  <c r="AD88" i="7"/>
  <c r="AE88" i="7"/>
  <c r="AF88" i="7"/>
  <c r="AG88" i="7"/>
  <c r="AH88" i="7"/>
  <c r="AI88" i="7"/>
  <c r="AJ88" i="7"/>
  <c r="AK88" i="7"/>
  <c r="AL88" i="7"/>
  <c r="AM88" i="7"/>
  <c r="AN88" i="7"/>
  <c r="AO88" i="7"/>
  <c r="AP88" i="7"/>
  <c r="AQ88" i="7"/>
  <c r="AR88" i="7"/>
  <c r="AS88" i="7"/>
  <c r="AT88" i="7"/>
  <c r="AU88" i="7"/>
  <c r="AV88" i="7"/>
  <c r="AW88" i="7"/>
  <c r="AX88" i="7"/>
  <c r="AY88" i="7"/>
  <c r="AZ88" i="7"/>
  <c r="I90" i="7"/>
  <c r="J90" i="7"/>
  <c r="K90" i="7"/>
  <c r="L90" i="7"/>
  <c r="M90" i="7"/>
  <c r="N90" i="7"/>
  <c r="O90" i="7"/>
  <c r="P90" i="7"/>
  <c r="Q90" i="7"/>
  <c r="R90" i="7"/>
  <c r="S90" i="7"/>
  <c r="T90" i="7"/>
  <c r="U90" i="7"/>
  <c r="V90" i="7"/>
  <c r="W90" i="7"/>
  <c r="X90" i="7"/>
  <c r="Y90" i="7"/>
  <c r="Z90" i="7"/>
  <c r="AA90" i="7"/>
  <c r="AB90" i="7"/>
  <c r="AC90" i="7"/>
  <c r="AD90" i="7"/>
  <c r="AE90" i="7"/>
  <c r="AF90" i="7"/>
  <c r="AG90" i="7"/>
  <c r="AH90" i="7"/>
  <c r="AI90" i="7"/>
  <c r="AJ90" i="7"/>
  <c r="AK90" i="7"/>
  <c r="AL90" i="7"/>
  <c r="AM90" i="7"/>
  <c r="AN90" i="7"/>
  <c r="AO90" i="7"/>
  <c r="AP90" i="7"/>
  <c r="AQ90" i="7"/>
  <c r="AR90" i="7"/>
  <c r="AS90" i="7"/>
  <c r="AT90" i="7"/>
  <c r="AU90" i="7"/>
  <c r="AV90" i="7"/>
  <c r="AW90" i="7"/>
  <c r="AX90" i="7"/>
  <c r="AY90" i="7"/>
  <c r="AZ90" i="7"/>
  <c r="H82" i="7"/>
  <c r="H83" i="7"/>
  <c r="H84" i="7"/>
  <c r="H85" i="7"/>
  <c r="H87" i="7"/>
  <c r="H88" i="7"/>
  <c r="H90" i="7"/>
  <c r="H81" i="7"/>
  <c r="I66" i="7"/>
  <c r="J66" i="7"/>
  <c r="K66" i="7"/>
  <c r="L66" i="7"/>
  <c r="M66" i="7"/>
  <c r="N66" i="7"/>
  <c r="O66" i="7"/>
  <c r="P66" i="7"/>
  <c r="Q66" i="7"/>
  <c r="R66" i="7"/>
  <c r="S66" i="7"/>
  <c r="T66" i="7"/>
  <c r="U66" i="7"/>
  <c r="V66" i="7"/>
  <c r="W66" i="7"/>
  <c r="X66" i="7"/>
  <c r="Y66" i="7"/>
  <c r="Z66" i="7"/>
  <c r="AA66" i="7"/>
  <c r="AB66" i="7"/>
  <c r="AC66" i="7"/>
  <c r="AD66" i="7"/>
  <c r="AE66" i="7"/>
  <c r="AF66" i="7"/>
  <c r="AG66" i="7"/>
  <c r="AH66" i="7"/>
  <c r="AI66" i="7"/>
  <c r="AJ66" i="7"/>
  <c r="AK66" i="7"/>
  <c r="AL66" i="7"/>
  <c r="AM66" i="7"/>
  <c r="AN66" i="7"/>
  <c r="AO66" i="7"/>
  <c r="AP66" i="7"/>
  <c r="AQ66" i="7"/>
  <c r="AR66" i="7"/>
  <c r="AS66" i="7"/>
  <c r="AT66" i="7"/>
  <c r="AU66" i="7"/>
  <c r="AV66" i="7"/>
  <c r="AW66" i="7"/>
  <c r="AX66" i="7"/>
  <c r="AY66" i="7"/>
  <c r="AZ66" i="7"/>
  <c r="I67" i="7"/>
  <c r="J67" i="7"/>
  <c r="K67" i="7"/>
  <c r="L67" i="7"/>
  <c r="M67" i="7"/>
  <c r="N67" i="7"/>
  <c r="O67" i="7"/>
  <c r="P67" i="7"/>
  <c r="Q67" i="7"/>
  <c r="R67" i="7"/>
  <c r="S67" i="7"/>
  <c r="T67" i="7"/>
  <c r="U67" i="7"/>
  <c r="V67" i="7"/>
  <c r="W67" i="7"/>
  <c r="X67" i="7"/>
  <c r="Y67" i="7"/>
  <c r="Z67" i="7"/>
  <c r="AA67" i="7"/>
  <c r="AB67" i="7"/>
  <c r="AC67" i="7"/>
  <c r="AD67" i="7"/>
  <c r="AE67" i="7"/>
  <c r="AF67" i="7"/>
  <c r="AG67" i="7"/>
  <c r="AH67" i="7"/>
  <c r="AI67" i="7"/>
  <c r="AJ67" i="7"/>
  <c r="AK67" i="7"/>
  <c r="AL67" i="7"/>
  <c r="AM67" i="7"/>
  <c r="AN67" i="7"/>
  <c r="AO67" i="7"/>
  <c r="AP67" i="7"/>
  <c r="AQ67" i="7"/>
  <c r="AR67" i="7"/>
  <c r="AS67" i="7"/>
  <c r="AT67" i="7"/>
  <c r="AU67" i="7"/>
  <c r="AV67" i="7"/>
  <c r="AW67" i="7"/>
  <c r="AX67" i="7"/>
  <c r="AY67" i="7"/>
  <c r="AZ67" i="7"/>
  <c r="I68" i="7"/>
  <c r="J68" i="7"/>
  <c r="K68" i="7"/>
  <c r="L68" i="7"/>
  <c r="M68" i="7"/>
  <c r="N68" i="7"/>
  <c r="O68" i="7"/>
  <c r="P68" i="7"/>
  <c r="Q68" i="7"/>
  <c r="R68" i="7"/>
  <c r="S68" i="7"/>
  <c r="T68" i="7"/>
  <c r="U68" i="7"/>
  <c r="V68" i="7"/>
  <c r="W68" i="7"/>
  <c r="X68" i="7"/>
  <c r="Y68" i="7"/>
  <c r="Z68" i="7"/>
  <c r="AA68" i="7"/>
  <c r="AB68" i="7"/>
  <c r="AC68" i="7"/>
  <c r="AD68" i="7"/>
  <c r="AE68" i="7"/>
  <c r="AF68" i="7"/>
  <c r="AG68" i="7"/>
  <c r="AH68" i="7"/>
  <c r="AI68" i="7"/>
  <c r="AJ68" i="7"/>
  <c r="AK68" i="7"/>
  <c r="AL68" i="7"/>
  <c r="AM68" i="7"/>
  <c r="AN68" i="7"/>
  <c r="AO68" i="7"/>
  <c r="AP68" i="7"/>
  <c r="AQ68" i="7"/>
  <c r="AR68" i="7"/>
  <c r="AS68" i="7"/>
  <c r="AT68" i="7"/>
  <c r="AU68" i="7"/>
  <c r="AV68" i="7"/>
  <c r="AW68" i="7"/>
  <c r="AX68" i="7"/>
  <c r="AY68" i="7"/>
  <c r="AZ68" i="7"/>
  <c r="I69" i="7"/>
  <c r="J69" i="7"/>
  <c r="K69" i="7"/>
  <c r="L69" i="7"/>
  <c r="M69" i="7"/>
  <c r="N69" i="7"/>
  <c r="O69" i="7"/>
  <c r="P69" i="7"/>
  <c r="Q69" i="7"/>
  <c r="R69" i="7"/>
  <c r="S69" i="7"/>
  <c r="T69" i="7"/>
  <c r="U69" i="7"/>
  <c r="V69" i="7"/>
  <c r="W69" i="7"/>
  <c r="X69" i="7"/>
  <c r="Y69" i="7"/>
  <c r="Z69" i="7"/>
  <c r="AA69" i="7"/>
  <c r="AB69" i="7"/>
  <c r="AC69" i="7"/>
  <c r="AD69" i="7"/>
  <c r="AE69" i="7"/>
  <c r="AF69" i="7"/>
  <c r="AG69" i="7"/>
  <c r="AH69" i="7"/>
  <c r="AI69" i="7"/>
  <c r="AJ69" i="7"/>
  <c r="AK69" i="7"/>
  <c r="AL69" i="7"/>
  <c r="AM69" i="7"/>
  <c r="AN69" i="7"/>
  <c r="AO69" i="7"/>
  <c r="AP69" i="7"/>
  <c r="AQ69" i="7"/>
  <c r="AR69" i="7"/>
  <c r="AS69" i="7"/>
  <c r="AT69" i="7"/>
  <c r="AU69" i="7"/>
  <c r="AV69" i="7"/>
  <c r="AW69" i="7"/>
  <c r="AX69" i="7"/>
  <c r="AY69" i="7"/>
  <c r="AZ69" i="7"/>
  <c r="I70" i="7"/>
  <c r="J70" i="7"/>
  <c r="K70" i="7"/>
  <c r="L70" i="7"/>
  <c r="M70" i="7"/>
  <c r="N70" i="7"/>
  <c r="O70" i="7"/>
  <c r="P70" i="7"/>
  <c r="Q70" i="7"/>
  <c r="R70" i="7"/>
  <c r="S70" i="7"/>
  <c r="T70" i="7"/>
  <c r="U70" i="7"/>
  <c r="V70" i="7"/>
  <c r="W70" i="7"/>
  <c r="X70" i="7"/>
  <c r="Y70" i="7"/>
  <c r="Z70" i="7"/>
  <c r="AA70" i="7"/>
  <c r="AB70" i="7"/>
  <c r="AC70" i="7"/>
  <c r="AD70" i="7"/>
  <c r="AE70" i="7"/>
  <c r="AF70" i="7"/>
  <c r="AG70" i="7"/>
  <c r="AH70" i="7"/>
  <c r="AI70" i="7"/>
  <c r="AJ70" i="7"/>
  <c r="AK70" i="7"/>
  <c r="AL70" i="7"/>
  <c r="AM70" i="7"/>
  <c r="AN70" i="7"/>
  <c r="AO70" i="7"/>
  <c r="AP70" i="7"/>
  <c r="AQ70" i="7"/>
  <c r="AR70" i="7"/>
  <c r="AS70" i="7"/>
  <c r="AT70" i="7"/>
  <c r="AU70" i="7"/>
  <c r="AV70" i="7"/>
  <c r="AW70" i="7"/>
  <c r="AX70" i="7"/>
  <c r="AY70" i="7"/>
  <c r="AZ70" i="7"/>
  <c r="I71" i="7"/>
  <c r="J71" i="7"/>
  <c r="K71" i="7"/>
  <c r="L71" i="7"/>
  <c r="M71" i="7"/>
  <c r="N71" i="7"/>
  <c r="O71" i="7"/>
  <c r="P71" i="7"/>
  <c r="Q71" i="7"/>
  <c r="R71" i="7"/>
  <c r="S71" i="7"/>
  <c r="T71" i="7"/>
  <c r="U71" i="7"/>
  <c r="V71" i="7"/>
  <c r="W71" i="7"/>
  <c r="X71" i="7"/>
  <c r="Y71" i="7"/>
  <c r="Z71" i="7"/>
  <c r="AA71" i="7"/>
  <c r="AB71" i="7"/>
  <c r="AC71" i="7"/>
  <c r="AD71" i="7"/>
  <c r="AE71" i="7"/>
  <c r="AF71" i="7"/>
  <c r="AG71" i="7"/>
  <c r="AH71" i="7"/>
  <c r="AI71" i="7"/>
  <c r="AJ71" i="7"/>
  <c r="AK71" i="7"/>
  <c r="AL71" i="7"/>
  <c r="AM71" i="7"/>
  <c r="AN71" i="7"/>
  <c r="AO71" i="7"/>
  <c r="AP71" i="7"/>
  <c r="AQ71" i="7"/>
  <c r="AR71" i="7"/>
  <c r="AS71" i="7"/>
  <c r="AT71" i="7"/>
  <c r="AU71" i="7"/>
  <c r="AV71" i="7"/>
  <c r="AW71" i="7"/>
  <c r="AX71" i="7"/>
  <c r="AY71" i="7"/>
  <c r="AZ71" i="7"/>
  <c r="I73" i="7"/>
  <c r="J73" i="7"/>
  <c r="K73" i="7"/>
  <c r="L73" i="7"/>
  <c r="M73" i="7"/>
  <c r="N73" i="7"/>
  <c r="O73" i="7"/>
  <c r="P73" i="7"/>
  <c r="Q73" i="7"/>
  <c r="R73" i="7"/>
  <c r="S73" i="7"/>
  <c r="T73" i="7"/>
  <c r="U73" i="7"/>
  <c r="V73" i="7"/>
  <c r="W73" i="7"/>
  <c r="X73" i="7"/>
  <c r="Y73" i="7"/>
  <c r="Z73" i="7"/>
  <c r="AA73" i="7"/>
  <c r="AB73" i="7"/>
  <c r="AC73" i="7"/>
  <c r="AD73" i="7"/>
  <c r="AE73" i="7"/>
  <c r="AF73" i="7"/>
  <c r="AG73" i="7"/>
  <c r="AH73" i="7"/>
  <c r="AI73" i="7"/>
  <c r="AJ73" i="7"/>
  <c r="AK73" i="7"/>
  <c r="AL73" i="7"/>
  <c r="AM73" i="7"/>
  <c r="AN73" i="7"/>
  <c r="AO73" i="7"/>
  <c r="AP73" i="7"/>
  <c r="AQ73" i="7"/>
  <c r="AR73" i="7"/>
  <c r="AS73" i="7"/>
  <c r="AT73" i="7"/>
  <c r="AU73" i="7"/>
  <c r="AV73" i="7"/>
  <c r="AW73" i="7"/>
  <c r="AX73" i="7"/>
  <c r="AY73" i="7"/>
  <c r="AZ73" i="7"/>
  <c r="I74" i="7"/>
  <c r="J74" i="7"/>
  <c r="K74" i="7"/>
  <c r="L74" i="7"/>
  <c r="M74" i="7"/>
  <c r="N74" i="7"/>
  <c r="O74" i="7"/>
  <c r="P74" i="7"/>
  <c r="Q74" i="7"/>
  <c r="R74" i="7"/>
  <c r="S74" i="7"/>
  <c r="T74" i="7"/>
  <c r="U74" i="7"/>
  <c r="V74" i="7"/>
  <c r="W74" i="7"/>
  <c r="X74" i="7"/>
  <c r="Y74" i="7"/>
  <c r="Z74" i="7"/>
  <c r="AA74" i="7"/>
  <c r="AB74" i="7"/>
  <c r="AC74" i="7"/>
  <c r="AD74" i="7"/>
  <c r="AE74" i="7"/>
  <c r="AF74" i="7"/>
  <c r="AG74" i="7"/>
  <c r="AH74" i="7"/>
  <c r="AI74" i="7"/>
  <c r="AJ74" i="7"/>
  <c r="AK74" i="7"/>
  <c r="AL74" i="7"/>
  <c r="AM74" i="7"/>
  <c r="AN74" i="7"/>
  <c r="AO74" i="7"/>
  <c r="AP74" i="7"/>
  <c r="AQ74" i="7"/>
  <c r="AR74" i="7"/>
  <c r="AS74" i="7"/>
  <c r="AT74" i="7"/>
  <c r="AU74" i="7"/>
  <c r="AV74" i="7"/>
  <c r="AW74" i="7"/>
  <c r="AX74" i="7"/>
  <c r="AY74" i="7"/>
  <c r="AZ74" i="7"/>
  <c r="I76" i="7"/>
  <c r="J76" i="7"/>
  <c r="K76" i="7"/>
  <c r="L76" i="7"/>
  <c r="M76" i="7"/>
  <c r="N76" i="7"/>
  <c r="O76" i="7"/>
  <c r="P76" i="7"/>
  <c r="Q76" i="7"/>
  <c r="R76" i="7"/>
  <c r="S76" i="7"/>
  <c r="T76" i="7"/>
  <c r="U76" i="7"/>
  <c r="V76" i="7"/>
  <c r="W76" i="7"/>
  <c r="X76" i="7"/>
  <c r="Y76" i="7"/>
  <c r="Z76" i="7"/>
  <c r="AA76" i="7"/>
  <c r="AB76" i="7"/>
  <c r="AC76" i="7"/>
  <c r="AD76" i="7"/>
  <c r="AE76" i="7"/>
  <c r="AF76" i="7"/>
  <c r="AG76" i="7"/>
  <c r="AH76" i="7"/>
  <c r="AI76" i="7"/>
  <c r="AJ76" i="7"/>
  <c r="AK76" i="7"/>
  <c r="AL76" i="7"/>
  <c r="AM76" i="7"/>
  <c r="AN76" i="7"/>
  <c r="AO76" i="7"/>
  <c r="AP76" i="7"/>
  <c r="AQ76" i="7"/>
  <c r="AR76" i="7"/>
  <c r="AS76" i="7"/>
  <c r="AT76" i="7"/>
  <c r="AU76" i="7"/>
  <c r="AV76" i="7"/>
  <c r="AW76" i="7"/>
  <c r="AX76" i="7"/>
  <c r="AY76" i="7"/>
  <c r="AZ76" i="7"/>
  <c r="H67" i="7"/>
  <c r="H68" i="7"/>
  <c r="H69" i="7"/>
  <c r="H70" i="7"/>
  <c r="H71" i="7"/>
  <c r="H73" i="7"/>
  <c r="H74" i="7"/>
  <c r="H76" i="7"/>
  <c r="H66" i="7"/>
  <c r="I53" i="7"/>
  <c r="J53" i="7"/>
  <c r="K53" i="7"/>
  <c r="L53" i="7"/>
  <c r="M53" i="7"/>
  <c r="N53" i="7"/>
  <c r="O53" i="7"/>
  <c r="P53" i="7"/>
  <c r="Q53" i="7"/>
  <c r="R53" i="7"/>
  <c r="S53" i="7"/>
  <c r="T53" i="7"/>
  <c r="U53" i="7"/>
  <c r="V53" i="7"/>
  <c r="W53" i="7"/>
  <c r="X53" i="7"/>
  <c r="Y53" i="7"/>
  <c r="Z53" i="7"/>
  <c r="AA53" i="7"/>
  <c r="AB53" i="7"/>
  <c r="AC53" i="7"/>
  <c r="AD53" i="7"/>
  <c r="AE53" i="7"/>
  <c r="AF53" i="7"/>
  <c r="AG53" i="7"/>
  <c r="AH53" i="7"/>
  <c r="AI53" i="7"/>
  <c r="AJ53" i="7"/>
  <c r="AK53" i="7"/>
  <c r="AL53" i="7"/>
  <c r="AM53" i="7"/>
  <c r="AN53" i="7"/>
  <c r="AO53" i="7"/>
  <c r="AP53" i="7"/>
  <c r="AQ53" i="7"/>
  <c r="AR53" i="7"/>
  <c r="AS53" i="7"/>
  <c r="AT53" i="7"/>
  <c r="AU53" i="7"/>
  <c r="AV53" i="7"/>
  <c r="AW53" i="7"/>
  <c r="AX53" i="7"/>
  <c r="AY53" i="7"/>
  <c r="AZ53" i="7"/>
  <c r="I54" i="7"/>
  <c r="J54" i="7"/>
  <c r="K54" i="7"/>
  <c r="L54" i="7"/>
  <c r="M54" i="7"/>
  <c r="N54" i="7"/>
  <c r="O54" i="7"/>
  <c r="P54" i="7"/>
  <c r="Q54" i="7"/>
  <c r="R54" i="7"/>
  <c r="S54" i="7"/>
  <c r="T54" i="7"/>
  <c r="U54" i="7"/>
  <c r="V54" i="7"/>
  <c r="W54" i="7"/>
  <c r="X54" i="7"/>
  <c r="Y54" i="7"/>
  <c r="Z54" i="7"/>
  <c r="AA54" i="7"/>
  <c r="AB54" i="7"/>
  <c r="AC54" i="7"/>
  <c r="AD54" i="7"/>
  <c r="AE54" i="7"/>
  <c r="AF54" i="7"/>
  <c r="AG54" i="7"/>
  <c r="AH54" i="7"/>
  <c r="AI54" i="7"/>
  <c r="AJ54" i="7"/>
  <c r="AK54" i="7"/>
  <c r="AL54" i="7"/>
  <c r="AM54" i="7"/>
  <c r="AN54" i="7"/>
  <c r="AO54" i="7"/>
  <c r="AP54" i="7"/>
  <c r="AQ54" i="7"/>
  <c r="AR54" i="7"/>
  <c r="AS54" i="7"/>
  <c r="AT54" i="7"/>
  <c r="AU54" i="7"/>
  <c r="AV54" i="7"/>
  <c r="AW54" i="7"/>
  <c r="AX54" i="7"/>
  <c r="AY54" i="7"/>
  <c r="AZ54" i="7"/>
  <c r="I55" i="7"/>
  <c r="J55" i="7"/>
  <c r="K55" i="7"/>
  <c r="L55" i="7"/>
  <c r="M55" i="7"/>
  <c r="N55" i="7"/>
  <c r="O55" i="7"/>
  <c r="P55" i="7"/>
  <c r="Q55" i="7"/>
  <c r="R55" i="7"/>
  <c r="S55" i="7"/>
  <c r="T55" i="7"/>
  <c r="U55" i="7"/>
  <c r="V55" i="7"/>
  <c r="W55" i="7"/>
  <c r="X55" i="7"/>
  <c r="Y55" i="7"/>
  <c r="Z55" i="7"/>
  <c r="AA55" i="7"/>
  <c r="AB55" i="7"/>
  <c r="AC55" i="7"/>
  <c r="AD55" i="7"/>
  <c r="AE55" i="7"/>
  <c r="AF55" i="7"/>
  <c r="AG55" i="7"/>
  <c r="AH55" i="7"/>
  <c r="AI55" i="7"/>
  <c r="AJ55" i="7"/>
  <c r="AK55" i="7"/>
  <c r="AL55" i="7"/>
  <c r="AM55" i="7"/>
  <c r="AN55" i="7"/>
  <c r="AO55" i="7"/>
  <c r="AP55" i="7"/>
  <c r="AQ55" i="7"/>
  <c r="AR55" i="7"/>
  <c r="AS55" i="7"/>
  <c r="AT55" i="7"/>
  <c r="AU55" i="7"/>
  <c r="AV55" i="7"/>
  <c r="AW55" i="7"/>
  <c r="AX55" i="7"/>
  <c r="AY55" i="7"/>
  <c r="AZ55" i="7"/>
  <c r="I56" i="7"/>
  <c r="J56" i="7"/>
  <c r="K56" i="7"/>
  <c r="L56" i="7"/>
  <c r="M56" i="7"/>
  <c r="N56" i="7"/>
  <c r="O56" i="7"/>
  <c r="P56" i="7"/>
  <c r="Q56" i="7"/>
  <c r="R56" i="7"/>
  <c r="S56" i="7"/>
  <c r="T56" i="7"/>
  <c r="U56" i="7"/>
  <c r="V56" i="7"/>
  <c r="W56" i="7"/>
  <c r="X56" i="7"/>
  <c r="Y56" i="7"/>
  <c r="Z56" i="7"/>
  <c r="AA56" i="7"/>
  <c r="AB56" i="7"/>
  <c r="AC56" i="7"/>
  <c r="AD56" i="7"/>
  <c r="AE56" i="7"/>
  <c r="AF56" i="7"/>
  <c r="AG56" i="7"/>
  <c r="AH56" i="7"/>
  <c r="AI56" i="7"/>
  <c r="AJ56" i="7"/>
  <c r="AK56" i="7"/>
  <c r="AL56" i="7"/>
  <c r="AM56" i="7"/>
  <c r="AN56" i="7"/>
  <c r="AO56" i="7"/>
  <c r="AP56" i="7"/>
  <c r="AQ56" i="7"/>
  <c r="AR56" i="7"/>
  <c r="AS56" i="7"/>
  <c r="AT56" i="7"/>
  <c r="AU56" i="7"/>
  <c r="AV56" i="7"/>
  <c r="AW56" i="7"/>
  <c r="AX56" i="7"/>
  <c r="AY56" i="7"/>
  <c r="AZ56" i="7"/>
  <c r="I57" i="7"/>
  <c r="J57" i="7"/>
  <c r="K57" i="7"/>
  <c r="L57" i="7"/>
  <c r="M57" i="7"/>
  <c r="N57" i="7"/>
  <c r="O57" i="7"/>
  <c r="P57" i="7"/>
  <c r="Q57" i="7"/>
  <c r="R57" i="7"/>
  <c r="S57" i="7"/>
  <c r="T57" i="7"/>
  <c r="U57" i="7"/>
  <c r="V57" i="7"/>
  <c r="W57" i="7"/>
  <c r="X57" i="7"/>
  <c r="Y57" i="7"/>
  <c r="Z57" i="7"/>
  <c r="AA57" i="7"/>
  <c r="AB57" i="7"/>
  <c r="AC57" i="7"/>
  <c r="AD57" i="7"/>
  <c r="AE57" i="7"/>
  <c r="AF57" i="7"/>
  <c r="AG57" i="7"/>
  <c r="AH57" i="7"/>
  <c r="AI57" i="7"/>
  <c r="AJ57" i="7"/>
  <c r="AK57" i="7"/>
  <c r="AL57" i="7"/>
  <c r="AM57" i="7"/>
  <c r="AN57" i="7"/>
  <c r="AO57" i="7"/>
  <c r="AP57" i="7"/>
  <c r="AQ57" i="7"/>
  <c r="AR57" i="7"/>
  <c r="AS57" i="7"/>
  <c r="AT57" i="7"/>
  <c r="AU57" i="7"/>
  <c r="AV57" i="7"/>
  <c r="AW57" i="7"/>
  <c r="AX57" i="7"/>
  <c r="AY57" i="7"/>
  <c r="AZ57" i="7"/>
  <c r="I58" i="7"/>
  <c r="J58" i="7"/>
  <c r="K58" i="7"/>
  <c r="L58" i="7"/>
  <c r="M58" i="7"/>
  <c r="N58" i="7"/>
  <c r="O58" i="7"/>
  <c r="P58" i="7"/>
  <c r="Q58" i="7"/>
  <c r="R58" i="7"/>
  <c r="S58" i="7"/>
  <c r="T58" i="7"/>
  <c r="U58" i="7"/>
  <c r="V58" i="7"/>
  <c r="W58" i="7"/>
  <c r="X58" i="7"/>
  <c r="Y58" i="7"/>
  <c r="Z58" i="7"/>
  <c r="AA58" i="7"/>
  <c r="AB58" i="7"/>
  <c r="AC58" i="7"/>
  <c r="AD58" i="7"/>
  <c r="AE58" i="7"/>
  <c r="AF58" i="7"/>
  <c r="AG58" i="7"/>
  <c r="AH58" i="7"/>
  <c r="AI58" i="7"/>
  <c r="AJ58" i="7"/>
  <c r="AK58" i="7"/>
  <c r="AL58" i="7"/>
  <c r="AM58" i="7"/>
  <c r="AN58" i="7"/>
  <c r="AO58" i="7"/>
  <c r="AP58" i="7"/>
  <c r="AQ58" i="7"/>
  <c r="AR58" i="7"/>
  <c r="AS58" i="7"/>
  <c r="AT58" i="7"/>
  <c r="AU58" i="7"/>
  <c r="AV58" i="7"/>
  <c r="AW58" i="7"/>
  <c r="AX58" i="7"/>
  <c r="AY58" i="7"/>
  <c r="AZ58" i="7"/>
  <c r="I60" i="7"/>
  <c r="J60" i="7"/>
  <c r="K60" i="7"/>
  <c r="L60" i="7"/>
  <c r="M60" i="7"/>
  <c r="N60" i="7"/>
  <c r="O60" i="7"/>
  <c r="P60" i="7"/>
  <c r="Q60" i="7"/>
  <c r="R60" i="7"/>
  <c r="S60" i="7"/>
  <c r="T60" i="7"/>
  <c r="U60" i="7"/>
  <c r="V60" i="7"/>
  <c r="W60" i="7"/>
  <c r="X60" i="7"/>
  <c r="Y60" i="7"/>
  <c r="Z60" i="7"/>
  <c r="AA60" i="7"/>
  <c r="AB60" i="7"/>
  <c r="AC60" i="7"/>
  <c r="AD60" i="7"/>
  <c r="AE60" i="7"/>
  <c r="AF60" i="7"/>
  <c r="AG60" i="7"/>
  <c r="AH60" i="7"/>
  <c r="AI60" i="7"/>
  <c r="AJ60" i="7"/>
  <c r="AK60" i="7"/>
  <c r="AL60" i="7"/>
  <c r="AM60" i="7"/>
  <c r="AN60" i="7"/>
  <c r="AO60" i="7"/>
  <c r="AP60" i="7"/>
  <c r="AQ60" i="7"/>
  <c r="AR60" i="7"/>
  <c r="AS60" i="7"/>
  <c r="AT60" i="7"/>
  <c r="AU60" i="7"/>
  <c r="AV60" i="7"/>
  <c r="AW60" i="7"/>
  <c r="AX60" i="7"/>
  <c r="AY60" i="7"/>
  <c r="AZ60" i="7"/>
  <c r="I61" i="7"/>
  <c r="J61" i="7"/>
  <c r="K61" i="7"/>
  <c r="L61" i="7"/>
  <c r="M61" i="7"/>
  <c r="N61" i="7"/>
  <c r="O61" i="7"/>
  <c r="P61" i="7"/>
  <c r="Q61" i="7"/>
  <c r="R61" i="7"/>
  <c r="S61" i="7"/>
  <c r="T61" i="7"/>
  <c r="U61" i="7"/>
  <c r="V61" i="7"/>
  <c r="W61" i="7"/>
  <c r="X61" i="7"/>
  <c r="Y61" i="7"/>
  <c r="Z61" i="7"/>
  <c r="AA61" i="7"/>
  <c r="AB61" i="7"/>
  <c r="AC61" i="7"/>
  <c r="AD61" i="7"/>
  <c r="AE61" i="7"/>
  <c r="AF61" i="7"/>
  <c r="AG61" i="7"/>
  <c r="AH61" i="7"/>
  <c r="AI61" i="7"/>
  <c r="AJ61" i="7"/>
  <c r="AK61" i="7"/>
  <c r="AL61" i="7"/>
  <c r="AM61" i="7"/>
  <c r="AN61" i="7"/>
  <c r="AO61" i="7"/>
  <c r="AP61" i="7"/>
  <c r="AQ61" i="7"/>
  <c r="AR61" i="7"/>
  <c r="AS61" i="7"/>
  <c r="AT61" i="7"/>
  <c r="AU61" i="7"/>
  <c r="AV61" i="7"/>
  <c r="AW61" i="7"/>
  <c r="AX61" i="7"/>
  <c r="AY61" i="7"/>
  <c r="AZ61" i="7"/>
  <c r="I63" i="7"/>
  <c r="J63" i="7"/>
  <c r="K63" i="7"/>
  <c r="L63" i="7"/>
  <c r="M63" i="7"/>
  <c r="N63" i="7"/>
  <c r="O63" i="7"/>
  <c r="P63" i="7"/>
  <c r="Q63" i="7"/>
  <c r="R63" i="7"/>
  <c r="S63" i="7"/>
  <c r="T63" i="7"/>
  <c r="U63" i="7"/>
  <c r="V63" i="7"/>
  <c r="W63" i="7"/>
  <c r="X63" i="7"/>
  <c r="Y63" i="7"/>
  <c r="Z63" i="7"/>
  <c r="AA63" i="7"/>
  <c r="AB63" i="7"/>
  <c r="AC63" i="7"/>
  <c r="AD63" i="7"/>
  <c r="AE63" i="7"/>
  <c r="AF63" i="7"/>
  <c r="AG63" i="7"/>
  <c r="AH63" i="7"/>
  <c r="AI63" i="7"/>
  <c r="AJ63" i="7"/>
  <c r="AK63" i="7"/>
  <c r="AL63" i="7"/>
  <c r="AM63" i="7"/>
  <c r="AN63" i="7"/>
  <c r="AO63" i="7"/>
  <c r="AP63" i="7"/>
  <c r="AQ63" i="7"/>
  <c r="AR63" i="7"/>
  <c r="AS63" i="7"/>
  <c r="AT63" i="7"/>
  <c r="AU63" i="7"/>
  <c r="AV63" i="7"/>
  <c r="AW63" i="7"/>
  <c r="AX63" i="7"/>
  <c r="AY63" i="7"/>
  <c r="AZ63" i="7"/>
  <c r="H54" i="7"/>
  <c r="H55" i="7"/>
  <c r="H56" i="7"/>
  <c r="H57" i="7"/>
  <c r="H58" i="7"/>
  <c r="H60" i="7"/>
  <c r="H61" i="7"/>
  <c r="H63" i="7"/>
  <c r="H53" i="7"/>
  <c r="F12" i="2"/>
  <c r="Q102" i="7" s="1"/>
  <c r="F9" i="2"/>
  <c r="Q99" i="7" s="1"/>
  <c r="H122" i="7" l="1"/>
  <c r="I9" i="3"/>
  <c r="J9" i="3" s="1"/>
  <c r="I10" i="3"/>
  <c r="I5" i="7" s="1"/>
  <c r="I4" i="7"/>
  <c r="AZ131" i="7"/>
  <c r="AN131" i="7"/>
  <c r="AB131" i="7"/>
  <c r="P131" i="7"/>
  <c r="AZ126" i="7"/>
  <c r="AN126" i="7"/>
  <c r="AB126" i="7"/>
  <c r="P126" i="7"/>
  <c r="AV125" i="7"/>
  <c r="AJ125" i="7"/>
  <c r="X125" i="7"/>
  <c r="L125" i="7"/>
  <c r="AR124" i="7"/>
  <c r="AF124" i="7"/>
  <c r="T124" i="7"/>
  <c r="AZ123" i="7"/>
  <c r="AN123" i="7"/>
  <c r="AB123" i="7"/>
  <c r="P123" i="7"/>
  <c r="AV122" i="7"/>
  <c r="AJ122" i="7"/>
  <c r="X122" i="7"/>
  <c r="L122" i="7"/>
  <c r="AX112" i="7"/>
  <c r="AL112" i="7"/>
  <c r="Z112" i="7"/>
  <c r="N112" i="7"/>
  <c r="AU131" i="7"/>
  <c r="AI131" i="7"/>
  <c r="W131" i="7"/>
  <c r="K131" i="7"/>
  <c r="AQ129" i="7"/>
  <c r="AE129" i="7"/>
  <c r="S129" i="7"/>
  <c r="AY128" i="7"/>
  <c r="AM128" i="7"/>
  <c r="AA128" i="7"/>
  <c r="O128" i="7"/>
  <c r="AY131" i="7"/>
  <c r="AM131" i="7"/>
  <c r="AA131" i="7"/>
  <c r="O131" i="7"/>
  <c r="AY126" i="7"/>
  <c r="AM126" i="7"/>
  <c r="AA126" i="7"/>
  <c r="O126" i="7"/>
  <c r="AU125" i="7"/>
  <c r="AI125" i="7"/>
  <c r="W125" i="7"/>
  <c r="K125" i="7"/>
  <c r="AQ124" i="7"/>
  <c r="AE124" i="7"/>
  <c r="S124" i="7"/>
  <c r="AY123" i="7"/>
  <c r="AM123" i="7"/>
  <c r="AA123" i="7"/>
  <c r="O123" i="7"/>
  <c r="AU122" i="7"/>
  <c r="AI122" i="7"/>
  <c r="W122" i="7"/>
  <c r="K122" i="7"/>
  <c r="AX126" i="7"/>
  <c r="AL126" i="7"/>
  <c r="Z126" i="7"/>
  <c r="N126" i="7"/>
  <c r="AT125" i="7"/>
  <c r="AH125" i="7"/>
  <c r="V125" i="7"/>
  <c r="J125" i="7"/>
  <c r="AP124" i="7"/>
  <c r="AD124" i="7"/>
  <c r="R124" i="7"/>
  <c r="AX123" i="7"/>
  <c r="AL123" i="7"/>
  <c r="Z123" i="7"/>
  <c r="N123" i="7"/>
  <c r="AT122" i="7"/>
  <c r="AH122" i="7"/>
  <c r="V122" i="7"/>
  <c r="J122" i="7"/>
  <c r="AY117" i="7"/>
  <c r="AU115" i="7"/>
  <c r="AQ114" i="7"/>
  <c r="AE114" i="7"/>
  <c r="S114" i="7"/>
  <c r="AY112" i="7"/>
  <c r="AM112" i="7"/>
  <c r="AA112" i="7"/>
  <c r="O112" i="7"/>
  <c r="AU111" i="7"/>
  <c r="AI111" i="7"/>
  <c r="W111" i="7"/>
  <c r="K111" i="7"/>
  <c r="AQ110" i="7"/>
  <c r="AE110" i="7"/>
  <c r="S110" i="7"/>
  <c r="AY109" i="7"/>
  <c r="AM109" i="7"/>
  <c r="AA109" i="7"/>
  <c r="O109" i="7"/>
  <c r="AU108" i="7"/>
  <c r="AI108" i="7"/>
  <c r="W108" i="7"/>
  <c r="K108" i="7"/>
  <c r="O117" i="7"/>
  <c r="AI115" i="7"/>
  <c r="AT111" i="7"/>
  <c r="AH111" i="7"/>
  <c r="V111" i="7"/>
  <c r="J111" i="7"/>
  <c r="AP110" i="7"/>
  <c r="AD110" i="7"/>
  <c r="R110" i="7"/>
  <c r="AX109" i="7"/>
  <c r="AL109" i="7"/>
  <c r="Z109" i="7"/>
  <c r="N109" i="7"/>
  <c r="AT108" i="7"/>
  <c r="AH108" i="7"/>
  <c r="V108" i="7"/>
  <c r="J108" i="7"/>
  <c r="AA117" i="7"/>
  <c r="K115" i="7"/>
  <c r="AM117" i="7"/>
  <c r="W115" i="7"/>
  <c r="AW131" i="7"/>
  <c r="AK131" i="7"/>
  <c r="Y131" i="7"/>
  <c r="M131" i="7"/>
  <c r="AS129" i="7"/>
  <c r="AG129" i="7"/>
  <c r="U129" i="7"/>
  <c r="I129" i="7"/>
  <c r="AO128" i="7"/>
  <c r="AC128" i="7"/>
  <c r="Q128" i="7"/>
  <c r="AW126" i="7"/>
  <c r="AK126" i="7"/>
  <c r="Y126" i="7"/>
  <c r="M126" i="7"/>
  <c r="AS125" i="7"/>
  <c r="AG125" i="7"/>
  <c r="U125" i="7"/>
  <c r="I125" i="7"/>
  <c r="AO124" i="7"/>
  <c r="AC124" i="7"/>
  <c r="Q124" i="7"/>
  <c r="AW123" i="7"/>
  <c r="AK123" i="7"/>
  <c r="Y123" i="7"/>
  <c r="M123" i="7"/>
  <c r="AS122" i="7"/>
  <c r="AG122" i="7"/>
  <c r="U122" i="7"/>
  <c r="I122" i="7"/>
  <c r="H131" i="7"/>
  <c r="AV131" i="7"/>
  <c r="AJ131" i="7"/>
  <c r="X131" i="7"/>
  <c r="L131" i="7"/>
  <c r="AR129" i="7"/>
  <c r="AF129" i="7"/>
  <c r="T129" i="7"/>
  <c r="AZ128" i="7"/>
  <c r="AN128" i="7"/>
  <c r="AB128" i="7"/>
  <c r="P128" i="7"/>
  <c r="I108" i="7"/>
  <c r="Y117" i="7"/>
  <c r="AJ112" i="7"/>
  <c r="M117" i="7"/>
  <c r="AK112" i="7"/>
  <c r="AS111" i="7"/>
  <c r="U111" i="7"/>
  <c r="AO110" i="7"/>
  <c r="AW109" i="7"/>
  <c r="M109" i="7"/>
  <c r="U108" i="7"/>
  <c r="AV117" i="7"/>
  <c r="L117" i="7"/>
  <c r="X112" i="7"/>
  <c r="AF111" i="7"/>
  <c r="AN110" i="7"/>
  <c r="AV109" i="7"/>
  <c r="AF108" i="7"/>
  <c r="AW117" i="7"/>
  <c r="AW112" i="7"/>
  <c r="M112" i="7"/>
  <c r="I111" i="7"/>
  <c r="Q110" i="7"/>
  <c r="AK109" i="7"/>
  <c r="AS108" i="7"/>
  <c r="AJ117" i="7"/>
  <c r="AV112" i="7"/>
  <c r="AR111" i="7"/>
  <c r="T111" i="7"/>
  <c r="AB110" i="7"/>
  <c r="AJ109" i="7"/>
  <c r="L109" i="7"/>
  <c r="T108" i="7"/>
  <c r="AD115" i="7"/>
  <c r="R115" i="7"/>
  <c r="AX114" i="7"/>
  <c r="AL114" i="7"/>
  <c r="Z114" i="7"/>
  <c r="N114" i="7"/>
  <c r="AK117" i="7"/>
  <c r="Y112" i="7"/>
  <c r="AG111" i="7"/>
  <c r="AC110" i="7"/>
  <c r="Y109" i="7"/>
  <c r="AG108" i="7"/>
  <c r="X117" i="7"/>
  <c r="L112" i="7"/>
  <c r="AZ110" i="7"/>
  <c r="P110" i="7"/>
  <c r="X109" i="7"/>
  <c r="AR108" i="7"/>
  <c r="AP115" i="7"/>
  <c r="AO115" i="7"/>
  <c r="AC115" i="7"/>
  <c r="Q115" i="7"/>
  <c r="AW114" i="7"/>
  <c r="AK114" i="7"/>
  <c r="Y114" i="7"/>
  <c r="M114" i="7"/>
  <c r="H108" i="7"/>
  <c r="AY129" i="7"/>
  <c r="AM129" i="7"/>
  <c r="AA129" i="7"/>
  <c r="O129" i="7"/>
  <c r="AU128" i="7"/>
  <c r="AI128" i="7"/>
  <c r="W128" i="7"/>
  <c r="K128" i="7"/>
  <c r="AQ126" i="7"/>
  <c r="AE126" i="7"/>
  <c r="S126" i="7"/>
  <c r="AY125" i="7"/>
  <c r="AM125" i="7"/>
  <c r="AA125" i="7"/>
  <c r="O125" i="7"/>
  <c r="AU124" i="7"/>
  <c r="AI124" i="7"/>
  <c r="W124" i="7"/>
  <c r="K124" i="7"/>
  <c r="AQ123" i="7"/>
  <c r="AE123" i="7"/>
  <c r="S123" i="7"/>
  <c r="AY122" i="7"/>
  <c r="AM122" i="7"/>
  <c r="AA122" i="7"/>
  <c r="O122" i="7"/>
  <c r="H111" i="7"/>
  <c r="S117" i="7"/>
  <c r="AE117" i="7"/>
  <c r="AQ117" i="7"/>
  <c r="AG75" i="7"/>
  <c r="X124" i="7"/>
  <c r="L124" i="7"/>
  <c r="AR123" i="7"/>
  <c r="AF123" i="7"/>
  <c r="T123" i="7"/>
  <c r="AZ122" i="7"/>
  <c r="AN122" i="7"/>
  <c r="AB122" i="7"/>
  <c r="P122" i="7"/>
  <c r="H112" i="7"/>
  <c r="AF117" i="7"/>
  <c r="T117" i="7"/>
  <c r="AZ115" i="7"/>
  <c r="AN115" i="7"/>
  <c r="AB115" i="7"/>
  <c r="P115" i="7"/>
  <c r="AV114" i="7"/>
  <c r="AJ114" i="7"/>
  <c r="X114" i="7"/>
  <c r="L114" i="7"/>
  <c r="AR117" i="7"/>
  <c r="AY115" i="7"/>
  <c r="AM115" i="7"/>
  <c r="AA115" i="7"/>
  <c r="O115" i="7"/>
  <c r="AU114" i="7"/>
  <c r="AI114" i="7"/>
  <c r="W114" i="7"/>
  <c r="K114" i="7"/>
  <c r="AZ129" i="7"/>
  <c r="AN129" i="7"/>
  <c r="AB129" i="7"/>
  <c r="P129" i="7"/>
  <c r="AV128" i="7"/>
  <c r="AJ128" i="7"/>
  <c r="X128" i="7"/>
  <c r="L128" i="7"/>
  <c r="AE112" i="7"/>
  <c r="AI110" i="7"/>
  <c r="AE109" i="7"/>
  <c r="T126" i="7"/>
  <c r="AW115" i="7"/>
  <c r="AK115" i="7"/>
  <c r="Y115" i="7"/>
  <c r="M115" i="7"/>
  <c r="AS114" i="7"/>
  <c r="AG114" i="7"/>
  <c r="U114" i="7"/>
  <c r="I114" i="7"/>
  <c r="AY111" i="7"/>
  <c r="W110" i="7"/>
  <c r="O108" i="7"/>
  <c r="AR126" i="7"/>
  <c r="AJ124" i="7"/>
  <c r="AH59" i="7"/>
  <c r="K110" i="7"/>
  <c r="AG72" i="7"/>
  <c r="AQ112" i="7"/>
  <c r="AV124" i="7"/>
  <c r="AA111" i="7"/>
  <c r="AY108" i="7"/>
  <c r="AZ125" i="7"/>
  <c r="H75" i="7"/>
  <c r="AU110" i="7"/>
  <c r="AA108" i="7"/>
  <c r="AF126" i="7"/>
  <c r="AP62" i="7"/>
  <c r="O111" i="7"/>
  <c r="AM108" i="7"/>
  <c r="AN125" i="7"/>
  <c r="AO62" i="7"/>
  <c r="AM111" i="7"/>
  <c r="AQ109" i="7"/>
  <c r="P125" i="7"/>
  <c r="K62" i="7"/>
  <c r="L89" i="7"/>
  <c r="S112" i="7"/>
  <c r="S109" i="7"/>
  <c r="AB125" i="7"/>
  <c r="J62" i="7"/>
  <c r="AH75" i="7"/>
  <c r="O102" i="7"/>
  <c r="Y86" i="7"/>
  <c r="AF75" i="7"/>
  <c r="N102" i="7"/>
  <c r="AX117" i="7"/>
  <c r="AL117" i="7"/>
  <c r="Z117" i="7"/>
  <c r="N117" i="7"/>
  <c r="AH62" i="7"/>
  <c r="AC59" i="7"/>
  <c r="H128" i="7"/>
  <c r="AT131" i="7"/>
  <c r="AH131" i="7"/>
  <c r="V131" i="7"/>
  <c r="J131" i="7"/>
  <c r="Z75" i="7"/>
  <c r="Y72" i="7"/>
  <c r="AW89" i="7"/>
  <c r="W86" i="7"/>
  <c r="AZ102" i="7"/>
  <c r="Z99" i="7"/>
  <c r="AB99" i="7"/>
  <c r="AI62" i="7"/>
  <c r="AA99" i="7"/>
  <c r="H117" i="7"/>
  <c r="AE62" i="7"/>
  <c r="W59" i="7"/>
  <c r="AU112" i="7"/>
  <c r="AI112" i="7"/>
  <c r="W112" i="7"/>
  <c r="K112" i="7"/>
  <c r="AQ111" i="7"/>
  <c r="AE111" i="7"/>
  <c r="S111" i="7"/>
  <c r="AY110" i="7"/>
  <c r="AM110" i="7"/>
  <c r="AA110" i="7"/>
  <c r="O110" i="7"/>
  <c r="AU109" i="7"/>
  <c r="AI109" i="7"/>
  <c r="W109" i="7"/>
  <c r="K109" i="7"/>
  <c r="AQ108" i="7"/>
  <c r="AE108" i="7"/>
  <c r="S108" i="7"/>
  <c r="AS131" i="7"/>
  <c r="AG131" i="7"/>
  <c r="U131" i="7"/>
  <c r="I131" i="7"/>
  <c r="Y75" i="7"/>
  <c r="AX72" i="7"/>
  <c r="V72" i="7"/>
  <c r="AV89" i="7"/>
  <c r="M86" i="7"/>
  <c r="AY102" i="7"/>
  <c r="P99" i="7"/>
  <c r="AE59" i="7"/>
  <c r="AD59" i="7"/>
  <c r="H129" i="7"/>
  <c r="H115" i="7"/>
  <c r="AD62" i="7"/>
  <c r="V59" i="7"/>
  <c r="AT112" i="7"/>
  <c r="AH112" i="7"/>
  <c r="V112" i="7"/>
  <c r="J112" i="7"/>
  <c r="AP111" i="7"/>
  <c r="AD111" i="7"/>
  <c r="R111" i="7"/>
  <c r="AX110" i="7"/>
  <c r="AL110" i="7"/>
  <c r="Z110" i="7"/>
  <c r="N110" i="7"/>
  <c r="AT109" i="7"/>
  <c r="AH109" i="7"/>
  <c r="V109" i="7"/>
  <c r="J109" i="7"/>
  <c r="AP108" i="7"/>
  <c r="AD108" i="7"/>
  <c r="R108" i="7"/>
  <c r="AX75" i="7"/>
  <c r="V75" i="7"/>
  <c r="AW72" i="7"/>
  <c r="U72" i="7"/>
  <c r="AU89" i="7"/>
  <c r="L86" i="7"/>
  <c r="AX102" i="7"/>
  <c r="O99" i="7"/>
  <c r="Z72" i="7"/>
  <c r="K89" i="7"/>
  <c r="X86" i="7"/>
  <c r="H114" i="7"/>
  <c r="AU117" i="7"/>
  <c r="AI117" i="7"/>
  <c r="W117" i="7"/>
  <c r="K117" i="7"/>
  <c r="AC62" i="7"/>
  <c r="AV115" i="7"/>
  <c r="AJ115" i="7"/>
  <c r="X115" i="7"/>
  <c r="L115" i="7"/>
  <c r="AR114" i="7"/>
  <c r="AF114" i="7"/>
  <c r="T114" i="7"/>
  <c r="AU59" i="7"/>
  <c r="S59" i="7"/>
  <c r="AW75" i="7"/>
  <c r="U75" i="7"/>
  <c r="AT72" i="7"/>
  <c r="T72" i="7"/>
  <c r="AS126" i="7"/>
  <c r="AG126" i="7"/>
  <c r="U126" i="7"/>
  <c r="I126" i="7"/>
  <c r="AO125" i="7"/>
  <c r="AC125" i="7"/>
  <c r="Q125" i="7"/>
  <c r="AW124" i="7"/>
  <c r="AK124" i="7"/>
  <c r="Y124" i="7"/>
  <c r="M124" i="7"/>
  <c r="AS123" i="7"/>
  <c r="AG123" i="7"/>
  <c r="U123" i="7"/>
  <c r="I123" i="7"/>
  <c r="AO122" i="7"/>
  <c r="AC122" i="7"/>
  <c r="Q122" i="7"/>
  <c r="AK89" i="7"/>
  <c r="K86" i="7"/>
  <c r="AN102" i="7"/>
  <c r="N99" i="7"/>
  <c r="H59" i="7"/>
  <c r="AM102" i="7"/>
  <c r="AZ99" i="7"/>
  <c r="AT117" i="7"/>
  <c r="J117" i="7"/>
  <c r="AT75" i="7"/>
  <c r="T75" i="7"/>
  <c r="AS72" i="7"/>
  <c r="N72" i="7"/>
  <c r="AJ89" i="7"/>
  <c r="AW86" i="7"/>
  <c r="AS117" i="7"/>
  <c r="AG117" i="7"/>
  <c r="U117" i="7"/>
  <c r="I117" i="7"/>
  <c r="V62" i="7"/>
  <c r="AT115" i="7"/>
  <c r="AH115" i="7"/>
  <c r="V115" i="7"/>
  <c r="J115" i="7"/>
  <c r="AP114" i="7"/>
  <c r="AD114" i="7"/>
  <c r="R114" i="7"/>
  <c r="AQ59" i="7"/>
  <c r="Q59" i="7"/>
  <c r="AS75" i="7"/>
  <c r="N75" i="7"/>
  <c r="AR72" i="7"/>
  <c r="M72" i="7"/>
  <c r="AI89" i="7"/>
  <c r="AV86" i="7"/>
  <c r="AL102" i="7"/>
  <c r="AY99" i="7"/>
  <c r="Y89" i="7"/>
  <c r="AB102" i="7"/>
  <c r="AX99" i="7"/>
  <c r="AF72" i="7"/>
  <c r="V117" i="7"/>
  <c r="R59" i="7"/>
  <c r="AU62" i="7"/>
  <c r="AP59" i="7"/>
  <c r="M75" i="7"/>
  <c r="AL72" i="7"/>
  <c r="AT62" i="7"/>
  <c r="R62" i="7"/>
  <c r="AO59" i="7"/>
  <c r="J59" i="7"/>
  <c r="AL75" i="7"/>
  <c r="J75" i="7"/>
  <c r="AP129" i="7"/>
  <c r="AD129" i="7"/>
  <c r="R129" i="7"/>
  <c r="AX128" i="7"/>
  <c r="AL128" i="7"/>
  <c r="Z128" i="7"/>
  <c r="N128" i="7"/>
  <c r="AK72" i="7"/>
  <c r="I72" i="7"/>
  <c r="X89" i="7"/>
  <c r="AK86" i="7"/>
  <c r="AA102" i="7"/>
  <c r="AN99" i="7"/>
  <c r="AH117" i="7"/>
  <c r="W62" i="7"/>
  <c r="AT59" i="7"/>
  <c r="S62" i="7"/>
  <c r="K59" i="7"/>
  <c r="AR75" i="7"/>
  <c r="J72" i="7"/>
  <c r="AU86" i="7"/>
  <c r="AQ62" i="7"/>
  <c r="Q62" i="7"/>
  <c r="AQ115" i="7"/>
  <c r="AE115" i="7"/>
  <c r="S115" i="7"/>
  <c r="AY114" i="7"/>
  <c r="AM114" i="7"/>
  <c r="AA114" i="7"/>
  <c r="O114" i="7"/>
  <c r="AI59" i="7"/>
  <c r="AZ112" i="7"/>
  <c r="AN112" i="7"/>
  <c r="AB112" i="7"/>
  <c r="P112" i="7"/>
  <c r="AV111" i="7"/>
  <c r="AJ111" i="7"/>
  <c r="X111" i="7"/>
  <c r="L111" i="7"/>
  <c r="AR110" i="7"/>
  <c r="AF110" i="7"/>
  <c r="T110" i="7"/>
  <c r="AZ109" i="7"/>
  <c r="AN109" i="7"/>
  <c r="AB109" i="7"/>
  <c r="P109" i="7"/>
  <c r="AV108" i="7"/>
  <c r="AJ108" i="7"/>
  <c r="X108" i="7"/>
  <c r="L108" i="7"/>
  <c r="AX131" i="7"/>
  <c r="AL131" i="7"/>
  <c r="Z131" i="7"/>
  <c r="N131" i="7"/>
  <c r="AK75" i="7"/>
  <c r="I75" i="7"/>
  <c r="AO129" i="7"/>
  <c r="AC129" i="7"/>
  <c r="Q129" i="7"/>
  <c r="AW128" i="7"/>
  <c r="AK128" i="7"/>
  <c r="Y128" i="7"/>
  <c r="M128" i="7"/>
  <c r="AH72" i="7"/>
  <c r="W89" i="7"/>
  <c r="AJ86" i="7"/>
  <c r="Z102" i="7"/>
  <c r="AM99" i="7"/>
  <c r="M89" i="7"/>
  <c r="AI86" i="7"/>
  <c r="P102" i="7"/>
  <c r="AL99" i="7"/>
  <c r="H123" i="7"/>
  <c r="AO131" i="7"/>
  <c r="AC131" i="7"/>
  <c r="Q131" i="7"/>
  <c r="AP112" i="7"/>
  <c r="AD112" i="7"/>
  <c r="R112" i="7"/>
  <c r="AX111" i="7"/>
  <c r="AL111" i="7"/>
  <c r="Z111" i="7"/>
  <c r="N111" i="7"/>
  <c r="AT110" i="7"/>
  <c r="AH110" i="7"/>
  <c r="V110" i="7"/>
  <c r="J110" i="7"/>
  <c r="AP109" i="7"/>
  <c r="AD109" i="7"/>
  <c r="R109" i="7"/>
  <c r="AX108" i="7"/>
  <c r="AL108" i="7"/>
  <c r="Z108" i="7"/>
  <c r="N108" i="7"/>
  <c r="AP126" i="7"/>
  <c r="AD126" i="7"/>
  <c r="R126" i="7"/>
  <c r="AX125" i="7"/>
  <c r="AL125" i="7"/>
  <c r="Z125" i="7"/>
  <c r="N125" i="7"/>
  <c r="AT124" i="7"/>
  <c r="AH124" i="7"/>
  <c r="V124" i="7"/>
  <c r="J124" i="7"/>
  <c r="AP123" i="7"/>
  <c r="AD123" i="7"/>
  <c r="R123" i="7"/>
  <c r="AX122" i="7"/>
  <c r="AL122" i="7"/>
  <c r="Z122" i="7"/>
  <c r="N122" i="7"/>
  <c r="H110" i="7"/>
  <c r="AO112" i="7"/>
  <c r="AC112" i="7"/>
  <c r="Q112" i="7"/>
  <c r="AW111" i="7"/>
  <c r="AK111" i="7"/>
  <c r="Y111" i="7"/>
  <c r="M111" i="7"/>
  <c r="AS110" i="7"/>
  <c r="AG110" i="7"/>
  <c r="U110" i="7"/>
  <c r="I110" i="7"/>
  <c r="AO109" i="7"/>
  <c r="AC109" i="7"/>
  <c r="Q109" i="7"/>
  <c r="AW108" i="7"/>
  <c r="AK108" i="7"/>
  <c r="Y108" i="7"/>
  <c r="M108" i="7"/>
  <c r="AO126" i="7"/>
  <c r="AC126" i="7"/>
  <c r="Q126" i="7"/>
  <c r="AW125" i="7"/>
  <c r="AK125" i="7"/>
  <c r="Y125" i="7"/>
  <c r="M125" i="7"/>
  <c r="AS124" i="7"/>
  <c r="AG124" i="7"/>
  <c r="U124" i="7"/>
  <c r="I124" i="7"/>
  <c r="AO123" i="7"/>
  <c r="AC123" i="7"/>
  <c r="Q123" i="7"/>
  <c r="AW122" i="7"/>
  <c r="AK122" i="7"/>
  <c r="Y122" i="7"/>
  <c r="M122" i="7"/>
  <c r="AP117" i="7"/>
  <c r="AD117" i="7"/>
  <c r="R117" i="7"/>
  <c r="AX129" i="7"/>
  <c r="AL129" i="7"/>
  <c r="Z129" i="7"/>
  <c r="N129" i="7"/>
  <c r="AT128" i="7"/>
  <c r="AH128" i="7"/>
  <c r="V128" i="7"/>
  <c r="J128" i="7"/>
  <c r="AW129" i="7"/>
  <c r="AK129" i="7"/>
  <c r="Y129" i="7"/>
  <c r="M129" i="7"/>
  <c r="AS128" i="7"/>
  <c r="AG128" i="7"/>
  <c r="U128" i="7"/>
  <c r="I128" i="7"/>
  <c r="AX115" i="7"/>
  <c r="AL115" i="7"/>
  <c r="Z115" i="7"/>
  <c r="N115" i="7"/>
  <c r="AT114" i="7"/>
  <c r="AH114" i="7"/>
  <c r="V114" i="7"/>
  <c r="J114" i="7"/>
  <c r="AZ62" i="7"/>
  <c r="AN62" i="7"/>
  <c r="AB62" i="7"/>
  <c r="P62" i="7"/>
  <c r="AZ59" i="7"/>
  <c r="AN59" i="7"/>
  <c r="AB59" i="7"/>
  <c r="P59" i="7"/>
  <c r="AQ75" i="7"/>
  <c r="AE75" i="7"/>
  <c r="S75" i="7"/>
  <c r="AQ72" i="7"/>
  <c r="AE72" i="7"/>
  <c r="S72" i="7"/>
  <c r="AT89" i="7"/>
  <c r="AH89" i="7"/>
  <c r="V89" i="7"/>
  <c r="J89" i="7"/>
  <c r="AT86" i="7"/>
  <c r="AH86" i="7"/>
  <c r="V86" i="7"/>
  <c r="J86" i="7"/>
  <c r="AW102" i="7"/>
  <c r="AK102" i="7"/>
  <c r="Y102" i="7"/>
  <c r="M102" i="7"/>
  <c r="AW99" i="7"/>
  <c r="AK99" i="7"/>
  <c r="Y99" i="7"/>
  <c r="M99" i="7"/>
  <c r="AY62" i="7"/>
  <c r="AM62" i="7"/>
  <c r="AA62" i="7"/>
  <c r="O62" i="7"/>
  <c r="AY59" i="7"/>
  <c r="AM59" i="7"/>
  <c r="AA59" i="7"/>
  <c r="O59" i="7"/>
  <c r="H72" i="7"/>
  <c r="AP75" i="7"/>
  <c r="AD75" i="7"/>
  <c r="R75" i="7"/>
  <c r="AP72" i="7"/>
  <c r="AD72" i="7"/>
  <c r="R72" i="7"/>
  <c r="AS89" i="7"/>
  <c r="AG89" i="7"/>
  <c r="U89" i="7"/>
  <c r="I89" i="7"/>
  <c r="AS86" i="7"/>
  <c r="AG86" i="7"/>
  <c r="U86" i="7"/>
  <c r="I86" i="7"/>
  <c r="AV102" i="7"/>
  <c r="AJ102" i="7"/>
  <c r="X102" i="7"/>
  <c r="L102" i="7"/>
  <c r="AV99" i="7"/>
  <c r="AJ99" i="7"/>
  <c r="X99" i="7"/>
  <c r="L99" i="7"/>
  <c r="H109" i="7"/>
  <c r="AX62" i="7"/>
  <c r="AL62" i="7"/>
  <c r="Z62" i="7"/>
  <c r="N62" i="7"/>
  <c r="AX59" i="7"/>
  <c r="AL59" i="7"/>
  <c r="Z59" i="7"/>
  <c r="N59" i="7"/>
  <c r="H126" i="7"/>
  <c r="AO75" i="7"/>
  <c r="AC75" i="7"/>
  <c r="Q75" i="7"/>
  <c r="Q130" i="7" s="1"/>
  <c r="AO72" i="7"/>
  <c r="AC72" i="7"/>
  <c r="Q72" i="7"/>
  <c r="Q127" i="7" s="1"/>
  <c r="H89" i="7"/>
  <c r="AR89" i="7"/>
  <c r="AF89" i="7"/>
  <c r="T89" i="7"/>
  <c r="AR86" i="7"/>
  <c r="AF86" i="7"/>
  <c r="T86" i="7"/>
  <c r="AU102" i="7"/>
  <c r="AI102" i="7"/>
  <c r="W102" i="7"/>
  <c r="K102" i="7"/>
  <c r="AU99" i="7"/>
  <c r="AI99" i="7"/>
  <c r="W99" i="7"/>
  <c r="K99" i="7"/>
  <c r="AO117" i="7"/>
  <c r="AC117" i="7"/>
  <c r="Q117" i="7"/>
  <c r="AW62" i="7"/>
  <c r="AK62" i="7"/>
  <c r="Y62" i="7"/>
  <c r="M62" i="7"/>
  <c r="AS115" i="7"/>
  <c r="AG115" i="7"/>
  <c r="U115" i="7"/>
  <c r="I115" i="7"/>
  <c r="AO114" i="7"/>
  <c r="AC114" i="7"/>
  <c r="Q114" i="7"/>
  <c r="AW59" i="7"/>
  <c r="AK59" i="7"/>
  <c r="Y59" i="7"/>
  <c r="M59" i="7"/>
  <c r="AS112" i="7"/>
  <c r="AG112" i="7"/>
  <c r="U112" i="7"/>
  <c r="I112" i="7"/>
  <c r="AO111" i="7"/>
  <c r="AC111" i="7"/>
  <c r="Q111" i="7"/>
  <c r="AW110" i="7"/>
  <c r="AK110" i="7"/>
  <c r="Y110" i="7"/>
  <c r="M110" i="7"/>
  <c r="AS109" i="7"/>
  <c r="AG109" i="7"/>
  <c r="U109" i="7"/>
  <c r="I109" i="7"/>
  <c r="AO108" i="7"/>
  <c r="AC108" i="7"/>
  <c r="Q108" i="7"/>
  <c r="H125" i="7"/>
  <c r="AR131" i="7"/>
  <c r="AF131" i="7"/>
  <c r="T131" i="7"/>
  <c r="AZ75" i="7"/>
  <c r="AN75" i="7"/>
  <c r="AB75" i="7"/>
  <c r="P75" i="7"/>
  <c r="AV129" i="7"/>
  <c r="AJ129" i="7"/>
  <c r="X129" i="7"/>
  <c r="L129" i="7"/>
  <c r="AR128" i="7"/>
  <c r="AF128" i="7"/>
  <c r="T128" i="7"/>
  <c r="AZ72" i="7"/>
  <c r="AN72" i="7"/>
  <c r="AB72" i="7"/>
  <c r="P72" i="7"/>
  <c r="AV126" i="7"/>
  <c r="AJ126" i="7"/>
  <c r="X126" i="7"/>
  <c r="L126" i="7"/>
  <c r="AR125" i="7"/>
  <c r="AF125" i="7"/>
  <c r="T125" i="7"/>
  <c r="AZ124" i="7"/>
  <c r="AN124" i="7"/>
  <c r="AB124" i="7"/>
  <c r="P124" i="7"/>
  <c r="AV123" i="7"/>
  <c r="AJ123" i="7"/>
  <c r="X123" i="7"/>
  <c r="L123" i="7"/>
  <c r="AR122" i="7"/>
  <c r="AF122" i="7"/>
  <c r="T122" i="7"/>
  <c r="AQ89" i="7"/>
  <c r="AE89" i="7"/>
  <c r="S89" i="7"/>
  <c r="AQ86" i="7"/>
  <c r="AE86" i="7"/>
  <c r="S86" i="7"/>
  <c r="AT102" i="7"/>
  <c r="AH102" i="7"/>
  <c r="V102" i="7"/>
  <c r="J102" i="7"/>
  <c r="AT99" i="7"/>
  <c r="AH99" i="7"/>
  <c r="V99" i="7"/>
  <c r="J99" i="7"/>
  <c r="AZ117" i="7"/>
  <c r="AN117" i="7"/>
  <c r="AB117" i="7"/>
  <c r="P117" i="7"/>
  <c r="AV62" i="7"/>
  <c r="AJ62" i="7"/>
  <c r="X62" i="7"/>
  <c r="L62" i="7"/>
  <c r="AR115" i="7"/>
  <c r="AF115" i="7"/>
  <c r="T115" i="7"/>
  <c r="AZ114" i="7"/>
  <c r="AN114" i="7"/>
  <c r="AB114" i="7"/>
  <c r="P114" i="7"/>
  <c r="AV59" i="7"/>
  <c r="AJ59" i="7"/>
  <c r="X59" i="7"/>
  <c r="L59" i="7"/>
  <c r="AR112" i="7"/>
  <c r="AF112" i="7"/>
  <c r="T112" i="7"/>
  <c r="AZ111" i="7"/>
  <c r="AN111" i="7"/>
  <c r="AB111" i="7"/>
  <c r="P111" i="7"/>
  <c r="AV110" i="7"/>
  <c r="AJ110" i="7"/>
  <c r="X110" i="7"/>
  <c r="L110" i="7"/>
  <c r="AR109" i="7"/>
  <c r="AF109" i="7"/>
  <c r="T109" i="7"/>
  <c r="AZ108" i="7"/>
  <c r="AN108" i="7"/>
  <c r="AB108" i="7"/>
  <c r="P108" i="7"/>
  <c r="H124" i="7"/>
  <c r="AQ131" i="7"/>
  <c r="AE131" i="7"/>
  <c r="S131" i="7"/>
  <c r="AY75" i="7"/>
  <c r="AM75" i="7"/>
  <c r="AA75" i="7"/>
  <c r="O75" i="7"/>
  <c r="AU129" i="7"/>
  <c r="AI129" i="7"/>
  <c r="W129" i="7"/>
  <c r="K129" i="7"/>
  <c r="AQ128" i="7"/>
  <c r="AE128" i="7"/>
  <c r="S128" i="7"/>
  <c r="AY72" i="7"/>
  <c r="AM72" i="7"/>
  <c r="AA72" i="7"/>
  <c r="O72" i="7"/>
  <c r="AU126" i="7"/>
  <c r="AI126" i="7"/>
  <c r="W126" i="7"/>
  <c r="K126" i="7"/>
  <c r="AQ125" i="7"/>
  <c r="AE125" i="7"/>
  <c r="S125" i="7"/>
  <c r="AY124" i="7"/>
  <c r="AM124" i="7"/>
  <c r="AA124" i="7"/>
  <c r="O124" i="7"/>
  <c r="AU123" i="7"/>
  <c r="AI123" i="7"/>
  <c r="W123" i="7"/>
  <c r="K123" i="7"/>
  <c r="AQ122" i="7"/>
  <c r="AE122" i="7"/>
  <c r="S122" i="7"/>
  <c r="AP89" i="7"/>
  <c r="AD89" i="7"/>
  <c r="R89" i="7"/>
  <c r="AP86" i="7"/>
  <c r="AD86" i="7"/>
  <c r="R86" i="7"/>
  <c r="AS102" i="7"/>
  <c r="AG102" i="7"/>
  <c r="U102" i="7"/>
  <c r="I102" i="7"/>
  <c r="AS99" i="7"/>
  <c r="AG99" i="7"/>
  <c r="U99" i="7"/>
  <c r="I99" i="7"/>
  <c r="AP131" i="7"/>
  <c r="AD131" i="7"/>
  <c r="R131" i="7"/>
  <c r="AT129" i="7"/>
  <c r="AH129" i="7"/>
  <c r="V129" i="7"/>
  <c r="J129" i="7"/>
  <c r="AP128" i="7"/>
  <c r="AD128" i="7"/>
  <c r="R128" i="7"/>
  <c r="AT126" i="7"/>
  <c r="AH126" i="7"/>
  <c r="V126" i="7"/>
  <c r="J126" i="7"/>
  <c r="AP125" i="7"/>
  <c r="AD125" i="7"/>
  <c r="R125" i="7"/>
  <c r="AX124" i="7"/>
  <c r="AL124" i="7"/>
  <c r="Z124" i="7"/>
  <c r="N124" i="7"/>
  <c r="AT123" i="7"/>
  <c r="AH123" i="7"/>
  <c r="V123" i="7"/>
  <c r="J123" i="7"/>
  <c r="AP122" i="7"/>
  <c r="AD122" i="7"/>
  <c r="R122" i="7"/>
  <c r="H86" i="7"/>
  <c r="AO89" i="7"/>
  <c r="AC89" i="7"/>
  <c r="Q89" i="7"/>
  <c r="AO86" i="7"/>
  <c r="AC86" i="7"/>
  <c r="Q86" i="7"/>
  <c r="H102" i="7"/>
  <c r="AR102" i="7"/>
  <c r="AF102" i="7"/>
  <c r="T102" i="7"/>
  <c r="AR99" i="7"/>
  <c r="AF99" i="7"/>
  <c r="T99" i="7"/>
  <c r="AZ89" i="7"/>
  <c r="AN89" i="7"/>
  <c r="AB89" i="7"/>
  <c r="P89" i="7"/>
  <c r="AZ86" i="7"/>
  <c r="AN86" i="7"/>
  <c r="AB86" i="7"/>
  <c r="P86" i="7"/>
  <c r="AQ102" i="7"/>
  <c r="AE102" i="7"/>
  <c r="S102" i="7"/>
  <c r="AQ99" i="7"/>
  <c r="AE99" i="7"/>
  <c r="S99" i="7"/>
  <c r="H62" i="7"/>
  <c r="AS62" i="7"/>
  <c r="AG62" i="7"/>
  <c r="U62" i="7"/>
  <c r="I62" i="7"/>
  <c r="AS59" i="7"/>
  <c r="AG59" i="7"/>
  <c r="U59" i="7"/>
  <c r="I59" i="7"/>
  <c r="AV75" i="7"/>
  <c r="AJ75" i="7"/>
  <c r="X75" i="7"/>
  <c r="L75" i="7"/>
  <c r="AV72" i="7"/>
  <c r="AJ72" i="7"/>
  <c r="X72" i="7"/>
  <c r="L72" i="7"/>
  <c r="AY89" i="7"/>
  <c r="AM89" i="7"/>
  <c r="AA89" i="7"/>
  <c r="O89" i="7"/>
  <c r="AY86" i="7"/>
  <c r="AM86" i="7"/>
  <c r="AA86" i="7"/>
  <c r="O86" i="7"/>
  <c r="AP102" i="7"/>
  <c r="AD102" i="7"/>
  <c r="R102" i="7"/>
  <c r="AP99" i="7"/>
  <c r="AD99" i="7"/>
  <c r="R99" i="7"/>
  <c r="AR62" i="7"/>
  <c r="AF62" i="7"/>
  <c r="T62" i="7"/>
  <c r="AR59" i="7"/>
  <c r="AF59" i="7"/>
  <c r="T59" i="7"/>
  <c r="AU75" i="7"/>
  <c r="AI75" i="7"/>
  <c r="W75" i="7"/>
  <c r="K75" i="7"/>
  <c r="AU72" i="7"/>
  <c r="AI72" i="7"/>
  <c r="W72" i="7"/>
  <c r="K72" i="7"/>
  <c r="AX89" i="7"/>
  <c r="AL89" i="7"/>
  <c r="Z89" i="7"/>
  <c r="N89" i="7"/>
  <c r="AX86" i="7"/>
  <c r="AL86" i="7"/>
  <c r="Z86" i="7"/>
  <c r="N86" i="7"/>
  <c r="H99" i="7"/>
  <c r="AO102" i="7"/>
  <c r="AC102" i="7"/>
  <c r="AO99" i="7"/>
  <c r="AC99" i="7"/>
  <c r="J10" i="3" l="1"/>
  <c r="K10" i="3" s="1"/>
  <c r="K9" i="3"/>
  <c r="J4" i="7"/>
  <c r="N130" i="7"/>
  <c r="AP113" i="7"/>
  <c r="Z127" i="7"/>
  <c r="AP116" i="7"/>
  <c r="AB127" i="7"/>
  <c r="Y116" i="7"/>
  <c r="L116" i="7"/>
  <c r="AJ113" i="7"/>
  <c r="AG130" i="7"/>
  <c r="X127" i="7"/>
  <c r="AK127" i="7"/>
  <c r="AH116" i="7"/>
  <c r="M127" i="7"/>
  <c r="AG127" i="7"/>
  <c r="AK113" i="7"/>
  <c r="AE116" i="7"/>
  <c r="H113" i="7"/>
  <c r="AF127" i="7"/>
  <c r="AI127" i="7"/>
  <c r="AG113" i="7"/>
  <c r="J130" i="7"/>
  <c r="U116" i="7"/>
  <c r="Q113" i="7"/>
  <c r="X113" i="7"/>
  <c r="AR113" i="7"/>
  <c r="AJ130" i="7"/>
  <c r="I130" i="7"/>
  <c r="J127" i="7"/>
  <c r="Z130" i="7"/>
  <c r="AR127" i="7"/>
  <c r="V127" i="7"/>
  <c r="AF130" i="7"/>
  <c r="O130" i="7"/>
  <c r="AR130" i="7"/>
  <c r="H130" i="7"/>
  <c r="Y127" i="7"/>
  <c r="H116" i="7"/>
  <c r="AV116" i="7"/>
  <c r="P127" i="7"/>
  <c r="AT116" i="7"/>
  <c r="AL130" i="7"/>
  <c r="AV130" i="7"/>
  <c r="K116" i="7"/>
  <c r="AZ130" i="7"/>
  <c r="AS127" i="7"/>
  <c r="AK130" i="7"/>
  <c r="T116" i="7"/>
  <c r="M113" i="7"/>
  <c r="S116" i="7"/>
  <c r="AW116" i="7"/>
  <c r="AV113" i="7"/>
  <c r="AL127" i="7"/>
  <c r="W127" i="7"/>
  <c r="AR116" i="7"/>
  <c r="AE113" i="7"/>
  <c r="AX127" i="7"/>
  <c r="T127" i="7"/>
  <c r="AN127" i="7"/>
  <c r="Y113" i="7"/>
  <c r="AK116" i="7"/>
  <c r="Y130" i="7"/>
  <c r="AW130" i="7"/>
  <c r="AW127" i="7"/>
  <c r="AI116" i="7"/>
  <c r="J116" i="7"/>
  <c r="AO116" i="7"/>
  <c r="AZ127" i="7"/>
  <c r="K113" i="7"/>
  <c r="AH113" i="7"/>
  <c r="T130" i="7"/>
  <c r="AJ127" i="7"/>
  <c r="AG116" i="7"/>
  <c r="M130" i="7"/>
  <c r="AF113" i="7"/>
  <c r="AW113" i="7"/>
  <c r="AT113" i="7"/>
  <c r="AD113" i="7"/>
  <c r="V130" i="7"/>
  <c r="W116" i="7"/>
  <c r="AU116" i="7"/>
  <c r="V116" i="7"/>
  <c r="AC113" i="7"/>
  <c r="AM127" i="7"/>
  <c r="AY130" i="7"/>
  <c r="AJ116" i="7"/>
  <c r="AH130" i="7"/>
  <c r="R116" i="7"/>
  <c r="AY127" i="7"/>
  <c r="AT130" i="7"/>
  <c r="AX130" i="7"/>
  <c r="W113" i="7"/>
  <c r="L127" i="7"/>
  <c r="I127" i="7"/>
  <c r="S113" i="7"/>
  <c r="AB130" i="7"/>
  <c r="M116" i="7"/>
  <c r="AT127" i="7"/>
  <c r="U127" i="7"/>
  <c r="AN130" i="7"/>
  <c r="AQ113" i="7"/>
  <c r="N127" i="7"/>
  <c r="AD116" i="7"/>
  <c r="U130" i="7"/>
  <c r="AQ116" i="7"/>
  <c r="J113" i="7"/>
  <c r="W130" i="7"/>
  <c r="AO113" i="7"/>
  <c r="AH127" i="7"/>
  <c r="V113" i="7"/>
  <c r="AQ130" i="7"/>
  <c r="AU113" i="7"/>
  <c r="AI130" i="7"/>
  <c r="Q116" i="7"/>
  <c r="AS130" i="7"/>
  <c r="AL113" i="7"/>
  <c r="AM116" i="7"/>
  <c r="AI113" i="7"/>
  <c r="AU130" i="7"/>
  <c r="I113" i="7"/>
  <c r="AC116" i="7"/>
  <c r="R113" i="7"/>
  <c r="O127" i="7"/>
  <c r="AA130" i="7"/>
  <c r="T113" i="7"/>
  <c r="U113" i="7"/>
  <c r="AA127" i="7"/>
  <c r="AM130" i="7"/>
  <c r="L113" i="7"/>
  <c r="X116" i="7"/>
  <c r="P130" i="7"/>
  <c r="AX113" i="7"/>
  <c r="P113" i="7"/>
  <c r="N116" i="7"/>
  <c r="AD130" i="7"/>
  <c r="AP130" i="7"/>
  <c r="AO127" i="7"/>
  <c r="AF116" i="7"/>
  <c r="K127" i="7"/>
  <c r="AA116" i="7"/>
  <c r="AE130" i="7"/>
  <c r="AC127" i="7"/>
  <c r="AV127" i="7"/>
  <c r="AS113" i="7"/>
  <c r="AC130" i="7"/>
  <c r="Z116" i="7"/>
  <c r="O113" i="7"/>
  <c r="AB113" i="7"/>
  <c r="L130" i="7"/>
  <c r="I116" i="7"/>
  <c r="AO130" i="7"/>
  <c r="AL116" i="7"/>
  <c r="R127" i="7"/>
  <c r="AA113" i="7"/>
  <c r="AN113" i="7"/>
  <c r="AU127" i="7"/>
  <c r="AX116" i="7"/>
  <c r="AD127" i="7"/>
  <c r="AM113" i="7"/>
  <c r="AZ113" i="7"/>
  <c r="K130" i="7"/>
  <c r="X130" i="7"/>
  <c r="AP127" i="7"/>
  <c r="AY113" i="7"/>
  <c r="P116" i="7"/>
  <c r="AS116" i="7"/>
  <c r="R130" i="7"/>
  <c r="O116" i="7"/>
  <c r="AB116" i="7"/>
  <c r="AN116" i="7"/>
  <c r="AZ116" i="7"/>
  <c r="N113" i="7"/>
  <c r="H127" i="7"/>
  <c r="AY116" i="7"/>
  <c r="AQ127" i="7"/>
  <c r="S127" i="7"/>
  <c r="AE127" i="7"/>
  <c r="Z113" i="7"/>
  <c r="S130" i="7"/>
  <c r="J5" i="7" l="1"/>
  <c r="L9" i="3"/>
  <c r="K4" i="7"/>
  <c r="L10" i="3"/>
  <c r="K5" i="7"/>
  <c r="J87" i="4"/>
  <c r="J86" i="4"/>
  <c r="K86" i="4" s="1"/>
  <c r="M86" i="4" s="1"/>
  <c r="J89" i="4"/>
  <c r="K89" i="4" s="1"/>
  <c r="M89" i="4" s="1"/>
  <c r="J88" i="4"/>
  <c r="L88" i="4" s="1"/>
  <c r="K85" i="4"/>
  <c r="M85" i="4" s="1"/>
  <c r="J85" i="4"/>
  <c r="L85" i="4" s="1"/>
  <c r="I87" i="4"/>
  <c r="I88" i="4"/>
  <c r="I89" i="4"/>
  <c r="I86" i="4"/>
  <c r="B85" i="4"/>
  <c r="B84" i="4"/>
  <c r="B80" i="4"/>
  <c r="H122" i="4"/>
  <c r="I122" i="4"/>
  <c r="J122" i="4"/>
  <c r="K122" i="4"/>
  <c r="L122" i="4"/>
  <c r="M122" i="4"/>
  <c r="N122" i="4"/>
  <c r="O122" i="4"/>
  <c r="P122" i="4"/>
  <c r="Q122" i="4"/>
  <c r="R122" i="4"/>
  <c r="S122" i="4"/>
  <c r="T122" i="4"/>
  <c r="U122" i="4"/>
  <c r="V122" i="4"/>
  <c r="W122" i="4"/>
  <c r="X122" i="4"/>
  <c r="Y122" i="4"/>
  <c r="Z122" i="4"/>
  <c r="AA122" i="4"/>
  <c r="AB122" i="4"/>
  <c r="AC122" i="4"/>
  <c r="AD122" i="4"/>
  <c r="AE122" i="4"/>
  <c r="AF122" i="4"/>
  <c r="AG122" i="4"/>
  <c r="AH122" i="4"/>
  <c r="AI122" i="4"/>
  <c r="AJ122" i="4"/>
  <c r="AK122" i="4"/>
  <c r="AL122" i="4"/>
  <c r="AM122" i="4"/>
  <c r="AN122" i="4"/>
  <c r="AO122" i="4"/>
  <c r="AP122" i="4"/>
  <c r="AQ122" i="4"/>
  <c r="AR122" i="4"/>
  <c r="AS122" i="4"/>
  <c r="AT122" i="4"/>
  <c r="AU122" i="4"/>
  <c r="AV122" i="4"/>
  <c r="AW122" i="4"/>
  <c r="AX122" i="4"/>
  <c r="AY122" i="4"/>
  <c r="G122" i="4"/>
  <c r="H106" i="4"/>
  <c r="I106" i="4"/>
  <c r="J106" i="4"/>
  <c r="K106" i="4"/>
  <c r="L106" i="4"/>
  <c r="M106" i="4"/>
  <c r="N106" i="4"/>
  <c r="O106" i="4"/>
  <c r="P106" i="4"/>
  <c r="Q106" i="4"/>
  <c r="R106" i="4"/>
  <c r="S106" i="4"/>
  <c r="T106" i="4"/>
  <c r="U106" i="4"/>
  <c r="V106" i="4"/>
  <c r="W106" i="4"/>
  <c r="X106" i="4"/>
  <c r="Y106" i="4"/>
  <c r="Z106" i="4"/>
  <c r="AA106" i="4"/>
  <c r="AB106" i="4"/>
  <c r="AC106" i="4"/>
  <c r="AD106" i="4"/>
  <c r="AE106" i="4"/>
  <c r="AF106" i="4"/>
  <c r="AG106" i="4"/>
  <c r="AH106" i="4"/>
  <c r="AI106" i="4"/>
  <c r="AJ106" i="4"/>
  <c r="AK106" i="4"/>
  <c r="AL106" i="4"/>
  <c r="AM106" i="4"/>
  <c r="AN106" i="4"/>
  <c r="AO106" i="4"/>
  <c r="AP106" i="4"/>
  <c r="AQ106" i="4"/>
  <c r="AR106" i="4"/>
  <c r="AS106" i="4"/>
  <c r="AT106" i="4"/>
  <c r="AU106" i="4"/>
  <c r="AV106" i="4"/>
  <c r="AW106" i="4"/>
  <c r="AX106" i="4"/>
  <c r="AY106" i="4"/>
  <c r="G106" i="4"/>
  <c r="G171" i="7"/>
  <c r="G168" i="7"/>
  <c r="B3" i="4"/>
  <c r="A185" i="3" s="1"/>
  <c r="B2" i="4"/>
  <c r="A15" i="3" s="1"/>
  <c r="F3" i="5"/>
  <c r="C13" i="1"/>
  <c r="H145" i="4"/>
  <c r="I145" i="4"/>
  <c r="J145" i="4"/>
  <c r="K145" i="4"/>
  <c r="L145" i="4"/>
  <c r="M145" i="4"/>
  <c r="N145" i="4"/>
  <c r="O145" i="4"/>
  <c r="P145" i="4"/>
  <c r="Q145" i="4"/>
  <c r="R145" i="4"/>
  <c r="S145" i="4"/>
  <c r="T145" i="4"/>
  <c r="U145" i="4"/>
  <c r="V145" i="4"/>
  <c r="W145" i="4"/>
  <c r="X145" i="4"/>
  <c r="Y145" i="4"/>
  <c r="Z145" i="4"/>
  <c r="AA145" i="4"/>
  <c r="AB145" i="4"/>
  <c r="AC145" i="4"/>
  <c r="AD145" i="4"/>
  <c r="AE145" i="4"/>
  <c r="AF145" i="4"/>
  <c r="AG145" i="4"/>
  <c r="AH145" i="4"/>
  <c r="AI145" i="4"/>
  <c r="AJ145" i="4"/>
  <c r="AK145" i="4"/>
  <c r="AL145" i="4"/>
  <c r="AM145" i="4"/>
  <c r="AN145" i="4"/>
  <c r="AO145" i="4"/>
  <c r="AP145" i="4"/>
  <c r="AQ145" i="4"/>
  <c r="AR145" i="4"/>
  <c r="AS145" i="4"/>
  <c r="AT145" i="4"/>
  <c r="AU145" i="4"/>
  <c r="AV145" i="4"/>
  <c r="AW145" i="4"/>
  <c r="AX145" i="4"/>
  <c r="AY145" i="4"/>
  <c r="G145" i="4"/>
  <c r="M19" i="2"/>
  <c r="G143" i="4"/>
  <c r="H143" i="4" s="1"/>
  <c r="I143" i="4" s="1"/>
  <c r="J143" i="4" s="1"/>
  <c r="K143" i="4" s="1"/>
  <c r="L143" i="4" s="1"/>
  <c r="M143" i="4" s="1"/>
  <c r="N143" i="4" s="1"/>
  <c r="O143" i="4" s="1"/>
  <c r="P143" i="4" s="1"/>
  <c r="Q143" i="4" s="1"/>
  <c r="R143" i="4" s="1"/>
  <c r="S143" i="4" s="1"/>
  <c r="T143" i="4" s="1"/>
  <c r="U143" i="4" s="1"/>
  <c r="V143" i="4" s="1"/>
  <c r="W143" i="4" s="1"/>
  <c r="X143" i="4" s="1"/>
  <c r="Y143" i="4" s="1"/>
  <c r="Z143" i="4" s="1"/>
  <c r="AA143" i="4" s="1"/>
  <c r="AB143" i="4" s="1"/>
  <c r="AC143" i="4" s="1"/>
  <c r="AD143" i="4" s="1"/>
  <c r="AE143" i="4" s="1"/>
  <c r="AF143" i="4" s="1"/>
  <c r="AG143" i="4" s="1"/>
  <c r="AH143" i="4" s="1"/>
  <c r="AI143" i="4" s="1"/>
  <c r="AJ143" i="4" s="1"/>
  <c r="AK143" i="4" s="1"/>
  <c r="AL143" i="4" s="1"/>
  <c r="AM143" i="4" s="1"/>
  <c r="AN143" i="4" s="1"/>
  <c r="AO143" i="4" s="1"/>
  <c r="AP143" i="4" s="1"/>
  <c r="AQ143" i="4" s="1"/>
  <c r="AR143" i="4" s="1"/>
  <c r="AS143" i="4" s="1"/>
  <c r="AT143" i="4" s="1"/>
  <c r="AU143" i="4" s="1"/>
  <c r="AV143" i="4" s="1"/>
  <c r="AW143" i="4" s="1"/>
  <c r="AX143" i="4" s="1"/>
  <c r="AY143" i="4" s="1"/>
  <c r="G127" i="4"/>
  <c r="H127" i="4" s="1"/>
  <c r="I127" i="4" s="1"/>
  <c r="J127" i="4" s="1"/>
  <c r="K127" i="4" s="1"/>
  <c r="L127" i="4" s="1"/>
  <c r="M127" i="4" s="1"/>
  <c r="N127" i="4" s="1"/>
  <c r="O127" i="4" s="1"/>
  <c r="P127" i="4" s="1"/>
  <c r="Q127" i="4" s="1"/>
  <c r="R127" i="4" s="1"/>
  <c r="S127" i="4" s="1"/>
  <c r="T127" i="4" s="1"/>
  <c r="U127" i="4" s="1"/>
  <c r="V127" i="4" s="1"/>
  <c r="W127" i="4" s="1"/>
  <c r="X127" i="4" s="1"/>
  <c r="Y127" i="4" s="1"/>
  <c r="Z127" i="4" s="1"/>
  <c r="AA127" i="4" s="1"/>
  <c r="AB127" i="4" s="1"/>
  <c r="AC127" i="4" s="1"/>
  <c r="AD127" i="4" s="1"/>
  <c r="AE127" i="4" s="1"/>
  <c r="AF127" i="4" s="1"/>
  <c r="AG127" i="4" s="1"/>
  <c r="AH127" i="4" s="1"/>
  <c r="AI127" i="4" s="1"/>
  <c r="AJ127" i="4" s="1"/>
  <c r="AK127" i="4" s="1"/>
  <c r="AL127" i="4" s="1"/>
  <c r="AM127" i="4" s="1"/>
  <c r="AN127" i="4" s="1"/>
  <c r="AO127" i="4" s="1"/>
  <c r="AP127" i="4" s="1"/>
  <c r="AQ127" i="4" s="1"/>
  <c r="AR127" i="4" s="1"/>
  <c r="AS127" i="4" s="1"/>
  <c r="AT127" i="4" s="1"/>
  <c r="AU127" i="4" s="1"/>
  <c r="AV127" i="4" s="1"/>
  <c r="AW127" i="4" s="1"/>
  <c r="AX127" i="4" s="1"/>
  <c r="AY127" i="4" s="1"/>
  <c r="G110" i="4"/>
  <c r="H110" i="4" s="1"/>
  <c r="I110" i="4" s="1"/>
  <c r="J110" i="4" s="1"/>
  <c r="K110" i="4" s="1"/>
  <c r="L110" i="4" s="1"/>
  <c r="M110" i="4" s="1"/>
  <c r="N110" i="4" s="1"/>
  <c r="O110" i="4" s="1"/>
  <c r="P110" i="4" s="1"/>
  <c r="Q110" i="4" s="1"/>
  <c r="R110" i="4" s="1"/>
  <c r="S110" i="4" s="1"/>
  <c r="T110" i="4" s="1"/>
  <c r="U110" i="4" s="1"/>
  <c r="V110" i="4" s="1"/>
  <c r="W110" i="4" s="1"/>
  <c r="X110" i="4" s="1"/>
  <c r="Y110" i="4" s="1"/>
  <c r="Z110" i="4" s="1"/>
  <c r="AA110" i="4" s="1"/>
  <c r="AB110" i="4" s="1"/>
  <c r="AC110" i="4" s="1"/>
  <c r="AD110" i="4" s="1"/>
  <c r="AE110" i="4" s="1"/>
  <c r="AF110" i="4" s="1"/>
  <c r="AG110" i="4" s="1"/>
  <c r="AH110" i="4" s="1"/>
  <c r="AI110" i="4" s="1"/>
  <c r="AJ110" i="4" s="1"/>
  <c r="AK110" i="4" s="1"/>
  <c r="AL110" i="4" s="1"/>
  <c r="AM110" i="4" s="1"/>
  <c r="AN110" i="4" s="1"/>
  <c r="AO110" i="4" s="1"/>
  <c r="AP110" i="4" s="1"/>
  <c r="AQ110" i="4" s="1"/>
  <c r="AR110" i="4" s="1"/>
  <c r="AS110" i="4" s="1"/>
  <c r="AT110" i="4" s="1"/>
  <c r="AU110" i="4" s="1"/>
  <c r="AV110" i="4" s="1"/>
  <c r="AW110" i="4" s="1"/>
  <c r="AX110" i="4" s="1"/>
  <c r="AY110" i="4" s="1"/>
  <c r="G94" i="4"/>
  <c r="H94" i="4" s="1"/>
  <c r="I94" i="4" s="1"/>
  <c r="J94" i="4" s="1"/>
  <c r="K94" i="4" s="1"/>
  <c r="L94" i="4" s="1"/>
  <c r="M94" i="4" s="1"/>
  <c r="N94" i="4" s="1"/>
  <c r="O94" i="4" s="1"/>
  <c r="P94" i="4" s="1"/>
  <c r="Q94" i="4" s="1"/>
  <c r="R94" i="4" s="1"/>
  <c r="S94" i="4" s="1"/>
  <c r="T94" i="4" s="1"/>
  <c r="U94" i="4" s="1"/>
  <c r="V94" i="4" s="1"/>
  <c r="W94" i="4" s="1"/>
  <c r="X94" i="4" s="1"/>
  <c r="Y94" i="4" s="1"/>
  <c r="Z94" i="4" s="1"/>
  <c r="AA94" i="4" s="1"/>
  <c r="AB94" i="4" s="1"/>
  <c r="AC94" i="4" s="1"/>
  <c r="AD94" i="4" s="1"/>
  <c r="AE94" i="4" s="1"/>
  <c r="AF94" i="4" s="1"/>
  <c r="AG94" i="4" s="1"/>
  <c r="AH94" i="4" s="1"/>
  <c r="AI94" i="4" s="1"/>
  <c r="AJ94" i="4" s="1"/>
  <c r="AK94" i="4" s="1"/>
  <c r="AL94" i="4" s="1"/>
  <c r="AM94" i="4" s="1"/>
  <c r="AN94" i="4" s="1"/>
  <c r="AO94" i="4" s="1"/>
  <c r="AP94" i="4" s="1"/>
  <c r="AQ94" i="4" s="1"/>
  <c r="AR94" i="4" s="1"/>
  <c r="AS94" i="4" s="1"/>
  <c r="AT94" i="4" s="1"/>
  <c r="AU94" i="4" s="1"/>
  <c r="AV94" i="4" s="1"/>
  <c r="AW94" i="4" s="1"/>
  <c r="AX94" i="4" s="1"/>
  <c r="AY94" i="4" s="1"/>
  <c r="G122" i="7"/>
  <c r="G123" i="7"/>
  <c r="G124" i="7"/>
  <c r="G125" i="7"/>
  <c r="G126" i="7"/>
  <c r="G127" i="7"/>
  <c r="G128" i="7"/>
  <c r="G129" i="7"/>
  <c r="G130" i="7"/>
  <c r="G131" i="7"/>
  <c r="G108" i="7"/>
  <c r="G109" i="7"/>
  <c r="G110" i="7"/>
  <c r="G111" i="7"/>
  <c r="G112" i="7"/>
  <c r="G113" i="7"/>
  <c r="G114" i="7"/>
  <c r="G115" i="7"/>
  <c r="G116" i="7"/>
  <c r="G117" i="7"/>
  <c r="G94" i="7"/>
  <c r="G95" i="7"/>
  <c r="G96" i="7"/>
  <c r="G97" i="7"/>
  <c r="G98" i="7"/>
  <c r="G99" i="7"/>
  <c r="G100" i="7"/>
  <c r="G101" i="7"/>
  <c r="G102" i="7"/>
  <c r="G103" i="7"/>
  <c r="G81" i="7"/>
  <c r="G82" i="7"/>
  <c r="G83" i="7"/>
  <c r="G84" i="7"/>
  <c r="G85" i="7"/>
  <c r="G86" i="7"/>
  <c r="G87" i="7"/>
  <c r="G88" i="7"/>
  <c r="G89" i="7"/>
  <c r="G90" i="7"/>
  <c r="G67" i="7"/>
  <c r="G68" i="7"/>
  <c r="G69" i="7"/>
  <c r="G70" i="7"/>
  <c r="G71" i="7"/>
  <c r="G72" i="7"/>
  <c r="G59" i="7"/>
  <c r="G60" i="7"/>
  <c r="G55" i="7"/>
  <c r="G56" i="7"/>
  <c r="G57" i="7"/>
  <c r="G58" i="7"/>
  <c r="I134" i="3"/>
  <c r="J134" i="3"/>
  <c r="K134" i="3"/>
  <c r="L134" i="3"/>
  <c r="M134" i="3"/>
  <c r="N134" i="3"/>
  <c r="O134" i="3"/>
  <c r="P134" i="3"/>
  <c r="Q134" i="3"/>
  <c r="R134" i="3"/>
  <c r="S134" i="3"/>
  <c r="T134" i="3"/>
  <c r="U134" i="3"/>
  <c r="V134" i="3"/>
  <c r="W134" i="3"/>
  <c r="X134" i="3"/>
  <c r="Y134" i="3"/>
  <c r="Z134" i="3"/>
  <c r="AA134" i="3"/>
  <c r="AB134" i="3"/>
  <c r="AC134" i="3"/>
  <c r="AD134" i="3"/>
  <c r="AE134" i="3"/>
  <c r="AF134" i="3"/>
  <c r="AG134" i="3"/>
  <c r="AH134" i="3"/>
  <c r="AI134" i="3"/>
  <c r="AJ134" i="3"/>
  <c r="AK134" i="3"/>
  <c r="AL134" i="3"/>
  <c r="AM134" i="3"/>
  <c r="AN134" i="3"/>
  <c r="AO134" i="3"/>
  <c r="AP134" i="3"/>
  <c r="AQ134" i="3"/>
  <c r="AR134" i="3"/>
  <c r="AS134" i="3"/>
  <c r="AT134" i="3"/>
  <c r="AU134" i="3"/>
  <c r="AV134" i="3"/>
  <c r="AW134" i="3"/>
  <c r="AX134" i="3"/>
  <c r="AY134" i="3"/>
  <c r="AZ134" i="3"/>
  <c r="I135" i="3"/>
  <c r="J135" i="3"/>
  <c r="K135" i="3"/>
  <c r="L135" i="3"/>
  <c r="M135" i="3"/>
  <c r="N135" i="3"/>
  <c r="O135" i="3"/>
  <c r="P135" i="3"/>
  <c r="Q135" i="3"/>
  <c r="R135" i="3"/>
  <c r="S135" i="3"/>
  <c r="T135" i="3"/>
  <c r="U135" i="3"/>
  <c r="V135" i="3"/>
  <c r="W135" i="3"/>
  <c r="X135" i="3"/>
  <c r="Y135" i="3"/>
  <c r="Z135" i="3"/>
  <c r="AA135" i="3"/>
  <c r="AB135" i="3"/>
  <c r="AC135" i="3"/>
  <c r="AD135" i="3"/>
  <c r="AE135" i="3"/>
  <c r="AF135" i="3"/>
  <c r="AG135" i="3"/>
  <c r="AH135" i="3"/>
  <c r="AI135" i="3"/>
  <c r="AJ135" i="3"/>
  <c r="AK135" i="3"/>
  <c r="AL135" i="3"/>
  <c r="AM135" i="3"/>
  <c r="AN135" i="3"/>
  <c r="AO135" i="3"/>
  <c r="AP135" i="3"/>
  <c r="AQ135" i="3"/>
  <c r="AR135" i="3"/>
  <c r="AS135" i="3"/>
  <c r="AT135" i="3"/>
  <c r="AU135" i="3"/>
  <c r="AV135" i="3"/>
  <c r="AW135" i="3"/>
  <c r="AX135" i="3"/>
  <c r="AY135" i="3"/>
  <c r="AZ135" i="3"/>
  <c r="I136" i="3"/>
  <c r="J136" i="3"/>
  <c r="K136" i="3"/>
  <c r="L136" i="3"/>
  <c r="M136" i="3"/>
  <c r="N136" i="3"/>
  <c r="O136" i="3"/>
  <c r="P136" i="3"/>
  <c r="Q136" i="3"/>
  <c r="R136" i="3"/>
  <c r="S136" i="3"/>
  <c r="T136" i="3"/>
  <c r="U136" i="3"/>
  <c r="V136" i="3"/>
  <c r="W136" i="3"/>
  <c r="X136" i="3"/>
  <c r="Y136" i="3"/>
  <c r="Z136" i="3"/>
  <c r="AA136" i="3"/>
  <c r="AB136" i="3"/>
  <c r="AC136" i="3"/>
  <c r="AD136" i="3"/>
  <c r="AE136" i="3"/>
  <c r="AF136" i="3"/>
  <c r="AG136" i="3"/>
  <c r="AH136" i="3"/>
  <c r="AI136" i="3"/>
  <c r="AJ136" i="3"/>
  <c r="AK136" i="3"/>
  <c r="AL136" i="3"/>
  <c r="AM136" i="3"/>
  <c r="AN136" i="3"/>
  <c r="AO136" i="3"/>
  <c r="AP136" i="3"/>
  <c r="AQ136" i="3"/>
  <c r="AR136" i="3"/>
  <c r="AS136" i="3"/>
  <c r="AT136" i="3"/>
  <c r="AU136" i="3"/>
  <c r="AV136" i="3"/>
  <c r="AW136" i="3"/>
  <c r="AX136" i="3"/>
  <c r="AY136" i="3"/>
  <c r="AZ136" i="3"/>
  <c r="I137" i="3"/>
  <c r="J137" i="3"/>
  <c r="K137" i="3"/>
  <c r="L137" i="3"/>
  <c r="M137" i="3"/>
  <c r="N137" i="3"/>
  <c r="O137" i="3"/>
  <c r="P137" i="3"/>
  <c r="Q137" i="3"/>
  <c r="R137" i="3"/>
  <c r="S137" i="3"/>
  <c r="T137" i="3"/>
  <c r="U137" i="3"/>
  <c r="V137" i="3"/>
  <c r="W137" i="3"/>
  <c r="X137" i="3"/>
  <c r="Y137" i="3"/>
  <c r="Z137" i="3"/>
  <c r="AA137" i="3"/>
  <c r="AB137" i="3"/>
  <c r="AC137" i="3"/>
  <c r="AD137" i="3"/>
  <c r="AE137" i="3"/>
  <c r="AF137" i="3"/>
  <c r="AG137" i="3"/>
  <c r="AH137" i="3"/>
  <c r="AI137" i="3"/>
  <c r="AJ137" i="3"/>
  <c r="AK137" i="3"/>
  <c r="AL137" i="3"/>
  <c r="AM137" i="3"/>
  <c r="AN137" i="3"/>
  <c r="AO137" i="3"/>
  <c r="AP137" i="3"/>
  <c r="AQ137" i="3"/>
  <c r="AR137" i="3"/>
  <c r="AS137" i="3"/>
  <c r="AT137" i="3"/>
  <c r="AU137" i="3"/>
  <c r="AV137" i="3"/>
  <c r="AW137" i="3"/>
  <c r="AX137" i="3"/>
  <c r="AY137" i="3"/>
  <c r="AZ137" i="3"/>
  <c r="I138" i="3"/>
  <c r="J138" i="3"/>
  <c r="K138" i="3"/>
  <c r="L138" i="3"/>
  <c r="M138" i="3"/>
  <c r="N138" i="3"/>
  <c r="O138" i="3"/>
  <c r="P138" i="3"/>
  <c r="Q138" i="3"/>
  <c r="R138" i="3"/>
  <c r="S138" i="3"/>
  <c r="T138" i="3"/>
  <c r="U138" i="3"/>
  <c r="V138" i="3"/>
  <c r="W138" i="3"/>
  <c r="X138" i="3"/>
  <c r="Y138" i="3"/>
  <c r="Z138" i="3"/>
  <c r="AA138" i="3"/>
  <c r="AB138" i="3"/>
  <c r="AC138" i="3"/>
  <c r="AD138" i="3"/>
  <c r="AE138" i="3"/>
  <c r="AF138" i="3"/>
  <c r="AG138" i="3"/>
  <c r="AH138" i="3"/>
  <c r="AI138" i="3"/>
  <c r="AJ138" i="3"/>
  <c r="AK138" i="3"/>
  <c r="AL138" i="3"/>
  <c r="AM138" i="3"/>
  <c r="AN138" i="3"/>
  <c r="AO138" i="3"/>
  <c r="AP138" i="3"/>
  <c r="AQ138" i="3"/>
  <c r="AR138" i="3"/>
  <c r="AS138" i="3"/>
  <c r="AT138" i="3"/>
  <c r="AU138" i="3"/>
  <c r="AV138" i="3"/>
  <c r="AW138" i="3"/>
  <c r="AX138" i="3"/>
  <c r="AY138" i="3"/>
  <c r="AZ138" i="3"/>
  <c r="I139" i="3"/>
  <c r="J139" i="3"/>
  <c r="K139" i="3"/>
  <c r="L139" i="3"/>
  <c r="M139" i="3"/>
  <c r="N139" i="3"/>
  <c r="O139" i="3"/>
  <c r="P139" i="3"/>
  <c r="Q139" i="3"/>
  <c r="R139" i="3"/>
  <c r="S139" i="3"/>
  <c r="T139" i="3"/>
  <c r="U139" i="3"/>
  <c r="V139" i="3"/>
  <c r="W139" i="3"/>
  <c r="X139" i="3"/>
  <c r="Y139" i="3"/>
  <c r="Z139" i="3"/>
  <c r="AA139" i="3"/>
  <c r="AB139" i="3"/>
  <c r="AC139" i="3"/>
  <c r="AD139" i="3"/>
  <c r="AE139" i="3"/>
  <c r="AF139" i="3"/>
  <c r="AG139" i="3"/>
  <c r="AH139" i="3"/>
  <c r="AI139" i="3"/>
  <c r="AJ139" i="3"/>
  <c r="AK139" i="3"/>
  <c r="AL139" i="3"/>
  <c r="AM139" i="3"/>
  <c r="AN139" i="3"/>
  <c r="AO139" i="3"/>
  <c r="AP139" i="3"/>
  <c r="AQ139" i="3"/>
  <c r="AR139" i="3"/>
  <c r="AS139" i="3"/>
  <c r="AT139" i="3"/>
  <c r="AU139" i="3"/>
  <c r="AV139" i="3"/>
  <c r="AW139" i="3"/>
  <c r="AX139" i="3"/>
  <c r="AY139" i="3"/>
  <c r="AZ139" i="3"/>
  <c r="I140" i="3"/>
  <c r="J140" i="3"/>
  <c r="K140" i="3"/>
  <c r="L140" i="3"/>
  <c r="M140" i="3"/>
  <c r="N140" i="3"/>
  <c r="O140" i="3"/>
  <c r="P140" i="3"/>
  <c r="Q140" i="3"/>
  <c r="R140" i="3"/>
  <c r="S140" i="3"/>
  <c r="T140" i="3"/>
  <c r="U140" i="3"/>
  <c r="V140" i="3"/>
  <c r="W140" i="3"/>
  <c r="X140" i="3"/>
  <c r="Y140" i="3"/>
  <c r="Z140" i="3"/>
  <c r="AA140" i="3"/>
  <c r="AB140" i="3"/>
  <c r="AC140" i="3"/>
  <c r="AD140" i="3"/>
  <c r="AE140" i="3"/>
  <c r="AF140" i="3"/>
  <c r="AG140" i="3"/>
  <c r="AH140" i="3"/>
  <c r="AI140" i="3"/>
  <c r="AJ140" i="3"/>
  <c r="AK140" i="3"/>
  <c r="AL140" i="3"/>
  <c r="AM140" i="3"/>
  <c r="AN140" i="3"/>
  <c r="AO140" i="3"/>
  <c r="AP140" i="3"/>
  <c r="AQ140" i="3"/>
  <c r="AR140" i="3"/>
  <c r="AS140" i="3"/>
  <c r="AT140" i="3"/>
  <c r="AU140" i="3"/>
  <c r="AV140" i="3"/>
  <c r="AW140" i="3"/>
  <c r="AX140" i="3"/>
  <c r="AY140" i="3"/>
  <c r="AZ140" i="3"/>
  <c r="I141" i="3"/>
  <c r="J141" i="3"/>
  <c r="K141" i="3"/>
  <c r="L141" i="3"/>
  <c r="M141" i="3"/>
  <c r="N141" i="3"/>
  <c r="O141" i="3"/>
  <c r="P141" i="3"/>
  <c r="Q141" i="3"/>
  <c r="R141" i="3"/>
  <c r="S141" i="3"/>
  <c r="T141" i="3"/>
  <c r="U141" i="3"/>
  <c r="V141" i="3"/>
  <c r="W141" i="3"/>
  <c r="X141" i="3"/>
  <c r="Y141" i="3"/>
  <c r="Z141" i="3"/>
  <c r="AA141" i="3"/>
  <c r="AB141" i="3"/>
  <c r="AC141" i="3"/>
  <c r="AD141" i="3"/>
  <c r="AE141" i="3"/>
  <c r="AF141" i="3"/>
  <c r="AG141" i="3"/>
  <c r="AH141" i="3"/>
  <c r="AI141" i="3"/>
  <c r="AJ141" i="3"/>
  <c r="AK141" i="3"/>
  <c r="AL141" i="3"/>
  <c r="AM141" i="3"/>
  <c r="AN141" i="3"/>
  <c r="AO141" i="3"/>
  <c r="AP141" i="3"/>
  <c r="AQ141" i="3"/>
  <c r="AR141" i="3"/>
  <c r="AS141" i="3"/>
  <c r="AT141" i="3"/>
  <c r="AU141" i="3"/>
  <c r="AV141" i="3"/>
  <c r="AW141" i="3"/>
  <c r="AX141" i="3"/>
  <c r="AY141" i="3"/>
  <c r="AZ141" i="3"/>
  <c r="I142" i="3"/>
  <c r="J142" i="3"/>
  <c r="K142" i="3"/>
  <c r="L142" i="3"/>
  <c r="M142" i="3"/>
  <c r="N142" i="3"/>
  <c r="O142" i="3"/>
  <c r="P142" i="3"/>
  <c r="Q142" i="3"/>
  <c r="R142" i="3"/>
  <c r="S142" i="3"/>
  <c r="T142" i="3"/>
  <c r="U142" i="3"/>
  <c r="V142" i="3"/>
  <c r="W142" i="3"/>
  <c r="X142" i="3"/>
  <c r="Y142" i="3"/>
  <c r="Z142" i="3"/>
  <c r="AA142" i="3"/>
  <c r="AB142" i="3"/>
  <c r="AC142" i="3"/>
  <c r="AD142" i="3"/>
  <c r="AE142" i="3"/>
  <c r="AF142" i="3"/>
  <c r="AG142" i="3"/>
  <c r="AH142" i="3"/>
  <c r="AI142" i="3"/>
  <c r="AJ142" i="3"/>
  <c r="AK142" i="3"/>
  <c r="AL142" i="3"/>
  <c r="AM142" i="3"/>
  <c r="AN142" i="3"/>
  <c r="AO142" i="3"/>
  <c r="AP142" i="3"/>
  <c r="AQ142" i="3"/>
  <c r="AR142" i="3"/>
  <c r="AS142" i="3"/>
  <c r="AT142" i="3"/>
  <c r="AU142" i="3"/>
  <c r="AV142" i="3"/>
  <c r="AW142" i="3"/>
  <c r="AX142" i="3"/>
  <c r="AY142" i="3"/>
  <c r="AZ142" i="3"/>
  <c r="I143" i="3"/>
  <c r="J143" i="3"/>
  <c r="K143" i="3"/>
  <c r="L143" i="3"/>
  <c r="M143" i="3"/>
  <c r="N143" i="3"/>
  <c r="O143" i="3"/>
  <c r="P143" i="3"/>
  <c r="Q143" i="3"/>
  <c r="R143" i="3"/>
  <c r="S143" i="3"/>
  <c r="T143" i="3"/>
  <c r="U143" i="3"/>
  <c r="V143" i="3"/>
  <c r="W143" i="3"/>
  <c r="X143" i="3"/>
  <c r="Y143" i="3"/>
  <c r="Z143" i="3"/>
  <c r="AA143" i="3"/>
  <c r="AB143" i="3"/>
  <c r="AC143" i="3"/>
  <c r="AD143" i="3"/>
  <c r="AE143" i="3"/>
  <c r="AF143" i="3"/>
  <c r="AG143" i="3"/>
  <c r="AH143" i="3"/>
  <c r="AI143" i="3"/>
  <c r="AJ143" i="3"/>
  <c r="AK143" i="3"/>
  <c r="AL143" i="3"/>
  <c r="AM143" i="3"/>
  <c r="AN143" i="3"/>
  <c r="AO143" i="3"/>
  <c r="AP143" i="3"/>
  <c r="AQ143" i="3"/>
  <c r="AR143" i="3"/>
  <c r="AS143" i="3"/>
  <c r="AT143" i="3"/>
  <c r="AU143" i="3"/>
  <c r="AV143" i="3"/>
  <c r="AW143" i="3"/>
  <c r="AX143" i="3"/>
  <c r="AY143" i="3"/>
  <c r="AZ143" i="3"/>
  <c r="I144" i="3"/>
  <c r="J144" i="3"/>
  <c r="K144" i="3"/>
  <c r="L144" i="3"/>
  <c r="M144" i="3"/>
  <c r="N144" i="3"/>
  <c r="O144" i="3"/>
  <c r="P144" i="3"/>
  <c r="Q144" i="3"/>
  <c r="R144" i="3"/>
  <c r="S144" i="3"/>
  <c r="T144" i="3"/>
  <c r="U144" i="3"/>
  <c r="V144" i="3"/>
  <c r="W144" i="3"/>
  <c r="X144" i="3"/>
  <c r="Y144" i="3"/>
  <c r="Z144" i="3"/>
  <c r="AA144" i="3"/>
  <c r="AB144" i="3"/>
  <c r="AC144" i="3"/>
  <c r="AD144" i="3"/>
  <c r="AE144" i="3"/>
  <c r="AF144" i="3"/>
  <c r="AG144" i="3"/>
  <c r="AH144" i="3"/>
  <c r="AI144" i="3"/>
  <c r="AJ144" i="3"/>
  <c r="AK144" i="3"/>
  <c r="AL144" i="3"/>
  <c r="AM144" i="3"/>
  <c r="AN144" i="3"/>
  <c r="AO144" i="3"/>
  <c r="AP144" i="3"/>
  <c r="AQ144" i="3"/>
  <c r="AR144" i="3"/>
  <c r="AS144" i="3"/>
  <c r="AT144" i="3"/>
  <c r="AU144" i="3"/>
  <c r="AV144" i="3"/>
  <c r="AW144" i="3"/>
  <c r="AX144" i="3"/>
  <c r="AY144" i="3"/>
  <c r="AZ144" i="3"/>
  <c r="H135" i="3"/>
  <c r="H136" i="3"/>
  <c r="H137" i="3"/>
  <c r="H138" i="3"/>
  <c r="H139" i="3"/>
  <c r="H140" i="3"/>
  <c r="H141" i="3"/>
  <c r="H142" i="3"/>
  <c r="H143" i="3"/>
  <c r="H144" i="3"/>
  <c r="H134" i="3"/>
  <c r="H119" i="3"/>
  <c r="E135" i="3"/>
  <c r="E136" i="3"/>
  <c r="E137" i="3"/>
  <c r="E138" i="3"/>
  <c r="E139" i="3"/>
  <c r="E140" i="3"/>
  <c r="E141" i="3"/>
  <c r="E142" i="3"/>
  <c r="E143" i="3"/>
  <c r="E144" i="3"/>
  <c r="E134" i="3"/>
  <c r="I119" i="3"/>
  <c r="J119" i="3"/>
  <c r="K119" i="3"/>
  <c r="L119" i="3"/>
  <c r="M119" i="3"/>
  <c r="N119" i="3"/>
  <c r="O119" i="3"/>
  <c r="P119" i="3"/>
  <c r="Q119" i="3"/>
  <c r="R119" i="3"/>
  <c r="S119" i="3"/>
  <c r="T119" i="3"/>
  <c r="U119" i="3"/>
  <c r="V119" i="3"/>
  <c r="W119" i="3"/>
  <c r="X119" i="3"/>
  <c r="Y119" i="3"/>
  <c r="Z119" i="3"/>
  <c r="AA119" i="3"/>
  <c r="AB119" i="3"/>
  <c r="AC119" i="3"/>
  <c r="AD119" i="3"/>
  <c r="AE119" i="3"/>
  <c r="AF119" i="3"/>
  <c r="AG119" i="3"/>
  <c r="AH119" i="3"/>
  <c r="AI119" i="3"/>
  <c r="AJ119" i="3"/>
  <c r="AK119" i="3"/>
  <c r="AL119" i="3"/>
  <c r="AM119" i="3"/>
  <c r="AN119" i="3"/>
  <c r="AO119" i="3"/>
  <c r="AP119" i="3"/>
  <c r="AQ119" i="3"/>
  <c r="AR119" i="3"/>
  <c r="AS119" i="3"/>
  <c r="AT119" i="3"/>
  <c r="AU119" i="3"/>
  <c r="AV119" i="3"/>
  <c r="AW119" i="3"/>
  <c r="AX119" i="3"/>
  <c r="AY119" i="3"/>
  <c r="AZ119" i="3"/>
  <c r="I120" i="3"/>
  <c r="J120" i="3"/>
  <c r="K120" i="3"/>
  <c r="L120" i="3"/>
  <c r="M120" i="3"/>
  <c r="N120" i="3"/>
  <c r="O120" i="3"/>
  <c r="P120" i="3"/>
  <c r="Q120" i="3"/>
  <c r="R120" i="3"/>
  <c r="S120" i="3"/>
  <c r="T120" i="3"/>
  <c r="U120" i="3"/>
  <c r="V120" i="3"/>
  <c r="W120" i="3"/>
  <c r="X120" i="3"/>
  <c r="Y120" i="3"/>
  <c r="Z120" i="3"/>
  <c r="AA120" i="3"/>
  <c r="AB120" i="3"/>
  <c r="AC120" i="3"/>
  <c r="AD120" i="3"/>
  <c r="AE120" i="3"/>
  <c r="AF120" i="3"/>
  <c r="AG120" i="3"/>
  <c r="AH120" i="3"/>
  <c r="AI120" i="3"/>
  <c r="AJ120" i="3"/>
  <c r="AK120" i="3"/>
  <c r="AL120" i="3"/>
  <c r="AM120" i="3"/>
  <c r="AN120" i="3"/>
  <c r="AO120" i="3"/>
  <c r="AP120" i="3"/>
  <c r="AQ120" i="3"/>
  <c r="AR120" i="3"/>
  <c r="AS120" i="3"/>
  <c r="AT120" i="3"/>
  <c r="AU120" i="3"/>
  <c r="AV120" i="3"/>
  <c r="AW120" i="3"/>
  <c r="AX120" i="3"/>
  <c r="AY120" i="3"/>
  <c r="AZ120" i="3"/>
  <c r="I121" i="3"/>
  <c r="J121" i="3"/>
  <c r="K121" i="3"/>
  <c r="L121" i="3"/>
  <c r="M121" i="3"/>
  <c r="N121" i="3"/>
  <c r="O121" i="3"/>
  <c r="P121" i="3"/>
  <c r="Q121" i="3"/>
  <c r="R121" i="3"/>
  <c r="S121" i="3"/>
  <c r="T121" i="3"/>
  <c r="U121" i="3"/>
  <c r="V121" i="3"/>
  <c r="W121" i="3"/>
  <c r="X121" i="3"/>
  <c r="Y121" i="3"/>
  <c r="Z121" i="3"/>
  <c r="AA121" i="3"/>
  <c r="AB121" i="3"/>
  <c r="AC121" i="3"/>
  <c r="AD121" i="3"/>
  <c r="AE121" i="3"/>
  <c r="AF121" i="3"/>
  <c r="AG121" i="3"/>
  <c r="AH121" i="3"/>
  <c r="AI121" i="3"/>
  <c r="AJ121" i="3"/>
  <c r="AK121" i="3"/>
  <c r="AL121" i="3"/>
  <c r="AM121" i="3"/>
  <c r="AN121" i="3"/>
  <c r="AO121" i="3"/>
  <c r="AP121" i="3"/>
  <c r="AQ121" i="3"/>
  <c r="AR121" i="3"/>
  <c r="AS121" i="3"/>
  <c r="AT121" i="3"/>
  <c r="AU121" i="3"/>
  <c r="AV121" i="3"/>
  <c r="AW121" i="3"/>
  <c r="AX121" i="3"/>
  <c r="AY121" i="3"/>
  <c r="AZ121" i="3"/>
  <c r="I122" i="3"/>
  <c r="J122" i="3"/>
  <c r="K122" i="3"/>
  <c r="L122" i="3"/>
  <c r="M122" i="3"/>
  <c r="N122" i="3"/>
  <c r="O122" i="3"/>
  <c r="P122" i="3"/>
  <c r="Q122" i="3"/>
  <c r="R122" i="3"/>
  <c r="S122" i="3"/>
  <c r="T122" i="3"/>
  <c r="U122" i="3"/>
  <c r="V122" i="3"/>
  <c r="W122" i="3"/>
  <c r="X122" i="3"/>
  <c r="Y122" i="3"/>
  <c r="Z122" i="3"/>
  <c r="AA122" i="3"/>
  <c r="AB122" i="3"/>
  <c r="AC122" i="3"/>
  <c r="AD122" i="3"/>
  <c r="AE122" i="3"/>
  <c r="AF122" i="3"/>
  <c r="AG122" i="3"/>
  <c r="AH122" i="3"/>
  <c r="AI122" i="3"/>
  <c r="AJ122" i="3"/>
  <c r="AK122" i="3"/>
  <c r="AL122" i="3"/>
  <c r="AM122" i="3"/>
  <c r="AN122" i="3"/>
  <c r="AO122" i="3"/>
  <c r="AP122" i="3"/>
  <c r="AQ122" i="3"/>
  <c r="AR122" i="3"/>
  <c r="AS122" i="3"/>
  <c r="AT122" i="3"/>
  <c r="AU122" i="3"/>
  <c r="AV122" i="3"/>
  <c r="AW122" i="3"/>
  <c r="AX122" i="3"/>
  <c r="AY122" i="3"/>
  <c r="AZ122" i="3"/>
  <c r="I123" i="3"/>
  <c r="J123" i="3"/>
  <c r="K123" i="3"/>
  <c r="L123" i="3"/>
  <c r="M123" i="3"/>
  <c r="N123" i="3"/>
  <c r="O123" i="3"/>
  <c r="P123" i="3"/>
  <c r="Q123" i="3"/>
  <c r="R123" i="3"/>
  <c r="S123" i="3"/>
  <c r="T123" i="3"/>
  <c r="U123" i="3"/>
  <c r="V123" i="3"/>
  <c r="W123" i="3"/>
  <c r="X123" i="3"/>
  <c r="Y123" i="3"/>
  <c r="Z123" i="3"/>
  <c r="AA123" i="3"/>
  <c r="AB123" i="3"/>
  <c r="AC123" i="3"/>
  <c r="AD123" i="3"/>
  <c r="AE123" i="3"/>
  <c r="AF123" i="3"/>
  <c r="AG123" i="3"/>
  <c r="AH123" i="3"/>
  <c r="AI123" i="3"/>
  <c r="AJ123" i="3"/>
  <c r="AK123" i="3"/>
  <c r="AL123" i="3"/>
  <c r="AM123" i="3"/>
  <c r="AN123" i="3"/>
  <c r="AO123" i="3"/>
  <c r="AP123" i="3"/>
  <c r="AQ123" i="3"/>
  <c r="AR123" i="3"/>
  <c r="AS123" i="3"/>
  <c r="AT123" i="3"/>
  <c r="AU123" i="3"/>
  <c r="AV123" i="3"/>
  <c r="AW123" i="3"/>
  <c r="AX123" i="3"/>
  <c r="AY123" i="3"/>
  <c r="AZ123" i="3"/>
  <c r="I124" i="3"/>
  <c r="J124" i="3"/>
  <c r="K124" i="3"/>
  <c r="L124" i="3"/>
  <c r="M124" i="3"/>
  <c r="N124" i="3"/>
  <c r="O124" i="3"/>
  <c r="P124" i="3"/>
  <c r="Q124" i="3"/>
  <c r="R124" i="3"/>
  <c r="S124" i="3"/>
  <c r="T124" i="3"/>
  <c r="U124" i="3"/>
  <c r="V124" i="3"/>
  <c r="W124" i="3"/>
  <c r="X124" i="3"/>
  <c r="Y124" i="3"/>
  <c r="Z124" i="3"/>
  <c r="AA124" i="3"/>
  <c r="AB124" i="3"/>
  <c r="AC124" i="3"/>
  <c r="AD124" i="3"/>
  <c r="AE124" i="3"/>
  <c r="AF124" i="3"/>
  <c r="AG124" i="3"/>
  <c r="AH124" i="3"/>
  <c r="AI124" i="3"/>
  <c r="AJ124" i="3"/>
  <c r="AK124" i="3"/>
  <c r="AL124" i="3"/>
  <c r="AM124" i="3"/>
  <c r="AN124" i="3"/>
  <c r="AO124" i="3"/>
  <c r="AP124" i="3"/>
  <c r="AQ124" i="3"/>
  <c r="AR124" i="3"/>
  <c r="AS124" i="3"/>
  <c r="AT124" i="3"/>
  <c r="AU124" i="3"/>
  <c r="AV124" i="3"/>
  <c r="AW124" i="3"/>
  <c r="AX124" i="3"/>
  <c r="AY124" i="3"/>
  <c r="AZ124" i="3"/>
  <c r="I125" i="3"/>
  <c r="J125" i="3"/>
  <c r="K125" i="3"/>
  <c r="L125" i="3"/>
  <c r="M125" i="3"/>
  <c r="N125" i="3"/>
  <c r="O125" i="3"/>
  <c r="P125" i="3"/>
  <c r="Q125" i="3"/>
  <c r="R125" i="3"/>
  <c r="S125" i="3"/>
  <c r="T125" i="3"/>
  <c r="U125" i="3"/>
  <c r="V125" i="3"/>
  <c r="W125" i="3"/>
  <c r="X125" i="3"/>
  <c r="Y125" i="3"/>
  <c r="Z125" i="3"/>
  <c r="AA125" i="3"/>
  <c r="AB125" i="3"/>
  <c r="AC125" i="3"/>
  <c r="AD125" i="3"/>
  <c r="AE125" i="3"/>
  <c r="AF125" i="3"/>
  <c r="AG125" i="3"/>
  <c r="AH125" i="3"/>
  <c r="AI125" i="3"/>
  <c r="AJ125" i="3"/>
  <c r="AK125" i="3"/>
  <c r="AL125" i="3"/>
  <c r="AM125" i="3"/>
  <c r="AN125" i="3"/>
  <c r="AO125" i="3"/>
  <c r="AP125" i="3"/>
  <c r="AQ125" i="3"/>
  <c r="AR125" i="3"/>
  <c r="AS125" i="3"/>
  <c r="AT125" i="3"/>
  <c r="AU125" i="3"/>
  <c r="AV125" i="3"/>
  <c r="AW125" i="3"/>
  <c r="AX125" i="3"/>
  <c r="AY125" i="3"/>
  <c r="AZ125" i="3"/>
  <c r="I126" i="3"/>
  <c r="J126" i="3"/>
  <c r="K126" i="3"/>
  <c r="L126" i="3"/>
  <c r="M126" i="3"/>
  <c r="N126" i="3"/>
  <c r="O126" i="3"/>
  <c r="P126" i="3"/>
  <c r="Q126" i="3"/>
  <c r="R126" i="3"/>
  <c r="S126" i="3"/>
  <c r="T126" i="3"/>
  <c r="U126" i="3"/>
  <c r="V126" i="3"/>
  <c r="W126" i="3"/>
  <c r="X126" i="3"/>
  <c r="Y126" i="3"/>
  <c r="Z126" i="3"/>
  <c r="AA126" i="3"/>
  <c r="AB126" i="3"/>
  <c r="AC126" i="3"/>
  <c r="AD126" i="3"/>
  <c r="AE126" i="3"/>
  <c r="AF126" i="3"/>
  <c r="AG126" i="3"/>
  <c r="AH126" i="3"/>
  <c r="AI126" i="3"/>
  <c r="AJ126" i="3"/>
  <c r="AK126" i="3"/>
  <c r="AL126" i="3"/>
  <c r="AM126" i="3"/>
  <c r="AN126" i="3"/>
  <c r="AO126" i="3"/>
  <c r="AP126" i="3"/>
  <c r="AQ126" i="3"/>
  <c r="AR126" i="3"/>
  <c r="AS126" i="3"/>
  <c r="AT126" i="3"/>
  <c r="AU126" i="3"/>
  <c r="AV126" i="3"/>
  <c r="AW126" i="3"/>
  <c r="AX126" i="3"/>
  <c r="AY126" i="3"/>
  <c r="AZ126" i="3"/>
  <c r="I127" i="3"/>
  <c r="J127" i="3"/>
  <c r="K127" i="3"/>
  <c r="L127" i="3"/>
  <c r="M127" i="3"/>
  <c r="N127" i="3"/>
  <c r="O127" i="3"/>
  <c r="P127" i="3"/>
  <c r="Q127" i="3"/>
  <c r="R127" i="3"/>
  <c r="S127" i="3"/>
  <c r="T127" i="3"/>
  <c r="U127" i="3"/>
  <c r="V127" i="3"/>
  <c r="W127" i="3"/>
  <c r="X127" i="3"/>
  <c r="Y127" i="3"/>
  <c r="Z127" i="3"/>
  <c r="AA127" i="3"/>
  <c r="AB127" i="3"/>
  <c r="AC127" i="3"/>
  <c r="AD127" i="3"/>
  <c r="AE127" i="3"/>
  <c r="AF127" i="3"/>
  <c r="AG127" i="3"/>
  <c r="AH127" i="3"/>
  <c r="AI127" i="3"/>
  <c r="AJ127" i="3"/>
  <c r="AK127" i="3"/>
  <c r="AL127" i="3"/>
  <c r="AM127" i="3"/>
  <c r="AN127" i="3"/>
  <c r="AO127" i="3"/>
  <c r="AP127" i="3"/>
  <c r="AQ127" i="3"/>
  <c r="AR127" i="3"/>
  <c r="AS127" i="3"/>
  <c r="AT127" i="3"/>
  <c r="AU127" i="3"/>
  <c r="AV127" i="3"/>
  <c r="AW127" i="3"/>
  <c r="AX127" i="3"/>
  <c r="AY127" i="3"/>
  <c r="AZ127" i="3"/>
  <c r="I128" i="3"/>
  <c r="J128" i="3"/>
  <c r="K128" i="3"/>
  <c r="L128" i="3"/>
  <c r="M128" i="3"/>
  <c r="N128" i="3"/>
  <c r="O128" i="3"/>
  <c r="P128" i="3"/>
  <c r="Q128" i="3"/>
  <c r="R128" i="3"/>
  <c r="S128" i="3"/>
  <c r="T128" i="3"/>
  <c r="U128" i="3"/>
  <c r="V128" i="3"/>
  <c r="W128" i="3"/>
  <c r="X128" i="3"/>
  <c r="Y128" i="3"/>
  <c r="Z128" i="3"/>
  <c r="AA128" i="3"/>
  <c r="AB128" i="3"/>
  <c r="AC128" i="3"/>
  <c r="AD128" i="3"/>
  <c r="AE128" i="3"/>
  <c r="AF128" i="3"/>
  <c r="AG128" i="3"/>
  <c r="AH128" i="3"/>
  <c r="AI128" i="3"/>
  <c r="AJ128" i="3"/>
  <c r="AK128" i="3"/>
  <c r="AL128" i="3"/>
  <c r="AM128" i="3"/>
  <c r="AN128" i="3"/>
  <c r="AO128" i="3"/>
  <c r="AP128" i="3"/>
  <c r="AQ128" i="3"/>
  <c r="AR128" i="3"/>
  <c r="AS128" i="3"/>
  <c r="AT128" i="3"/>
  <c r="AU128" i="3"/>
  <c r="AV128" i="3"/>
  <c r="AW128" i="3"/>
  <c r="AX128" i="3"/>
  <c r="AY128" i="3"/>
  <c r="AZ128" i="3"/>
  <c r="I129" i="3"/>
  <c r="J129" i="3"/>
  <c r="K129" i="3"/>
  <c r="L129" i="3"/>
  <c r="M129" i="3"/>
  <c r="N129" i="3"/>
  <c r="O129" i="3"/>
  <c r="P129" i="3"/>
  <c r="Q129" i="3"/>
  <c r="R129" i="3"/>
  <c r="S129" i="3"/>
  <c r="T129" i="3"/>
  <c r="U129" i="3"/>
  <c r="V129" i="3"/>
  <c r="W129" i="3"/>
  <c r="X129" i="3"/>
  <c r="Y129" i="3"/>
  <c r="Z129" i="3"/>
  <c r="AA129" i="3"/>
  <c r="AB129" i="3"/>
  <c r="AC129" i="3"/>
  <c r="AD129" i="3"/>
  <c r="AE129" i="3"/>
  <c r="AF129" i="3"/>
  <c r="AG129" i="3"/>
  <c r="AH129" i="3"/>
  <c r="AI129" i="3"/>
  <c r="AJ129" i="3"/>
  <c r="AK129" i="3"/>
  <c r="AL129" i="3"/>
  <c r="AM129" i="3"/>
  <c r="AN129" i="3"/>
  <c r="AO129" i="3"/>
  <c r="AP129" i="3"/>
  <c r="AQ129" i="3"/>
  <c r="AR129" i="3"/>
  <c r="AS129" i="3"/>
  <c r="AT129" i="3"/>
  <c r="AU129" i="3"/>
  <c r="AV129" i="3"/>
  <c r="AW129" i="3"/>
  <c r="AX129" i="3"/>
  <c r="AY129" i="3"/>
  <c r="AZ129" i="3"/>
  <c r="H120" i="3"/>
  <c r="H121" i="3"/>
  <c r="H122" i="3"/>
  <c r="H123" i="3"/>
  <c r="H124" i="3"/>
  <c r="H125" i="3"/>
  <c r="H126" i="3"/>
  <c r="H127" i="3"/>
  <c r="H128" i="3"/>
  <c r="H129" i="3"/>
  <c r="E120" i="3"/>
  <c r="E121" i="3"/>
  <c r="E122" i="3"/>
  <c r="E123" i="3"/>
  <c r="E124" i="3"/>
  <c r="E125" i="3"/>
  <c r="E126" i="3"/>
  <c r="E127" i="3"/>
  <c r="E128" i="3"/>
  <c r="E129" i="3"/>
  <c r="B106" i="3"/>
  <c r="B107" i="3"/>
  <c r="B95" i="7" s="1"/>
  <c r="B108" i="3"/>
  <c r="B96" i="7" s="1"/>
  <c r="B109" i="3"/>
  <c r="D138" i="3" s="1"/>
  <c r="B110" i="3"/>
  <c r="D139" i="3" s="1"/>
  <c r="B111" i="3"/>
  <c r="B99" i="7" s="1"/>
  <c r="B112" i="3"/>
  <c r="B100" i="7" s="1"/>
  <c r="B113" i="3"/>
  <c r="B101" i="7" s="1"/>
  <c r="B114" i="3"/>
  <c r="B102" i="7" s="1"/>
  <c r="B115" i="3"/>
  <c r="B103" i="7" s="1"/>
  <c r="B93" i="3"/>
  <c r="B81" i="7" s="1"/>
  <c r="B94" i="3"/>
  <c r="B82" i="7" s="1"/>
  <c r="B95" i="3"/>
  <c r="B96" i="3"/>
  <c r="D123" i="3" s="1"/>
  <c r="B97" i="3"/>
  <c r="D124" i="3" s="1"/>
  <c r="B98" i="3"/>
  <c r="D125" i="3" s="1"/>
  <c r="B99" i="3"/>
  <c r="D126" i="3" s="1"/>
  <c r="B100" i="3"/>
  <c r="B88" i="7" s="1"/>
  <c r="B101" i="3"/>
  <c r="B89" i="7" s="1"/>
  <c r="B102" i="3"/>
  <c r="B90" i="7" s="1"/>
  <c r="M10" i="3" l="1"/>
  <c r="L5" i="7"/>
  <c r="M9" i="3"/>
  <c r="L4" i="7"/>
  <c r="N19" i="2"/>
  <c r="M30" i="2"/>
  <c r="M20" i="2" s="1"/>
  <c r="K87" i="4"/>
  <c r="M87" i="4" s="1"/>
  <c r="D144" i="3"/>
  <c r="D143" i="3"/>
  <c r="D129" i="3"/>
  <c r="D120" i="3"/>
  <c r="B86" i="7"/>
  <c r="D122" i="3"/>
  <c r="B83" i="7"/>
  <c r="D135" i="3"/>
  <c r="B94" i="7"/>
  <c r="B87" i="7"/>
  <c r="B98" i="7"/>
  <c r="D142" i="3"/>
  <c r="D128" i="3"/>
  <c r="D141" i="3"/>
  <c r="D127" i="3"/>
  <c r="B85" i="7"/>
  <c r="D140" i="3"/>
  <c r="B84" i="7"/>
  <c r="B97" i="7"/>
  <c r="D137" i="3"/>
  <c r="D136" i="3"/>
  <c r="D121" i="3"/>
  <c r="L87" i="4"/>
  <c r="L86" i="4"/>
  <c r="L89" i="4"/>
  <c r="K88" i="4"/>
  <c r="B71" i="4"/>
  <c r="Y71" i="4" s="1"/>
  <c r="B72" i="4"/>
  <c r="AN72" i="4" s="1"/>
  <c r="A41" i="3"/>
  <c r="A105" i="3"/>
  <c r="C15" i="1"/>
  <c r="A65" i="3"/>
  <c r="A53" i="3"/>
  <c r="A78" i="3"/>
  <c r="A178" i="3"/>
  <c r="A134" i="3"/>
  <c r="C17" i="1"/>
  <c r="A92" i="3"/>
  <c r="A175" i="3"/>
  <c r="A119" i="3"/>
  <c r="A182" i="3"/>
  <c r="D79" i="3"/>
  <c r="E67" i="7" s="1"/>
  <c r="D122" i="7" s="1"/>
  <c r="E79" i="3"/>
  <c r="D80" i="3"/>
  <c r="E68" i="7" s="1"/>
  <c r="D123" i="7" s="1"/>
  <c r="E80" i="3"/>
  <c r="D81" i="3"/>
  <c r="E69" i="7" s="1"/>
  <c r="D124" i="7" s="1"/>
  <c r="E81" i="3"/>
  <c r="D82" i="3"/>
  <c r="E70" i="7" s="1"/>
  <c r="D125" i="7" s="1"/>
  <c r="E82" i="3"/>
  <c r="D83" i="3"/>
  <c r="E71" i="7" s="1"/>
  <c r="D126" i="7" s="1"/>
  <c r="E83" i="3"/>
  <c r="D84" i="3"/>
  <c r="E72" i="7" s="1"/>
  <c r="D127" i="7" s="1"/>
  <c r="E84" i="3"/>
  <c r="D85" i="3"/>
  <c r="E85" i="3"/>
  <c r="C112" i="3" s="1"/>
  <c r="D86" i="3"/>
  <c r="E86" i="3"/>
  <c r="C113" i="3" s="1"/>
  <c r="D87" i="3"/>
  <c r="E87" i="3"/>
  <c r="C114" i="3" s="1"/>
  <c r="D88" i="3"/>
  <c r="E88" i="3"/>
  <c r="C115" i="3" s="1"/>
  <c r="E78" i="3"/>
  <c r="C105" i="3" s="1"/>
  <c r="D78" i="3"/>
  <c r="D66" i="3"/>
  <c r="E54" i="7" s="1"/>
  <c r="D108" i="7" s="1"/>
  <c r="E66" i="3"/>
  <c r="D67" i="3"/>
  <c r="E55" i="7" s="1"/>
  <c r="D109" i="7" s="1"/>
  <c r="E67" i="3"/>
  <c r="D68" i="3"/>
  <c r="E56" i="7" s="1"/>
  <c r="D110" i="7" s="1"/>
  <c r="E68" i="3"/>
  <c r="D69" i="3"/>
  <c r="E57" i="7" s="1"/>
  <c r="D111" i="7" s="1"/>
  <c r="E69" i="3"/>
  <c r="D70" i="3"/>
  <c r="E58" i="7" s="1"/>
  <c r="D112" i="7" s="1"/>
  <c r="E70" i="3"/>
  <c r="D71" i="3"/>
  <c r="E59" i="7" s="1"/>
  <c r="D113" i="7" s="1"/>
  <c r="E71" i="3"/>
  <c r="D72" i="3"/>
  <c r="E60" i="7" s="1"/>
  <c r="D114" i="7" s="1"/>
  <c r="E72" i="3"/>
  <c r="D73" i="3"/>
  <c r="E61" i="7" s="1"/>
  <c r="D115" i="7" s="1"/>
  <c r="E73" i="3"/>
  <c r="D74" i="3"/>
  <c r="E62" i="7" s="1"/>
  <c r="D116" i="7" s="1"/>
  <c r="E74" i="3"/>
  <c r="D75" i="3"/>
  <c r="E63" i="7" s="1"/>
  <c r="D117" i="7" s="1"/>
  <c r="E75" i="3"/>
  <c r="E65" i="3"/>
  <c r="C92" i="3" s="1"/>
  <c r="D65" i="3"/>
  <c r="B105" i="3"/>
  <c r="D134" i="3" s="1"/>
  <c r="B92" i="3"/>
  <c r="D119" i="3" s="1"/>
  <c r="L22" i="2"/>
  <c r="M21" i="2"/>
  <c r="N21" i="2" s="1"/>
  <c r="O21" i="2" s="1"/>
  <c r="P21" i="2" s="1"/>
  <c r="Q21" i="2" s="1"/>
  <c r="R21" i="2" s="1"/>
  <c r="S21" i="2" s="1"/>
  <c r="T21" i="2" s="1"/>
  <c r="U21" i="2" s="1"/>
  <c r="V21" i="2" s="1"/>
  <c r="W21" i="2" s="1"/>
  <c r="X21" i="2" s="1"/>
  <c r="Y21" i="2" s="1"/>
  <c r="Z21" i="2" s="1"/>
  <c r="AA21" i="2" s="1"/>
  <c r="AB21" i="2" s="1"/>
  <c r="AC21" i="2" s="1"/>
  <c r="AD21" i="2" s="1"/>
  <c r="AE21" i="2" s="1"/>
  <c r="AF21" i="2" s="1"/>
  <c r="AG21" i="2" s="1"/>
  <c r="AH21" i="2" s="1"/>
  <c r="AI21" i="2" s="1"/>
  <c r="AJ21" i="2" s="1"/>
  <c r="AK21" i="2" s="1"/>
  <c r="AL21" i="2" s="1"/>
  <c r="AM21" i="2" s="1"/>
  <c r="AN21" i="2" s="1"/>
  <c r="AO21" i="2" s="1"/>
  <c r="AP21" i="2" s="1"/>
  <c r="AQ21" i="2" s="1"/>
  <c r="AR21" i="2" s="1"/>
  <c r="AS21" i="2" s="1"/>
  <c r="AT21" i="2" s="1"/>
  <c r="AU21" i="2" s="1"/>
  <c r="AV21" i="2" s="1"/>
  <c r="AW21" i="2" s="1"/>
  <c r="AX21" i="2" s="1"/>
  <c r="AY21" i="2" s="1"/>
  <c r="AZ21" i="2" s="1"/>
  <c r="BA21" i="2" s="1"/>
  <c r="BB21" i="2" s="1"/>
  <c r="BC21" i="2" s="1"/>
  <c r="BD21" i="2" s="1"/>
  <c r="BE21" i="2" s="1"/>
  <c r="N9" i="3" l="1"/>
  <c r="M4" i="7"/>
  <c r="N10" i="3"/>
  <c r="M5" i="7"/>
  <c r="O19" i="2"/>
  <c r="N30" i="2"/>
  <c r="N20" i="2" s="1"/>
  <c r="C99" i="3"/>
  <c r="C111" i="3"/>
  <c r="C93" i="3"/>
  <c r="C98" i="3"/>
  <c r="C110" i="3"/>
  <c r="C109" i="3"/>
  <c r="C97" i="3"/>
  <c r="C96" i="3"/>
  <c r="C107" i="3"/>
  <c r="C102" i="3"/>
  <c r="C108" i="3"/>
  <c r="C101" i="3"/>
  <c r="C95" i="3"/>
  <c r="C100" i="3"/>
  <c r="C94" i="3"/>
  <c r="C106" i="3"/>
  <c r="T72" i="4"/>
  <c r="M88" i="4"/>
  <c r="N72" i="4"/>
  <c r="AJ71" i="4"/>
  <c r="G71" i="4"/>
  <c r="K71" i="4"/>
  <c r="M71" i="4"/>
  <c r="AB72" i="4"/>
  <c r="S71" i="4"/>
  <c r="W71" i="4"/>
  <c r="Q72" i="4"/>
  <c r="Z72" i="4"/>
  <c r="AL72" i="4"/>
  <c r="AE71" i="4"/>
  <c r="AI71" i="4"/>
  <c r="AC72" i="4"/>
  <c r="D72" i="4"/>
  <c r="AR72" i="4"/>
  <c r="AQ71" i="4"/>
  <c r="AU71" i="4"/>
  <c r="AO72" i="4"/>
  <c r="AF72" i="4"/>
  <c r="K72" i="4"/>
  <c r="O72" i="4"/>
  <c r="AA72" i="4"/>
  <c r="AI72" i="4"/>
  <c r="AM72" i="4"/>
  <c r="W72" i="4"/>
  <c r="AU72" i="4"/>
  <c r="L71" i="4"/>
  <c r="H71" i="4"/>
  <c r="X71" i="4"/>
  <c r="P72" i="4"/>
  <c r="E72" i="4"/>
  <c r="H72" i="4"/>
  <c r="R72" i="4"/>
  <c r="AP72" i="4"/>
  <c r="S72" i="4"/>
  <c r="AQ72" i="4"/>
  <c r="U72" i="4"/>
  <c r="AS72" i="4"/>
  <c r="V72" i="4"/>
  <c r="AT72" i="4"/>
  <c r="M72" i="4"/>
  <c r="X72" i="4"/>
  <c r="C72" i="4"/>
  <c r="Y72" i="4"/>
  <c r="F72" i="4"/>
  <c r="AD72" i="4"/>
  <c r="G72" i="4"/>
  <c r="AE72" i="4"/>
  <c r="AK72" i="4"/>
  <c r="I72" i="4"/>
  <c r="AG72" i="4"/>
  <c r="J72" i="4"/>
  <c r="AH72" i="4"/>
  <c r="L72" i="4"/>
  <c r="AJ72" i="4"/>
  <c r="E71" i="4"/>
  <c r="U71" i="4"/>
  <c r="AN71" i="4"/>
  <c r="V71" i="4"/>
  <c r="AO71" i="4"/>
  <c r="D71" i="4"/>
  <c r="Z71" i="4"/>
  <c r="AP71" i="4"/>
  <c r="F71" i="4"/>
  <c r="AA71" i="4"/>
  <c r="AR71" i="4"/>
  <c r="I71" i="4"/>
  <c r="AB71" i="4"/>
  <c r="AS71" i="4"/>
  <c r="J71" i="4"/>
  <c r="AC71" i="4"/>
  <c r="AT71" i="4"/>
  <c r="C71" i="4"/>
  <c r="N71" i="4"/>
  <c r="AD71" i="4"/>
  <c r="O71" i="4"/>
  <c r="AF71" i="4"/>
  <c r="P71" i="4"/>
  <c r="AG71" i="4"/>
  <c r="AM71" i="4"/>
  <c r="Q71" i="4"/>
  <c r="AH71" i="4"/>
  <c r="R71" i="4"/>
  <c r="AL71" i="4"/>
  <c r="T71" i="4"/>
  <c r="AK71" i="4"/>
  <c r="M22" i="2"/>
  <c r="N5" i="7" l="1"/>
  <c r="O10" i="3"/>
  <c r="O9" i="3"/>
  <c r="N4" i="7"/>
  <c r="P19" i="2"/>
  <c r="O30" i="2"/>
  <c r="O20" i="2" s="1"/>
  <c r="N22" i="2"/>
  <c r="I80" i="7" s="1"/>
  <c r="I107" i="7" s="1"/>
  <c r="H93" i="7"/>
  <c r="H121" i="7" s="1"/>
  <c r="H80" i="7"/>
  <c r="H107" i="7" s="1"/>
  <c r="M2" i="2"/>
  <c r="N2" i="2"/>
  <c r="O2" i="2"/>
  <c r="P2" i="2"/>
  <c r="Q2" i="2"/>
  <c r="R2" i="2"/>
  <c r="S2" i="2"/>
  <c r="T2" i="2"/>
  <c r="U2" i="2"/>
  <c r="V2" i="2"/>
  <c r="W2" i="2"/>
  <c r="X2" i="2"/>
  <c r="Y2" i="2"/>
  <c r="Z2" i="2"/>
  <c r="AA2" i="2"/>
  <c r="AB2" i="2"/>
  <c r="AC2" i="2"/>
  <c r="AD2" i="2"/>
  <c r="AE2" i="2"/>
  <c r="AF2" i="2"/>
  <c r="AG2" i="2"/>
  <c r="AH2" i="2"/>
  <c r="AI2" i="2"/>
  <c r="AJ2" i="2"/>
  <c r="AK2" i="2"/>
  <c r="AL2" i="2" s="1"/>
  <c r="L2" i="2"/>
  <c r="P9" i="3" l="1"/>
  <c r="O4" i="7"/>
  <c r="O5" i="7"/>
  <c r="P10" i="3"/>
  <c r="Q19" i="2"/>
  <c r="P30" i="2"/>
  <c r="P20" i="2" s="1"/>
  <c r="O22" i="2"/>
  <c r="I93" i="7"/>
  <c r="I121" i="7" s="1"/>
  <c r="AB18" i="4"/>
  <c r="AB7" i="4"/>
  <c r="AM2" i="2"/>
  <c r="Q7" i="4"/>
  <c r="Q18" i="4"/>
  <c r="E7" i="4"/>
  <c r="E18" i="4"/>
  <c r="G18" i="4"/>
  <c r="G7" i="4"/>
  <c r="C18" i="4"/>
  <c r="C7" i="4"/>
  <c r="T18" i="4"/>
  <c r="T7" i="4"/>
  <c r="F18" i="4"/>
  <c r="F7" i="4"/>
  <c r="P18" i="4"/>
  <c r="P7" i="4"/>
  <c r="AA7" i="4"/>
  <c r="AA18" i="4"/>
  <c r="O7" i="4"/>
  <c r="O18" i="4"/>
  <c r="Z18" i="4"/>
  <c r="Z7" i="4"/>
  <c r="N18" i="4"/>
  <c r="N7" i="4"/>
  <c r="Y18" i="4"/>
  <c r="Y7" i="4"/>
  <c r="M18" i="4"/>
  <c r="M7" i="4"/>
  <c r="X18" i="4"/>
  <c r="X7" i="4"/>
  <c r="L18" i="4"/>
  <c r="L7" i="4"/>
  <c r="H18" i="4"/>
  <c r="H7" i="4"/>
  <c r="R18" i="4"/>
  <c r="R7" i="4"/>
  <c r="D18" i="4"/>
  <c r="D7" i="4"/>
  <c r="W18" i="4"/>
  <c r="W7" i="4"/>
  <c r="K18" i="4"/>
  <c r="K7" i="4"/>
  <c r="S7" i="4"/>
  <c r="S18" i="4"/>
  <c r="V7" i="4"/>
  <c r="V18" i="4"/>
  <c r="J18" i="4"/>
  <c r="J7" i="4"/>
  <c r="U18" i="4"/>
  <c r="U7" i="4"/>
  <c r="I18" i="4"/>
  <c r="I7" i="4"/>
  <c r="G137" i="7"/>
  <c r="G142" i="7"/>
  <c r="G138" i="7"/>
  <c r="G139" i="7"/>
  <c r="G143" i="7"/>
  <c r="G144" i="7"/>
  <c r="G136" i="7"/>
  <c r="G121" i="7"/>
  <c r="G107" i="7"/>
  <c r="G93" i="7"/>
  <c r="G80" i="7"/>
  <c r="E66" i="7"/>
  <c r="D121" i="7" s="1"/>
  <c r="G66" i="7"/>
  <c r="E73" i="7"/>
  <c r="D128" i="7" s="1"/>
  <c r="G73" i="7"/>
  <c r="E74" i="7"/>
  <c r="D129" i="7" s="1"/>
  <c r="G74" i="7"/>
  <c r="E75" i="7"/>
  <c r="D130" i="7" s="1"/>
  <c r="G75" i="7"/>
  <c r="E76" i="7"/>
  <c r="D131" i="7" s="1"/>
  <c r="G76" i="7"/>
  <c r="E53" i="7"/>
  <c r="D107" i="7" s="1"/>
  <c r="G54" i="7"/>
  <c r="G61" i="7"/>
  <c r="G62" i="7"/>
  <c r="G63" i="7"/>
  <c r="G53" i="7"/>
  <c r="G42" i="7"/>
  <c r="G43" i="7"/>
  <c r="G44" i="7"/>
  <c r="G45" i="7"/>
  <c r="G46" i="7"/>
  <c r="G47" i="7"/>
  <c r="G48" i="7"/>
  <c r="G33" i="7"/>
  <c r="G34" i="7"/>
  <c r="G35" i="7"/>
  <c r="G36" i="7"/>
  <c r="G37" i="7"/>
  <c r="G38" i="7"/>
  <c r="G32" i="7"/>
  <c r="G20" i="7"/>
  <c r="G21" i="7"/>
  <c r="G22" i="7"/>
  <c r="G23" i="7"/>
  <c r="G24" i="7"/>
  <c r="G25" i="7"/>
  <c r="G26" i="7"/>
  <c r="G12" i="7"/>
  <c r="G13" i="7"/>
  <c r="G14" i="7"/>
  <c r="G15" i="7"/>
  <c r="G16" i="7"/>
  <c r="G10" i="7"/>
  <c r="H177" i="3"/>
  <c r="I177" i="3" s="1"/>
  <c r="J177" i="3" s="1"/>
  <c r="K177" i="3" s="1"/>
  <c r="L177" i="3" s="1"/>
  <c r="M177" i="3" s="1"/>
  <c r="N177" i="3" s="1"/>
  <c r="O177" i="3" s="1"/>
  <c r="P177" i="3" s="1"/>
  <c r="Q177" i="3" s="1"/>
  <c r="R177" i="3" s="1"/>
  <c r="S177" i="3" s="1"/>
  <c r="T177" i="3" s="1"/>
  <c r="U177" i="3" s="1"/>
  <c r="V177" i="3" s="1"/>
  <c r="W177" i="3" s="1"/>
  <c r="X177" i="3" s="1"/>
  <c r="Y177" i="3" s="1"/>
  <c r="Z177" i="3" s="1"/>
  <c r="AA177" i="3" s="1"/>
  <c r="AB177" i="3" s="1"/>
  <c r="AC177" i="3" s="1"/>
  <c r="AD177" i="3" s="1"/>
  <c r="AE177" i="3" s="1"/>
  <c r="AF177" i="3" s="1"/>
  <c r="AG177" i="3" s="1"/>
  <c r="AH177" i="3" s="1"/>
  <c r="AI177" i="3" s="1"/>
  <c r="AJ177" i="3" s="1"/>
  <c r="AK177" i="3" s="1"/>
  <c r="AL177" i="3" s="1"/>
  <c r="AM177" i="3" s="1"/>
  <c r="AN177" i="3" s="1"/>
  <c r="AO177" i="3" s="1"/>
  <c r="AP177" i="3" s="1"/>
  <c r="AQ177" i="3" s="1"/>
  <c r="AR177" i="3" s="1"/>
  <c r="AS177" i="3" s="1"/>
  <c r="AT177" i="3" s="1"/>
  <c r="AU177" i="3" s="1"/>
  <c r="AV177" i="3" s="1"/>
  <c r="AW177" i="3" s="1"/>
  <c r="AX177" i="3" s="1"/>
  <c r="AY177" i="3" s="1"/>
  <c r="AZ177" i="3" s="1"/>
  <c r="H174" i="3"/>
  <c r="I174" i="3" s="1"/>
  <c r="J174" i="3" s="1"/>
  <c r="K174" i="3" s="1"/>
  <c r="L174" i="3" s="1"/>
  <c r="M174" i="3" s="1"/>
  <c r="N174" i="3" s="1"/>
  <c r="O174" i="3" s="1"/>
  <c r="P174" i="3" s="1"/>
  <c r="Q174" i="3" s="1"/>
  <c r="R174" i="3" s="1"/>
  <c r="S174" i="3" s="1"/>
  <c r="T174" i="3" s="1"/>
  <c r="U174" i="3" s="1"/>
  <c r="V174" i="3" s="1"/>
  <c r="W174" i="3" s="1"/>
  <c r="X174" i="3" s="1"/>
  <c r="Y174" i="3" s="1"/>
  <c r="Z174" i="3" s="1"/>
  <c r="AA174" i="3" s="1"/>
  <c r="AB174" i="3" s="1"/>
  <c r="AC174" i="3" s="1"/>
  <c r="AD174" i="3" s="1"/>
  <c r="AE174" i="3" s="1"/>
  <c r="AF174" i="3" s="1"/>
  <c r="AG174" i="3" s="1"/>
  <c r="AH174" i="3" s="1"/>
  <c r="AI174" i="3" s="1"/>
  <c r="AJ174" i="3" s="1"/>
  <c r="AK174" i="3" s="1"/>
  <c r="AL174" i="3" s="1"/>
  <c r="AM174" i="3" s="1"/>
  <c r="AN174" i="3" s="1"/>
  <c r="AO174" i="3" s="1"/>
  <c r="AP174" i="3" s="1"/>
  <c r="AQ174" i="3" s="1"/>
  <c r="AR174" i="3" s="1"/>
  <c r="AS174" i="3" s="1"/>
  <c r="AT174" i="3" s="1"/>
  <c r="AU174" i="3" s="1"/>
  <c r="AV174" i="3" s="1"/>
  <c r="AW174" i="3" s="1"/>
  <c r="AX174" i="3" s="1"/>
  <c r="AY174" i="3" s="1"/>
  <c r="AZ174" i="3" s="1"/>
  <c r="H133" i="3"/>
  <c r="I133" i="3" s="1"/>
  <c r="J133" i="3" s="1"/>
  <c r="K133" i="3" s="1"/>
  <c r="L133" i="3" s="1"/>
  <c r="M133" i="3" s="1"/>
  <c r="N133" i="3" s="1"/>
  <c r="O133" i="3" s="1"/>
  <c r="P133" i="3" s="1"/>
  <c r="Q133" i="3" s="1"/>
  <c r="R133" i="3" s="1"/>
  <c r="S133" i="3" s="1"/>
  <c r="T133" i="3" s="1"/>
  <c r="U133" i="3" s="1"/>
  <c r="V133" i="3" s="1"/>
  <c r="W133" i="3" s="1"/>
  <c r="X133" i="3" s="1"/>
  <c r="Y133" i="3" s="1"/>
  <c r="Z133" i="3" s="1"/>
  <c r="AA133" i="3" s="1"/>
  <c r="AB133" i="3" s="1"/>
  <c r="AC133" i="3" s="1"/>
  <c r="AD133" i="3" s="1"/>
  <c r="AE133" i="3" s="1"/>
  <c r="AF133" i="3" s="1"/>
  <c r="AG133" i="3" s="1"/>
  <c r="AH133" i="3" s="1"/>
  <c r="AI133" i="3" s="1"/>
  <c r="AJ133" i="3" s="1"/>
  <c r="AK133" i="3" s="1"/>
  <c r="AL133" i="3" s="1"/>
  <c r="AM133" i="3" s="1"/>
  <c r="AN133" i="3" s="1"/>
  <c r="AO133" i="3" s="1"/>
  <c r="AP133" i="3" s="1"/>
  <c r="AQ133" i="3" s="1"/>
  <c r="AR133" i="3" s="1"/>
  <c r="AS133" i="3" s="1"/>
  <c r="AT133" i="3" s="1"/>
  <c r="AU133" i="3" s="1"/>
  <c r="AV133" i="3" s="1"/>
  <c r="AW133" i="3" s="1"/>
  <c r="AX133" i="3" s="1"/>
  <c r="AY133" i="3" s="1"/>
  <c r="AZ133" i="3" s="1"/>
  <c r="H118" i="3"/>
  <c r="I118" i="3" s="1"/>
  <c r="J118" i="3" s="1"/>
  <c r="K118" i="3" s="1"/>
  <c r="L118" i="3" s="1"/>
  <c r="M118" i="3" s="1"/>
  <c r="N118" i="3" s="1"/>
  <c r="O118" i="3" s="1"/>
  <c r="P118" i="3" s="1"/>
  <c r="Q118" i="3" s="1"/>
  <c r="R118" i="3" s="1"/>
  <c r="S118" i="3" s="1"/>
  <c r="T118" i="3" s="1"/>
  <c r="U118" i="3" s="1"/>
  <c r="V118" i="3" s="1"/>
  <c r="W118" i="3" s="1"/>
  <c r="X118" i="3" s="1"/>
  <c r="Y118" i="3" s="1"/>
  <c r="Z118" i="3" s="1"/>
  <c r="AA118" i="3" s="1"/>
  <c r="AB118" i="3" s="1"/>
  <c r="AC118" i="3" s="1"/>
  <c r="AD118" i="3" s="1"/>
  <c r="AE118" i="3" s="1"/>
  <c r="AF118" i="3" s="1"/>
  <c r="AG118" i="3" s="1"/>
  <c r="AH118" i="3" s="1"/>
  <c r="AI118" i="3" s="1"/>
  <c r="AJ118" i="3" s="1"/>
  <c r="AK118" i="3" s="1"/>
  <c r="AL118" i="3" s="1"/>
  <c r="AM118" i="3" s="1"/>
  <c r="AN118" i="3" s="1"/>
  <c r="AO118" i="3" s="1"/>
  <c r="AP118" i="3" s="1"/>
  <c r="AQ118" i="3" s="1"/>
  <c r="AR118" i="3" s="1"/>
  <c r="AS118" i="3" s="1"/>
  <c r="AT118" i="3" s="1"/>
  <c r="AU118" i="3" s="1"/>
  <c r="AV118" i="3" s="1"/>
  <c r="AW118" i="3" s="1"/>
  <c r="AX118" i="3" s="1"/>
  <c r="AY118" i="3" s="1"/>
  <c r="AZ118" i="3" s="1"/>
  <c r="AZ152" i="7"/>
  <c r="AY152" i="7"/>
  <c r="AX152" i="7"/>
  <c r="AW152" i="7"/>
  <c r="AV152" i="7"/>
  <c r="AU152" i="7"/>
  <c r="AT152" i="7"/>
  <c r="AS152" i="7"/>
  <c r="AR152" i="7"/>
  <c r="AQ152" i="7"/>
  <c r="AP152" i="7"/>
  <c r="AO152" i="7"/>
  <c r="AN152" i="7"/>
  <c r="AM152" i="7"/>
  <c r="AL152" i="7"/>
  <c r="AK152" i="7"/>
  <c r="AJ152" i="7"/>
  <c r="AI152" i="7"/>
  <c r="AH152" i="7"/>
  <c r="AG152" i="7"/>
  <c r="AF152" i="7"/>
  <c r="AE152" i="7"/>
  <c r="AD152" i="7"/>
  <c r="AC152" i="7"/>
  <c r="AB152" i="7"/>
  <c r="AA152" i="7"/>
  <c r="Z152" i="7"/>
  <c r="Y152" i="7"/>
  <c r="X152" i="7"/>
  <c r="W152" i="7"/>
  <c r="V152" i="7"/>
  <c r="U152" i="7"/>
  <c r="T152" i="7"/>
  <c r="S152" i="7"/>
  <c r="R152" i="7"/>
  <c r="Q152" i="7"/>
  <c r="P152" i="7"/>
  <c r="O152" i="7"/>
  <c r="N152" i="7"/>
  <c r="M152" i="7"/>
  <c r="L152" i="7"/>
  <c r="K152" i="7"/>
  <c r="J152" i="7"/>
  <c r="I152" i="7"/>
  <c r="H152" i="7"/>
  <c r="H151" i="7"/>
  <c r="I151" i="7" s="1"/>
  <c r="J151" i="7" s="1"/>
  <c r="K151" i="7" s="1"/>
  <c r="L151" i="7" s="1"/>
  <c r="M151" i="7" s="1"/>
  <c r="N151" i="7" s="1"/>
  <c r="O151" i="7" s="1"/>
  <c r="P151" i="7" s="1"/>
  <c r="Q151" i="7" s="1"/>
  <c r="R151" i="7" s="1"/>
  <c r="S151" i="7" s="1"/>
  <c r="T151" i="7" s="1"/>
  <c r="U151" i="7" s="1"/>
  <c r="V151" i="7" s="1"/>
  <c r="W151" i="7" s="1"/>
  <c r="X151" i="7" s="1"/>
  <c r="Y151" i="7" s="1"/>
  <c r="Z151" i="7" s="1"/>
  <c r="AA151" i="7" s="1"/>
  <c r="AB151" i="7" s="1"/>
  <c r="AC151" i="7" s="1"/>
  <c r="AD151" i="7" s="1"/>
  <c r="AE151" i="7" s="1"/>
  <c r="AF151" i="7" s="1"/>
  <c r="AG151" i="7" s="1"/>
  <c r="AH151" i="7" s="1"/>
  <c r="AI151" i="7" s="1"/>
  <c r="AJ151" i="7" s="1"/>
  <c r="AK151" i="7" s="1"/>
  <c r="AL151" i="7" s="1"/>
  <c r="AM151" i="7" s="1"/>
  <c r="AN151" i="7" s="1"/>
  <c r="AO151" i="7" s="1"/>
  <c r="AP151" i="7" s="1"/>
  <c r="AQ151" i="7" s="1"/>
  <c r="AR151" i="7" s="1"/>
  <c r="AS151" i="7" s="1"/>
  <c r="AT151" i="7" s="1"/>
  <c r="AU151" i="7" s="1"/>
  <c r="AV151" i="7" s="1"/>
  <c r="AW151" i="7" s="1"/>
  <c r="AX151" i="7" s="1"/>
  <c r="AY151" i="7" s="1"/>
  <c r="AZ151" i="7" s="1"/>
  <c r="I220" i="3"/>
  <c r="J220" i="3"/>
  <c r="K220" i="3"/>
  <c r="L220" i="3"/>
  <c r="M220" i="3"/>
  <c r="N220" i="3"/>
  <c r="O220" i="3"/>
  <c r="P220" i="3"/>
  <c r="Q220" i="3"/>
  <c r="R220" i="3"/>
  <c r="S220" i="3"/>
  <c r="T220" i="3"/>
  <c r="U220" i="3"/>
  <c r="V220" i="3"/>
  <c r="W220" i="3"/>
  <c r="X220" i="3"/>
  <c r="Y220" i="3"/>
  <c r="Z220" i="3"/>
  <c r="AA220" i="3"/>
  <c r="AB220" i="3"/>
  <c r="AC220" i="3"/>
  <c r="AD220" i="3"/>
  <c r="AE220" i="3"/>
  <c r="AF220" i="3"/>
  <c r="AG220" i="3"/>
  <c r="AH220" i="3"/>
  <c r="AI220" i="3"/>
  <c r="AJ220" i="3"/>
  <c r="AK220" i="3"/>
  <c r="AL220" i="3"/>
  <c r="AM220" i="3"/>
  <c r="AN220" i="3"/>
  <c r="AO220" i="3"/>
  <c r="AP220" i="3"/>
  <c r="AQ220" i="3"/>
  <c r="AR220" i="3"/>
  <c r="AS220" i="3"/>
  <c r="AT220" i="3"/>
  <c r="AU220" i="3"/>
  <c r="AV220" i="3"/>
  <c r="AW220" i="3"/>
  <c r="AX220" i="3"/>
  <c r="AY220" i="3"/>
  <c r="AZ220" i="3"/>
  <c r="H220" i="3"/>
  <c r="H217" i="3"/>
  <c r="I217" i="3" s="1"/>
  <c r="J217" i="3" s="1"/>
  <c r="K217" i="3" s="1"/>
  <c r="L217" i="3" s="1"/>
  <c r="M217" i="3" s="1"/>
  <c r="N217" i="3" s="1"/>
  <c r="O217" i="3" s="1"/>
  <c r="P217" i="3" s="1"/>
  <c r="Q217" i="3" s="1"/>
  <c r="R217" i="3" s="1"/>
  <c r="S217" i="3" s="1"/>
  <c r="T217" i="3" s="1"/>
  <c r="U217" i="3" s="1"/>
  <c r="V217" i="3" s="1"/>
  <c r="W217" i="3" s="1"/>
  <c r="X217" i="3" s="1"/>
  <c r="Y217" i="3" s="1"/>
  <c r="Z217" i="3" s="1"/>
  <c r="AA217" i="3" s="1"/>
  <c r="AB217" i="3" s="1"/>
  <c r="AC217" i="3" s="1"/>
  <c r="AD217" i="3" s="1"/>
  <c r="AE217" i="3" s="1"/>
  <c r="AF217" i="3" s="1"/>
  <c r="AG217" i="3" s="1"/>
  <c r="AH217" i="3" s="1"/>
  <c r="AI217" i="3" s="1"/>
  <c r="AJ217" i="3" s="1"/>
  <c r="AK217" i="3" s="1"/>
  <c r="AL217" i="3" s="1"/>
  <c r="AM217" i="3" s="1"/>
  <c r="AN217" i="3" s="1"/>
  <c r="AO217" i="3" s="1"/>
  <c r="AP217" i="3" s="1"/>
  <c r="AQ217" i="3" s="1"/>
  <c r="AR217" i="3" s="1"/>
  <c r="AS217" i="3" s="1"/>
  <c r="AT217" i="3" s="1"/>
  <c r="AU217" i="3" s="1"/>
  <c r="AV217" i="3" s="1"/>
  <c r="AW217" i="3" s="1"/>
  <c r="AX217" i="3" s="1"/>
  <c r="AY217" i="3" s="1"/>
  <c r="AZ217" i="3" s="1"/>
  <c r="H208" i="3"/>
  <c r="I208" i="3" s="1"/>
  <c r="J208" i="3" s="1"/>
  <c r="K208" i="3" s="1"/>
  <c r="L208" i="3" s="1"/>
  <c r="M208" i="3" s="1"/>
  <c r="N208" i="3" s="1"/>
  <c r="O208" i="3" s="1"/>
  <c r="P208" i="3" s="1"/>
  <c r="Q208" i="3" s="1"/>
  <c r="R208" i="3" s="1"/>
  <c r="S208" i="3" s="1"/>
  <c r="T208" i="3" s="1"/>
  <c r="U208" i="3" s="1"/>
  <c r="V208" i="3" s="1"/>
  <c r="W208" i="3" s="1"/>
  <c r="X208" i="3" s="1"/>
  <c r="Y208" i="3" s="1"/>
  <c r="Z208" i="3" s="1"/>
  <c r="AA208" i="3" s="1"/>
  <c r="AB208" i="3" s="1"/>
  <c r="AC208" i="3" s="1"/>
  <c r="AD208" i="3" s="1"/>
  <c r="AE208" i="3" s="1"/>
  <c r="AF208" i="3" s="1"/>
  <c r="AG208" i="3" s="1"/>
  <c r="AH208" i="3" s="1"/>
  <c r="AI208" i="3" s="1"/>
  <c r="AJ208" i="3" s="1"/>
  <c r="AK208" i="3" s="1"/>
  <c r="AL208" i="3" s="1"/>
  <c r="AM208" i="3" s="1"/>
  <c r="AN208" i="3" s="1"/>
  <c r="AO208" i="3" s="1"/>
  <c r="AP208" i="3" s="1"/>
  <c r="AQ208" i="3" s="1"/>
  <c r="AR208" i="3" s="1"/>
  <c r="AS208" i="3" s="1"/>
  <c r="AT208" i="3" s="1"/>
  <c r="AU208" i="3" s="1"/>
  <c r="AV208" i="3" s="1"/>
  <c r="AW208" i="3" s="1"/>
  <c r="AX208" i="3" s="1"/>
  <c r="AY208" i="3" s="1"/>
  <c r="AZ208" i="3" s="1"/>
  <c r="E178" i="3"/>
  <c r="E175" i="3"/>
  <c r="E119" i="3"/>
  <c r="E54" i="3"/>
  <c r="K43" i="7" s="1"/>
  <c r="E55" i="3"/>
  <c r="E56" i="3"/>
  <c r="J45" i="7" s="1"/>
  <c r="E57" i="3"/>
  <c r="E58" i="3"/>
  <c r="E59" i="3"/>
  <c r="E53" i="3"/>
  <c r="H42" i="7" s="1"/>
  <c r="E28" i="3"/>
  <c r="E29" i="3"/>
  <c r="E30" i="3"/>
  <c r="E31" i="3"/>
  <c r="N24" i="7" s="1"/>
  <c r="E32" i="3"/>
  <c r="E33" i="3"/>
  <c r="E27" i="3"/>
  <c r="E42" i="3"/>
  <c r="E43" i="3"/>
  <c r="E44" i="3"/>
  <c r="E45" i="3"/>
  <c r="E46" i="3"/>
  <c r="E47" i="3"/>
  <c r="E41" i="3"/>
  <c r="E16" i="3"/>
  <c r="I11" i="7" s="1"/>
  <c r="E17" i="3"/>
  <c r="M12" i="7" s="1"/>
  <c r="E18" i="3"/>
  <c r="E19" i="3"/>
  <c r="I14" i="7" s="1"/>
  <c r="E20" i="3"/>
  <c r="M15" i="7" s="1"/>
  <c r="E21" i="3"/>
  <c r="E15" i="3"/>
  <c r="D146" i="3"/>
  <c r="H60" i="3"/>
  <c r="I34" i="3"/>
  <c r="J34" i="3"/>
  <c r="K34" i="3"/>
  <c r="L34" i="3"/>
  <c r="M34" i="3"/>
  <c r="N34" i="3"/>
  <c r="O34" i="3"/>
  <c r="P34" i="3"/>
  <c r="H48" i="3"/>
  <c r="H209" i="3" s="1"/>
  <c r="H34" i="3"/>
  <c r="I22" i="3"/>
  <c r="J22" i="3"/>
  <c r="K22" i="3"/>
  <c r="L22" i="3"/>
  <c r="M22" i="3"/>
  <c r="N22" i="3"/>
  <c r="O22" i="3"/>
  <c r="P22" i="3"/>
  <c r="H22" i="3"/>
  <c r="C20" i="1"/>
  <c r="C25" i="1"/>
  <c r="AL23" i="2"/>
  <c r="AM23" i="2" s="1"/>
  <c r="AN23" i="2" s="1"/>
  <c r="AO23" i="2" s="1"/>
  <c r="AG7" i="3"/>
  <c r="AH7" i="3" s="1"/>
  <c r="AI7" i="3" s="1"/>
  <c r="AJ7" i="3" s="1"/>
  <c r="AK7" i="3" s="1"/>
  <c r="AL7" i="3" s="1"/>
  <c r="AM7" i="3" s="1"/>
  <c r="AN7" i="3" s="1"/>
  <c r="AO7" i="3" s="1"/>
  <c r="AP7" i="3" s="1"/>
  <c r="AQ7" i="3" s="1"/>
  <c r="AR7" i="3" s="1"/>
  <c r="AS7" i="3" s="1"/>
  <c r="AT7" i="3" s="1"/>
  <c r="AU7" i="3" s="1"/>
  <c r="AV7" i="3" s="1"/>
  <c r="AW7" i="3" s="1"/>
  <c r="AX7" i="3" s="1"/>
  <c r="AY7" i="3" s="1"/>
  <c r="AZ7" i="3" s="1"/>
  <c r="H184" i="3"/>
  <c r="I184" i="3" s="1"/>
  <c r="J184" i="3" s="1"/>
  <c r="K184" i="3" s="1"/>
  <c r="L184" i="3" s="1"/>
  <c r="M184" i="3" s="1"/>
  <c r="N184" i="3" s="1"/>
  <c r="O184" i="3" s="1"/>
  <c r="P184" i="3" s="1"/>
  <c r="Q184" i="3" s="1"/>
  <c r="R184" i="3" s="1"/>
  <c r="S184" i="3" s="1"/>
  <c r="T184" i="3" s="1"/>
  <c r="U184" i="3" s="1"/>
  <c r="V184" i="3" s="1"/>
  <c r="W184" i="3" s="1"/>
  <c r="X184" i="3" s="1"/>
  <c r="Y184" i="3" s="1"/>
  <c r="Z184" i="3" s="1"/>
  <c r="AA184" i="3" s="1"/>
  <c r="AB184" i="3" s="1"/>
  <c r="AC184" i="3" s="1"/>
  <c r="AD184" i="3" s="1"/>
  <c r="AE184" i="3" s="1"/>
  <c r="AF184" i="3" s="1"/>
  <c r="AG184" i="3" s="1"/>
  <c r="AH184" i="3" s="1"/>
  <c r="AI184" i="3" s="1"/>
  <c r="AJ184" i="3" s="1"/>
  <c r="AK184" i="3" s="1"/>
  <c r="AL184" i="3" s="1"/>
  <c r="AM184" i="3" s="1"/>
  <c r="AN184" i="3" s="1"/>
  <c r="AO184" i="3" s="1"/>
  <c r="AP184" i="3" s="1"/>
  <c r="AQ184" i="3" s="1"/>
  <c r="AR184" i="3" s="1"/>
  <c r="AS184" i="3" s="1"/>
  <c r="AT184" i="3" s="1"/>
  <c r="AU184" i="3" s="1"/>
  <c r="AV184" i="3" s="1"/>
  <c r="AW184" i="3" s="1"/>
  <c r="AX184" i="3" s="1"/>
  <c r="AY184" i="3" s="1"/>
  <c r="AZ184" i="3" s="1"/>
  <c r="AG156" i="3"/>
  <c r="AH156" i="3"/>
  <c r="AI156" i="3"/>
  <c r="AJ156" i="3"/>
  <c r="AK156" i="3"/>
  <c r="AL156" i="3"/>
  <c r="AM156" i="3"/>
  <c r="AN156" i="3"/>
  <c r="AO156" i="3"/>
  <c r="AP156" i="3"/>
  <c r="AQ156" i="3"/>
  <c r="AR156" i="3"/>
  <c r="AS156" i="3"/>
  <c r="AT156" i="3"/>
  <c r="AU156" i="3"/>
  <c r="AV156" i="3"/>
  <c r="AW156" i="3"/>
  <c r="AX156" i="3"/>
  <c r="AY156" i="3"/>
  <c r="AZ156" i="3"/>
  <c r="AG167" i="3"/>
  <c r="AH167" i="3"/>
  <c r="AI167" i="3"/>
  <c r="AJ167" i="3"/>
  <c r="AK167" i="3"/>
  <c r="AL167" i="3"/>
  <c r="AM167" i="3"/>
  <c r="AN167" i="3"/>
  <c r="AO167" i="3"/>
  <c r="AP167" i="3"/>
  <c r="AQ167" i="3"/>
  <c r="AR167" i="3"/>
  <c r="AS167" i="3"/>
  <c r="AT167" i="3"/>
  <c r="AU167" i="3"/>
  <c r="AV167" i="3"/>
  <c r="AW167" i="3"/>
  <c r="AX167" i="3"/>
  <c r="AY167" i="3"/>
  <c r="AZ167" i="3"/>
  <c r="D4" i="5"/>
  <c r="D3" i="5"/>
  <c r="O26" i="7" l="1"/>
  <c r="O47" i="7"/>
  <c r="O44" i="7"/>
  <c r="J222" i="3"/>
  <c r="K222" i="3"/>
  <c r="L222" i="3"/>
  <c r="M222" i="3"/>
  <c r="N222" i="3"/>
  <c r="H222" i="3"/>
  <c r="O222" i="3"/>
  <c r="P222" i="3"/>
  <c r="I222" i="3"/>
  <c r="D5" i="5"/>
  <c r="Q10" i="3"/>
  <c r="Q213" i="3" s="1"/>
  <c r="P5" i="7"/>
  <c r="P38" i="7" s="1"/>
  <c r="Q9" i="3"/>
  <c r="Q222" i="3" s="1"/>
  <c r="P4" i="7"/>
  <c r="I164" i="7"/>
  <c r="J164" i="7"/>
  <c r="K164" i="7"/>
  <c r="L164" i="7"/>
  <c r="M164" i="7"/>
  <c r="N164" i="7"/>
  <c r="O164" i="7"/>
  <c r="H164" i="7"/>
  <c r="L213" i="3"/>
  <c r="J161" i="7"/>
  <c r="K161" i="7"/>
  <c r="L161" i="7"/>
  <c r="M161" i="7"/>
  <c r="N161" i="7"/>
  <c r="O161" i="7"/>
  <c r="H161" i="7"/>
  <c r="I161" i="7"/>
  <c r="R19" i="2"/>
  <c r="Q30" i="2"/>
  <c r="Q20" i="2" s="1"/>
  <c r="G112" i="4"/>
  <c r="H139" i="7"/>
  <c r="H171" i="7"/>
  <c r="G155" i="4" s="1"/>
  <c r="H168" i="7"/>
  <c r="G139" i="4" s="1"/>
  <c r="J93" i="7"/>
  <c r="J121" i="7" s="1"/>
  <c r="J132" i="7" s="1"/>
  <c r="E61" i="4" s="1"/>
  <c r="J80" i="7"/>
  <c r="J107" i="7" s="1"/>
  <c r="AN2" i="2"/>
  <c r="AC7" i="4"/>
  <c r="AC18" i="4"/>
  <c r="H138" i="7"/>
  <c r="H141" i="7"/>
  <c r="H136" i="7"/>
  <c r="H140" i="7"/>
  <c r="H137" i="7"/>
  <c r="J32" i="7"/>
  <c r="J48" i="7"/>
  <c r="N11" i="7"/>
  <c r="I35" i="7"/>
  <c r="L11" i="7"/>
  <c r="H20" i="7"/>
  <c r="H23" i="7"/>
  <c r="H48" i="7"/>
  <c r="M22" i="7"/>
  <c r="I22" i="7"/>
  <c r="J22" i="7"/>
  <c r="K22" i="7"/>
  <c r="L15" i="7"/>
  <c r="L12" i="7"/>
  <c r="N25" i="7"/>
  <c r="J24" i="7"/>
  <c r="H14" i="7"/>
  <c r="L14" i="7"/>
  <c r="J38" i="7"/>
  <c r="H38" i="7"/>
  <c r="M38" i="7"/>
  <c r="N38" i="7"/>
  <c r="O38" i="7"/>
  <c r="I21" i="7"/>
  <c r="L21" i="7"/>
  <c r="M21" i="7"/>
  <c r="N21" i="7"/>
  <c r="O21" i="7"/>
  <c r="O16" i="7"/>
  <c r="K15" i="7"/>
  <c r="O13" i="7"/>
  <c r="K12" i="7"/>
  <c r="O10" i="7"/>
  <c r="H22" i="7"/>
  <c r="L25" i="7"/>
  <c r="H45" i="7"/>
  <c r="I42" i="7"/>
  <c r="N16" i="7"/>
  <c r="J15" i="7"/>
  <c r="N13" i="7"/>
  <c r="J12" i="7"/>
  <c r="N10" i="7"/>
  <c r="H21" i="7"/>
  <c r="K25" i="7"/>
  <c r="N33" i="7"/>
  <c r="O33" i="7"/>
  <c r="I33" i="7"/>
  <c r="H33" i="7"/>
  <c r="J33" i="7"/>
  <c r="K33" i="7"/>
  <c r="L33" i="7"/>
  <c r="I26" i="7"/>
  <c r="K26" i="7"/>
  <c r="M26" i="7"/>
  <c r="N26" i="7"/>
  <c r="M33" i="7"/>
  <c r="N36" i="7"/>
  <c r="O36" i="7"/>
  <c r="I36" i="7"/>
  <c r="J36" i="7"/>
  <c r="K36" i="7"/>
  <c r="L36" i="7"/>
  <c r="H36" i="7"/>
  <c r="I48" i="7"/>
  <c r="K48" i="7"/>
  <c r="L48" i="7"/>
  <c r="M48" i="7"/>
  <c r="N48" i="7"/>
  <c r="O48" i="7"/>
  <c r="M16" i="7"/>
  <c r="I15" i="7"/>
  <c r="M13" i="7"/>
  <c r="I12" i="7"/>
  <c r="M10" i="7"/>
  <c r="L26" i="7"/>
  <c r="I37" i="7"/>
  <c r="J37" i="7"/>
  <c r="K37" i="7"/>
  <c r="L37" i="7"/>
  <c r="M37" i="7"/>
  <c r="N37" i="7"/>
  <c r="O37" i="7"/>
  <c r="J35" i="7"/>
  <c r="K35" i="7"/>
  <c r="M35" i="7"/>
  <c r="N35" i="7"/>
  <c r="O35" i="7"/>
  <c r="H35" i="7"/>
  <c r="H47" i="7"/>
  <c r="I47" i="7"/>
  <c r="J47" i="7"/>
  <c r="K47" i="7"/>
  <c r="L47" i="7"/>
  <c r="M47" i="7"/>
  <c r="N47" i="7"/>
  <c r="L16" i="7"/>
  <c r="L13" i="7"/>
  <c r="L10" i="7"/>
  <c r="J26" i="7"/>
  <c r="O22" i="7"/>
  <c r="K21" i="7"/>
  <c r="I32" i="7"/>
  <c r="I34" i="7"/>
  <c r="J34" i="7"/>
  <c r="K34" i="7"/>
  <c r="L34" i="7"/>
  <c r="M34" i="7"/>
  <c r="N34" i="7"/>
  <c r="H34" i="7"/>
  <c r="O34" i="7"/>
  <c r="L46" i="7"/>
  <c r="H46" i="7"/>
  <c r="M46" i="7"/>
  <c r="O46" i="7"/>
  <c r="I46" i="7"/>
  <c r="J46" i="7"/>
  <c r="H10" i="7"/>
  <c r="K16" i="7"/>
  <c r="O14" i="7"/>
  <c r="K13" i="7"/>
  <c r="O11" i="7"/>
  <c r="K10" i="7"/>
  <c r="N22" i="7"/>
  <c r="J21" i="7"/>
  <c r="L38" i="7"/>
  <c r="L35" i="7"/>
  <c r="H16" i="7"/>
  <c r="J16" i="7"/>
  <c r="N14" i="7"/>
  <c r="J13" i="7"/>
  <c r="J10" i="7"/>
  <c r="L22" i="7"/>
  <c r="H32" i="7"/>
  <c r="K38" i="7"/>
  <c r="I20" i="7"/>
  <c r="J20" i="7"/>
  <c r="K20" i="7"/>
  <c r="L20" i="7"/>
  <c r="M20" i="7"/>
  <c r="N20" i="7"/>
  <c r="O20" i="7"/>
  <c r="I44" i="7"/>
  <c r="J44" i="7"/>
  <c r="K44" i="7"/>
  <c r="L44" i="7"/>
  <c r="M44" i="7"/>
  <c r="N44" i="7"/>
  <c r="H44" i="7"/>
  <c r="H15" i="7"/>
  <c r="I16" i="7"/>
  <c r="M14" i="7"/>
  <c r="I13" i="7"/>
  <c r="M11" i="7"/>
  <c r="I10" i="7"/>
  <c r="H37" i="7"/>
  <c r="I38" i="7"/>
  <c r="H13" i="7"/>
  <c r="O15" i="7"/>
  <c r="K14" i="7"/>
  <c r="O12" i="7"/>
  <c r="K11" i="7"/>
  <c r="H26" i="7"/>
  <c r="H12" i="7"/>
  <c r="N15" i="7"/>
  <c r="J14" i="7"/>
  <c r="N12" i="7"/>
  <c r="J11" i="7"/>
  <c r="H25" i="7"/>
  <c r="M36" i="7"/>
  <c r="N46" i="7"/>
  <c r="I45" i="7"/>
  <c r="K45" i="7"/>
  <c r="L45" i="7"/>
  <c r="M45" i="7"/>
  <c r="N45" i="7"/>
  <c r="O45" i="7"/>
  <c r="L43" i="7"/>
  <c r="M43" i="7"/>
  <c r="O43" i="7"/>
  <c r="I43" i="7"/>
  <c r="H43" i="7"/>
  <c r="J43" i="7"/>
  <c r="N43" i="7"/>
  <c r="M25" i="7"/>
  <c r="I25" i="7"/>
  <c r="J25" i="7"/>
  <c r="I24" i="7"/>
  <c r="L24" i="7"/>
  <c r="M24" i="7"/>
  <c r="O24" i="7"/>
  <c r="I23" i="7"/>
  <c r="J23" i="7"/>
  <c r="K23" i="7"/>
  <c r="L23" i="7"/>
  <c r="M23" i="7"/>
  <c r="N23" i="7"/>
  <c r="O23" i="7"/>
  <c r="H11" i="7"/>
  <c r="H24" i="7"/>
  <c r="O25" i="7"/>
  <c r="K24" i="7"/>
  <c r="K46" i="7"/>
  <c r="I132" i="7"/>
  <c r="D61" i="4" s="1"/>
  <c r="H118" i="7"/>
  <c r="B37" i="4"/>
  <c r="B38" i="4"/>
  <c r="H153" i="7"/>
  <c r="G149" i="4" s="1"/>
  <c r="G116" i="4" s="1"/>
  <c r="K213" i="3"/>
  <c r="H213" i="3"/>
  <c r="N213" i="3"/>
  <c r="P213" i="3"/>
  <c r="O213" i="3"/>
  <c r="J213" i="3"/>
  <c r="I213" i="3"/>
  <c r="M213" i="3"/>
  <c r="J48" i="3"/>
  <c r="J209" i="3" s="1"/>
  <c r="I48" i="3"/>
  <c r="I209" i="3" s="1"/>
  <c r="AP23" i="2"/>
  <c r="P45" i="7" l="1"/>
  <c r="P44" i="7"/>
  <c r="P10" i="7"/>
  <c r="P43" i="7"/>
  <c r="P46" i="7"/>
  <c r="P12" i="7"/>
  <c r="P36" i="7"/>
  <c r="P48" i="7"/>
  <c r="P33" i="7"/>
  <c r="P24" i="7"/>
  <c r="P25" i="7"/>
  <c r="P161" i="7"/>
  <c r="O136" i="4" s="1"/>
  <c r="P15" i="7"/>
  <c r="P26" i="7"/>
  <c r="P20" i="7"/>
  <c r="P14" i="7"/>
  <c r="P16" i="7"/>
  <c r="P35" i="7"/>
  <c r="P164" i="7"/>
  <c r="K64" i="4" s="1" a="1"/>
  <c r="K64" i="4" s="1"/>
  <c r="P11" i="7"/>
  <c r="P34" i="7"/>
  <c r="P21" i="7"/>
  <c r="P37" i="7"/>
  <c r="P13" i="7"/>
  <c r="P23" i="7"/>
  <c r="P22" i="7"/>
  <c r="P47" i="7"/>
  <c r="R10" i="3"/>
  <c r="R213" i="3" s="1"/>
  <c r="Q5" i="7"/>
  <c r="Q34" i="3"/>
  <c r="Q22" i="3"/>
  <c r="R9" i="3"/>
  <c r="R222" i="3" s="1"/>
  <c r="Q4" i="7"/>
  <c r="H143" i="7"/>
  <c r="H144" i="7" s="1"/>
  <c r="G133" i="4" s="1"/>
  <c r="G100" i="4" s="1"/>
  <c r="E57" i="4" a="1"/>
  <c r="E57" i="4" s="1"/>
  <c r="I136" i="4"/>
  <c r="N152" i="4"/>
  <c r="J64" i="4" a="1"/>
  <c r="J64" i="4" s="1"/>
  <c r="E64" i="4" a="1"/>
  <c r="E64" i="4" s="1"/>
  <c r="I152" i="4"/>
  <c r="N136" i="4"/>
  <c r="J57" i="4" a="1"/>
  <c r="J57" i="4" s="1"/>
  <c r="G136" i="4"/>
  <c r="G103" i="4" s="1"/>
  <c r="C57" i="4" a="1"/>
  <c r="C57" i="4" s="1"/>
  <c r="G57" i="4" a="1"/>
  <c r="G57" i="4" s="1"/>
  <c r="K136" i="4"/>
  <c r="K152" i="4"/>
  <c r="G64" i="4" a="1"/>
  <c r="G64" i="4" s="1"/>
  <c r="H152" i="4"/>
  <c r="H119" i="4" s="1"/>
  <c r="D64" i="4" a="1"/>
  <c r="D64" i="4" s="1"/>
  <c r="I57" i="4" a="1"/>
  <c r="I57" i="4" s="1"/>
  <c r="M136" i="4"/>
  <c r="G152" i="4"/>
  <c r="G119" i="4" s="1"/>
  <c r="C64" i="4" a="1"/>
  <c r="C64" i="4" s="1"/>
  <c r="M152" i="4"/>
  <c r="I64" i="4" a="1"/>
  <c r="I64" i="4" s="1"/>
  <c r="D57" i="4" a="1"/>
  <c r="D57" i="4" s="1"/>
  <c r="H136" i="4"/>
  <c r="H103" i="4" s="1"/>
  <c r="J136" i="4"/>
  <c r="F57" i="4" a="1"/>
  <c r="F57" i="4" s="1"/>
  <c r="J152" i="4"/>
  <c r="F64" i="4" a="1"/>
  <c r="F64" i="4" s="1"/>
  <c r="L136" i="4"/>
  <c r="H57" i="4" a="1"/>
  <c r="H57" i="4" s="1"/>
  <c r="L152" i="4"/>
  <c r="H64" i="4" a="1"/>
  <c r="H64" i="4" s="1"/>
  <c r="S19" i="2"/>
  <c r="R30" i="2"/>
  <c r="R20" i="2" s="1"/>
  <c r="H112" i="4"/>
  <c r="I171" i="7"/>
  <c r="H155" i="4" s="1"/>
  <c r="I168" i="7"/>
  <c r="H139" i="4" s="1"/>
  <c r="G129" i="4"/>
  <c r="G96" i="4"/>
  <c r="P22" i="2"/>
  <c r="K93" i="7" s="1"/>
  <c r="K121" i="7" s="1"/>
  <c r="K132" i="7" s="1"/>
  <c r="F61" i="4" s="1"/>
  <c r="Q22" i="2"/>
  <c r="AO2" i="2"/>
  <c r="AD18" i="4"/>
  <c r="AD7" i="4"/>
  <c r="G132" i="4"/>
  <c r="G99" i="4" s="1"/>
  <c r="C54" i="4"/>
  <c r="I148" i="4"/>
  <c r="H148" i="4"/>
  <c r="H115" i="4" s="1"/>
  <c r="H142" i="7"/>
  <c r="I136" i="7"/>
  <c r="I139" i="7"/>
  <c r="I140" i="7"/>
  <c r="I141" i="7"/>
  <c r="I137" i="7"/>
  <c r="I138" i="7"/>
  <c r="I49" i="7"/>
  <c r="D60" i="4" s="1"/>
  <c r="M27" i="7"/>
  <c r="H59" i="4" s="1"/>
  <c r="H27" i="7"/>
  <c r="C59" i="4" s="1"/>
  <c r="J39" i="7"/>
  <c r="I27" i="7"/>
  <c r="D59" i="4" s="1"/>
  <c r="H17" i="7"/>
  <c r="C52" i="4" s="1"/>
  <c r="H49" i="7"/>
  <c r="N27" i="7"/>
  <c r="I59" i="4" s="1"/>
  <c r="I118" i="7"/>
  <c r="K27" i="7"/>
  <c r="F59" i="4" s="1"/>
  <c r="I39" i="7"/>
  <c r="O27" i="7"/>
  <c r="J59" i="4" s="1"/>
  <c r="L27" i="7"/>
  <c r="G59" i="4" s="1"/>
  <c r="H39" i="7"/>
  <c r="J27" i="7"/>
  <c r="E59" i="4" s="1"/>
  <c r="J42" i="7"/>
  <c r="J49" i="7" s="1"/>
  <c r="E60" i="4" s="1"/>
  <c r="L48" i="3"/>
  <c r="L209" i="3" s="1"/>
  <c r="K32" i="7"/>
  <c r="K39" i="7" s="1"/>
  <c r="I17" i="7"/>
  <c r="D52" i="4" s="1"/>
  <c r="H132" i="7"/>
  <c r="J118" i="7"/>
  <c r="I153" i="7"/>
  <c r="H149" i="4" s="1"/>
  <c r="H116" i="4" s="1"/>
  <c r="K48" i="3"/>
  <c r="K209" i="3" s="1"/>
  <c r="AQ23" i="2"/>
  <c r="O152" i="4" l="1"/>
  <c r="P27" i="7"/>
  <c r="K59" i="4" s="1"/>
  <c r="O146" i="4" s="1"/>
  <c r="O144" i="4" s="1"/>
  <c r="K57" i="4" a="1"/>
  <c r="K57" i="4" s="1"/>
  <c r="Q38" i="7"/>
  <c r="Q46" i="7"/>
  <c r="Q34" i="7"/>
  <c r="Q164" i="7"/>
  <c r="Q36" i="7"/>
  <c r="Q48" i="7"/>
  <c r="Q47" i="7"/>
  <c r="Q161" i="7"/>
  <c r="Q44" i="7"/>
  <c r="Q45" i="7"/>
  <c r="Q33" i="7"/>
  <c r="Q43" i="7"/>
  <c r="Q37" i="7"/>
  <c r="Q35" i="7"/>
  <c r="S9" i="3"/>
  <c r="S222" i="3" s="1"/>
  <c r="R4" i="7"/>
  <c r="Q16" i="7"/>
  <c r="Q26" i="7"/>
  <c r="Q23" i="7"/>
  <c r="Q21" i="7"/>
  <c r="Q20" i="7"/>
  <c r="Q13" i="7"/>
  <c r="Q12" i="7"/>
  <c r="Q14" i="7"/>
  <c r="Q10" i="7"/>
  <c r="Q11" i="7"/>
  <c r="Q25" i="7"/>
  <c r="Q15" i="7"/>
  <c r="Q24" i="7"/>
  <c r="Q22" i="7"/>
  <c r="R22" i="3"/>
  <c r="R34" i="3"/>
  <c r="S10" i="3"/>
  <c r="S213" i="3" s="1"/>
  <c r="R5" i="7"/>
  <c r="T19" i="2"/>
  <c r="S30" i="2"/>
  <c r="S20" i="2" s="1"/>
  <c r="H96" i="4"/>
  <c r="H129" i="4"/>
  <c r="K113" i="4"/>
  <c r="I112" i="4"/>
  <c r="I103" i="4"/>
  <c r="I119" i="4"/>
  <c r="K146" i="4"/>
  <c r="K144" i="4" s="1"/>
  <c r="L146" i="4"/>
  <c r="L144" i="4" s="1"/>
  <c r="J171" i="7"/>
  <c r="I155" i="4" s="1"/>
  <c r="J168" i="7"/>
  <c r="I139" i="4" s="1"/>
  <c r="G113" i="4"/>
  <c r="G111" i="4" s="1"/>
  <c r="G146" i="4"/>
  <c r="G144" i="4" s="1"/>
  <c r="N146" i="4"/>
  <c r="N144" i="4" s="1"/>
  <c r="G97" i="4"/>
  <c r="G95" i="4" s="1"/>
  <c r="G130" i="4"/>
  <c r="G128" i="4" s="1"/>
  <c r="J146" i="4"/>
  <c r="J144" i="4" s="1"/>
  <c r="M146" i="4"/>
  <c r="M144" i="4" s="1"/>
  <c r="H113" i="4"/>
  <c r="H111" i="4" s="1"/>
  <c r="H146" i="4"/>
  <c r="H144" i="4" s="1"/>
  <c r="I115" i="4"/>
  <c r="I113" i="4"/>
  <c r="I146" i="4"/>
  <c r="I144" i="4" s="1"/>
  <c r="H97" i="4"/>
  <c r="H130" i="4"/>
  <c r="K80" i="7"/>
  <c r="K107" i="7" s="1"/>
  <c r="K118" i="7" s="1"/>
  <c r="J132" i="4" s="1"/>
  <c r="J99" i="4" s="1"/>
  <c r="G147" i="4"/>
  <c r="G114" i="4" s="1"/>
  <c r="C60" i="4"/>
  <c r="I131" i="4"/>
  <c r="I98" i="4" s="1"/>
  <c r="E53" i="4"/>
  <c r="J131" i="4"/>
  <c r="J98" i="4" s="1"/>
  <c r="F53" i="4"/>
  <c r="H131" i="4"/>
  <c r="H98" i="4" s="1"/>
  <c r="D53" i="4"/>
  <c r="G131" i="4"/>
  <c r="C53" i="4"/>
  <c r="L93" i="7"/>
  <c r="L121" i="7" s="1"/>
  <c r="L132" i="7" s="1"/>
  <c r="G61" i="4" s="1"/>
  <c r="L80" i="7"/>
  <c r="L107" i="7" s="1"/>
  <c r="L118" i="7" s="1"/>
  <c r="AP2" i="2"/>
  <c r="AE18" i="4"/>
  <c r="AE7" i="4"/>
  <c r="R22" i="2"/>
  <c r="I132" i="4"/>
  <c r="I99" i="4" s="1"/>
  <c r="E54" i="4"/>
  <c r="G148" i="4"/>
  <c r="G115" i="4" s="1"/>
  <c r="C61" i="4"/>
  <c r="H132" i="4"/>
  <c r="H99" i="4" s="1"/>
  <c r="D54" i="4"/>
  <c r="J148" i="4"/>
  <c r="I147" i="4"/>
  <c r="H147" i="4"/>
  <c r="I142" i="7"/>
  <c r="I143" i="7"/>
  <c r="I144" i="7" s="1"/>
  <c r="H133" i="4" s="1"/>
  <c r="H100" i="4" s="1"/>
  <c r="J17" i="7"/>
  <c r="E52" i="4" s="1"/>
  <c r="J139" i="7"/>
  <c r="J136" i="7"/>
  <c r="J140" i="7"/>
  <c r="J141" i="7"/>
  <c r="J138" i="7"/>
  <c r="J137" i="7"/>
  <c r="K42" i="7"/>
  <c r="K49" i="7" s="1"/>
  <c r="F60" i="4" s="1"/>
  <c r="L32" i="7"/>
  <c r="L39" i="7" s="1"/>
  <c r="J153" i="7"/>
  <c r="I149" i="4" s="1"/>
  <c r="I116" i="4" s="1"/>
  <c r="AR23" i="2"/>
  <c r="R44" i="7" l="1"/>
  <c r="R35" i="7"/>
  <c r="R43" i="7"/>
  <c r="R45" i="7"/>
  <c r="R38" i="7"/>
  <c r="R46" i="7"/>
  <c r="R48" i="7"/>
  <c r="R34" i="7"/>
  <c r="R164" i="7"/>
  <c r="R36" i="7"/>
  <c r="R33" i="7"/>
  <c r="R37" i="7"/>
  <c r="R161" i="7"/>
  <c r="R47" i="7"/>
  <c r="L64" i="4" a="1"/>
  <c r="L64" i="4" s="1"/>
  <c r="P152" i="4"/>
  <c r="L57" i="4" a="1"/>
  <c r="L57" i="4" s="1"/>
  <c r="P136" i="4"/>
  <c r="R11" i="7"/>
  <c r="R15" i="7"/>
  <c r="R10" i="7"/>
  <c r="R24" i="7"/>
  <c r="R20" i="7"/>
  <c r="R16" i="7"/>
  <c r="R23" i="7"/>
  <c r="R26" i="7"/>
  <c r="R25" i="7"/>
  <c r="R22" i="7"/>
  <c r="R13" i="7"/>
  <c r="R21" i="7"/>
  <c r="R12" i="7"/>
  <c r="R14" i="7"/>
  <c r="S22" i="3"/>
  <c r="S34" i="3"/>
  <c r="T10" i="3"/>
  <c r="T213" i="3" s="1"/>
  <c r="S5" i="7"/>
  <c r="H95" i="4"/>
  <c r="H101" i="4" s="1"/>
  <c r="H104" i="4" s="1"/>
  <c r="Q27" i="7"/>
  <c r="L59" i="4" s="1"/>
  <c r="P146" i="4" s="1"/>
  <c r="P144" i="4" s="1"/>
  <c r="T9" i="3"/>
  <c r="T222" i="3" s="1"/>
  <c r="S4" i="7"/>
  <c r="I111" i="4"/>
  <c r="J113" i="4"/>
  <c r="U19" i="2"/>
  <c r="T30" i="2"/>
  <c r="T20" i="2" s="1"/>
  <c r="H128" i="4"/>
  <c r="H134" i="4" s="1"/>
  <c r="H137" i="4" s="1"/>
  <c r="H140" i="4" s="1"/>
  <c r="G134" i="4"/>
  <c r="G137" i="4" s="1"/>
  <c r="G140" i="4" s="1"/>
  <c r="J115" i="4"/>
  <c r="K168" i="7"/>
  <c r="J139" i="4" s="1"/>
  <c r="K171" i="7"/>
  <c r="J155" i="4" s="1"/>
  <c r="G135" i="4"/>
  <c r="G138" i="4" s="1"/>
  <c r="G141" i="4" s="1"/>
  <c r="K103" i="4"/>
  <c r="K112" i="4"/>
  <c r="K111" i="4" s="1"/>
  <c r="K119" i="4"/>
  <c r="I96" i="4"/>
  <c r="I129" i="4"/>
  <c r="I97" i="4"/>
  <c r="I102" i="4" s="1"/>
  <c r="I105" i="4" s="1"/>
  <c r="I108" i="4" s="1"/>
  <c r="I130" i="4"/>
  <c r="I135" i="4" s="1"/>
  <c r="I138" i="4" s="1"/>
  <c r="I141" i="4" s="1"/>
  <c r="J112" i="4"/>
  <c r="J119" i="4"/>
  <c r="J103" i="4"/>
  <c r="G98" i="4"/>
  <c r="G102" i="4" s="1"/>
  <c r="G105" i="4" s="1"/>
  <c r="G108" i="4" s="1"/>
  <c r="F54" i="4"/>
  <c r="K131" i="4"/>
  <c r="K98" i="4" s="1"/>
  <c r="G53" i="4"/>
  <c r="M93" i="7"/>
  <c r="M121" i="7" s="1"/>
  <c r="M132" i="7" s="1"/>
  <c r="M80" i="7"/>
  <c r="M107" i="7" s="1"/>
  <c r="M118" i="7" s="1"/>
  <c r="H135" i="4"/>
  <c r="H138" i="4" s="1"/>
  <c r="H141" i="4" s="1"/>
  <c r="G150" i="4"/>
  <c r="G153" i="4" s="1"/>
  <c r="G156" i="4" s="1"/>
  <c r="G151" i="4"/>
  <c r="G154" i="4" s="1"/>
  <c r="G157" i="4" s="1"/>
  <c r="G118" i="4"/>
  <c r="G121" i="4" s="1"/>
  <c r="G124" i="4" s="1"/>
  <c r="K132" i="4"/>
  <c r="K99" i="4" s="1"/>
  <c r="G54" i="4"/>
  <c r="AQ2" i="2"/>
  <c r="AF18" i="4"/>
  <c r="AF7" i="4"/>
  <c r="S22" i="2"/>
  <c r="K148" i="4"/>
  <c r="K115" i="4" s="1"/>
  <c r="G117" i="4"/>
  <c r="G120" i="4" s="1"/>
  <c r="G123" i="4" s="1"/>
  <c r="C82" i="4" s="1" a="1"/>
  <c r="C82" i="4" s="1"/>
  <c r="I151" i="4"/>
  <c r="I154" i="4" s="1"/>
  <c r="I157" i="4" s="1"/>
  <c r="I150" i="4"/>
  <c r="I153" i="4" s="1"/>
  <c r="I156" i="4" s="1"/>
  <c r="H151" i="4"/>
  <c r="H154" i="4" s="1"/>
  <c r="H157" i="4" s="1"/>
  <c r="H150" i="4"/>
  <c r="H153" i="4" s="1"/>
  <c r="H156" i="4" s="1"/>
  <c r="H102" i="4"/>
  <c r="H105" i="4" s="1"/>
  <c r="H108" i="4" s="1"/>
  <c r="H114" i="4"/>
  <c r="I114" i="4"/>
  <c r="J147" i="4"/>
  <c r="J143" i="7"/>
  <c r="J144" i="7" s="1"/>
  <c r="I133" i="4" s="1"/>
  <c r="I100" i="4" s="1"/>
  <c r="J142" i="7"/>
  <c r="K17" i="7"/>
  <c r="F52" i="4" s="1"/>
  <c r="K140" i="7"/>
  <c r="K136" i="7"/>
  <c r="K141" i="7"/>
  <c r="K138" i="7"/>
  <c r="K137" i="7"/>
  <c r="K139" i="7"/>
  <c r="M32" i="7"/>
  <c r="M39" i="7" s="1"/>
  <c r="M48" i="3"/>
  <c r="M209" i="3" s="1"/>
  <c r="L42" i="7"/>
  <c r="L49" i="7" s="1"/>
  <c r="G60" i="4" s="1"/>
  <c r="K153" i="7"/>
  <c r="J149" i="4" s="1"/>
  <c r="J116" i="4" s="1"/>
  <c r="AS23" i="2"/>
  <c r="J111" i="4" l="1"/>
  <c r="S33" i="7"/>
  <c r="S44" i="7"/>
  <c r="S35" i="7"/>
  <c r="S43" i="7"/>
  <c r="S45" i="7"/>
  <c r="S164" i="7"/>
  <c r="S37" i="7"/>
  <c r="S47" i="7"/>
  <c r="S36" i="7"/>
  <c r="S161" i="7"/>
  <c r="S38" i="7"/>
  <c r="S34" i="7"/>
  <c r="S48" i="7"/>
  <c r="S46" i="7"/>
  <c r="M64" i="4" a="1"/>
  <c r="M64" i="4" s="1"/>
  <c r="Q152" i="4"/>
  <c r="M57" i="4" a="1"/>
  <c r="M57" i="4" s="1"/>
  <c r="Q136" i="4"/>
  <c r="U9" i="3"/>
  <c r="U222" i="3" s="1"/>
  <c r="T4" i="7"/>
  <c r="S13" i="7"/>
  <c r="S23" i="7"/>
  <c r="S11" i="7"/>
  <c r="S15" i="7"/>
  <c r="S10" i="7"/>
  <c r="S14" i="7"/>
  <c r="S21" i="7"/>
  <c r="S25" i="7"/>
  <c r="S26" i="7"/>
  <c r="S22" i="7"/>
  <c r="S12" i="7"/>
  <c r="S24" i="7"/>
  <c r="S16" i="7"/>
  <c r="S20" i="7"/>
  <c r="R27" i="7"/>
  <c r="M59" i="4" s="1"/>
  <c r="Q146" i="4" s="1"/>
  <c r="Q144" i="4" s="1"/>
  <c r="T5" i="7"/>
  <c r="T34" i="3"/>
  <c r="T22" i="3"/>
  <c r="U10" i="3"/>
  <c r="U213" i="3" s="1"/>
  <c r="V19" i="2"/>
  <c r="U30" i="2"/>
  <c r="U20" i="2" s="1"/>
  <c r="L112" i="4"/>
  <c r="L119" i="4"/>
  <c r="L103" i="4"/>
  <c r="L113" i="4"/>
  <c r="J97" i="4"/>
  <c r="J130" i="4"/>
  <c r="G101" i="4"/>
  <c r="G104" i="4" s="1"/>
  <c r="G107" i="4" s="1"/>
  <c r="C81" i="4" s="1" a="1"/>
  <c r="C81" i="4" s="1"/>
  <c r="I128" i="4"/>
  <c r="I134" i="4" s="1"/>
  <c r="I137" i="4" s="1"/>
  <c r="I140" i="4" s="1"/>
  <c r="L168" i="7"/>
  <c r="K139" i="4" s="1"/>
  <c r="L171" i="7"/>
  <c r="K155" i="4" s="1"/>
  <c r="I95" i="4"/>
  <c r="I101" i="4" s="1"/>
  <c r="I104" i="4" s="1"/>
  <c r="I107" i="4" s="1"/>
  <c r="E81" i="4" s="1" a="1"/>
  <c r="E81" i="4" s="1"/>
  <c r="J129" i="4"/>
  <c r="J96" i="4"/>
  <c r="L131" i="4"/>
  <c r="L98" i="4" s="1"/>
  <c r="H53" i="4"/>
  <c r="N80" i="7"/>
  <c r="N107" i="7" s="1"/>
  <c r="N118" i="7" s="1"/>
  <c r="N93" i="7"/>
  <c r="N121" i="7" s="1"/>
  <c r="N132" i="7" s="1"/>
  <c r="L132" i="4"/>
  <c r="L99" i="4" s="1"/>
  <c r="H54" i="4"/>
  <c r="T22" i="2"/>
  <c r="AR2" i="2"/>
  <c r="AG18" i="4"/>
  <c r="AG7" i="4"/>
  <c r="H61" i="4"/>
  <c r="L148" i="4"/>
  <c r="L115" i="4" s="1"/>
  <c r="H107" i="4"/>
  <c r="D81" i="4" s="1" a="1"/>
  <c r="D81" i="4" s="1"/>
  <c r="J151" i="4"/>
  <c r="J154" i="4" s="1"/>
  <c r="J157" i="4" s="1"/>
  <c r="J150" i="4"/>
  <c r="J153" i="4" s="1"/>
  <c r="J156" i="4" s="1"/>
  <c r="I118" i="4"/>
  <c r="I121" i="4" s="1"/>
  <c r="I124" i="4" s="1"/>
  <c r="I117" i="4"/>
  <c r="I120" i="4" s="1"/>
  <c r="H117" i="4"/>
  <c r="H120" i="4" s="1"/>
  <c r="H118" i="4"/>
  <c r="H121" i="4" s="1"/>
  <c r="H124" i="4" s="1"/>
  <c r="J114" i="4"/>
  <c r="K147" i="4"/>
  <c r="K143" i="7"/>
  <c r="K144" i="7" s="1"/>
  <c r="J133" i="4" s="1"/>
  <c r="J100" i="4" s="1"/>
  <c r="K142" i="7"/>
  <c r="L17" i="7"/>
  <c r="G52" i="4" s="1"/>
  <c r="L140" i="7"/>
  <c r="L136" i="7"/>
  <c r="L141" i="7"/>
  <c r="L138" i="7"/>
  <c r="L139" i="7"/>
  <c r="L137" i="7"/>
  <c r="N32" i="7"/>
  <c r="N39" i="7" s="1"/>
  <c r="N48" i="3"/>
  <c r="N209" i="3" s="1"/>
  <c r="M42" i="7"/>
  <c r="M49" i="7" s="1"/>
  <c r="H60" i="4" s="1"/>
  <c r="L153" i="7"/>
  <c r="K149" i="4" s="1"/>
  <c r="K116" i="4" s="1"/>
  <c r="AT23" i="2"/>
  <c r="T164" i="7" l="1"/>
  <c r="T44" i="7"/>
  <c r="T34" i="7"/>
  <c r="T37" i="7"/>
  <c r="T45" i="7"/>
  <c r="T33" i="7"/>
  <c r="T36" i="7"/>
  <c r="T161" i="7"/>
  <c r="T46" i="7"/>
  <c r="T48" i="7"/>
  <c r="T43" i="7"/>
  <c r="T47" i="7"/>
  <c r="T38" i="7"/>
  <c r="T35" i="7"/>
  <c r="R152" i="4"/>
  <c r="N64" i="4" a="1"/>
  <c r="N64" i="4" s="1"/>
  <c r="N57" i="4" a="1"/>
  <c r="N57" i="4" s="1"/>
  <c r="R136" i="4"/>
  <c r="S27" i="7"/>
  <c r="N59" i="4" s="1"/>
  <c r="R146" i="4" s="1"/>
  <c r="R144" i="4" s="1"/>
  <c r="V10" i="3"/>
  <c r="V213" i="3" s="1"/>
  <c r="U5" i="7"/>
  <c r="U22" i="3"/>
  <c r="U34" i="3"/>
  <c r="T21" i="7"/>
  <c r="T10" i="7"/>
  <c r="T11" i="7"/>
  <c r="T22" i="7"/>
  <c r="T20" i="7"/>
  <c r="T15" i="7"/>
  <c r="T25" i="7"/>
  <c r="T24" i="7"/>
  <c r="T13" i="7"/>
  <c r="T14" i="7"/>
  <c r="T12" i="7"/>
  <c r="T23" i="7"/>
  <c r="T26" i="7"/>
  <c r="T16" i="7"/>
  <c r="V9" i="3"/>
  <c r="V222" i="3" s="1"/>
  <c r="U4" i="7"/>
  <c r="L111" i="4"/>
  <c r="W19" i="2"/>
  <c r="V30" i="2"/>
  <c r="V20" i="2" s="1"/>
  <c r="K97" i="4"/>
  <c r="K130" i="4"/>
  <c r="M168" i="7"/>
  <c r="L139" i="4" s="1"/>
  <c r="M171" i="7"/>
  <c r="L155" i="4" s="1"/>
  <c r="J128" i="4"/>
  <c r="J134" i="4" s="1"/>
  <c r="J137" i="4" s="1"/>
  <c r="J140" i="4" s="1"/>
  <c r="J135" i="4"/>
  <c r="J138" i="4" s="1"/>
  <c r="J141" i="4" s="1"/>
  <c r="K129" i="4"/>
  <c r="K96" i="4"/>
  <c r="J95" i="4"/>
  <c r="J101" i="4" s="1"/>
  <c r="J104" i="4" s="1"/>
  <c r="J107" i="4" s="1"/>
  <c r="F81" i="4" s="1" a="1"/>
  <c r="F81" i="4" s="1"/>
  <c r="J102" i="4"/>
  <c r="J105" i="4" s="1"/>
  <c r="J108" i="4" s="1"/>
  <c r="L143" i="7"/>
  <c r="L144" i="7" s="1"/>
  <c r="K133" i="4" s="1"/>
  <c r="K100" i="4" s="1"/>
  <c r="M112" i="4"/>
  <c r="M119" i="4"/>
  <c r="M103" i="4"/>
  <c r="M113" i="4"/>
  <c r="M131" i="4"/>
  <c r="M98" i="4" s="1"/>
  <c r="I53" i="4"/>
  <c r="O93" i="7"/>
  <c r="O121" i="7" s="1"/>
  <c r="O132" i="7" s="1"/>
  <c r="O80" i="7"/>
  <c r="O107" i="7" s="1"/>
  <c r="O118" i="7" s="1"/>
  <c r="I61" i="4"/>
  <c r="M148" i="4"/>
  <c r="M115" i="4" s="1"/>
  <c r="M132" i="4"/>
  <c r="M99" i="4" s="1"/>
  <c r="I54" i="4"/>
  <c r="AS2" i="2"/>
  <c r="AH18" i="4"/>
  <c r="AH7" i="4"/>
  <c r="U22" i="2"/>
  <c r="I123" i="4"/>
  <c r="E82" i="4" s="1" a="1"/>
  <c r="E82" i="4" s="1"/>
  <c r="H123" i="4"/>
  <c r="D82" i="4" s="1" a="1"/>
  <c r="D82" i="4" s="1"/>
  <c r="K151" i="4"/>
  <c r="K154" i="4" s="1"/>
  <c r="K157" i="4" s="1"/>
  <c r="K150" i="4"/>
  <c r="K153" i="4" s="1"/>
  <c r="K156" i="4" s="1"/>
  <c r="J118" i="4"/>
  <c r="J121" i="4" s="1"/>
  <c r="J124" i="4" s="1"/>
  <c r="J117" i="4"/>
  <c r="J120" i="4" s="1"/>
  <c r="K114" i="4"/>
  <c r="L147" i="4"/>
  <c r="L142" i="7"/>
  <c r="M17" i="7"/>
  <c r="H52" i="4" s="1"/>
  <c r="M140" i="7"/>
  <c r="M137" i="7"/>
  <c r="M141" i="7"/>
  <c r="M136" i="7"/>
  <c r="M138" i="7"/>
  <c r="M139" i="7"/>
  <c r="N42" i="7"/>
  <c r="N49" i="7" s="1"/>
  <c r="I60" i="4" s="1"/>
  <c r="O32" i="7"/>
  <c r="O39" i="7" s="1"/>
  <c r="O48" i="3"/>
  <c r="O209" i="3" s="1"/>
  <c r="M153" i="7"/>
  <c r="L149" i="4" s="1"/>
  <c r="L116" i="4" s="1"/>
  <c r="AU23" i="2"/>
  <c r="U46" i="7" l="1"/>
  <c r="U47" i="7"/>
  <c r="U36" i="7"/>
  <c r="U37" i="7"/>
  <c r="U161" i="7"/>
  <c r="U48" i="7"/>
  <c r="U35" i="7"/>
  <c r="U43" i="7"/>
  <c r="U34" i="7"/>
  <c r="U38" i="7"/>
  <c r="U45" i="7"/>
  <c r="U44" i="7"/>
  <c r="U33" i="7"/>
  <c r="U164" i="7"/>
  <c r="O57" i="4" a="1"/>
  <c r="O57" i="4" s="1"/>
  <c r="S136" i="4"/>
  <c r="O64" i="4" a="1"/>
  <c r="O64" i="4" s="1"/>
  <c r="S152" i="4"/>
  <c r="W9" i="3"/>
  <c r="W222" i="3" s="1"/>
  <c r="V4" i="7"/>
  <c r="U10" i="7"/>
  <c r="U24" i="7"/>
  <c r="U11" i="7"/>
  <c r="U21" i="7"/>
  <c r="U12" i="7"/>
  <c r="U15" i="7"/>
  <c r="U13" i="7"/>
  <c r="U20" i="7"/>
  <c r="U14" i="7"/>
  <c r="U25" i="7"/>
  <c r="U23" i="7"/>
  <c r="U22" i="7"/>
  <c r="U26" i="7"/>
  <c r="U16" i="7"/>
  <c r="T27" i="7"/>
  <c r="O59" i="4" s="1"/>
  <c r="S146" i="4" s="1"/>
  <c r="S144" i="4" s="1"/>
  <c r="W10" i="3"/>
  <c r="W213" i="3" s="1"/>
  <c r="V34" i="3"/>
  <c r="V5" i="7"/>
  <c r="V22" i="3"/>
  <c r="X19" i="2"/>
  <c r="W30" i="2"/>
  <c r="W20" i="2" s="1"/>
  <c r="M142" i="7"/>
  <c r="L129" i="4"/>
  <c r="L96" i="4"/>
  <c r="L97" i="4"/>
  <c r="L130" i="4"/>
  <c r="N112" i="4"/>
  <c r="N119" i="4"/>
  <c r="N103" i="4"/>
  <c r="N113" i="4"/>
  <c r="N168" i="7"/>
  <c r="M139" i="4" s="1"/>
  <c r="N171" i="7"/>
  <c r="M155" i="4" s="1"/>
  <c r="K128" i="4"/>
  <c r="K134" i="4" s="1"/>
  <c r="K137" i="4" s="1"/>
  <c r="K140" i="4" s="1"/>
  <c r="K135" i="4"/>
  <c r="K138" i="4" s="1"/>
  <c r="K141" i="4" s="1"/>
  <c r="M111" i="4"/>
  <c r="K95" i="4"/>
  <c r="K101" i="4" s="1"/>
  <c r="K104" i="4" s="1"/>
  <c r="K107" i="4" s="1"/>
  <c r="G81" i="4" s="1" a="1"/>
  <c r="G81" i="4" s="1"/>
  <c r="K102" i="4"/>
  <c r="K105" i="4" s="1"/>
  <c r="K108" i="4" s="1"/>
  <c r="N131" i="4"/>
  <c r="N98" i="4" s="1"/>
  <c r="J53" i="4"/>
  <c r="P93" i="7"/>
  <c r="P121" i="7" s="1"/>
  <c r="P132" i="7" s="1"/>
  <c r="P80" i="7"/>
  <c r="P107" i="7" s="1"/>
  <c r="P118" i="7" s="1"/>
  <c r="J61" i="4"/>
  <c r="N148" i="4"/>
  <c r="N115" i="4" s="1"/>
  <c r="N132" i="4"/>
  <c r="N99" i="4" s="1"/>
  <c r="J54" i="4"/>
  <c r="AT2" i="2"/>
  <c r="AI18" i="4"/>
  <c r="AI7" i="4"/>
  <c r="V22" i="2"/>
  <c r="J123" i="4"/>
  <c r="F82" i="4" s="1" a="1"/>
  <c r="F82" i="4" s="1"/>
  <c r="L151" i="4"/>
  <c r="L154" i="4" s="1"/>
  <c r="L157" i="4" s="1"/>
  <c r="L150" i="4"/>
  <c r="L153" i="4" s="1"/>
  <c r="L156" i="4" s="1"/>
  <c r="K118" i="4"/>
  <c r="K121" i="4" s="1"/>
  <c r="K124" i="4" s="1"/>
  <c r="K117" i="4"/>
  <c r="K120" i="4" s="1"/>
  <c r="L114" i="4"/>
  <c r="M147" i="4"/>
  <c r="M143" i="7"/>
  <c r="M144" i="7" s="1"/>
  <c r="L133" i="4" s="1"/>
  <c r="L100" i="4" s="1"/>
  <c r="N17" i="7"/>
  <c r="I52" i="4" s="1"/>
  <c r="N137" i="7"/>
  <c r="N141" i="7"/>
  <c r="N138" i="7"/>
  <c r="N136" i="7"/>
  <c r="N139" i="7"/>
  <c r="N140" i="7"/>
  <c r="P32" i="7"/>
  <c r="P39" i="7" s="1"/>
  <c r="P48" i="3"/>
  <c r="P209" i="3" s="1"/>
  <c r="O42" i="7"/>
  <c r="O49" i="7" s="1"/>
  <c r="J60" i="4" s="1"/>
  <c r="N153" i="7"/>
  <c r="M149" i="4" s="1"/>
  <c r="M116" i="4" s="1"/>
  <c r="AV23" i="2"/>
  <c r="T136" i="4" l="1"/>
  <c r="P57" i="4" a="1"/>
  <c r="P57" i="4" s="1"/>
  <c r="V48" i="7"/>
  <c r="V44" i="7"/>
  <c r="V33" i="7"/>
  <c r="V45" i="7"/>
  <c r="V47" i="7"/>
  <c r="V46" i="7"/>
  <c r="V34" i="7"/>
  <c r="V43" i="7"/>
  <c r="V38" i="7"/>
  <c r="V164" i="7"/>
  <c r="V161" i="7"/>
  <c r="V35" i="7"/>
  <c r="V37" i="7"/>
  <c r="V36" i="7"/>
  <c r="T152" i="4"/>
  <c r="P64" i="4" a="1"/>
  <c r="P64" i="4" s="1"/>
  <c r="U27" i="7"/>
  <c r="P59" i="4" s="1"/>
  <c r="T146" i="4" s="1"/>
  <c r="T144" i="4" s="1"/>
  <c r="V10" i="7"/>
  <c r="V21" i="7"/>
  <c r="V15" i="7"/>
  <c r="V26" i="7"/>
  <c r="V23" i="7"/>
  <c r="V16" i="7"/>
  <c r="V22" i="7"/>
  <c r="V11" i="7"/>
  <c r="V13" i="7"/>
  <c r="V14" i="7"/>
  <c r="V20" i="7"/>
  <c r="V25" i="7"/>
  <c r="V24" i="7"/>
  <c r="V12" i="7"/>
  <c r="W34" i="3"/>
  <c r="X10" i="3"/>
  <c r="X213" i="3" s="1"/>
  <c r="W5" i="7"/>
  <c r="W22" i="3"/>
  <c r="X9" i="3"/>
  <c r="X222" i="3" s="1"/>
  <c r="W4" i="7"/>
  <c r="Y19" i="2"/>
  <c r="X30" i="2"/>
  <c r="X20" i="2" s="1"/>
  <c r="N111" i="4"/>
  <c r="N142" i="7"/>
  <c r="M129" i="4"/>
  <c r="M96" i="4"/>
  <c r="M97" i="4"/>
  <c r="M130" i="4"/>
  <c r="O168" i="7"/>
  <c r="N139" i="4" s="1"/>
  <c r="O171" i="7"/>
  <c r="N155" i="4" s="1"/>
  <c r="L128" i="4"/>
  <c r="L134" i="4" s="1"/>
  <c r="L137" i="4" s="1"/>
  <c r="L140" i="4" s="1"/>
  <c r="L135" i="4"/>
  <c r="L138" i="4" s="1"/>
  <c r="L141" i="4" s="1"/>
  <c r="O112" i="4"/>
  <c r="O103" i="4"/>
  <c r="O119" i="4"/>
  <c r="O113" i="4"/>
  <c r="L95" i="4"/>
  <c r="L101" i="4" s="1"/>
  <c r="L104" i="4" s="1"/>
  <c r="L107" i="4" s="1"/>
  <c r="H81" i="4" s="1" a="1"/>
  <c r="H81" i="4" s="1"/>
  <c r="L102" i="4"/>
  <c r="L105" i="4" s="1"/>
  <c r="L108" i="4" s="1"/>
  <c r="O131" i="4"/>
  <c r="O98" i="4" s="1"/>
  <c r="K53" i="4"/>
  <c r="Q93" i="7"/>
  <c r="Q121" i="7" s="1"/>
  <c r="Q132" i="7" s="1"/>
  <c r="Q80" i="7"/>
  <c r="Q107" i="7" s="1"/>
  <c r="Q118" i="7" s="1"/>
  <c r="AU2" i="2"/>
  <c r="AJ18" i="4"/>
  <c r="AJ7" i="4"/>
  <c r="O132" i="4"/>
  <c r="O99" i="4" s="1"/>
  <c r="K54" i="4"/>
  <c r="W22" i="2"/>
  <c r="K61" i="4"/>
  <c r="O148" i="4"/>
  <c r="O115" i="4" s="1"/>
  <c r="K123" i="4"/>
  <c r="G82" i="4" s="1" a="1"/>
  <c r="G82" i="4" s="1"/>
  <c r="M151" i="4"/>
  <c r="M154" i="4" s="1"/>
  <c r="M157" i="4" s="1"/>
  <c r="M150" i="4"/>
  <c r="M153" i="4" s="1"/>
  <c r="M156" i="4" s="1"/>
  <c r="L118" i="4"/>
  <c r="L121" i="4" s="1"/>
  <c r="L124" i="4" s="1"/>
  <c r="L117" i="4"/>
  <c r="L120" i="4" s="1"/>
  <c r="M114" i="4"/>
  <c r="N147" i="4"/>
  <c r="N143" i="7"/>
  <c r="N144" i="7" s="1"/>
  <c r="M133" i="4" s="1"/>
  <c r="M100" i="4" s="1"/>
  <c r="O17" i="7"/>
  <c r="J52" i="4" s="1"/>
  <c r="O141" i="7"/>
  <c r="O137" i="7"/>
  <c r="O138" i="7"/>
  <c r="O136" i="7"/>
  <c r="O139" i="7"/>
  <c r="O140" i="7"/>
  <c r="P42" i="7"/>
  <c r="P49" i="7" s="1"/>
  <c r="K60" i="4" s="1"/>
  <c r="Q32" i="7"/>
  <c r="Q39" i="7" s="1"/>
  <c r="Q48" i="3"/>
  <c r="Q209" i="3" s="1"/>
  <c r="O153" i="7"/>
  <c r="N149" i="4" s="1"/>
  <c r="N116" i="4" s="1"/>
  <c r="AW23" i="2"/>
  <c r="W46" i="7" l="1"/>
  <c r="W45" i="7"/>
  <c r="W164" i="7"/>
  <c r="W48" i="7"/>
  <c r="W38" i="7"/>
  <c r="W35" i="7"/>
  <c r="W161" i="7"/>
  <c r="W44" i="7"/>
  <c r="W33" i="7"/>
  <c r="W36" i="7"/>
  <c r="W37" i="7"/>
  <c r="W43" i="7"/>
  <c r="W34" i="7"/>
  <c r="W47" i="7"/>
  <c r="Q64" i="4" a="1"/>
  <c r="Q64" i="4" s="1"/>
  <c r="U152" i="4"/>
  <c r="Q57" i="4" a="1"/>
  <c r="Q57" i="4" s="1"/>
  <c r="U136" i="4"/>
  <c r="V27" i="7"/>
  <c r="Q59" i="4" s="1"/>
  <c r="U146" i="4" s="1"/>
  <c r="U144" i="4" s="1"/>
  <c r="Y9" i="3"/>
  <c r="Y222" i="3" s="1"/>
  <c r="X4" i="7"/>
  <c r="W26" i="7"/>
  <c r="W20" i="7"/>
  <c r="W14" i="7"/>
  <c r="W15" i="7"/>
  <c r="W11" i="7"/>
  <c r="W23" i="7"/>
  <c r="W22" i="7"/>
  <c r="W24" i="7"/>
  <c r="W13" i="7"/>
  <c r="W25" i="7"/>
  <c r="W21" i="7"/>
  <c r="W10" i="7"/>
  <c r="W16" i="7"/>
  <c r="W12" i="7"/>
  <c r="X22" i="3"/>
  <c r="X34" i="3"/>
  <c r="Y10" i="3"/>
  <c r="Y213" i="3" s="1"/>
  <c r="X5" i="7"/>
  <c r="Z19" i="2"/>
  <c r="Y30" i="2"/>
  <c r="Y20" i="2" s="1"/>
  <c r="N97" i="4"/>
  <c r="N130" i="4"/>
  <c r="N129" i="4"/>
  <c r="N96" i="4"/>
  <c r="P112" i="4"/>
  <c r="P103" i="4"/>
  <c r="P119" i="4"/>
  <c r="P113" i="4"/>
  <c r="P168" i="7"/>
  <c r="O139" i="4" s="1"/>
  <c r="P171" i="7"/>
  <c r="O155" i="4" s="1"/>
  <c r="M128" i="4"/>
  <c r="M134" i="4" s="1"/>
  <c r="M137" i="4" s="1"/>
  <c r="M140" i="4" s="1"/>
  <c r="M135" i="4"/>
  <c r="M138" i="4" s="1"/>
  <c r="M141" i="4" s="1"/>
  <c r="M95" i="4"/>
  <c r="M101" i="4" s="1"/>
  <c r="M104" i="4" s="1"/>
  <c r="M107" i="4" s="1"/>
  <c r="I81" i="4" s="1" a="1"/>
  <c r="I81" i="4" s="1"/>
  <c r="M102" i="4"/>
  <c r="M105" i="4" s="1"/>
  <c r="M108" i="4" s="1"/>
  <c r="O111" i="4"/>
  <c r="P131" i="4"/>
  <c r="P98" i="4" s="1"/>
  <c r="L53" i="4"/>
  <c r="R93" i="7"/>
  <c r="R121" i="7" s="1"/>
  <c r="R132" i="7" s="1"/>
  <c r="R80" i="7"/>
  <c r="R107" i="7" s="1"/>
  <c r="R118" i="7" s="1"/>
  <c r="L61" i="4"/>
  <c r="P148" i="4"/>
  <c r="P115" i="4" s="1"/>
  <c r="P132" i="4"/>
  <c r="P99" i="4" s="1"/>
  <c r="L54" i="4"/>
  <c r="X22" i="2"/>
  <c r="AV2" i="2"/>
  <c r="AK18" i="4"/>
  <c r="AK7" i="4"/>
  <c r="L123" i="4"/>
  <c r="H82" i="4" s="1" a="1"/>
  <c r="H82" i="4" s="1"/>
  <c r="N151" i="4"/>
  <c r="N154" i="4" s="1"/>
  <c r="N157" i="4" s="1"/>
  <c r="N150" i="4"/>
  <c r="N153" i="4" s="1"/>
  <c r="N156" i="4" s="1"/>
  <c r="M118" i="4"/>
  <c r="M121" i="4" s="1"/>
  <c r="M124" i="4" s="1"/>
  <c r="M117" i="4"/>
  <c r="M120" i="4" s="1"/>
  <c r="N114" i="4"/>
  <c r="O147" i="4"/>
  <c r="O142" i="7"/>
  <c r="P17" i="7"/>
  <c r="K52" i="4" s="1"/>
  <c r="P141" i="7"/>
  <c r="P138" i="7"/>
  <c r="P137" i="7"/>
  <c r="P139" i="7"/>
  <c r="P136" i="7"/>
  <c r="P140" i="7"/>
  <c r="O143" i="7"/>
  <c r="O144" i="7" s="1"/>
  <c r="N133" i="4" s="1"/>
  <c r="N100" i="4" s="1"/>
  <c r="Q42" i="7"/>
  <c r="Q49" i="7" s="1"/>
  <c r="L60" i="4" s="1"/>
  <c r="R32" i="7"/>
  <c r="R39" i="7" s="1"/>
  <c r="R48" i="3"/>
  <c r="R209" i="3" s="1"/>
  <c r="P153" i="7"/>
  <c r="O149" i="4" s="1"/>
  <c r="O116" i="4" s="1"/>
  <c r="AX23" i="2"/>
  <c r="R57" i="4" l="1" a="1"/>
  <c r="R57" i="4" s="1"/>
  <c r="V136" i="4"/>
  <c r="X35" i="7"/>
  <c r="X47" i="7"/>
  <c r="X36" i="7"/>
  <c r="X37" i="7"/>
  <c r="X45" i="7"/>
  <c r="X38" i="7"/>
  <c r="X34" i="7"/>
  <c r="X164" i="7"/>
  <c r="X43" i="7"/>
  <c r="X33" i="7"/>
  <c r="X44" i="7"/>
  <c r="X46" i="7"/>
  <c r="X48" i="7"/>
  <c r="X161" i="7"/>
  <c r="R64" i="4" a="1"/>
  <c r="R64" i="4" s="1"/>
  <c r="V152" i="4"/>
  <c r="Z10" i="3"/>
  <c r="Z213" i="3" s="1"/>
  <c r="Y34" i="3"/>
  <c r="Y5" i="7"/>
  <c r="Y22" i="3"/>
  <c r="X15" i="7"/>
  <c r="X25" i="7"/>
  <c r="X13" i="7"/>
  <c r="X12" i="7"/>
  <c r="X20" i="7"/>
  <c r="X11" i="7"/>
  <c r="X10" i="7"/>
  <c r="X22" i="7"/>
  <c r="X21" i="7"/>
  <c r="X16" i="7"/>
  <c r="X26" i="7"/>
  <c r="X24" i="7"/>
  <c r="X14" i="7"/>
  <c r="X23" i="7"/>
  <c r="P111" i="4"/>
  <c r="Z9" i="3"/>
  <c r="Z222" i="3" s="1"/>
  <c r="Y4" i="7"/>
  <c r="W27" i="7"/>
  <c r="R59" i="4" s="1"/>
  <c r="V146" i="4" s="1"/>
  <c r="V144" i="4" s="1"/>
  <c r="AA19" i="2"/>
  <c r="Z30" i="2"/>
  <c r="Z20" i="2" s="1"/>
  <c r="Q112" i="4"/>
  <c r="Q103" i="4"/>
  <c r="Q119" i="4"/>
  <c r="Q113" i="4"/>
  <c r="Q171" i="7"/>
  <c r="P155" i="4" s="1"/>
  <c r="Q168" i="7"/>
  <c r="P139" i="4" s="1"/>
  <c r="N128" i="4"/>
  <c r="N134" i="4" s="1"/>
  <c r="N137" i="4" s="1"/>
  <c r="N140" i="4" s="1"/>
  <c r="N135" i="4"/>
  <c r="N138" i="4" s="1"/>
  <c r="N141" i="4" s="1"/>
  <c r="O97" i="4"/>
  <c r="O130" i="4"/>
  <c r="O96" i="4"/>
  <c r="O129" i="4"/>
  <c r="N95" i="4"/>
  <c r="N101" i="4" s="1"/>
  <c r="N104" i="4" s="1"/>
  <c r="N107" i="4" s="1"/>
  <c r="J81" i="4" s="1" a="1"/>
  <c r="J81" i="4" s="1"/>
  <c r="N102" i="4"/>
  <c r="N105" i="4" s="1"/>
  <c r="N108" i="4" s="1"/>
  <c r="Q131" i="4"/>
  <c r="Q98" i="4" s="1"/>
  <c r="M53" i="4"/>
  <c r="S93" i="7"/>
  <c r="S121" i="7" s="1"/>
  <c r="S132" i="7" s="1"/>
  <c r="S80" i="7"/>
  <c r="S107" i="7" s="1"/>
  <c r="S118" i="7" s="1"/>
  <c r="Y22" i="2"/>
  <c r="Q132" i="4"/>
  <c r="Q99" i="4" s="1"/>
  <c r="M54" i="4"/>
  <c r="M61" i="4"/>
  <c r="Q148" i="4"/>
  <c r="Q115" i="4" s="1"/>
  <c r="AW2" i="2"/>
  <c r="AL18" i="4"/>
  <c r="AL7" i="4"/>
  <c r="M123" i="4"/>
  <c r="I82" i="4" s="1" a="1"/>
  <c r="I82" i="4" s="1"/>
  <c r="O151" i="4"/>
  <c r="O154" i="4" s="1"/>
  <c r="O157" i="4" s="1"/>
  <c r="O150" i="4"/>
  <c r="O153" i="4" s="1"/>
  <c r="O156" i="4" s="1"/>
  <c r="N117" i="4"/>
  <c r="N120" i="4" s="1"/>
  <c r="N118" i="4"/>
  <c r="N121" i="4" s="1"/>
  <c r="N124" i="4" s="1"/>
  <c r="O114" i="4"/>
  <c r="P147" i="4"/>
  <c r="P142" i="7"/>
  <c r="Q17" i="7"/>
  <c r="L52" i="4" s="1"/>
  <c r="Q138" i="7"/>
  <c r="Q137" i="7"/>
  <c r="Q139" i="7"/>
  <c r="Q140" i="7"/>
  <c r="Q136" i="7"/>
  <c r="Q141" i="7"/>
  <c r="P143" i="7"/>
  <c r="P144" i="7" s="1"/>
  <c r="O133" i="4" s="1"/>
  <c r="O100" i="4" s="1"/>
  <c r="S32" i="7"/>
  <c r="S39" i="7" s="1"/>
  <c r="S48" i="3"/>
  <c r="S209" i="3" s="1"/>
  <c r="R42" i="7"/>
  <c r="R49" i="7" s="1"/>
  <c r="M60" i="4" s="1"/>
  <c r="Q153" i="7"/>
  <c r="P149" i="4" s="1"/>
  <c r="P116" i="4" s="1"/>
  <c r="AY23" i="2"/>
  <c r="Q111" i="4" l="1"/>
  <c r="S64" i="4" a="1"/>
  <c r="S64" i="4" s="1"/>
  <c r="W152" i="4"/>
  <c r="W136" i="4"/>
  <c r="S57" i="4" a="1"/>
  <c r="S57" i="4" s="1"/>
  <c r="Y164" i="7"/>
  <c r="Y44" i="7"/>
  <c r="Y161" i="7"/>
  <c r="Y46" i="7"/>
  <c r="Y34" i="7"/>
  <c r="Y47" i="7"/>
  <c r="Y48" i="7"/>
  <c r="Y43" i="7"/>
  <c r="Y36" i="7"/>
  <c r="Y37" i="7"/>
  <c r="Y33" i="7"/>
  <c r="Y45" i="7"/>
  <c r="Y38" i="7"/>
  <c r="Y35" i="7"/>
  <c r="Y25" i="7"/>
  <c r="Y22" i="7"/>
  <c r="Y11" i="7"/>
  <c r="Y16" i="7"/>
  <c r="Y15" i="7"/>
  <c r="Y20" i="7"/>
  <c r="Y10" i="7"/>
  <c r="Y21" i="7"/>
  <c r="Y26" i="7"/>
  <c r="Y24" i="7"/>
  <c r="Y12" i="7"/>
  <c r="Y14" i="7"/>
  <c r="Y23" i="7"/>
  <c r="Y13" i="7"/>
  <c r="X27" i="7"/>
  <c r="S59" i="4" s="1"/>
  <c r="W146" i="4" s="1"/>
  <c r="W144" i="4" s="1"/>
  <c r="AA9" i="3"/>
  <c r="AA222" i="3" s="1"/>
  <c r="Z4" i="7"/>
  <c r="Z34" i="3"/>
  <c r="AA10" i="3"/>
  <c r="AA213" i="3" s="1"/>
  <c r="Z5" i="7"/>
  <c r="Z22" i="3"/>
  <c r="AB19" i="2"/>
  <c r="AA30" i="2"/>
  <c r="AA20" i="2" s="1"/>
  <c r="P96" i="4"/>
  <c r="P129" i="4"/>
  <c r="O128" i="4"/>
  <c r="O134" i="4" s="1"/>
  <c r="O137" i="4" s="1"/>
  <c r="O140" i="4" s="1"/>
  <c r="O135" i="4"/>
  <c r="O138" i="4" s="1"/>
  <c r="O141" i="4" s="1"/>
  <c r="O95" i="4"/>
  <c r="O101" i="4" s="1"/>
  <c r="O104" i="4" s="1"/>
  <c r="O107" i="4" s="1"/>
  <c r="K81" i="4" s="1" a="1"/>
  <c r="K81" i="4" s="1"/>
  <c r="O102" i="4"/>
  <c r="O105" i="4" s="1"/>
  <c r="O108" i="4" s="1"/>
  <c r="R112" i="4"/>
  <c r="R119" i="4"/>
  <c r="R103" i="4"/>
  <c r="R113" i="4"/>
  <c r="R171" i="7"/>
  <c r="Q155" i="4" s="1"/>
  <c r="R168" i="7"/>
  <c r="Q139" i="4" s="1"/>
  <c r="P97" i="4"/>
  <c r="P130" i="4"/>
  <c r="R131" i="4"/>
  <c r="R98" i="4" s="1"/>
  <c r="N53" i="4"/>
  <c r="T93" i="7"/>
  <c r="T121" i="7" s="1"/>
  <c r="T132" i="7" s="1"/>
  <c r="T80" i="7"/>
  <c r="T107" i="7" s="1"/>
  <c r="T118" i="7" s="1"/>
  <c r="R132" i="4"/>
  <c r="R99" i="4" s="1"/>
  <c r="N54" i="4"/>
  <c r="N61" i="4"/>
  <c r="R148" i="4"/>
  <c r="R115" i="4" s="1"/>
  <c r="AX2" i="2"/>
  <c r="AM7" i="4"/>
  <c r="AM18" i="4"/>
  <c r="Z22" i="2"/>
  <c r="N123" i="4"/>
  <c r="J82" i="4" s="1" a="1"/>
  <c r="J82" i="4" s="1"/>
  <c r="P151" i="4"/>
  <c r="P154" i="4" s="1"/>
  <c r="P157" i="4" s="1"/>
  <c r="P150" i="4"/>
  <c r="P153" i="4" s="1"/>
  <c r="P156" i="4" s="1"/>
  <c r="O118" i="4"/>
  <c r="O121" i="4" s="1"/>
  <c r="O124" i="4" s="1"/>
  <c r="O117" i="4"/>
  <c r="O120" i="4" s="1"/>
  <c r="P114" i="4"/>
  <c r="Q147" i="4"/>
  <c r="Q142" i="7"/>
  <c r="R17" i="7"/>
  <c r="M52" i="4" s="1"/>
  <c r="R138" i="7"/>
  <c r="R139" i="7"/>
  <c r="R137" i="7"/>
  <c r="R140" i="7"/>
  <c r="R136" i="7"/>
  <c r="R141" i="7"/>
  <c r="Q143" i="7"/>
  <c r="Q144" i="7" s="1"/>
  <c r="P133" i="4" s="1"/>
  <c r="P100" i="4" s="1"/>
  <c r="S42" i="7"/>
  <c r="S49" i="7" s="1"/>
  <c r="N60" i="4" s="1"/>
  <c r="T32" i="7"/>
  <c r="T39" i="7" s="1"/>
  <c r="T48" i="3"/>
  <c r="T209" i="3" s="1"/>
  <c r="R153" i="7"/>
  <c r="Q149" i="4" s="1"/>
  <c r="Q116" i="4" s="1"/>
  <c r="AZ23" i="2"/>
  <c r="T57" i="4" l="1" a="1"/>
  <c r="T57" i="4" s="1"/>
  <c r="X136" i="4"/>
  <c r="X152" i="4"/>
  <c r="T64" i="4" a="1"/>
  <c r="T64" i="4" s="1"/>
  <c r="Z33" i="7"/>
  <c r="Z45" i="7"/>
  <c r="Z38" i="7"/>
  <c r="Z48" i="7"/>
  <c r="Z164" i="7"/>
  <c r="Z44" i="7"/>
  <c r="Z161" i="7"/>
  <c r="Z37" i="7"/>
  <c r="Z35" i="7"/>
  <c r="Z43" i="7"/>
  <c r="Z34" i="7"/>
  <c r="Z46" i="7"/>
  <c r="Z47" i="7"/>
  <c r="Z36" i="7"/>
  <c r="AB9" i="3"/>
  <c r="AB222" i="3" s="1"/>
  <c r="AA4" i="7"/>
  <c r="AB10" i="3"/>
  <c r="AB213" i="3" s="1"/>
  <c r="AA22" i="3"/>
  <c r="AA34" i="3"/>
  <c r="AA5" i="7"/>
  <c r="Y27" i="7"/>
  <c r="T59" i="4" s="1"/>
  <c r="X146" i="4" s="1"/>
  <c r="X144" i="4" s="1"/>
  <c r="Z14" i="7"/>
  <c r="Z15" i="7"/>
  <c r="Z26" i="7"/>
  <c r="Z13" i="7"/>
  <c r="Z20" i="7"/>
  <c r="Z21" i="7"/>
  <c r="Z12" i="7"/>
  <c r="Z11" i="7"/>
  <c r="Z25" i="7"/>
  <c r="Z23" i="7"/>
  <c r="Z22" i="7"/>
  <c r="Z16" i="7"/>
  <c r="Z10" i="7"/>
  <c r="Z24" i="7"/>
  <c r="AC19" i="2"/>
  <c r="AB30" i="2"/>
  <c r="AB20" i="2" s="1"/>
  <c r="R111" i="4"/>
  <c r="Q96" i="4"/>
  <c r="Q129" i="4"/>
  <c r="S171" i="7"/>
  <c r="R155" i="4" s="1"/>
  <c r="S168" i="7"/>
  <c r="R139" i="4" s="1"/>
  <c r="S112" i="4"/>
  <c r="S103" i="4"/>
  <c r="S119" i="4"/>
  <c r="S113" i="4"/>
  <c r="Q97" i="4"/>
  <c r="Q130" i="4"/>
  <c r="P128" i="4"/>
  <c r="P134" i="4" s="1"/>
  <c r="P137" i="4" s="1"/>
  <c r="P140" i="4" s="1"/>
  <c r="P135" i="4"/>
  <c r="P138" i="4" s="1"/>
  <c r="P141" i="4" s="1"/>
  <c r="P95" i="4"/>
  <c r="P101" i="4" s="1"/>
  <c r="P104" i="4" s="1"/>
  <c r="P107" i="4" s="1"/>
  <c r="L81" i="4" s="1" a="1"/>
  <c r="L81" i="4" s="1"/>
  <c r="P102" i="4"/>
  <c r="P105" i="4" s="1"/>
  <c r="P108" i="4" s="1"/>
  <c r="S131" i="4"/>
  <c r="S98" i="4" s="1"/>
  <c r="O53" i="4"/>
  <c r="U93" i="7"/>
  <c r="U121" i="7" s="1"/>
  <c r="U132" i="7" s="1"/>
  <c r="U80" i="7"/>
  <c r="U107" i="7" s="1"/>
  <c r="U118" i="7" s="1"/>
  <c r="O61" i="4"/>
  <c r="S148" i="4"/>
  <c r="S115" i="4" s="1"/>
  <c r="S132" i="4"/>
  <c r="S99" i="4" s="1"/>
  <c r="O54" i="4"/>
  <c r="AY2" i="2"/>
  <c r="AN18" i="4"/>
  <c r="AN7" i="4"/>
  <c r="AA22" i="2"/>
  <c r="O123" i="4"/>
  <c r="K82" i="4" s="1" a="1"/>
  <c r="K82" i="4" s="1"/>
  <c r="Q151" i="4"/>
  <c r="Q154" i="4" s="1"/>
  <c r="Q157" i="4" s="1"/>
  <c r="Q150" i="4"/>
  <c r="Q153" i="4" s="1"/>
  <c r="Q156" i="4" s="1"/>
  <c r="P118" i="4"/>
  <c r="P121" i="4" s="1"/>
  <c r="P124" i="4" s="1"/>
  <c r="P117" i="4"/>
  <c r="P120" i="4" s="1"/>
  <c r="Q114" i="4"/>
  <c r="R147" i="4"/>
  <c r="R142" i="7"/>
  <c r="R143" i="7"/>
  <c r="R144" i="7" s="1"/>
  <c r="Q133" i="4" s="1"/>
  <c r="Q100" i="4" s="1"/>
  <c r="S17" i="7"/>
  <c r="N52" i="4" s="1"/>
  <c r="S138" i="7"/>
  <c r="S139" i="7"/>
  <c r="S140" i="7"/>
  <c r="S137" i="7"/>
  <c r="S141" i="7"/>
  <c r="S136" i="7"/>
  <c r="U32" i="7"/>
  <c r="U39" i="7" s="1"/>
  <c r="U48" i="3"/>
  <c r="U209" i="3" s="1"/>
  <c r="T42" i="7"/>
  <c r="T49" i="7" s="1"/>
  <c r="O60" i="4" s="1"/>
  <c r="S153" i="7"/>
  <c r="R149" i="4" s="1"/>
  <c r="R116" i="4" s="1"/>
  <c r="BA23" i="2"/>
  <c r="U57" i="4" l="1" a="1"/>
  <c r="U57" i="4" s="1"/>
  <c r="Y136" i="4"/>
  <c r="AA34" i="7"/>
  <c r="AA38" i="7"/>
  <c r="AA37" i="7"/>
  <c r="AA35" i="7"/>
  <c r="AA43" i="7"/>
  <c r="AA46" i="7"/>
  <c r="AA45" i="7"/>
  <c r="AA33" i="7"/>
  <c r="AA164" i="7"/>
  <c r="AA36" i="7"/>
  <c r="AA161" i="7"/>
  <c r="AA48" i="7"/>
  <c r="AA47" i="7"/>
  <c r="AA44" i="7"/>
  <c r="Y152" i="4"/>
  <c r="U64" i="4" a="1"/>
  <c r="U64" i="4" s="1"/>
  <c r="AB5" i="7"/>
  <c r="AC10" i="3"/>
  <c r="AC213" i="3" s="1"/>
  <c r="AB22" i="3"/>
  <c r="AB34" i="3"/>
  <c r="AA14" i="7"/>
  <c r="AA24" i="7"/>
  <c r="AA13" i="7"/>
  <c r="AA21" i="7"/>
  <c r="AA16" i="7"/>
  <c r="AA12" i="7"/>
  <c r="AA25" i="7"/>
  <c r="AA23" i="7"/>
  <c r="AA11" i="7"/>
  <c r="AA26" i="7"/>
  <c r="AA10" i="7"/>
  <c r="AA22" i="7"/>
  <c r="AA15" i="7"/>
  <c r="AA20" i="7"/>
  <c r="S111" i="4"/>
  <c r="Z27" i="7"/>
  <c r="U59" i="4" s="1"/>
  <c r="Y146" i="4" s="1"/>
  <c r="Y144" i="4" s="1"/>
  <c r="AC9" i="3"/>
  <c r="AC222" i="3" s="1"/>
  <c r="AB4" i="7"/>
  <c r="AD19" i="2"/>
  <c r="AC30" i="2"/>
  <c r="AC20" i="2" s="1"/>
  <c r="Q95" i="4"/>
  <c r="Q101" i="4" s="1"/>
  <c r="Q104" i="4" s="1"/>
  <c r="Q107" i="4" s="1"/>
  <c r="M81" i="4" s="1" a="1"/>
  <c r="M81" i="4" s="1"/>
  <c r="Q102" i="4"/>
  <c r="Q105" i="4" s="1"/>
  <c r="Q108" i="4" s="1"/>
  <c r="S142" i="7"/>
  <c r="R96" i="4"/>
  <c r="R129" i="4"/>
  <c r="R97" i="4"/>
  <c r="R130" i="4"/>
  <c r="T171" i="7"/>
  <c r="S155" i="4" s="1"/>
  <c r="T168" i="7"/>
  <c r="S139" i="4" s="1"/>
  <c r="T112" i="4"/>
  <c r="T119" i="4"/>
  <c r="T103" i="4"/>
  <c r="T113" i="4"/>
  <c r="Q128" i="4"/>
  <c r="Q134" i="4" s="1"/>
  <c r="Q137" i="4" s="1"/>
  <c r="Q140" i="4" s="1"/>
  <c r="Q135" i="4"/>
  <c r="Q138" i="4" s="1"/>
  <c r="Q141" i="4" s="1"/>
  <c r="T131" i="4"/>
  <c r="T98" i="4" s="1"/>
  <c r="P53" i="4"/>
  <c r="V93" i="7"/>
  <c r="V121" i="7" s="1"/>
  <c r="V132" i="7" s="1"/>
  <c r="V80" i="7"/>
  <c r="V107" i="7" s="1"/>
  <c r="V118" i="7" s="1"/>
  <c r="T132" i="4"/>
  <c r="T99" i="4" s="1"/>
  <c r="P54" i="4"/>
  <c r="AZ2" i="2"/>
  <c r="AO7" i="4"/>
  <c r="AO18" i="4"/>
  <c r="AB22" i="2"/>
  <c r="P61" i="4"/>
  <c r="T148" i="4"/>
  <c r="T115" i="4" s="1"/>
  <c r="P123" i="4"/>
  <c r="L82" i="4" s="1" a="1"/>
  <c r="L82" i="4" s="1"/>
  <c r="R151" i="4"/>
  <c r="R154" i="4" s="1"/>
  <c r="R157" i="4" s="1"/>
  <c r="R150" i="4"/>
  <c r="R153" i="4" s="1"/>
  <c r="R156" i="4" s="1"/>
  <c r="Q117" i="4"/>
  <c r="Q120" i="4" s="1"/>
  <c r="Q118" i="4"/>
  <c r="Q121" i="4" s="1"/>
  <c r="Q124" i="4" s="1"/>
  <c r="R114" i="4"/>
  <c r="S147" i="4"/>
  <c r="T17" i="7"/>
  <c r="O52" i="4" s="1"/>
  <c r="T139" i="7"/>
  <c r="T140" i="7"/>
  <c r="T137" i="7"/>
  <c r="T141" i="7"/>
  <c r="T138" i="7"/>
  <c r="T136" i="7"/>
  <c r="S143" i="7"/>
  <c r="S144" i="7" s="1"/>
  <c r="R133" i="4" s="1"/>
  <c r="R100" i="4" s="1"/>
  <c r="U42" i="7"/>
  <c r="U49" i="7" s="1"/>
  <c r="P60" i="4" s="1"/>
  <c r="V32" i="7"/>
  <c r="V39" i="7" s="1"/>
  <c r="V48" i="3"/>
  <c r="V209" i="3" s="1"/>
  <c r="T153" i="7"/>
  <c r="S149" i="4" s="1"/>
  <c r="S116" i="4" s="1"/>
  <c r="BB23" i="2"/>
  <c r="Z152" i="4" l="1"/>
  <c r="V64" i="4" a="1"/>
  <c r="V64" i="4" s="1"/>
  <c r="AB161" i="7"/>
  <c r="AB36" i="7"/>
  <c r="AB34" i="7"/>
  <c r="AB48" i="7"/>
  <c r="AB47" i="7"/>
  <c r="AB33" i="7"/>
  <c r="AB38" i="7"/>
  <c r="AB164" i="7"/>
  <c r="AB35" i="7"/>
  <c r="AB46" i="7"/>
  <c r="AB43" i="7"/>
  <c r="AB45" i="7"/>
  <c r="AB44" i="7"/>
  <c r="AB37" i="7"/>
  <c r="Z136" i="4"/>
  <c r="V57" i="4" a="1"/>
  <c r="V57" i="4" s="1"/>
  <c r="AA27" i="7"/>
  <c r="V59" i="4" s="1"/>
  <c r="Z146" i="4" s="1"/>
  <c r="Z144" i="4" s="1"/>
  <c r="AC5" i="7"/>
  <c r="AC34" i="3"/>
  <c r="AD10" i="3"/>
  <c r="AD213" i="3" s="1"/>
  <c r="AC22" i="3"/>
  <c r="AD9" i="3"/>
  <c r="AC4" i="7"/>
  <c r="T143" i="7"/>
  <c r="T144" i="7" s="1"/>
  <c r="S133" i="4" s="1"/>
  <c r="S100" i="4" s="1"/>
  <c r="AB11" i="7"/>
  <c r="AB22" i="7"/>
  <c r="AB24" i="7"/>
  <c r="AB10" i="7"/>
  <c r="AB15" i="7"/>
  <c r="AB16" i="7"/>
  <c r="AB12" i="7"/>
  <c r="AB26" i="7"/>
  <c r="AB25" i="7"/>
  <c r="AB23" i="7"/>
  <c r="AB21" i="7"/>
  <c r="AB14" i="7"/>
  <c r="AB13" i="7"/>
  <c r="AB20" i="7"/>
  <c r="AE19" i="2"/>
  <c r="AD30" i="2"/>
  <c r="AD20" i="2" s="1"/>
  <c r="T142" i="7"/>
  <c r="S96" i="4"/>
  <c r="S129" i="4"/>
  <c r="R128" i="4"/>
  <c r="R134" i="4" s="1"/>
  <c r="R137" i="4" s="1"/>
  <c r="R140" i="4" s="1"/>
  <c r="R135" i="4"/>
  <c r="R138" i="4" s="1"/>
  <c r="R141" i="4" s="1"/>
  <c r="U112" i="4"/>
  <c r="U119" i="4"/>
  <c r="U103" i="4"/>
  <c r="U113" i="4"/>
  <c r="U171" i="7"/>
  <c r="T155" i="4" s="1"/>
  <c r="U168" i="7"/>
  <c r="T139" i="4" s="1"/>
  <c r="R95" i="4"/>
  <c r="R101" i="4" s="1"/>
  <c r="R104" i="4" s="1"/>
  <c r="R107" i="4" s="1"/>
  <c r="N81" i="4" s="1" a="1"/>
  <c r="N81" i="4" s="1"/>
  <c r="R102" i="4"/>
  <c r="R105" i="4" s="1"/>
  <c r="R108" i="4" s="1"/>
  <c r="S97" i="4"/>
  <c r="S130" i="4"/>
  <c r="T111" i="4"/>
  <c r="U131" i="4"/>
  <c r="U98" i="4" s="1"/>
  <c r="Q53" i="4"/>
  <c r="W93" i="7"/>
  <c r="W121" i="7" s="1"/>
  <c r="W132" i="7" s="1"/>
  <c r="W80" i="7"/>
  <c r="W107" i="7" s="1"/>
  <c r="W118" i="7" s="1"/>
  <c r="BA2" i="2"/>
  <c r="AP18" i="4"/>
  <c r="AP7" i="4"/>
  <c r="Q61" i="4"/>
  <c r="U148" i="4"/>
  <c r="U115" i="4" s="1"/>
  <c r="U132" i="4"/>
  <c r="U99" i="4" s="1"/>
  <c r="Q54" i="4"/>
  <c r="AC22" i="2"/>
  <c r="Q123" i="4"/>
  <c r="M82" i="4" s="1" a="1"/>
  <c r="M82" i="4" s="1"/>
  <c r="S151" i="4"/>
  <c r="S154" i="4" s="1"/>
  <c r="S157" i="4" s="1"/>
  <c r="S150" i="4"/>
  <c r="S153" i="4" s="1"/>
  <c r="S156" i="4" s="1"/>
  <c r="R118" i="4"/>
  <c r="R121" i="4" s="1"/>
  <c r="R124" i="4" s="1"/>
  <c r="R117" i="4"/>
  <c r="R120" i="4" s="1"/>
  <c r="S114" i="4"/>
  <c r="T147" i="4"/>
  <c r="U17" i="7"/>
  <c r="P52" i="4" s="1"/>
  <c r="U136" i="7"/>
  <c r="U139" i="7"/>
  <c r="U140" i="7"/>
  <c r="U141" i="7"/>
  <c r="U137" i="7"/>
  <c r="U138" i="7"/>
  <c r="W32" i="7"/>
  <c r="W39" i="7" s="1"/>
  <c r="W48" i="3"/>
  <c r="W209" i="3" s="1"/>
  <c r="V42" i="7"/>
  <c r="V49" i="7" s="1"/>
  <c r="Q60" i="4" s="1"/>
  <c r="U153" i="7"/>
  <c r="T149" i="4" s="1"/>
  <c r="T116" i="4" s="1"/>
  <c r="BC23" i="2"/>
  <c r="AC45" i="7" l="1"/>
  <c r="AC38" i="7"/>
  <c r="AC46" i="7"/>
  <c r="AC164" i="7"/>
  <c r="AC36" i="7"/>
  <c r="AC48" i="7"/>
  <c r="AC47" i="7"/>
  <c r="AC161" i="7"/>
  <c r="AC35" i="7"/>
  <c r="AC43" i="7"/>
  <c r="AC44" i="7"/>
  <c r="AC34" i="7"/>
  <c r="AC37" i="7"/>
  <c r="AC33" i="7"/>
  <c r="AA152" i="4"/>
  <c r="W64" i="4" a="1"/>
  <c r="W64" i="4" s="1"/>
  <c r="W57" i="4" a="1"/>
  <c r="W57" i="4" s="1"/>
  <c r="AA136" i="4"/>
  <c r="U111" i="4"/>
  <c r="AE9" i="3"/>
  <c r="AD4" i="7"/>
  <c r="AB27" i="7"/>
  <c r="W59" i="4" s="1"/>
  <c r="AA146" i="4" s="1"/>
  <c r="AA144" i="4" s="1"/>
  <c r="AC25" i="7"/>
  <c r="AC10" i="7"/>
  <c r="AC11" i="7"/>
  <c r="AC26" i="7"/>
  <c r="AC22" i="7"/>
  <c r="AC20" i="7"/>
  <c r="AC16" i="7"/>
  <c r="AC24" i="7"/>
  <c r="AC12" i="7"/>
  <c r="AC13" i="7"/>
  <c r="AC23" i="7"/>
  <c r="AC14" i="7"/>
  <c r="AC15" i="7"/>
  <c r="AC21" i="7"/>
  <c r="AD34" i="3"/>
  <c r="AE10" i="3"/>
  <c r="AE213" i="3" s="1"/>
  <c r="AD5" i="7"/>
  <c r="AD22" i="3"/>
  <c r="AF19" i="2"/>
  <c r="AE30" i="2"/>
  <c r="AE20" i="2" s="1"/>
  <c r="T96" i="4"/>
  <c r="T129" i="4"/>
  <c r="T97" i="4"/>
  <c r="T130" i="4"/>
  <c r="V171" i="7"/>
  <c r="U155" i="4" s="1"/>
  <c r="V168" i="7"/>
  <c r="U139" i="4" s="1"/>
  <c r="V112" i="4"/>
  <c r="V103" i="4"/>
  <c r="V119" i="4"/>
  <c r="V113" i="4"/>
  <c r="S128" i="4"/>
  <c r="S134" i="4" s="1"/>
  <c r="S137" i="4" s="1"/>
  <c r="S140" i="4" s="1"/>
  <c r="S135" i="4"/>
  <c r="S138" i="4" s="1"/>
  <c r="S141" i="4" s="1"/>
  <c r="S95" i="4"/>
  <c r="S101" i="4" s="1"/>
  <c r="S104" i="4" s="1"/>
  <c r="S107" i="4" s="1"/>
  <c r="O81" i="4" s="1" a="1"/>
  <c r="O81" i="4" s="1"/>
  <c r="S102" i="4"/>
  <c r="S105" i="4" s="1"/>
  <c r="S108" i="4" s="1"/>
  <c r="V131" i="4"/>
  <c r="V98" i="4" s="1"/>
  <c r="R53" i="4"/>
  <c r="X93" i="7"/>
  <c r="X121" i="7" s="1"/>
  <c r="X132" i="7" s="1"/>
  <c r="X80" i="7"/>
  <c r="X107" i="7" s="1"/>
  <c r="X118" i="7" s="1"/>
  <c r="V132" i="4"/>
  <c r="V99" i="4" s="1"/>
  <c r="R54" i="4"/>
  <c r="R61" i="4"/>
  <c r="V148" i="4"/>
  <c r="V115" i="4" s="1"/>
  <c r="AD22" i="2"/>
  <c r="BB2" i="2"/>
  <c r="AQ18" i="4"/>
  <c r="AQ7" i="4"/>
  <c r="R123" i="4"/>
  <c r="N82" i="4" s="1" a="1"/>
  <c r="N82" i="4" s="1"/>
  <c r="T151" i="4"/>
  <c r="T154" i="4" s="1"/>
  <c r="T157" i="4" s="1"/>
  <c r="T150" i="4"/>
  <c r="T153" i="4" s="1"/>
  <c r="T156" i="4" s="1"/>
  <c r="S117" i="4"/>
  <c r="S120" i="4" s="1"/>
  <c r="S118" i="4"/>
  <c r="S121" i="4" s="1"/>
  <c r="S124" i="4" s="1"/>
  <c r="T114" i="4"/>
  <c r="U147" i="4"/>
  <c r="U142" i="7"/>
  <c r="V17" i="7"/>
  <c r="Q52" i="4" s="1"/>
  <c r="V139" i="7"/>
  <c r="V136" i="7"/>
  <c r="V140" i="7"/>
  <c r="V141" i="7"/>
  <c r="V138" i="7"/>
  <c r="V137" i="7"/>
  <c r="U143" i="7"/>
  <c r="U144" i="7" s="1"/>
  <c r="T133" i="4" s="1"/>
  <c r="T100" i="4" s="1"/>
  <c r="W42" i="7"/>
  <c r="W49" i="7" s="1"/>
  <c r="R60" i="4" s="1"/>
  <c r="X32" i="7"/>
  <c r="X39" i="7" s="1"/>
  <c r="X48" i="3"/>
  <c r="X209" i="3" s="1"/>
  <c r="V153" i="7"/>
  <c r="U149" i="4" s="1"/>
  <c r="U116" i="4" s="1"/>
  <c r="BD23" i="2"/>
  <c r="X57" i="4" l="1" a="1"/>
  <c r="X57" i="4" s="1"/>
  <c r="AB136" i="4"/>
  <c r="X64" i="4" a="1"/>
  <c r="X64" i="4" s="1"/>
  <c r="AB152" i="4"/>
  <c r="AD43" i="7"/>
  <c r="AD35" i="7"/>
  <c r="AD48" i="7"/>
  <c r="AD44" i="7"/>
  <c r="AD45" i="7"/>
  <c r="AD46" i="7"/>
  <c r="AD47" i="7"/>
  <c r="AD36" i="7"/>
  <c r="AD34" i="7"/>
  <c r="AD38" i="7"/>
  <c r="AD33" i="7"/>
  <c r="AD37" i="7"/>
  <c r="AD161" i="7"/>
  <c r="AD164" i="7"/>
  <c r="V111" i="4"/>
  <c r="AC27" i="7"/>
  <c r="X59" i="4" s="1"/>
  <c r="AB146" i="4" s="1"/>
  <c r="AB144" i="4" s="1"/>
  <c r="AD14" i="7"/>
  <c r="AD12" i="7"/>
  <c r="AD23" i="7"/>
  <c r="AD13" i="7"/>
  <c r="AD21" i="7"/>
  <c r="AD24" i="7"/>
  <c r="AD11" i="7"/>
  <c r="AD15" i="7"/>
  <c r="AD10" i="7"/>
  <c r="AD22" i="7"/>
  <c r="AD26" i="7"/>
  <c r="AD20" i="7"/>
  <c r="AD16" i="7"/>
  <c r="AD25" i="7"/>
  <c r="AE22" i="3"/>
  <c r="AF10" i="3"/>
  <c r="AF213" i="3" s="1"/>
  <c r="AE5" i="7"/>
  <c r="AE34" i="3"/>
  <c r="AF9" i="3"/>
  <c r="AE4" i="7"/>
  <c r="AG19" i="2"/>
  <c r="AF30" i="2"/>
  <c r="AF20" i="2" s="1"/>
  <c r="U129" i="4"/>
  <c r="U96" i="4"/>
  <c r="U97" i="4"/>
  <c r="U130" i="4"/>
  <c r="W168" i="7"/>
  <c r="V139" i="4" s="1"/>
  <c r="W171" i="7"/>
  <c r="V155" i="4" s="1"/>
  <c r="W112" i="4"/>
  <c r="W119" i="4"/>
  <c r="W103" i="4"/>
  <c r="W113" i="4"/>
  <c r="T128" i="4"/>
  <c r="T134" i="4" s="1"/>
  <c r="T137" i="4" s="1"/>
  <c r="T140" i="4" s="1"/>
  <c r="T135" i="4"/>
  <c r="T138" i="4" s="1"/>
  <c r="T141" i="4" s="1"/>
  <c r="T95" i="4"/>
  <c r="T101" i="4" s="1"/>
  <c r="T104" i="4" s="1"/>
  <c r="T107" i="4" s="1"/>
  <c r="P81" i="4" s="1" a="1"/>
  <c r="P81" i="4" s="1"/>
  <c r="T102" i="4"/>
  <c r="T105" i="4" s="1"/>
  <c r="T108" i="4" s="1"/>
  <c r="W131" i="4"/>
  <c r="W98" i="4" s="1"/>
  <c r="S53" i="4"/>
  <c r="Y93" i="7"/>
  <c r="Y121" i="7" s="1"/>
  <c r="Y132" i="7" s="1"/>
  <c r="Y80" i="7"/>
  <c r="Y107" i="7" s="1"/>
  <c r="Y118" i="7" s="1"/>
  <c r="AE22" i="2"/>
  <c r="W132" i="4"/>
  <c r="W99" i="4" s="1"/>
  <c r="S54" i="4"/>
  <c r="S61" i="4"/>
  <c r="W148" i="4"/>
  <c r="W115" i="4" s="1"/>
  <c r="BC2" i="2"/>
  <c r="AR18" i="4"/>
  <c r="AR7" i="4"/>
  <c r="S123" i="4"/>
  <c r="O82" i="4" s="1" a="1"/>
  <c r="O82" i="4" s="1"/>
  <c r="U151" i="4"/>
  <c r="U154" i="4" s="1"/>
  <c r="U157" i="4" s="1"/>
  <c r="U150" i="4"/>
  <c r="U153" i="4" s="1"/>
  <c r="U156" i="4" s="1"/>
  <c r="T117" i="4"/>
  <c r="T120" i="4" s="1"/>
  <c r="T118" i="4"/>
  <c r="T121" i="4" s="1"/>
  <c r="T124" i="4" s="1"/>
  <c r="U114" i="4"/>
  <c r="V147" i="4"/>
  <c r="V142" i="7"/>
  <c r="V143" i="7"/>
  <c r="V144" i="7" s="1"/>
  <c r="U133" i="4" s="1"/>
  <c r="U100" i="4" s="1"/>
  <c r="W17" i="7"/>
  <c r="R52" i="4" s="1"/>
  <c r="W140" i="7"/>
  <c r="W136" i="7"/>
  <c r="W141" i="7"/>
  <c r="W138" i="7"/>
  <c r="W137" i="7"/>
  <c r="W139" i="7"/>
  <c r="Y32" i="7"/>
  <c r="Y39" i="7" s="1"/>
  <c r="Y48" i="3"/>
  <c r="Y209" i="3" s="1"/>
  <c r="X42" i="7"/>
  <c r="X49" i="7" s="1"/>
  <c r="S60" i="4" s="1"/>
  <c r="W153" i="7"/>
  <c r="V149" i="4" s="1"/>
  <c r="V116" i="4" s="1"/>
  <c r="BE23" i="2"/>
  <c r="Y64" i="4" l="1" a="1"/>
  <c r="Y64" i="4" s="1"/>
  <c r="AC152" i="4"/>
  <c r="Y57" i="4" a="1"/>
  <c r="Y57" i="4" s="1"/>
  <c r="AC136" i="4"/>
  <c r="AE164" i="7"/>
  <c r="AE37" i="7"/>
  <c r="AE33" i="7"/>
  <c r="AE44" i="7"/>
  <c r="AE35" i="7"/>
  <c r="AE43" i="7"/>
  <c r="AE161" i="7"/>
  <c r="AE45" i="7"/>
  <c r="AE47" i="7"/>
  <c r="AE48" i="7"/>
  <c r="AE36" i="7"/>
  <c r="AE38" i="7"/>
  <c r="AE34" i="7"/>
  <c r="AE46" i="7"/>
  <c r="AE13" i="7"/>
  <c r="AE24" i="7"/>
  <c r="AE25" i="7"/>
  <c r="AE22" i="7"/>
  <c r="AE14" i="7"/>
  <c r="AE20" i="7"/>
  <c r="AE12" i="7"/>
  <c r="AE16" i="7"/>
  <c r="AE23" i="7"/>
  <c r="AE10" i="7"/>
  <c r="AE11" i="7"/>
  <c r="AE15" i="7"/>
  <c r="AE21" i="7"/>
  <c r="AE26" i="7"/>
  <c r="AD27" i="7"/>
  <c r="Y59" i="4" s="1"/>
  <c r="AC146" i="4" s="1"/>
  <c r="AC144" i="4" s="1"/>
  <c r="AG9" i="3"/>
  <c r="AF4" i="7"/>
  <c r="W111" i="4"/>
  <c r="AG10" i="3"/>
  <c r="AG213" i="3" s="1"/>
  <c r="AF5" i="7"/>
  <c r="AF22" i="3"/>
  <c r="AF34" i="3"/>
  <c r="AH19" i="2"/>
  <c r="AG30" i="2"/>
  <c r="AG20" i="2" s="1"/>
  <c r="V129" i="4"/>
  <c r="V96" i="4"/>
  <c r="V97" i="4"/>
  <c r="V130" i="4"/>
  <c r="U128" i="4"/>
  <c r="U134" i="4" s="1"/>
  <c r="U137" i="4" s="1"/>
  <c r="U140" i="4" s="1"/>
  <c r="U135" i="4"/>
  <c r="U138" i="4" s="1"/>
  <c r="U141" i="4" s="1"/>
  <c r="X168" i="7"/>
  <c r="W139" i="4" s="1"/>
  <c r="X171" i="7"/>
  <c r="W155" i="4" s="1"/>
  <c r="X112" i="4"/>
  <c r="X103" i="4"/>
  <c r="X119" i="4"/>
  <c r="X113" i="4"/>
  <c r="U95" i="4"/>
  <c r="U101" i="4" s="1"/>
  <c r="U104" i="4" s="1"/>
  <c r="U107" i="4" s="1"/>
  <c r="Q81" i="4" s="1" a="1"/>
  <c r="Q81" i="4" s="1"/>
  <c r="U102" i="4"/>
  <c r="U105" i="4" s="1"/>
  <c r="U108" i="4" s="1"/>
  <c r="X131" i="4"/>
  <c r="X98" i="4" s="1"/>
  <c r="T53" i="4"/>
  <c r="Z80" i="7"/>
  <c r="Z107" i="7" s="1"/>
  <c r="Z118" i="7" s="1"/>
  <c r="Z93" i="7"/>
  <c r="Z121" i="7" s="1"/>
  <c r="Z132" i="7" s="1"/>
  <c r="BD2" i="2"/>
  <c r="AS18" i="4"/>
  <c r="AS7" i="4"/>
  <c r="X132" i="4"/>
  <c r="X99" i="4" s="1"/>
  <c r="T54" i="4"/>
  <c r="T61" i="4"/>
  <c r="X148" i="4"/>
  <c r="X115" i="4" s="1"/>
  <c r="AF22" i="2"/>
  <c r="T123" i="4"/>
  <c r="P82" i="4" s="1" a="1"/>
  <c r="P82" i="4" s="1"/>
  <c r="V151" i="4"/>
  <c r="V154" i="4" s="1"/>
  <c r="V157" i="4" s="1"/>
  <c r="V150" i="4"/>
  <c r="V153" i="4" s="1"/>
  <c r="V156" i="4" s="1"/>
  <c r="U118" i="4"/>
  <c r="U121" i="4" s="1"/>
  <c r="U124" i="4" s="1"/>
  <c r="U117" i="4"/>
  <c r="U120" i="4" s="1"/>
  <c r="V114" i="4"/>
  <c r="W147" i="4"/>
  <c r="W143" i="7"/>
  <c r="W144" i="7" s="1"/>
  <c r="V133" i="4" s="1"/>
  <c r="V100" i="4" s="1"/>
  <c r="W142" i="7"/>
  <c r="X17" i="7"/>
  <c r="S52" i="4" s="1"/>
  <c r="X140" i="7"/>
  <c r="X136" i="7"/>
  <c r="X141" i="7"/>
  <c r="X138" i="7"/>
  <c r="X139" i="7"/>
  <c r="X137" i="7"/>
  <c r="Y42" i="7"/>
  <c r="Y49" i="7" s="1"/>
  <c r="T60" i="4" s="1"/>
  <c r="Z32" i="7"/>
  <c r="Z39" i="7" s="1"/>
  <c r="Z48" i="3"/>
  <c r="Z209" i="3" s="1"/>
  <c r="X153" i="7"/>
  <c r="W149" i="4" s="1"/>
  <c r="W116" i="4" s="1"/>
  <c r="Z57" i="4" l="1" a="1"/>
  <c r="Z57" i="4" s="1"/>
  <c r="AD136" i="4"/>
  <c r="AD152" i="4"/>
  <c r="Z64" i="4" a="1"/>
  <c r="Z64" i="4" s="1"/>
  <c r="AF161" i="7"/>
  <c r="AF37" i="7"/>
  <c r="AF164" i="7"/>
  <c r="AF33" i="7"/>
  <c r="AF38" i="7"/>
  <c r="AF47" i="7"/>
  <c r="AF46" i="7"/>
  <c r="AF36" i="7"/>
  <c r="AF43" i="7"/>
  <c r="AF35" i="7"/>
  <c r="AF44" i="7"/>
  <c r="AF48" i="7"/>
  <c r="AF45" i="7"/>
  <c r="AF34" i="7"/>
  <c r="AH9" i="3"/>
  <c r="AG4" i="7"/>
  <c r="AE27" i="7"/>
  <c r="Z59" i="4" s="1"/>
  <c r="AD146" i="4" s="1"/>
  <c r="AD144" i="4" s="1"/>
  <c r="AF12" i="7"/>
  <c r="AF13" i="7"/>
  <c r="AF25" i="7"/>
  <c r="AF10" i="7"/>
  <c r="AF11" i="7"/>
  <c r="AF26" i="7"/>
  <c r="AF20" i="7"/>
  <c r="AF23" i="7"/>
  <c r="AF22" i="7"/>
  <c r="AF15" i="7"/>
  <c r="AF24" i="7"/>
  <c r="AF21" i="7"/>
  <c r="AF14" i="7"/>
  <c r="AF16" i="7"/>
  <c r="AG34" i="3"/>
  <c r="AH10" i="3"/>
  <c r="AH213" i="3" s="1"/>
  <c r="AG5" i="7"/>
  <c r="AG22" i="3"/>
  <c r="X111" i="4"/>
  <c r="AI19" i="2"/>
  <c r="AH30" i="2"/>
  <c r="AH20" i="2" s="1"/>
  <c r="W129" i="4"/>
  <c r="W96" i="4"/>
  <c r="V128" i="4"/>
  <c r="V134" i="4" s="1"/>
  <c r="V137" i="4" s="1"/>
  <c r="V140" i="4" s="1"/>
  <c r="V135" i="4"/>
  <c r="V138" i="4" s="1"/>
  <c r="V141" i="4" s="1"/>
  <c r="Y112" i="4"/>
  <c r="Y119" i="4"/>
  <c r="Y103" i="4"/>
  <c r="Y113" i="4"/>
  <c r="Y168" i="7"/>
  <c r="X139" i="4" s="1"/>
  <c r="Y171" i="7"/>
  <c r="X155" i="4" s="1"/>
  <c r="V95" i="4"/>
  <c r="V101" i="4" s="1"/>
  <c r="V104" i="4" s="1"/>
  <c r="V107" i="4" s="1"/>
  <c r="R81" i="4" s="1" a="1"/>
  <c r="R81" i="4" s="1"/>
  <c r="V102" i="4"/>
  <c r="V105" i="4" s="1"/>
  <c r="V108" i="4" s="1"/>
  <c r="W97" i="4"/>
  <c r="W130" i="4"/>
  <c r="Y131" i="4"/>
  <c r="Y98" i="4" s="1"/>
  <c r="U53" i="4"/>
  <c r="AA93" i="7"/>
  <c r="AA121" i="7" s="1"/>
  <c r="AA132" i="7" s="1"/>
  <c r="AA80" i="7"/>
  <c r="AA107" i="7" s="1"/>
  <c r="AA118" i="7" s="1"/>
  <c r="U61" i="4"/>
  <c r="Y148" i="4"/>
  <c r="Y115" i="4" s="1"/>
  <c r="AG22" i="2"/>
  <c r="Y132" i="4"/>
  <c r="Y99" i="4" s="1"/>
  <c r="U54" i="4"/>
  <c r="BE2" i="2"/>
  <c r="AT7" i="4"/>
  <c r="AT18" i="4"/>
  <c r="U123" i="4"/>
  <c r="Q82" i="4" s="1" a="1"/>
  <c r="Q82" i="4" s="1"/>
  <c r="W151" i="4"/>
  <c r="W154" i="4" s="1"/>
  <c r="W157" i="4" s="1"/>
  <c r="W150" i="4"/>
  <c r="W153" i="4" s="1"/>
  <c r="W156" i="4" s="1"/>
  <c r="V118" i="4"/>
  <c r="V121" i="4" s="1"/>
  <c r="V124" i="4" s="1"/>
  <c r="V117" i="4"/>
  <c r="V120" i="4" s="1"/>
  <c r="W114" i="4"/>
  <c r="X147" i="4"/>
  <c r="X143" i="7"/>
  <c r="X144" i="7" s="1"/>
  <c r="W133" i="4" s="1"/>
  <c r="W100" i="4" s="1"/>
  <c r="X142" i="7"/>
  <c r="Y17" i="7"/>
  <c r="T52" i="4" s="1"/>
  <c r="Y140" i="7"/>
  <c r="Y137" i="7"/>
  <c r="Y141" i="7"/>
  <c r="Y136" i="7"/>
  <c r="Y138" i="7"/>
  <c r="Y139" i="7"/>
  <c r="AA32" i="7"/>
  <c r="AA39" i="7" s="1"/>
  <c r="AA48" i="3"/>
  <c r="AA209" i="3" s="1"/>
  <c r="Z42" i="7"/>
  <c r="Z49" i="7" s="1"/>
  <c r="U60" i="4" s="1"/>
  <c r="Y153" i="7"/>
  <c r="X149" i="4" s="1"/>
  <c r="X116" i="4" s="1"/>
  <c r="AE152" i="4" l="1"/>
  <c r="AA64" i="4" a="1"/>
  <c r="AA64" i="4" s="1"/>
  <c r="AE136" i="4"/>
  <c r="AA57" i="4" a="1"/>
  <c r="AA57" i="4" s="1"/>
  <c r="AG34" i="7"/>
  <c r="AG38" i="7"/>
  <c r="AG47" i="7"/>
  <c r="AG46" i="7"/>
  <c r="AG36" i="7"/>
  <c r="AG37" i="7"/>
  <c r="AG161" i="7"/>
  <c r="AG32" i="7"/>
  <c r="AG48" i="7"/>
  <c r="AG35" i="7"/>
  <c r="AG45" i="7"/>
  <c r="AG43" i="7"/>
  <c r="AG164" i="7"/>
  <c r="AG33" i="7"/>
  <c r="AG44" i="7"/>
  <c r="AF27" i="7"/>
  <c r="AA59" i="4" s="1"/>
  <c r="AE146" i="4" s="1"/>
  <c r="AE144" i="4" s="1"/>
  <c r="AG24" i="7"/>
  <c r="AG10" i="7"/>
  <c r="AG26" i="7"/>
  <c r="AG21" i="7"/>
  <c r="AG11" i="7"/>
  <c r="AG23" i="7"/>
  <c r="AG15" i="7"/>
  <c r="AG13" i="7"/>
  <c r="AG20" i="7"/>
  <c r="AG16" i="7"/>
  <c r="AG25" i="7"/>
  <c r="AG12" i="7"/>
  <c r="AG14" i="7"/>
  <c r="AG22" i="7"/>
  <c r="AH5" i="7"/>
  <c r="AH22" i="3"/>
  <c r="AI10" i="3"/>
  <c r="AI213" i="3" s="1"/>
  <c r="AH34" i="3"/>
  <c r="AI9" i="3"/>
  <c r="AH4" i="7"/>
  <c r="AJ19" i="2"/>
  <c r="AI30" i="2"/>
  <c r="AI20" i="2" s="1"/>
  <c r="Y142" i="7"/>
  <c r="X129" i="4"/>
  <c r="X96" i="4"/>
  <c r="Y111" i="4"/>
  <c r="Z168" i="7"/>
  <c r="Y139" i="4" s="1"/>
  <c r="Z171" i="7"/>
  <c r="Y155" i="4" s="1"/>
  <c r="X97" i="4"/>
  <c r="X130" i="4"/>
  <c r="Z112" i="4"/>
  <c r="Z119" i="4"/>
  <c r="Z103" i="4"/>
  <c r="Z113" i="4"/>
  <c r="W128" i="4"/>
  <c r="W134" i="4" s="1"/>
  <c r="W137" i="4" s="1"/>
  <c r="W140" i="4" s="1"/>
  <c r="W135" i="4"/>
  <c r="W138" i="4" s="1"/>
  <c r="W141" i="4" s="1"/>
  <c r="W95" i="4"/>
  <c r="W101" i="4" s="1"/>
  <c r="W104" i="4" s="1"/>
  <c r="W107" i="4" s="1"/>
  <c r="S81" i="4" s="1" a="1"/>
  <c r="S81" i="4" s="1"/>
  <c r="W102" i="4"/>
  <c r="W105" i="4" s="1"/>
  <c r="W108" i="4" s="1"/>
  <c r="Z131" i="4"/>
  <c r="Z98" i="4" s="1"/>
  <c r="V53" i="4"/>
  <c r="AB80" i="7"/>
  <c r="AB107" i="7" s="1"/>
  <c r="AB118" i="7" s="1"/>
  <c r="AB93" i="7"/>
  <c r="AB121" i="7" s="1"/>
  <c r="AB132" i="7" s="1"/>
  <c r="V61" i="4"/>
  <c r="Z148" i="4"/>
  <c r="Z115" i="4" s="1"/>
  <c r="Z132" i="4"/>
  <c r="Z99" i="4" s="1"/>
  <c r="V54" i="4"/>
  <c r="AH22" i="2"/>
  <c r="AU18" i="4"/>
  <c r="AU7" i="4"/>
  <c r="V123" i="4"/>
  <c r="R82" i="4" s="1" a="1"/>
  <c r="R82" i="4" s="1"/>
  <c r="X151" i="4"/>
  <c r="X154" i="4" s="1"/>
  <c r="X157" i="4" s="1"/>
  <c r="X150" i="4"/>
  <c r="X153" i="4" s="1"/>
  <c r="X156" i="4" s="1"/>
  <c r="W118" i="4"/>
  <c r="W121" i="4" s="1"/>
  <c r="W124" i="4" s="1"/>
  <c r="W117" i="4"/>
  <c r="W120" i="4" s="1"/>
  <c r="X114" i="4"/>
  <c r="Y147" i="4"/>
  <c r="Y143" i="7"/>
  <c r="Y144" i="7" s="1"/>
  <c r="X133" i="4" s="1"/>
  <c r="X100" i="4" s="1"/>
  <c r="Z17" i="7"/>
  <c r="U52" i="4" s="1"/>
  <c r="Z137" i="7"/>
  <c r="Z141" i="7"/>
  <c r="Z138" i="7"/>
  <c r="Z136" i="7"/>
  <c r="Z139" i="7"/>
  <c r="Z140" i="7"/>
  <c r="AA42" i="7"/>
  <c r="AA49" i="7" s="1"/>
  <c r="V60" i="4" s="1"/>
  <c r="AB32" i="7"/>
  <c r="AB39" i="7" s="1"/>
  <c r="AB48" i="3"/>
  <c r="AB209" i="3" s="1"/>
  <c r="Z153" i="7"/>
  <c r="Y149" i="4" s="1"/>
  <c r="Y116" i="4" s="1"/>
  <c r="AG39" i="7" l="1"/>
  <c r="AH48" i="7"/>
  <c r="AH44" i="7"/>
  <c r="AH33" i="7"/>
  <c r="AH34" i="7"/>
  <c r="AH32" i="7"/>
  <c r="AH38" i="7"/>
  <c r="AH43" i="7"/>
  <c r="AH164" i="7"/>
  <c r="AH161" i="7"/>
  <c r="AH35" i="7"/>
  <c r="AH47" i="7"/>
  <c r="AH46" i="7"/>
  <c r="AH37" i="7"/>
  <c r="AH36" i="7"/>
  <c r="AH45" i="7"/>
  <c r="AB57" i="4" a="1"/>
  <c r="AB57" i="4" s="1"/>
  <c r="AF136" i="4"/>
  <c r="AB64" i="4" a="1"/>
  <c r="AB64" i="4" s="1"/>
  <c r="AF152" i="4"/>
  <c r="AG27" i="7"/>
  <c r="AB59" i="4" s="1"/>
  <c r="AF146" i="4" s="1"/>
  <c r="AF144" i="4" s="1"/>
  <c r="AH21" i="7"/>
  <c r="AH20" i="7"/>
  <c r="AH14" i="7"/>
  <c r="AH25" i="7"/>
  <c r="AH10" i="7"/>
  <c r="AH26" i="7"/>
  <c r="AH16" i="7"/>
  <c r="AH13" i="7"/>
  <c r="AH12" i="7"/>
  <c r="AH22" i="7"/>
  <c r="AH23" i="7"/>
  <c r="AH15" i="7"/>
  <c r="AH11" i="7"/>
  <c r="AH24" i="7"/>
  <c r="AJ9" i="3"/>
  <c r="AI4" i="7"/>
  <c r="AJ10" i="3"/>
  <c r="AJ213" i="3" s="1"/>
  <c r="AI5" i="7"/>
  <c r="AI34" i="3"/>
  <c r="AI22" i="3"/>
  <c r="Z111" i="4"/>
  <c r="AK19" i="2"/>
  <c r="AJ30" i="2"/>
  <c r="AJ20" i="2" s="1"/>
  <c r="Z142" i="7"/>
  <c r="Y129" i="4"/>
  <c r="Y96" i="4"/>
  <c r="X128" i="4"/>
  <c r="X134" i="4" s="1"/>
  <c r="X137" i="4" s="1"/>
  <c r="X140" i="4" s="1"/>
  <c r="X135" i="4"/>
  <c r="X138" i="4" s="1"/>
  <c r="X141" i="4" s="1"/>
  <c r="Y97" i="4"/>
  <c r="Y130" i="4"/>
  <c r="X95" i="4"/>
  <c r="X101" i="4" s="1"/>
  <c r="X104" i="4" s="1"/>
  <c r="X107" i="4" s="1"/>
  <c r="T81" i="4" s="1" a="1"/>
  <c r="T81" i="4" s="1"/>
  <c r="X102" i="4"/>
  <c r="X105" i="4" s="1"/>
  <c r="X108" i="4" s="1"/>
  <c r="AA112" i="4"/>
  <c r="AA119" i="4"/>
  <c r="AA103" i="4"/>
  <c r="AA113" i="4"/>
  <c r="AA168" i="7"/>
  <c r="Z139" i="4" s="1"/>
  <c r="AA171" i="7"/>
  <c r="Z155" i="4" s="1"/>
  <c r="AA131" i="4"/>
  <c r="AA98" i="4" s="1"/>
  <c r="W53" i="4"/>
  <c r="AC80" i="7"/>
  <c r="AC107" i="7" s="1"/>
  <c r="AC118" i="7" s="1"/>
  <c r="AC93" i="7"/>
  <c r="AC121" i="7" s="1"/>
  <c r="AC132" i="7" s="1"/>
  <c r="AI22" i="2"/>
  <c r="W61" i="4"/>
  <c r="AA148" i="4"/>
  <c r="AA115" i="4" s="1"/>
  <c r="AA132" i="4"/>
  <c r="AA99" i="4" s="1"/>
  <c r="W54" i="4"/>
  <c r="W123" i="4"/>
  <c r="S82" i="4" s="1" a="1"/>
  <c r="S82" i="4" s="1"/>
  <c r="Y151" i="4"/>
  <c r="Y154" i="4" s="1"/>
  <c r="Y157" i="4" s="1"/>
  <c r="Y150" i="4"/>
  <c r="Y153" i="4" s="1"/>
  <c r="Y156" i="4" s="1"/>
  <c r="X118" i="4"/>
  <c r="X121" i="4" s="1"/>
  <c r="X124" i="4" s="1"/>
  <c r="X117" i="4"/>
  <c r="X120" i="4" s="1"/>
  <c r="Y114" i="4"/>
  <c r="Z147" i="4"/>
  <c r="AA17" i="7"/>
  <c r="V52" i="4" s="1"/>
  <c r="AA141" i="7"/>
  <c r="AA137" i="7"/>
  <c r="AA138" i="7"/>
  <c r="AA136" i="7"/>
  <c r="AA139" i="7"/>
  <c r="AA140" i="7"/>
  <c r="Z143" i="7"/>
  <c r="Z144" i="7" s="1"/>
  <c r="Y133" i="4" s="1"/>
  <c r="Y100" i="4" s="1"/>
  <c r="AC32" i="7"/>
  <c r="AC39" i="7" s="1"/>
  <c r="AC48" i="3"/>
  <c r="AC209" i="3" s="1"/>
  <c r="AB42" i="7"/>
  <c r="AB49" i="7" s="1"/>
  <c r="W60" i="4" s="1"/>
  <c r="AA153" i="7"/>
  <c r="Z149" i="4" s="1"/>
  <c r="Z116" i="4" s="1"/>
  <c r="AH39" i="7" l="1"/>
  <c r="AC57" i="4" a="1"/>
  <c r="AC57" i="4" s="1"/>
  <c r="AG136" i="4"/>
  <c r="AI45" i="7"/>
  <c r="AI38" i="7"/>
  <c r="AI164" i="7"/>
  <c r="AI48" i="7"/>
  <c r="AI35" i="7"/>
  <c r="AI161" i="7"/>
  <c r="AI47" i="7"/>
  <c r="AI36" i="7"/>
  <c r="AI37" i="7"/>
  <c r="AI43" i="7"/>
  <c r="AI46" i="7"/>
  <c r="AI44" i="7"/>
  <c r="AI34" i="7"/>
  <c r="AI33" i="7"/>
  <c r="AI32" i="7"/>
  <c r="AG152" i="4"/>
  <c r="AC64" i="4" a="1"/>
  <c r="AC64" i="4" s="1"/>
  <c r="AF131" i="4"/>
  <c r="AB53" i="4"/>
  <c r="AH27" i="7"/>
  <c r="AC59" i="4" s="1"/>
  <c r="AG146" i="4" s="1"/>
  <c r="AG144" i="4" s="1"/>
  <c r="AJ34" i="3"/>
  <c r="AK10" i="3"/>
  <c r="AK213" i="3" s="1"/>
  <c r="AJ5" i="7"/>
  <c r="AJ22" i="3"/>
  <c r="AK9" i="3"/>
  <c r="AJ4" i="7"/>
  <c r="AI14" i="7"/>
  <c r="AI20" i="7"/>
  <c r="AI25" i="7"/>
  <c r="AI13" i="7"/>
  <c r="AI12" i="7"/>
  <c r="AI11" i="7"/>
  <c r="AI22" i="7"/>
  <c r="AI16" i="7"/>
  <c r="AI21" i="7"/>
  <c r="AI23" i="7"/>
  <c r="AI15" i="7"/>
  <c r="AI24" i="7"/>
  <c r="AI26" i="7"/>
  <c r="AI10" i="7"/>
  <c r="AL19" i="2"/>
  <c r="AM19" i="2" s="1"/>
  <c r="AN19" i="2" s="1"/>
  <c r="AO19" i="2" s="1"/>
  <c r="AP19" i="2" s="1"/>
  <c r="AQ19" i="2" s="1"/>
  <c r="AR19" i="2" s="1"/>
  <c r="AS19" i="2" s="1"/>
  <c r="AT19" i="2" s="1"/>
  <c r="AU19" i="2" s="1"/>
  <c r="AV19" i="2" s="1"/>
  <c r="AW19" i="2" s="1"/>
  <c r="AX19" i="2" s="1"/>
  <c r="AY19" i="2" s="1"/>
  <c r="AZ19" i="2" s="1"/>
  <c r="BA19" i="2" s="1"/>
  <c r="BB19" i="2" s="1"/>
  <c r="BC19" i="2" s="1"/>
  <c r="BD19" i="2" s="1"/>
  <c r="BE19" i="2" s="1"/>
  <c r="AK30" i="2"/>
  <c r="AK20" i="2" s="1"/>
  <c r="Y128" i="4"/>
  <c r="Y134" i="4" s="1"/>
  <c r="Y137" i="4" s="1"/>
  <c r="Y140" i="4" s="1"/>
  <c r="Y135" i="4"/>
  <c r="Y138" i="4" s="1"/>
  <c r="Y141" i="4" s="1"/>
  <c r="Z96" i="4"/>
  <c r="Z129" i="4"/>
  <c r="Y95" i="4"/>
  <c r="Y101" i="4" s="1"/>
  <c r="Y104" i="4" s="1"/>
  <c r="Y107" i="4" s="1"/>
  <c r="U81" i="4" s="1" a="1"/>
  <c r="U81" i="4" s="1"/>
  <c r="Y102" i="4"/>
  <c r="Y105" i="4" s="1"/>
  <c r="Y108" i="4" s="1"/>
  <c r="AB168" i="7"/>
  <c r="AA139" i="4" s="1"/>
  <c r="AB171" i="7"/>
  <c r="AA155" i="4" s="1"/>
  <c r="Z97" i="4"/>
  <c r="Z130" i="4"/>
  <c r="AB112" i="4"/>
  <c r="AB119" i="4"/>
  <c r="AB103" i="4"/>
  <c r="AB113" i="4"/>
  <c r="AA111" i="4"/>
  <c r="AB131" i="4"/>
  <c r="AB98" i="4" s="1"/>
  <c r="X53" i="4"/>
  <c r="AD93" i="7"/>
  <c r="AD121" i="7" s="1"/>
  <c r="AD132" i="7" s="1"/>
  <c r="AD80" i="7"/>
  <c r="AD107" i="7" s="1"/>
  <c r="AD118" i="7" s="1"/>
  <c r="AB132" i="4"/>
  <c r="AB99" i="4" s="1"/>
  <c r="X54" i="4"/>
  <c r="X61" i="4"/>
  <c r="AB148" i="4"/>
  <c r="AB115" i="4" s="1"/>
  <c r="AJ22" i="2"/>
  <c r="X123" i="4"/>
  <c r="T82" i="4" s="1" a="1"/>
  <c r="T82" i="4" s="1"/>
  <c r="Z151" i="4"/>
  <c r="Z154" i="4" s="1"/>
  <c r="Z157" i="4" s="1"/>
  <c r="Z150" i="4"/>
  <c r="Z153" i="4" s="1"/>
  <c r="Z156" i="4" s="1"/>
  <c r="Y117" i="4"/>
  <c r="Y120" i="4" s="1"/>
  <c r="Y118" i="4"/>
  <c r="Y121" i="4" s="1"/>
  <c r="Y124" i="4" s="1"/>
  <c r="Z114" i="4"/>
  <c r="AA147" i="4"/>
  <c r="AA142" i="7"/>
  <c r="AB17" i="7"/>
  <c r="W52" i="4" s="1"/>
  <c r="AB141" i="7"/>
  <c r="AB138" i="7"/>
  <c r="AB137" i="7"/>
  <c r="AB139" i="7"/>
  <c r="AB136" i="7"/>
  <c r="AB140" i="7"/>
  <c r="AA143" i="7"/>
  <c r="AA144" i="7" s="1"/>
  <c r="Z133" i="4" s="1"/>
  <c r="Z100" i="4" s="1"/>
  <c r="AC42" i="7"/>
  <c r="AC49" i="7" s="1"/>
  <c r="X60" i="4" s="1"/>
  <c r="AD32" i="7"/>
  <c r="AD39" i="7" s="1"/>
  <c r="AD48" i="3"/>
  <c r="AD209" i="3" s="1"/>
  <c r="AB153" i="7"/>
  <c r="AA149" i="4" s="1"/>
  <c r="AA116" i="4" s="1"/>
  <c r="AG48" i="3"/>
  <c r="AG209" i="3" s="1"/>
  <c r="AH136" i="4" l="1"/>
  <c r="AD57" i="4" a="1"/>
  <c r="AD57" i="4" s="1"/>
  <c r="AI39" i="7"/>
  <c r="AD64" i="4" a="1"/>
  <c r="AD64" i="4" s="1"/>
  <c r="AH152" i="4"/>
  <c r="AJ34" i="7"/>
  <c r="AJ38" i="7"/>
  <c r="AJ47" i="7"/>
  <c r="AJ36" i="7"/>
  <c r="AJ37" i="7"/>
  <c r="AJ35" i="7"/>
  <c r="AJ33" i="7"/>
  <c r="AJ44" i="7"/>
  <c r="AJ164" i="7"/>
  <c r="AJ43" i="7"/>
  <c r="AJ32" i="7"/>
  <c r="AJ46" i="7"/>
  <c r="AJ161" i="7"/>
  <c r="AJ48" i="7"/>
  <c r="AJ45" i="7"/>
  <c r="AG131" i="4"/>
  <c r="AC53" i="4"/>
  <c r="AI27" i="7"/>
  <c r="AD59" i="4" s="1"/>
  <c r="AH146" i="4" s="1"/>
  <c r="AH144" i="4" s="1"/>
  <c r="AL9" i="3"/>
  <c r="AK4" i="7"/>
  <c r="AJ12" i="7"/>
  <c r="AJ22" i="7"/>
  <c r="AJ26" i="7"/>
  <c r="AJ10" i="7"/>
  <c r="AJ25" i="7"/>
  <c r="AJ14" i="7"/>
  <c r="AJ15" i="7"/>
  <c r="AJ11" i="7"/>
  <c r="AJ23" i="7"/>
  <c r="AJ21" i="7"/>
  <c r="AJ20" i="7"/>
  <c r="AJ24" i="7"/>
  <c r="AJ13" i="7"/>
  <c r="AJ16" i="7"/>
  <c r="AK5" i="7"/>
  <c r="AL10" i="3"/>
  <c r="AL213" i="3" s="1"/>
  <c r="AK22" i="3"/>
  <c r="AK34" i="3"/>
  <c r="Z95" i="4"/>
  <c r="Z101" i="4" s="1"/>
  <c r="Z104" i="4" s="1"/>
  <c r="Z107" i="4" s="1"/>
  <c r="V81" i="4" s="1" a="1"/>
  <c r="V81" i="4" s="1"/>
  <c r="Z102" i="4"/>
  <c r="Z105" i="4" s="1"/>
  <c r="Z108" i="4" s="1"/>
  <c r="Z128" i="4"/>
  <c r="Z134" i="4" s="1"/>
  <c r="Z137" i="4" s="1"/>
  <c r="Z140" i="4" s="1"/>
  <c r="Z135" i="4"/>
  <c r="Z138" i="4" s="1"/>
  <c r="Z141" i="4" s="1"/>
  <c r="AB142" i="7"/>
  <c r="AA129" i="4"/>
  <c r="AA96" i="4"/>
  <c r="AA97" i="4"/>
  <c r="AA130" i="4"/>
  <c r="AC112" i="4"/>
  <c r="AC119" i="4"/>
  <c r="AC103" i="4"/>
  <c r="AC113" i="4"/>
  <c r="AC168" i="7"/>
  <c r="AB139" i="4" s="1"/>
  <c r="AC171" i="7"/>
  <c r="AB155" i="4" s="1"/>
  <c r="AB111" i="4"/>
  <c r="AC131" i="4"/>
  <c r="AC98" i="4" s="1"/>
  <c r="Y53" i="4"/>
  <c r="AE93" i="7"/>
  <c r="AE121" i="7" s="1"/>
  <c r="AE132" i="7" s="1"/>
  <c r="AE80" i="7"/>
  <c r="AE107" i="7" s="1"/>
  <c r="AE118" i="7" s="1"/>
  <c r="Y61" i="4"/>
  <c r="AC148" i="4"/>
  <c r="AC115" i="4" s="1"/>
  <c r="AL20" i="2"/>
  <c r="AK22" i="2"/>
  <c r="AC132" i="4"/>
  <c r="AC99" i="4" s="1"/>
  <c r="Y54" i="4"/>
  <c r="Y123" i="4"/>
  <c r="U82" i="4" s="1" a="1"/>
  <c r="U82" i="4" s="1"/>
  <c r="AA151" i="4"/>
  <c r="AA154" i="4" s="1"/>
  <c r="AA157" i="4" s="1"/>
  <c r="AA150" i="4"/>
  <c r="AA153" i="4" s="1"/>
  <c r="AA156" i="4" s="1"/>
  <c r="Z117" i="4"/>
  <c r="Z120" i="4" s="1"/>
  <c r="Z118" i="4"/>
  <c r="Z121" i="4" s="1"/>
  <c r="Z124" i="4" s="1"/>
  <c r="AA114" i="4"/>
  <c r="AB147" i="4"/>
  <c r="AB143" i="7"/>
  <c r="AB144" i="7" s="1"/>
  <c r="AA133" i="4" s="1"/>
  <c r="AA100" i="4" s="1"/>
  <c r="AC17" i="7"/>
  <c r="X52" i="4" s="1"/>
  <c r="AC138" i="7"/>
  <c r="AC137" i="7"/>
  <c r="AC139" i="7"/>
  <c r="AC140" i="7"/>
  <c r="AC136" i="7"/>
  <c r="AC141" i="7"/>
  <c r="AE32" i="7"/>
  <c r="AE39" i="7" s="1"/>
  <c r="AE48" i="3"/>
  <c r="AE209" i="3" s="1"/>
  <c r="AD42" i="7"/>
  <c r="AD49" i="7" s="1"/>
  <c r="Y60" i="4" s="1"/>
  <c r="AC153" i="7"/>
  <c r="AB149" i="4" s="1"/>
  <c r="AB116" i="4" s="1"/>
  <c r="AH48" i="3"/>
  <c r="AH209" i="3" s="1"/>
  <c r="AI136" i="4" l="1"/>
  <c r="AE57" i="4" a="1"/>
  <c r="AE57" i="4" s="1"/>
  <c r="AK44" i="7"/>
  <c r="AK164" i="7"/>
  <c r="AK161" i="7"/>
  <c r="AK46" i="7"/>
  <c r="AK36" i="7"/>
  <c r="AK34" i="7"/>
  <c r="AK38" i="7"/>
  <c r="AK48" i="7"/>
  <c r="AK33" i="7"/>
  <c r="AK43" i="7"/>
  <c r="AK32" i="7"/>
  <c r="AK35" i="7"/>
  <c r="AK37" i="7"/>
  <c r="AK47" i="7"/>
  <c r="AK45" i="7"/>
  <c r="AJ39" i="7"/>
  <c r="AH131" i="4"/>
  <c r="AD53" i="4"/>
  <c r="AI152" i="4"/>
  <c r="AE64" i="4" a="1"/>
  <c r="AE64" i="4" s="1"/>
  <c r="AL5" i="7"/>
  <c r="AL34" i="3"/>
  <c r="AM10" i="3"/>
  <c r="AM213" i="3" s="1"/>
  <c r="AL22" i="3"/>
  <c r="AJ27" i="7"/>
  <c r="AE59" i="4" s="1"/>
  <c r="AI146" i="4" s="1"/>
  <c r="AI144" i="4" s="1"/>
  <c r="AK21" i="7"/>
  <c r="AK14" i="7"/>
  <c r="AK13" i="7"/>
  <c r="AK23" i="7"/>
  <c r="AK16" i="7"/>
  <c r="AK10" i="7"/>
  <c r="AK11" i="7"/>
  <c r="AK22" i="7"/>
  <c r="AK25" i="7"/>
  <c r="AK26" i="7"/>
  <c r="AK15" i="7"/>
  <c r="AK24" i="7"/>
  <c r="AK20" i="7"/>
  <c r="AK12" i="7"/>
  <c r="AM9" i="3"/>
  <c r="AL4" i="7"/>
  <c r="AC142" i="7"/>
  <c r="AB96" i="4"/>
  <c r="AB129" i="4"/>
  <c r="AA95" i="4"/>
  <c r="AA101" i="4" s="1"/>
  <c r="AA104" i="4" s="1"/>
  <c r="AA107" i="4" s="1"/>
  <c r="W81" i="4" s="1" a="1"/>
  <c r="W81" i="4" s="1"/>
  <c r="AA102" i="4"/>
  <c r="AA105" i="4" s="1"/>
  <c r="AA108" i="4" s="1"/>
  <c r="AB97" i="4"/>
  <c r="AB130" i="4"/>
  <c r="AA128" i="4"/>
  <c r="AA134" i="4" s="1"/>
  <c r="AA137" i="4" s="1"/>
  <c r="AA140" i="4" s="1"/>
  <c r="AA135" i="4"/>
  <c r="AA138" i="4" s="1"/>
  <c r="AA141" i="4" s="1"/>
  <c r="AD112" i="4"/>
  <c r="AD103" i="4"/>
  <c r="AD119" i="4"/>
  <c r="AD113" i="4"/>
  <c r="AD171" i="7"/>
  <c r="AC155" i="4" s="1"/>
  <c r="AD168" i="7"/>
  <c r="AC139" i="4" s="1"/>
  <c r="AC111" i="4"/>
  <c r="AD131" i="4"/>
  <c r="AD98" i="4" s="1"/>
  <c r="Z53" i="4"/>
  <c r="AF93" i="7"/>
  <c r="AF121" i="7" s="1"/>
  <c r="AF132" i="7" s="1"/>
  <c r="AF80" i="7"/>
  <c r="AF107" i="7" s="1"/>
  <c r="AF118" i="7" s="1"/>
  <c r="AD132" i="4"/>
  <c r="AD99" i="4" s="1"/>
  <c r="Z54" i="4"/>
  <c r="Z61" i="4"/>
  <c r="AD148" i="4"/>
  <c r="AD115" i="4" s="1"/>
  <c r="AM20" i="2"/>
  <c r="AL22" i="2"/>
  <c r="Z123" i="4"/>
  <c r="V82" i="4" s="1" a="1"/>
  <c r="V82" i="4" s="1"/>
  <c r="AB151" i="4"/>
  <c r="AB154" i="4" s="1"/>
  <c r="AB157" i="4" s="1"/>
  <c r="AB150" i="4"/>
  <c r="AB153" i="4" s="1"/>
  <c r="AB156" i="4" s="1"/>
  <c r="AA118" i="4"/>
  <c r="AA121" i="4" s="1"/>
  <c r="AA124" i="4" s="1"/>
  <c r="AA117" i="4"/>
  <c r="AA120" i="4" s="1"/>
  <c r="AB114" i="4"/>
  <c r="AC147" i="4"/>
  <c r="AD17" i="7"/>
  <c r="Y52" i="4" s="1"/>
  <c r="AD138" i="7"/>
  <c r="AD139" i="7"/>
  <c r="AD137" i="7"/>
  <c r="AD140" i="7"/>
  <c r="AD136" i="7"/>
  <c r="AD141" i="7"/>
  <c r="AC143" i="7"/>
  <c r="AC144" i="7" s="1"/>
  <c r="AB133" i="4" s="1"/>
  <c r="AB100" i="4" s="1"/>
  <c r="AE42" i="7"/>
  <c r="AE49" i="7" s="1"/>
  <c r="Z60" i="4" s="1"/>
  <c r="AF32" i="7"/>
  <c r="AF39" i="7" s="1"/>
  <c r="AF48" i="3"/>
  <c r="AF209" i="3" s="1"/>
  <c r="AD153" i="7"/>
  <c r="AC149" i="4" s="1"/>
  <c r="AC116" i="4" s="1"/>
  <c r="AI48" i="3"/>
  <c r="AI209" i="3" s="1"/>
  <c r="AL33" i="7" l="1"/>
  <c r="AL45" i="7"/>
  <c r="AL38" i="7"/>
  <c r="AL48" i="7"/>
  <c r="AL43" i="7"/>
  <c r="AL47" i="7"/>
  <c r="AL32" i="7"/>
  <c r="AL37" i="7"/>
  <c r="AL35" i="7"/>
  <c r="AL36" i="7"/>
  <c r="AL46" i="7"/>
  <c r="AL44" i="7"/>
  <c r="AL34" i="7"/>
  <c r="AL161" i="7"/>
  <c r="AL164" i="7"/>
  <c r="AI131" i="4"/>
  <c r="AE53" i="4"/>
  <c r="AF57" i="4" a="1"/>
  <c r="AF57" i="4" s="1"/>
  <c r="AJ136" i="4"/>
  <c r="AJ152" i="4"/>
  <c r="AF64" i="4" a="1"/>
  <c r="AF64" i="4" s="1"/>
  <c r="AK39" i="7"/>
  <c r="AK27" i="7"/>
  <c r="AF59" i="4" s="1"/>
  <c r="AJ146" i="4" s="1"/>
  <c r="AJ144" i="4" s="1"/>
  <c r="AN9" i="3"/>
  <c r="AM4" i="7"/>
  <c r="AN10" i="3"/>
  <c r="AN213" i="3" s="1"/>
  <c r="AM22" i="3"/>
  <c r="AM5" i="7"/>
  <c r="AM34" i="3"/>
  <c r="AL11" i="7"/>
  <c r="AL15" i="7"/>
  <c r="AL21" i="7"/>
  <c r="AL23" i="7"/>
  <c r="AL20" i="7"/>
  <c r="AL26" i="7"/>
  <c r="AL16" i="7"/>
  <c r="AL10" i="7"/>
  <c r="AL12" i="7"/>
  <c r="AL13" i="7"/>
  <c r="AL24" i="7"/>
  <c r="AL25" i="7"/>
  <c r="AL22" i="7"/>
  <c r="AL14" i="7"/>
  <c r="AB128" i="4"/>
  <c r="AB134" i="4" s="1"/>
  <c r="AB137" i="4" s="1"/>
  <c r="AB140" i="4" s="1"/>
  <c r="AB135" i="4"/>
  <c r="AB138" i="4" s="1"/>
  <c r="AB141" i="4" s="1"/>
  <c r="AC97" i="4"/>
  <c r="AC130" i="4"/>
  <c r="AB95" i="4"/>
  <c r="AB101" i="4" s="1"/>
  <c r="AB104" i="4" s="1"/>
  <c r="AB107" i="4" s="1"/>
  <c r="X81" i="4" s="1" a="1"/>
  <c r="X81" i="4" s="1"/>
  <c r="AB102" i="4"/>
  <c r="AB105" i="4" s="1"/>
  <c r="AB108" i="4" s="1"/>
  <c r="AD142" i="7"/>
  <c r="AC96" i="4"/>
  <c r="AC129" i="4"/>
  <c r="AE112" i="4"/>
  <c r="AE119" i="4"/>
  <c r="AE103" i="4"/>
  <c r="AE113" i="4"/>
  <c r="AE171" i="7"/>
  <c r="AD155" i="4" s="1"/>
  <c r="AE168" i="7"/>
  <c r="AD139" i="4" s="1"/>
  <c r="AD111" i="4"/>
  <c r="AE131" i="4"/>
  <c r="AE98" i="4" s="1"/>
  <c r="AA53" i="4"/>
  <c r="AG93" i="7"/>
  <c r="AG121" i="7" s="1"/>
  <c r="AG132" i="7" s="1"/>
  <c r="AG80" i="7"/>
  <c r="AG107" i="7" s="1"/>
  <c r="AG118" i="7" s="1"/>
  <c r="AA61" i="4"/>
  <c r="AE148" i="4"/>
  <c r="AE115" i="4" s="1"/>
  <c r="AE132" i="4"/>
  <c r="AE99" i="4" s="1"/>
  <c r="AA54" i="4"/>
  <c r="AN20" i="2"/>
  <c r="AM22" i="2"/>
  <c r="AA123" i="4"/>
  <c r="W82" i="4" s="1" a="1"/>
  <c r="W82" i="4" s="1"/>
  <c r="AC151" i="4"/>
  <c r="AC154" i="4" s="1"/>
  <c r="AC157" i="4" s="1"/>
  <c r="AC150" i="4"/>
  <c r="AC153" i="4" s="1"/>
  <c r="AC156" i="4" s="1"/>
  <c r="AB118" i="4"/>
  <c r="AB121" i="4" s="1"/>
  <c r="AB124" i="4" s="1"/>
  <c r="AB117" i="4"/>
  <c r="AB120" i="4" s="1"/>
  <c r="AC114" i="4"/>
  <c r="AD147" i="4"/>
  <c r="AE17" i="7"/>
  <c r="Z52" i="4" s="1"/>
  <c r="AE138" i="7"/>
  <c r="AE139" i="7"/>
  <c r="AE140" i="7"/>
  <c r="AE137" i="7"/>
  <c r="AE141" i="7"/>
  <c r="AE136" i="7"/>
  <c r="AD143" i="7"/>
  <c r="AD144" i="7" s="1"/>
  <c r="AC133" i="4" s="1"/>
  <c r="AC100" i="4" s="1"/>
  <c r="AF42" i="7"/>
  <c r="AF49" i="7" s="1"/>
  <c r="AA60" i="4" s="1"/>
  <c r="AE153" i="7"/>
  <c r="AD149" i="4" s="1"/>
  <c r="AD116" i="4" s="1"/>
  <c r="AJ48" i="3"/>
  <c r="AJ209" i="3" s="1"/>
  <c r="AF53" i="4" l="1"/>
  <c r="AJ131" i="4"/>
  <c r="AL39" i="7"/>
  <c r="AM44" i="7"/>
  <c r="AM32" i="7"/>
  <c r="AM34" i="7"/>
  <c r="AM33" i="7"/>
  <c r="AM37" i="7"/>
  <c r="AM35" i="7"/>
  <c r="AM43" i="7"/>
  <c r="AM161" i="7"/>
  <c r="AM164" i="7"/>
  <c r="AM36" i="7"/>
  <c r="AM48" i="7"/>
  <c r="AM38" i="7"/>
  <c r="AM46" i="7"/>
  <c r="AM47" i="7"/>
  <c r="AM45" i="7"/>
  <c r="AG64" i="4" a="1"/>
  <c r="AG64" i="4" s="1"/>
  <c r="AK152" i="4"/>
  <c r="AG57" i="4" a="1"/>
  <c r="AG57" i="4" s="1"/>
  <c r="AK136" i="4"/>
  <c r="AL27" i="7"/>
  <c r="AG59" i="4" s="1"/>
  <c r="AK146" i="4" s="1"/>
  <c r="AK144" i="4" s="1"/>
  <c r="AO10" i="3"/>
  <c r="AO213" i="3" s="1"/>
  <c r="AN5" i="7"/>
  <c r="AN22" i="3"/>
  <c r="AN34" i="3"/>
  <c r="AO9" i="3"/>
  <c r="AN4" i="7"/>
  <c r="AM24" i="7"/>
  <c r="AM25" i="7"/>
  <c r="AM16" i="7"/>
  <c r="AM11" i="7"/>
  <c r="AM10" i="7"/>
  <c r="AM14" i="7"/>
  <c r="AM20" i="7"/>
  <c r="AM23" i="7"/>
  <c r="AM26" i="7"/>
  <c r="AM21" i="7"/>
  <c r="AM15" i="7"/>
  <c r="AM13" i="7"/>
  <c r="AM12" i="7"/>
  <c r="AM22" i="7"/>
  <c r="AE142" i="7"/>
  <c r="AD96" i="4"/>
  <c r="AD129" i="4"/>
  <c r="AD97" i="4"/>
  <c r="AD130" i="4"/>
  <c r="AC128" i="4"/>
  <c r="AC134" i="4" s="1"/>
  <c r="AC137" i="4" s="1"/>
  <c r="AC140" i="4" s="1"/>
  <c r="AC135" i="4"/>
  <c r="AC138" i="4" s="1"/>
  <c r="AC141" i="4" s="1"/>
  <c r="AC95" i="4"/>
  <c r="AC101" i="4" s="1"/>
  <c r="AC104" i="4" s="1"/>
  <c r="AC107" i="4" s="1"/>
  <c r="Y81" i="4" s="1" a="1"/>
  <c r="Y81" i="4" s="1"/>
  <c r="AC102" i="4"/>
  <c r="AC105" i="4" s="1"/>
  <c r="AC108" i="4" s="1"/>
  <c r="AF171" i="7"/>
  <c r="AE155" i="4" s="1"/>
  <c r="AF168" i="7"/>
  <c r="AE139" i="4" s="1"/>
  <c r="AF112" i="4"/>
  <c r="AF103" i="4"/>
  <c r="AF119" i="4"/>
  <c r="AF113" i="4"/>
  <c r="AF98" i="4"/>
  <c r="AE111" i="4"/>
  <c r="AH93" i="7"/>
  <c r="AH121" i="7" s="1"/>
  <c r="AH132" i="7" s="1"/>
  <c r="AH80" i="7"/>
  <c r="AH107" i="7" s="1"/>
  <c r="AH118" i="7" s="1"/>
  <c r="AB61" i="4"/>
  <c r="AF148" i="4"/>
  <c r="AF115" i="4" s="1"/>
  <c r="AO20" i="2"/>
  <c r="AN22" i="2"/>
  <c r="AF132" i="4"/>
  <c r="AB54" i="4"/>
  <c r="AB123" i="4"/>
  <c r="X82" i="4" s="1" a="1"/>
  <c r="X82" i="4" s="1"/>
  <c r="AD151" i="4"/>
  <c r="AD154" i="4" s="1"/>
  <c r="AD157" i="4" s="1"/>
  <c r="AD150" i="4"/>
  <c r="AD153" i="4" s="1"/>
  <c r="AD156" i="4" s="1"/>
  <c r="AC117" i="4"/>
  <c r="AC120" i="4" s="1"/>
  <c r="AC118" i="4"/>
  <c r="AC121" i="4" s="1"/>
  <c r="AC124" i="4" s="1"/>
  <c r="AD114" i="4"/>
  <c r="AE147" i="4"/>
  <c r="AE143" i="7"/>
  <c r="AE144" i="7" s="1"/>
  <c r="AD133" i="4" s="1"/>
  <c r="AD100" i="4" s="1"/>
  <c r="AF17" i="7"/>
  <c r="AA52" i="4" s="1"/>
  <c r="AF139" i="7"/>
  <c r="AF140" i="7"/>
  <c r="AF137" i="7"/>
  <c r="AF141" i="7"/>
  <c r="AF138" i="7"/>
  <c r="AF136" i="7"/>
  <c r="AG42" i="7"/>
  <c r="AG49" i="7" s="1"/>
  <c r="AB60" i="4" s="1"/>
  <c r="AG60" i="3"/>
  <c r="AF153" i="7"/>
  <c r="AE149" i="4" s="1"/>
  <c r="AE116" i="4" s="1"/>
  <c r="AK48" i="3"/>
  <c r="AK209" i="3" s="1"/>
  <c r="AM39" i="7" l="1"/>
  <c r="AL131" i="4" s="1"/>
  <c r="AL152" i="4"/>
  <c r="AH64" i="4" a="1"/>
  <c r="AH64" i="4" s="1"/>
  <c r="AL136" i="4"/>
  <c r="AH57" i="4" a="1"/>
  <c r="AH57" i="4" s="1"/>
  <c r="AK131" i="4"/>
  <c r="AG53" i="4"/>
  <c r="AN47" i="7"/>
  <c r="AN36" i="7"/>
  <c r="AN161" i="7"/>
  <c r="AN32" i="7"/>
  <c r="AN33" i="7"/>
  <c r="AN34" i="7"/>
  <c r="AN164" i="7"/>
  <c r="AN38" i="7"/>
  <c r="AN46" i="7"/>
  <c r="AN48" i="7"/>
  <c r="AN45" i="7"/>
  <c r="AN37" i="7"/>
  <c r="AN43" i="7"/>
  <c r="AN44" i="7"/>
  <c r="AN35" i="7"/>
  <c r="AM27" i="7"/>
  <c r="AH59" i="4" s="1"/>
  <c r="AL146" i="4" s="1"/>
  <c r="AL144" i="4" s="1"/>
  <c r="AP9" i="3"/>
  <c r="AO4" i="7"/>
  <c r="AN23" i="7"/>
  <c r="AN20" i="7"/>
  <c r="AN16" i="7"/>
  <c r="AN25" i="7"/>
  <c r="AN10" i="7"/>
  <c r="AN14" i="7"/>
  <c r="AN11" i="7"/>
  <c r="AN22" i="7"/>
  <c r="AN26" i="7"/>
  <c r="AN21" i="7"/>
  <c r="AN15" i="7"/>
  <c r="AN13" i="7"/>
  <c r="AN24" i="7"/>
  <c r="AN12" i="7"/>
  <c r="AO5" i="7"/>
  <c r="AO34" i="3"/>
  <c r="AP10" i="3"/>
  <c r="AP213" i="3" s="1"/>
  <c r="AO22" i="3"/>
  <c r="AF143" i="7"/>
  <c r="AF144" i="7" s="1"/>
  <c r="AE133" i="4" s="1"/>
  <c r="AE100" i="4" s="1"/>
  <c r="AE96" i="4"/>
  <c r="AE129" i="4"/>
  <c r="AD128" i="4"/>
  <c r="AD134" i="4" s="1"/>
  <c r="AD137" i="4" s="1"/>
  <c r="AD140" i="4" s="1"/>
  <c r="AD135" i="4"/>
  <c r="AD138" i="4" s="1"/>
  <c r="AD141" i="4" s="1"/>
  <c r="AE97" i="4"/>
  <c r="AE130" i="4"/>
  <c r="AD95" i="4"/>
  <c r="AD101" i="4" s="1"/>
  <c r="AD104" i="4" s="1"/>
  <c r="AD107" i="4" s="1"/>
  <c r="Z81" i="4" s="1" a="1"/>
  <c r="Z81" i="4" s="1"/>
  <c r="AD102" i="4"/>
  <c r="AD105" i="4" s="1"/>
  <c r="AD108" i="4" s="1"/>
  <c r="AG112" i="4"/>
  <c r="AG119" i="4"/>
  <c r="AG103" i="4"/>
  <c r="AG113" i="4"/>
  <c r="AG98" i="4"/>
  <c r="AF111" i="4"/>
  <c r="AG171" i="7"/>
  <c r="AF155" i="4" s="1"/>
  <c r="AG168" i="7"/>
  <c r="AF139" i="4" s="1"/>
  <c r="AI93" i="7"/>
  <c r="AI121" i="7" s="1"/>
  <c r="AI132" i="7" s="1"/>
  <c r="AI80" i="7"/>
  <c r="AI107" i="7" s="1"/>
  <c r="AI118" i="7" s="1"/>
  <c r="AG132" i="4"/>
  <c r="AC54" i="4"/>
  <c r="AC61" i="4"/>
  <c r="AG148" i="4"/>
  <c r="AG115" i="4" s="1"/>
  <c r="AP20" i="2"/>
  <c r="AO22" i="2"/>
  <c r="AF99" i="4"/>
  <c r="AC123" i="4"/>
  <c r="Y82" i="4" s="1" a="1"/>
  <c r="Y82" i="4" s="1"/>
  <c r="AE151" i="4"/>
  <c r="AE154" i="4" s="1"/>
  <c r="AE157" i="4" s="1"/>
  <c r="AE150" i="4"/>
  <c r="AE153" i="4" s="1"/>
  <c r="AE156" i="4" s="1"/>
  <c r="AD118" i="4"/>
  <c r="AD121" i="4" s="1"/>
  <c r="AD124" i="4" s="1"/>
  <c r="AD117" i="4"/>
  <c r="AD120" i="4" s="1"/>
  <c r="AE114" i="4"/>
  <c r="AF147" i="4"/>
  <c r="AF142" i="7"/>
  <c r="AG17" i="7"/>
  <c r="AB52" i="4" s="1"/>
  <c r="AG136" i="7"/>
  <c r="AG139" i="7"/>
  <c r="AG140" i="7"/>
  <c r="AG141" i="7"/>
  <c r="AG137" i="7"/>
  <c r="AG138" i="7"/>
  <c r="AH42" i="7"/>
  <c r="AH49" i="7" s="1"/>
  <c r="AC60" i="4" s="1"/>
  <c r="AH60" i="3"/>
  <c r="AG218" i="3"/>
  <c r="AG199" i="3"/>
  <c r="AG153" i="7"/>
  <c r="AF149" i="4" s="1"/>
  <c r="AF116" i="4" s="1"/>
  <c r="AL48" i="3"/>
  <c r="AL209" i="3" s="1"/>
  <c r="AH53" i="4" l="1"/>
  <c r="AN39" i="7"/>
  <c r="AM131" i="4" s="1"/>
  <c r="AM136" i="4"/>
  <c r="AI57" i="4" a="1"/>
  <c r="AI57" i="4" s="1"/>
  <c r="AO44" i="7"/>
  <c r="AO45" i="7"/>
  <c r="AO32" i="7"/>
  <c r="AO38" i="7"/>
  <c r="AO46" i="7"/>
  <c r="AO164" i="7"/>
  <c r="AO36" i="7"/>
  <c r="AO48" i="7"/>
  <c r="AO47" i="7"/>
  <c r="AO35" i="7"/>
  <c r="AO43" i="7"/>
  <c r="AO161" i="7"/>
  <c r="AO37" i="7"/>
  <c r="AO34" i="7"/>
  <c r="AO33" i="7"/>
  <c r="AI64" i="4" a="1"/>
  <c r="AI64" i="4" s="1"/>
  <c r="AM152" i="4"/>
  <c r="AN27" i="7"/>
  <c r="AI59" i="4" s="1"/>
  <c r="AM146" i="4" s="1"/>
  <c r="AM144" i="4" s="1"/>
  <c r="AQ10" i="3"/>
  <c r="AQ213" i="3" s="1"/>
  <c r="AP5" i="7"/>
  <c r="AP34" i="3"/>
  <c r="AP22" i="3"/>
  <c r="AO24" i="7"/>
  <c r="AO21" i="7"/>
  <c r="AO20" i="7"/>
  <c r="AO10" i="7"/>
  <c r="AO12" i="7"/>
  <c r="AO23" i="7"/>
  <c r="AO11" i="7"/>
  <c r="AO26" i="7"/>
  <c r="AO16" i="7"/>
  <c r="AO15" i="7"/>
  <c r="AO25" i="7"/>
  <c r="AO22" i="7"/>
  <c r="AO14" i="7"/>
  <c r="AO13" i="7"/>
  <c r="AQ9" i="3"/>
  <c r="AP4" i="7"/>
  <c r="AG143" i="7"/>
  <c r="AG144" i="7" s="1"/>
  <c r="AF133" i="4" s="1"/>
  <c r="AF100" i="4" s="1"/>
  <c r="AG111" i="4"/>
  <c r="AE128" i="4"/>
  <c r="AE134" i="4" s="1"/>
  <c r="AE137" i="4" s="1"/>
  <c r="AE140" i="4" s="1"/>
  <c r="AE135" i="4"/>
  <c r="AE138" i="4" s="1"/>
  <c r="AE141" i="4" s="1"/>
  <c r="AE95" i="4"/>
  <c r="AE101" i="4" s="1"/>
  <c r="AE104" i="4" s="1"/>
  <c r="AE107" i="4" s="1"/>
  <c r="AA81" i="4" s="1" a="1"/>
  <c r="AA81" i="4" s="1"/>
  <c r="AE102" i="4"/>
  <c r="AE105" i="4" s="1"/>
  <c r="AE108" i="4" s="1"/>
  <c r="AF96" i="4"/>
  <c r="AF129" i="4"/>
  <c r="AF97" i="4"/>
  <c r="AF130" i="4"/>
  <c r="AH168" i="7"/>
  <c r="AG139" i="4" s="1"/>
  <c r="AH171" i="7"/>
  <c r="AG155" i="4" s="1"/>
  <c r="AH112" i="4"/>
  <c r="AH103" i="4"/>
  <c r="AH119" i="4"/>
  <c r="AH98" i="4"/>
  <c r="AH113" i="4"/>
  <c r="AJ93" i="7"/>
  <c r="AJ121" i="7" s="1"/>
  <c r="AJ132" i="7" s="1"/>
  <c r="AJ80" i="7"/>
  <c r="AJ107" i="7" s="1"/>
  <c r="AJ118" i="7" s="1"/>
  <c r="AH132" i="4"/>
  <c r="AD54" i="4"/>
  <c r="AQ20" i="2"/>
  <c r="AP22" i="2"/>
  <c r="AD61" i="4"/>
  <c r="AH148" i="4"/>
  <c r="AH115" i="4" s="1"/>
  <c r="AG99" i="4"/>
  <c r="AD123" i="4"/>
  <c r="Z82" i="4" s="1" a="1"/>
  <c r="Z82" i="4" s="1"/>
  <c r="AF151" i="4"/>
  <c r="AF154" i="4" s="1"/>
  <c r="AF157" i="4" s="1"/>
  <c r="AF150" i="4"/>
  <c r="AF153" i="4" s="1"/>
  <c r="AF156" i="4" s="1"/>
  <c r="AE117" i="4"/>
  <c r="AE120" i="4" s="1"/>
  <c r="AE118" i="4"/>
  <c r="AE121" i="4" s="1"/>
  <c r="AE124" i="4" s="1"/>
  <c r="AF114" i="4"/>
  <c r="AG147" i="4"/>
  <c r="AG142" i="7"/>
  <c r="AH17" i="7"/>
  <c r="AC52" i="4" s="1"/>
  <c r="AH139" i="7"/>
  <c r="AH136" i="7"/>
  <c r="AH140" i="7"/>
  <c r="AH141" i="7"/>
  <c r="AH137" i="7"/>
  <c r="AH138" i="7"/>
  <c r="AH218" i="3"/>
  <c r="AH199" i="3"/>
  <c r="AI42" i="7"/>
  <c r="AI49" i="7" s="1"/>
  <c r="AD60" i="4" s="1"/>
  <c r="AI60" i="3"/>
  <c r="AH153" i="7"/>
  <c r="AG149" i="4" s="1"/>
  <c r="AG116" i="4" s="1"/>
  <c r="AM48" i="3"/>
  <c r="AM209" i="3" s="1"/>
  <c r="AI53" i="4" l="1"/>
  <c r="AP33" i="7"/>
  <c r="AP47" i="7"/>
  <c r="AP35" i="7"/>
  <c r="AP43" i="7"/>
  <c r="AP45" i="7"/>
  <c r="AP46" i="7"/>
  <c r="AP38" i="7"/>
  <c r="AP161" i="7"/>
  <c r="AP37" i="7"/>
  <c r="AP44" i="7"/>
  <c r="AP34" i="7"/>
  <c r="AP32" i="7"/>
  <c r="AP36" i="7"/>
  <c r="AP164" i="7"/>
  <c r="AP48" i="7"/>
  <c r="AN152" i="4"/>
  <c r="AJ64" i="4" a="1"/>
  <c r="AJ64" i="4" s="1"/>
  <c r="AO39" i="7"/>
  <c r="AN136" i="4"/>
  <c r="AJ57" i="4" a="1"/>
  <c r="AJ57" i="4" s="1"/>
  <c r="AO27" i="7"/>
  <c r="AJ59" i="4" s="1"/>
  <c r="AN146" i="4" s="1"/>
  <c r="AN144" i="4" s="1"/>
  <c r="AH143" i="7"/>
  <c r="AH144" i="7" s="1"/>
  <c r="AG133" i="4" s="1"/>
  <c r="AG100" i="4" s="1"/>
  <c r="AP20" i="7"/>
  <c r="AP13" i="7"/>
  <c r="AP11" i="7"/>
  <c r="AP15" i="7"/>
  <c r="AP24" i="7"/>
  <c r="AP14" i="7"/>
  <c r="AP23" i="7"/>
  <c r="AP10" i="7"/>
  <c r="AP21" i="7"/>
  <c r="AP26" i="7"/>
  <c r="AP25" i="7"/>
  <c r="AP12" i="7"/>
  <c r="AP22" i="7"/>
  <c r="AP16" i="7"/>
  <c r="AR10" i="3"/>
  <c r="AR213" i="3" s="1"/>
  <c r="AQ34" i="3"/>
  <c r="AQ5" i="7"/>
  <c r="AQ22" i="3"/>
  <c r="AR9" i="3"/>
  <c r="AQ4" i="7"/>
  <c r="AF95" i="4"/>
  <c r="AF101" i="4" s="1"/>
  <c r="AF104" i="4" s="1"/>
  <c r="AF107" i="4" s="1"/>
  <c r="AB81" i="4" s="1" a="1"/>
  <c r="AB81" i="4" s="1"/>
  <c r="AF102" i="4"/>
  <c r="AF105" i="4" s="1"/>
  <c r="AF108" i="4" s="1"/>
  <c r="AF128" i="4"/>
  <c r="AF134" i="4" s="1"/>
  <c r="AF137" i="4" s="1"/>
  <c r="AF140" i="4" s="1"/>
  <c r="AF135" i="4"/>
  <c r="AF138" i="4" s="1"/>
  <c r="AF141" i="4" s="1"/>
  <c r="AG96" i="4"/>
  <c r="AG129" i="4"/>
  <c r="AI112" i="4"/>
  <c r="AI119" i="4"/>
  <c r="AI103" i="4"/>
  <c r="AI113" i="4"/>
  <c r="AI98" i="4"/>
  <c r="AG97" i="4"/>
  <c r="AG130" i="4"/>
  <c r="AH111" i="4"/>
  <c r="AI168" i="7"/>
  <c r="AH139" i="4" s="1"/>
  <c r="AI171" i="7"/>
  <c r="AH155" i="4" s="1"/>
  <c r="AK93" i="7"/>
  <c r="AK121" i="7" s="1"/>
  <c r="AK132" i="7" s="1"/>
  <c r="AK80" i="7"/>
  <c r="AK107" i="7" s="1"/>
  <c r="AK118" i="7" s="1"/>
  <c r="AR20" i="2"/>
  <c r="AQ22" i="2"/>
  <c r="AI132" i="4"/>
  <c r="AE54" i="4"/>
  <c r="AE61" i="4"/>
  <c r="AI148" i="4"/>
  <c r="AI115" i="4" s="1"/>
  <c r="AH99" i="4"/>
  <c r="AE123" i="4"/>
  <c r="AA82" i="4" s="1" a="1"/>
  <c r="AA82" i="4" s="1"/>
  <c r="AG151" i="4"/>
  <c r="AG154" i="4" s="1"/>
  <c r="AG157" i="4" s="1"/>
  <c r="AG150" i="4"/>
  <c r="AG153" i="4" s="1"/>
  <c r="AG156" i="4" s="1"/>
  <c r="AF117" i="4"/>
  <c r="AF120" i="4" s="1"/>
  <c r="AF118" i="4"/>
  <c r="AF121" i="4" s="1"/>
  <c r="AF124" i="4" s="1"/>
  <c r="AG114" i="4"/>
  <c r="AH147" i="4"/>
  <c r="AH142" i="7"/>
  <c r="AI17" i="7"/>
  <c r="AD52" i="4" s="1"/>
  <c r="AI140" i="7"/>
  <c r="AI136" i="7"/>
  <c r="AI141" i="7"/>
  <c r="AI138" i="7"/>
  <c r="AI137" i="7"/>
  <c r="AI139" i="7"/>
  <c r="AI218" i="3"/>
  <c r="AI199" i="3"/>
  <c r="AJ42" i="7"/>
  <c r="AJ49" i="7" s="1"/>
  <c r="AE60" i="4" s="1"/>
  <c r="AJ60" i="3"/>
  <c r="AI153" i="7"/>
  <c r="AH149" i="4" s="1"/>
  <c r="AH116" i="4" s="1"/>
  <c r="AN48" i="3"/>
  <c r="AN209" i="3" s="1"/>
  <c r="AP39" i="7" l="1"/>
  <c r="AK57" i="4" a="1"/>
  <c r="AK57" i="4" s="1"/>
  <c r="AO136" i="4"/>
  <c r="AJ53" i="4"/>
  <c r="AN131" i="4"/>
  <c r="AQ164" i="7"/>
  <c r="AQ161" i="7"/>
  <c r="AQ33" i="7"/>
  <c r="AQ44" i="7"/>
  <c r="AQ48" i="7"/>
  <c r="AQ35" i="7"/>
  <c r="AQ32" i="7"/>
  <c r="AQ45" i="7"/>
  <c r="AQ47" i="7"/>
  <c r="AQ37" i="7"/>
  <c r="AQ36" i="7"/>
  <c r="AQ46" i="7"/>
  <c r="AQ43" i="7"/>
  <c r="AQ38" i="7"/>
  <c r="AQ34" i="7"/>
  <c r="AO152" i="4"/>
  <c r="AK64" i="4" a="1"/>
  <c r="AK64" i="4" s="1"/>
  <c r="AG95" i="4"/>
  <c r="AG101" i="4" s="1"/>
  <c r="AG104" i="4" s="1"/>
  <c r="AG107" i="4" s="1"/>
  <c r="AC81" i="4" s="1" a="1"/>
  <c r="AC81" i="4" s="1"/>
  <c r="AS9" i="3"/>
  <c r="AR4" i="7"/>
  <c r="AI111" i="4"/>
  <c r="AQ13" i="7"/>
  <c r="AQ10" i="7"/>
  <c r="AQ11" i="7"/>
  <c r="AQ26" i="7"/>
  <c r="AQ20" i="7"/>
  <c r="AQ22" i="7"/>
  <c r="AQ21" i="7"/>
  <c r="AQ16" i="7"/>
  <c r="AQ24" i="7"/>
  <c r="AQ12" i="7"/>
  <c r="AQ23" i="7"/>
  <c r="AQ14" i="7"/>
  <c r="AQ25" i="7"/>
  <c r="AQ15" i="7"/>
  <c r="AP27" i="7"/>
  <c r="AK59" i="4" s="1"/>
  <c r="AO146" i="4" s="1"/>
  <c r="AO144" i="4" s="1"/>
  <c r="AS10" i="3"/>
  <c r="AS213" i="3" s="1"/>
  <c r="AR22" i="3"/>
  <c r="AR5" i="7"/>
  <c r="AR34" i="3"/>
  <c r="AG102" i="4"/>
  <c r="AG105" i="4" s="1"/>
  <c r="AG108" i="4" s="1"/>
  <c r="AH129" i="4"/>
  <c r="AH96" i="4"/>
  <c r="AG128" i="4"/>
  <c r="AG134" i="4" s="1"/>
  <c r="AG137" i="4" s="1"/>
  <c r="AG140" i="4" s="1"/>
  <c r="AG135" i="4"/>
  <c r="AG138" i="4" s="1"/>
  <c r="AG141" i="4" s="1"/>
  <c r="AJ112" i="4"/>
  <c r="AJ119" i="4"/>
  <c r="AJ103" i="4"/>
  <c r="AJ113" i="4"/>
  <c r="AJ98" i="4"/>
  <c r="AH97" i="4"/>
  <c r="AH130" i="4"/>
  <c r="AJ168" i="7"/>
  <c r="AI139" i="4" s="1"/>
  <c r="AJ171" i="7"/>
  <c r="AI155" i="4" s="1"/>
  <c r="AL80" i="7"/>
  <c r="AL107" i="7" s="1"/>
  <c r="AL118" i="7" s="1"/>
  <c r="AL93" i="7"/>
  <c r="AL121" i="7" s="1"/>
  <c r="AL132" i="7" s="1"/>
  <c r="AI99" i="4"/>
  <c r="AF61" i="4"/>
  <c r="AJ148" i="4"/>
  <c r="AJ115" i="4" s="1"/>
  <c r="AJ132" i="4"/>
  <c r="AF54" i="4"/>
  <c r="AS20" i="2"/>
  <c r="AR22" i="2"/>
  <c r="AF123" i="4"/>
  <c r="AB82" i="4" s="1" a="1"/>
  <c r="AB82" i="4" s="1"/>
  <c r="AH151" i="4"/>
  <c r="AH154" i="4" s="1"/>
  <c r="AH157" i="4" s="1"/>
  <c r="AH150" i="4"/>
  <c r="AH153" i="4" s="1"/>
  <c r="AH156" i="4" s="1"/>
  <c r="AG118" i="4"/>
  <c r="AG121" i="4" s="1"/>
  <c r="AG124" i="4" s="1"/>
  <c r="AG117" i="4"/>
  <c r="AG120" i="4" s="1"/>
  <c r="AH114" i="4"/>
  <c r="AI147" i="4"/>
  <c r="AI143" i="7"/>
  <c r="AI144" i="7" s="1"/>
  <c r="AH133" i="4" s="1"/>
  <c r="AH100" i="4" s="1"/>
  <c r="AI142" i="7"/>
  <c r="AJ17" i="7"/>
  <c r="AE52" i="4" s="1"/>
  <c r="AJ140" i="7"/>
  <c r="AJ136" i="7"/>
  <c r="AJ141" i="7"/>
  <c r="AJ138" i="7"/>
  <c r="AJ139" i="7"/>
  <c r="AJ137" i="7"/>
  <c r="AK42" i="7"/>
  <c r="AK49" i="7" s="1"/>
  <c r="AF60" i="4" s="1"/>
  <c r="AK60" i="3"/>
  <c r="AJ218" i="3"/>
  <c r="AJ199" i="3"/>
  <c r="AJ153" i="7"/>
  <c r="AI149" i="4" s="1"/>
  <c r="AI116" i="4" s="1"/>
  <c r="AO48" i="3"/>
  <c r="AO209" i="3" s="1"/>
  <c r="AQ39" i="7" l="1"/>
  <c r="AP131" i="4" s="1"/>
  <c r="AR36" i="7"/>
  <c r="AR161" i="7"/>
  <c r="AR164" i="7"/>
  <c r="AR38" i="7"/>
  <c r="AR47" i="7"/>
  <c r="AR46" i="7"/>
  <c r="AR44" i="7"/>
  <c r="AR37" i="7"/>
  <c r="AR43" i="7"/>
  <c r="AR34" i="7"/>
  <c r="AR35" i="7"/>
  <c r="AR32" i="7"/>
  <c r="AR48" i="7"/>
  <c r="AR33" i="7"/>
  <c r="AR45" i="7"/>
  <c r="AL57" i="4" a="1"/>
  <c r="AL57" i="4" s="1"/>
  <c r="AP136" i="4"/>
  <c r="AL64" i="4" a="1"/>
  <c r="AL64" i="4" s="1"/>
  <c r="AP152" i="4"/>
  <c r="AO131" i="4"/>
  <c r="AK53" i="4"/>
  <c r="AQ27" i="7"/>
  <c r="AL59" i="4" s="1"/>
  <c r="AP146" i="4" s="1"/>
  <c r="AP144" i="4" s="1"/>
  <c r="AH95" i="4"/>
  <c r="AH101" i="4" s="1"/>
  <c r="AH104" i="4" s="1"/>
  <c r="AH107" i="4" s="1"/>
  <c r="AD81" i="4" s="1" a="1"/>
  <c r="AD81" i="4" s="1"/>
  <c r="AS5" i="7"/>
  <c r="AS22" i="3"/>
  <c r="AT10" i="3"/>
  <c r="AT213" i="3" s="1"/>
  <c r="AS34" i="3"/>
  <c r="AT9" i="3"/>
  <c r="AS4" i="7"/>
  <c r="AR16" i="7"/>
  <c r="AR23" i="7"/>
  <c r="AR15" i="7"/>
  <c r="AR11" i="7"/>
  <c r="AR14" i="7"/>
  <c r="AR21" i="7"/>
  <c r="AR12" i="7"/>
  <c r="AR25" i="7"/>
  <c r="AR10" i="7"/>
  <c r="AR24" i="7"/>
  <c r="AR13" i="7"/>
  <c r="AR22" i="7"/>
  <c r="AR20" i="7"/>
  <c r="AR26" i="7"/>
  <c r="AJ111" i="4"/>
  <c r="AI129" i="4"/>
  <c r="AI96" i="4"/>
  <c r="AH102" i="4"/>
  <c r="AH105" i="4" s="1"/>
  <c r="AH108" i="4" s="1"/>
  <c r="AH128" i="4"/>
  <c r="AH134" i="4" s="1"/>
  <c r="AH137" i="4" s="1"/>
  <c r="AH140" i="4" s="1"/>
  <c r="AH135" i="4"/>
  <c r="AH138" i="4" s="1"/>
  <c r="AH141" i="4" s="1"/>
  <c r="AI97" i="4"/>
  <c r="AI130" i="4"/>
  <c r="AK168" i="7"/>
  <c r="AJ139" i="4" s="1"/>
  <c r="AK171" i="7"/>
  <c r="AJ155" i="4" s="1"/>
  <c r="AK112" i="4"/>
  <c r="AK119" i="4"/>
  <c r="AK103" i="4"/>
  <c r="AK113" i="4"/>
  <c r="AK98" i="4"/>
  <c r="AM80" i="7"/>
  <c r="AM107" i="7" s="1"/>
  <c r="AM118" i="7" s="1"/>
  <c r="AM93" i="7"/>
  <c r="AM121" i="7" s="1"/>
  <c r="AM132" i="7" s="1"/>
  <c r="AT20" i="2"/>
  <c r="AS22" i="2"/>
  <c r="AK132" i="4"/>
  <c r="AG54" i="4"/>
  <c r="AJ99" i="4"/>
  <c r="AG61" i="4"/>
  <c r="AK148" i="4"/>
  <c r="AK115" i="4" s="1"/>
  <c r="AG123" i="4"/>
  <c r="AC82" i="4" s="1" a="1"/>
  <c r="AC82" i="4" s="1"/>
  <c r="AI151" i="4"/>
  <c r="AI154" i="4" s="1"/>
  <c r="AI157" i="4" s="1"/>
  <c r="AI150" i="4"/>
  <c r="AI153" i="4" s="1"/>
  <c r="AI156" i="4" s="1"/>
  <c r="AH118" i="4"/>
  <c r="AH121" i="4" s="1"/>
  <c r="AH124" i="4" s="1"/>
  <c r="AH117" i="4"/>
  <c r="AH120" i="4" s="1"/>
  <c r="AI114" i="4"/>
  <c r="AJ147" i="4"/>
  <c r="AJ142" i="7"/>
  <c r="AJ143" i="7"/>
  <c r="AJ144" i="7" s="1"/>
  <c r="AI133" i="4" s="1"/>
  <c r="AI100" i="4" s="1"/>
  <c r="AK17" i="7"/>
  <c r="AF52" i="4" s="1"/>
  <c r="AK140" i="7"/>
  <c r="AK137" i="7"/>
  <c r="AK141" i="7"/>
  <c r="AK136" i="7"/>
  <c r="AK138" i="7"/>
  <c r="AK139" i="7"/>
  <c r="AK218" i="3"/>
  <c r="AK199" i="3"/>
  <c r="AL42" i="7"/>
  <c r="AL49" i="7" s="1"/>
  <c r="AG60" i="4" s="1"/>
  <c r="AL60" i="3"/>
  <c r="AK153" i="7"/>
  <c r="AJ149" i="4" s="1"/>
  <c r="AJ116" i="4" s="1"/>
  <c r="AP48" i="3"/>
  <c r="AP209" i="3" s="1"/>
  <c r="AL53" i="4" l="1"/>
  <c r="AR39" i="7"/>
  <c r="AM64" i="4" a="1"/>
  <c r="AM64" i="4" s="1"/>
  <c r="AQ152" i="4"/>
  <c r="AS48" i="7"/>
  <c r="AS32" i="7"/>
  <c r="AS43" i="7"/>
  <c r="AS35" i="7"/>
  <c r="AS34" i="7"/>
  <c r="AS37" i="7"/>
  <c r="AS161" i="7"/>
  <c r="AS47" i="7"/>
  <c r="AS46" i="7"/>
  <c r="AS36" i="7"/>
  <c r="AS33" i="7"/>
  <c r="AS44" i="7"/>
  <c r="AS45" i="7"/>
  <c r="AS38" i="7"/>
  <c r="AS164" i="7"/>
  <c r="AM57" i="4" a="1"/>
  <c r="AM57" i="4" s="1"/>
  <c r="AQ136" i="4"/>
  <c r="AU10" i="3"/>
  <c r="AU213" i="3" s="1"/>
  <c r="AT5" i="7"/>
  <c r="AT22" i="3"/>
  <c r="AT34" i="3"/>
  <c r="AR27" i="7"/>
  <c r="AM59" i="4" s="1"/>
  <c r="AQ146" i="4" s="1"/>
  <c r="AQ144" i="4" s="1"/>
  <c r="AS16" i="7"/>
  <c r="AS10" i="7"/>
  <c r="AS24" i="7"/>
  <c r="AS22" i="7"/>
  <c r="AS13" i="7"/>
  <c r="AS14" i="7"/>
  <c r="AS12" i="7"/>
  <c r="AS26" i="7"/>
  <c r="AS23" i="7"/>
  <c r="AS11" i="7"/>
  <c r="AS20" i="7"/>
  <c r="AS25" i="7"/>
  <c r="AS15" i="7"/>
  <c r="AS21" i="7"/>
  <c r="AU9" i="3"/>
  <c r="AT4" i="7"/>
  <c r="AI95" i="4"/>
  <c r="AI101" i="4" s="1"/>
  <c r="AI104" i="4" s="1"/>
  <c r="AI107" i="4" s="1"/>
  <c r="AE81" i="4" s="1" a="1"/>
  <c r="AE81" i="4" s="1"/>
  <c r="AI102" i="4"/>
  <c r="AI105" i="4" s="1"/>
  <c r="AI108" i="4" s="1"/>
  <c r="AI128" i="4"/>
  <c r="AI134" i="4" s="1"/>
  <c r="AI137" i="4" s="1"/>
  <c r="AI140" i="4" s="1"/>
  <c r="AI135" i="4"/>
  <c r="AI138" i="4" s="1"/>
  <c r="AI141" i="4" s="1"/>
  <c r="AK142" i="7"/>
  <c r="AJ129" i="4"/>
  <c r="AJ96" i="4"/>
  <c r="AJ97" i="4"/>
  <c r="AJ102" i="4" s="1"/>
  <c r="AJ105" i="4" s="1"/>
  <c r="AJ108" i="4" s="1"/>
  <c r="AJ130" i="4"/>
  <c r="AL112" i="4"/>
  <c r="AL103" i="4"/>
  <c r="AL119" i="4"/>
  <c r="AL98" i="4"/>
  <c r="AL113" i="4"/>
  <c r="AL168" i="7"/>
  <c r="AK139" i="4" s="1"/>
  <c r="AL171" i="7"/>
  <c r="AK155" i="4" s="1"/>
  <c r="AK111" i="4"/>
  <c r="AN93" i="7"/>
  <c r="AN121" i="7" s="1"/>
  <c r="AN132" i="7" s="1"/>
  <c r="AN80" i="7"/>
  <c r="AN107" i="7" s="1"/>
  <c r="AN118" i="7" s="1"/>
  <c r="AH61" i="4"/>
  <c r="AL148" i="4"/>
  <c r="AL115" i="4" s="1"/>
  <c r="AK99" i="4"/>
  <c r="AL132" i="4"/>
  <c r="AH54" i="4"/>
  <c r="AU20" i="2"/>
  <c r="AT22" i="2"/>
  <c r="AH123" i="4"/>
  <c r="AD82" i="4" s="1" a="1"/>
  <c r="AD82" i="4" s="1"/>
  <c r="AJ151" i="4"/>
  <c r="AJ154" i="4" s="1"/>
  <c r="AJ157" i="4" s="1"/>
  <c r="AJ150" i="4"/>
  <c r="AJ153" i="4" s="1"/>
  <c r="AJ156" i="4" s="1"/>
  <c r="AI118" i="4"/>
  <c r="AI121" i="4" s="1"/>
  <c r="AI124" i="4" s="1"/>
  <c r="AI117" i="4"/>
  <c r="AI120" i="4" s="1"/>
  <c r="AJ114" i="4"/>
  <c r="AK147" i="4"/>
  <c r="AK143" i="7"/>
  <c r="AK144" i="7" s="1"/>
  <c r="AJ133" i="4" s="1"/>
  <c r="AJ100" i="4" s="1"/>
  <c r="AL17" i="7"/>
  <c r="AG52" i="4" s="1"/>
  <c r="AL137" i="7"/>
  <c r="AL141" i="7"/>
  <c r="AL138" i="7"/>
  <c r="AL136" i="7"/>
  <c r="AL139" i="7"/>
  <c r="AL140" i="7"/>
  <c r="AL218" i="3"/>
  <c r="AL199" i="3"/>
  <c r="AM42" i="7"/>
  <c r="AM49" i="7" s="1"/>
  <c r="AH60" i="4" s="1"/>
  <c r="AM60" i="3"/>
  <c r="AL153" i="7"/>
  <c r="AK149" i="4" s="1"/>
  <c r="AK116" i="4" s="1"/>
  <c r="AQ48" i="3"/>
  <c r="AQ209" i="3" s="1"/>
  <c r="AS27" i="7" l="1"/>
  <c r="AN59" i="4" s="1"/>
  <c r="AR146" i="4" s="1"/>
  <c r="AR144" i="4" s="1"/>
  <c r="AR136" i="4"/>
  <c r="AN57" i="4" a="1"/>
  <c r="AN57" i="4" s="1"/>
  <c r="AT164" i="7"/>
  <c r="AT161" i="7"/>
  <c r="AT35" i="7"/>
  <c r="AT44" i="7"/>
  <c r="AT34" i="7"/>
  <c r="AT33" i="7"/>
  <c r="AT45" i="7"/>
  <c r="AT48" i="7"/>
  <c r="AT46" i="7"/>
  <c r="AT37" i="7"/>
  <c r="AT43" i="7"/>
  <c r="AT38" i="7"/>
  <c r="AT47" i="7"/>
  <c r="AT32" i="7"/>
  <c r="AT36" i="7"/>
  <c r="AN64" i="4" a="1"/>
  <c r="AN64" i="4" s="1"/>
  <c r="AR152" i="4"/>
  <c r="AS39" i="7"/>
  <c r="AQ131" i="4"/>
  <c r="AM53" i="4"/>
  <c r="AV9" i="3"/>
  <c r="AU4" i="7"/>
  <c r="AT24" i="7"/>
  <c r="AT26" i="7"/>
  <c r="AT12" i="7"/>
  <c r="AT11" i="7"/>
  <c r="AT22" i="7"/>
  <c r="AT14" i="7"/>
  <c r="AT25" i="7"/>
  <c r="AT21" i="7"/>
  <c r="AT13" i="7"/>
  <c r="AT16" i="7"/>
  <c r="AT20" i="7"/>
  <c r="AT23" i="7"/>
  <c r="AT15" i="7"/>
  <c r="AT10" i="7"/>
  <c r="AV10" i="3"/>
  <c r="AV213" i="3" s="1"/>
  <c r="AU22" i="3"/>
  <c r="AU5" i="7"/>
  <c r="AU34" i="3"/>
  <c r="AL111" i="4"/>
  <c r="AJ95" i="4"/>
  <c r="AJ101" i="4" s="1"/>
  <c r="AJ104" i="4" s="1"/>
  <c r="AJ107" i="4" s="1"/>
  <c r="AF81" i="4" s="1" a="1"/>
  <c r="AF81" i="4" s="1"/>
  <c r="AJ128" i="4"/>
  <c r="AJ134" i="4" s="1"/>
  <c r="AJ137" i="4" s="1"/>
  <c r="AJ140" i="4" s="1"/>
  <c r="AJ135" i="4"/>
  <c r="AJ138" i="4" s="1"/>
  <c r="AJ141" i="4" s="1"/>
  <c r="AL142" i="7"/>
  <c r="AK129" i="4"/>
  <c r="AK96" i="4"/>
  <c r="AK97" i="4"/>
  <c r="AK102" i="4" s="1"/>
  <c r="AK105" i="4" s="1"/>
  <c r="AK108" i="4" s="1"/>
  <c r="AK130" i="4"/>
  <c r="AM168" i="7"/>
  <c r="AL139" i="4" s="1"/>
  <c r="AM171" i="7"/>
  <c r="AL155" i="4" s="1"/>
  <c r="AM112" i="4"/>
  <c r="AM119" i="4"/>
  <c r="AM103" i="4"/>
  <c r="AM113" i="4"/>
  <c r="AM98" i="4"/>
  <c r="AO93" i="7"/>
  <c r="AO121" i="7" s="1"/>
  <c r="AO132" i="7" s="1"/>
  <c r="AO80" i="7"/>
  <c r="AO107" i="7" s="1"/>
  <c r="AO118" i="7" s="1"/>
  <c r="AV20" i="2"/>
  <c r="AU22" i="2"/>
  <c r="AL99" i="4"/>
  <c r="AI61" i="4"/>
  <c r="AM148" i="4"/>
  <c r="AM115" i="4" s="1"/>
  <c r="AM132" i="4"/>
  <c r="AI54" i="4"/>
  <c r="AI123" i="4"/>
  <c r="AE82" i="4" s="1" a="1"/>
  <c r="AE82" i="4" s="1"/>
  <c r="AK151" i="4"/>
  <c r="AK154" i="4" s="1"/>
  <c r="AK157" i="4" s="1"/>
  <c r="AK150" i="4"/>
  <c r="AK153" i="4" s="1"/>
  <c r="AK156" i="4" s="1"/>
  <c r="AJ118" i="4"/>
  <c r="AJ121" i="4" s="1"/>
  <c r="AJ124" i="4" s="1"/>
  <c r="AJ117" i="4"/>
  <c r="AJ120" i="4" s="1"/>
  <c r="AK114" i="4"/>
  <c r="AL147" i="4"/>
  <c r="AL143" i="7"/>
  <c r="AL144" i="7" s="1"/>
  <c r="AK133" i="4" s="1"/>
  <c r="AK100" i="4" s="1"/>
  <c r="AM17" i="7"/>
  <c r="AH52" i="4" s="1"/>
  <c r="AM141" i="7"/>
  <c r="AM137" i="7"/>
  <c r="AM138" i="7"/>
  <c r="AM136" i="7"/>
  <c r="AM139" i="7"/>
  <c r="AM140" i="7"/>
  <c r="AM218" i="3"/>
  <c r="AM199" i="3"/>
  <c r="AN42" i="7"/>
  <c r="AN49" i="7" s="1"/>
  <c r="AI60" i="4" s="1"/>
  <c r="AN60" i="3"/>
  <c r="AM153" i="7"/>
  <c r="AL149" i="4" s="1"/>
  <c r="AL116" i="4" s="1"/>
  <c r="AR48" i="3"/>
  <c r="AR209" i="3" s="1"/>
  <c r="AR131" i="4" l="1"/>
  <c r="AN53" i="4"/>
  <c r="AU36" i="7"/>
  <c r="AU37" i="7"/>
  <c r="AU45" i="7"/>
  <c r="AU35" i="7"/>
  <c r="AU161" i="7"/>
  <c r="AU48" i="7"/>
  <c r="AU164" i="7"/>
  <c r="AU47" i="7"/>
  <c r="AU33" i="7"/>
  <c r="AU38" i="7"/>
  <c r="AU32" i="7"/>
  <c r="AU43" i="7"/>
  <c r="AU44" i="7"/>
  <c r="AU46" i="7"/>
  <c r="AU34" i="7"/>
  <c r="AT39" i="7"/>
  <c r="AS136" i="4"/>
  <c r="AO57" i="4" a="1"/>
  <c r="AO57" i="4" s="1"/>
  <c r="AO64" i="4" a="1"/>
  <c r="AO64" i="4" s="1"/>
  <c r="AS152" i="4"/>
  <c r="AT27" i="7"/>
  <c r="AO59" i="4" s="1"/>
  <c r="AS146" i="4" s="1"/>
  <c r="AS144" i="4" s="1"/>
  <c r="AU14" i="7"/>
  <c r="AU24" i="7"/>
  <c r="AU13" i="7"/>
  <c r="AU25" i="7"/>
  <c r="AU23" i="7"/>
  <c r="AU20" i="7"/>
  <c r="AU16" i="7"/>
  <c r="AU22" i="7"/>
  <c r="AU12" i="7"/>
  <c r="AU10" i="7"/>
  <c r="AU26" i="7"/>
  <c r="AU15" i="7"/>
  <c r="AU21" i="7"/>
  <c r="AU11" i="7"/>
  <c r="AV22" i="3"/>
  <c r="AV34" i="3"/>
  <c r="AV5" i="7"/>
  <c r="AW10" i="3"/>
  <c r="AW213" i="3" s="1"/>
  <c r="AW9" i="3"/>
  <c r="AV4" i="7"/>
  <c r="AK95" i="4"/>
  <c r="AK101" i="4" s="1"/>
  <c r="AK104" i="4" s="1"/>
  <c r="AK107" i="4" s="1"/>
  <c r="AG81" i="4" s="1" a="1"/>
  <c r="AG81" i="4" s="1"/>
  <c r="AK128" i="4"/>
  <c r="AK134" i="4" s="1"/>
  <c r="AK137" i="4" s="1"/>
  <c r="AK140" i="4" s="1"/>
  <c r="AK135" i="4"/>
  <c r="AK138" i="4" s="1"/>
  <c r="AK141" i="4" s="1"/>
  <c r="AM142" i="7"/>
  <c r="AL129" i="4"/>
  <c r="AL96" i="4"/>
  <c r="AN112" i="4"/>
  <c r="AN119" i="4"/>
  <c r="AN103" i="4"/>
  <c r="AN98" i="4"/>
  <c r="AN113" i="4"/>
  <c r="AN168" i="7"/>
  <c r="AM139" i="4" s="1"/>
  <c r="AN171" i="7"/>
  <c r="AM155" i="4" s="1"/>
  <c r="AL97" i="4"/>
  <c r="AL102" i="4" s="1"/>
  <c r="AL105" i="4" s="1"/>
  <c r="AL108" i="4" s="1"/>
  <c r="AL130" i="4"/>
  <c r="AM111" i="4"/>
  <c r="AP93" i="7"/>
  <c r="AP121" i="7" s="1"/>
  <c r="AP132" i="7" s="1"/>
  <c r="AP80" i="7"/>
  <c r="AP107" i="7" s="1"/>
  <c r="AP118" i="7" s="1"/>
  <c r="AM99" i="4"/>
  <c r="AJ61" i="4"/>
  <c r="AN148" i="4"/>
  <c r="AN115" i="4" s="1"/>
  <c r="AN132" i="4"/>
  <c r="AJ54" i="4"/>
  <c r="AW20" i="2"/>
  <c r="AV22" i="2"/>
  <c r="AJ123" i="4"/>
  <c r="AF82" i="4" s="1" a="1"/>
  <c r="AF82" i="4" s="1"/>
  <c r="AL151" i="4"/>
  <c r="AL154" i="4" s="1"/>
  <c r="AL157" i="4" s="1"/>
  <c r="AL150" i="4"/>
  <c r="AL153" i="4" s="1"/>
  <c r="AL156" i="4" s="1"/>
  <c r="AK117" i="4"/>
  <c r="AK120" i="4" s="1"/>
  <c r="AK118" i="4"/>
  <c r="AK121" i="4" s="1"/>
  <c r="AK124" i="4" s="1"/>
  <c r="AL114" i="4"/>
  <c r="AM147" i="4"/>
  <c r="AM143" i="7"/>
  <c r="AM144" i="7" s="1"/>
  <c r="AL133" i="4" s="1"/>
  <c r="AL100" i="4" s="1"/>
  <c r="AN17" i="7"/>
  <c r="AI52" i="4" s="1"/>
  <c r="AN141" i="7"/>
  <c r="AN138" i="7"/>
  <c r="AN137" i="7"/>
  <c r="AN139" i="7"/>
  <c r="AN136" i="7"/>
  <c r="AN140" i="7"/>
  <c r="AO42" i="7"/>
  <c r="AO49" i="7" s="1"/>
  <c r="AJ60" i="4" s="1"/>
  <c r="AO60" i="3"/>
  <c r="AN218" i="3"/>
  <c r="AN199" i="3"/>
  <c r="AN153" i="7"/>
  <c r="AM149" i="4" s="1"/>
  <c r="AM116" i="4" s="1"/>
  <c r="AS48" i="3"/>
  <c r="AS209" i="3" s="1"/>
  <c r="AT136" i="4" l="1"/>
  <c r="AP57" i="4" a="1"/>
  <c r="AP57" i="4" s="1"/>
  <c r="AS131" i="4"/>
  <c r="AO53" i="4"/>
  <c r="AP64" i="4" a="1"/>
  <c r="AP64" i="4" s="1"/>
  <c r="AT152" i="4"/>
  <c r="AV34" i="7"/>
  <c r="AV36" i="7"/>
  <c r="AV38" i="7"/>
  <c r="AV47" i="7"/>
  <c r="AV35" i="7"/>
  <c r="AV37" i="7"/>
  <c r="AV161" i="7"/>
  <c r="AV46" i="7"/>
  <c r="AV44" i="7"/>
  <c r="AV32" i="7"/>
  <c r="AV33" i="7"/>
  <c r="AV45" i="7"/>
  <c r="AV43" i="7"/>
  <c r="AV164" i="7"/>
  <c r="AV48" i="7"/>
  <c r="AU39" i="7"/>
  <c r="AU27" i="7"/>
  <c r="AP59" i="4" s="1"/>
  <c r="AT146" i="4" s="1"/>
  <c r="AT144" i="4" s="1"/>
  <c r="AX10" i="3"/>
  <c r="AX213" i="3" s="1"/>
  <c r="AW5" i="7"/>
  <c r="AW22" i="3"/>
  <c r="AW34" i="3"/>
  <c r="AV22" i="7"/>
  <c r="AV16" i="7"/>
  <c r="AV12" i="7"/>
  <c r="AV15" i="7"/>
  <c r="AV24" i="7"/>
  <c r="AV14" i="7"/>
  <c r="AV23" i="7"/>
  <c r="AV20" i="7"/>
  <c r="AV21" i="7"/>
  <c r="AV10" i="7"/>
  <c r="AV26" i="7"/>
  <c r="AV11" i="7"/>
  <c r="AV25" i="7"/>
  <c r="AV13" i="7"/>
  <c r="AX9" i="3"/>
  <c r="AW4" i="7"/>
  <c r="AN111" i="4"/>
  <c r="AL95" i="4"/>
  <c r="AL101" i="4" s="1"/>
  <c r="AL104" i="4" s="1"/>
  <c r="AL107" i="4" s="1"/>
  <c r="AH81" i="4" s="1" a="1"/>
  <c r="AH81" i="4" s="1"/>
  <c r="AN142" i="7"/>
  <c r="AM129" i="4"/>
  <c r="AM96" i="4"/>
  <c r="AM97" i="4"/>
  <c r="AM102" i="4" s="1"/>
  <c r="AM105" i="4" s="1"/>
  <c r="AM108" i="4" s="1"/>
  <c r="AM130" i="4"/>
  <c r="AL128" i="4"/>
  <c r="AL134" i="4" s="1"/>
  <c r="AL137" i="4" s="1"/>
  <c r="AL140" i="4" s="1"/>
  <c r="AL135" i="4"/>
  <c r="AL138" i="4" s="1"/>
  <c r="AL141" i="4" s="1"/>
  <c r="AO171" i="7"/>
  <c r="AN155" i="4" s="1"/>
  <c r="AO168" i="7"/>
  <c r="AN139" i="4" s="1"/>
  <c r="AO112" i="4"/>
  <c r="AO103" i="4"/>
  <c r="AO119" i="4"/>
  <c r="AO113" i="4"/>
  <c r="AO98" i="4"/>
  <c r="AQ93" i="7"/>
  <c r="AQ121" i="7" s="1"/>
  <c r="AQ132" i="7" s="1"/>
  <c r="AQ80" i="7"/>
  <c r="AQ107" i="7" s="1"/>
  <c r="AQ118" i="7" s="1"/>
  <c r="AX20" i="2"/>
  <c r="AW22" i="2"/>
  <c r="AK61" i="4"/>
  <c r="AO148" i="4"/>
  <c r="AO115" i="4" s="1"/>
  <c r="AO132" i="4"/>
  <c r="AK54" i="4"/>
  <c r="AN99" i="4"/>
  <c r="AK123" i="4"/>
  <c r="AG82" i="4" s="1" a="1"/>
  <c r="AG82" i="4" s="1"/>
  <c r="AM151" i="4"/>
  <c r="AM154" i="4" s="1"/>
  <c r="AM157" i="4" s="1"/>
  <c r="AM150" i="4"/>
  <c r="AM153" i="4" s="1"/>
  <c r="AM156" i="4" s="1"/>
  <c r="AL117" i="4"/>
  <c r="AL120" i="4" s="1"/>
  <c r="AL118" i="4"/>
  <c r="AL121" i="4" s="1"/>
  <c r="AL124" i="4" s="1"/>
  <c r="AM114" i="4"/>
  <c r="AN147" i="4"/>
  <c r="AN143" i="7"/>
  <c r="AN144" i="7" s="1"/>
  <c r="AM133" i="4" s="1"/>
  <c r="AM100" i="4" s="1"/>
  <c r="AO17" i="7"/>
  <c r="AJ52" i="4" s="1"/>
  <c r="AO138" i="7"/>
  <c r="AO137" i="7"/>
  <c r="AO139" i="7"/>
  <c r="AO140" i="7"/>
  <c r="AO136" i="7"/>
  <c r="AO141" i="7"/>
  <c r="AP42" i="7"/>
  <c r="AP49" i="7" s="1"/>
  <c r="AK60" i="4" s="1"/>
  <c r="AP60" i="3"/>
  <c r="AO218" i="3"/>
  <c r="AO199" i="3"/>
  <c r="AO153" i="7"/>
  <c r="AN149" i="4" s="1"/>
  <c r="AN116" i="4" s="1"/>
  <c r="AT48" i="3"/>
  <c r="AT209" i="3" s="1"/>
  <c r="AQ64" i="4" l="1" a="1"/>
  <c r="AQ64" i="4" s="1"/>
  <c r="AU152" i="4"/>
  <c r="AP53" i="4"/>
  <c r="AT131" i="4"/>
  <c r="AV39" i="7"/>
  <c r="AW48" i="7"/>
  <c r="AW43" i="7"/>
  <c r="AW34" i="7"/>
  <c r="AW164" i="7"/>
  <c r="AW44" i="7"/>
  <c r="AW161" i="7"/>
  <c r="AW46" i="7"/>
  <c r="AW33" i="7"/>
  <c r="AW32" i="7"/>
  <c r="AW45" i="7"/>
  <c r="AW38" i="7"/>
  <c r="AW36" i="7"/>
  <c r="AW37" i="7"/>
  <c r="AW35" i="7"/>
  <c r="AW47" i="7"/>
  <c r="AU136" i="4"/>
  <c r="AQ57" i="4" a="1"/>
  <c r="AQ57" i="4" s="1"/>
  <c r="AV27" i="7"/>
  <c r="AQ59" i="4" s="1"/>
  <c r="AU146" i="4" s="1"/>
  <c r="AU144" i="4" s="1"/>
  <c r="AY9" i="3"/>
  <c r="AX4" i="7"/>
  <c r="AW25" i="7"/>
  <c r="AW10" i="7"/>
  <c r="AW15" i="7"/>
  <c r="AW24" i="7"/>
  <c r="AW16" i="7"/>
  <c r="AW23" i="7"/>
  <c r="AW11" i="7"/>
  <c r="AW12" i="7"/>
  <c r="AW22" i="7"/>
  <c r="AW21" i="7"/>
  <c r="AW13" i="7"/>
  <c r="AW20" i="7"/>
  <c r="AW26" i="7"/>
  <c r="AW14" i="7"/>
  <c r="AX34" i="3"/>
  <c r="AY10" i="3"/>
  <c r="AY213" i="3" s="1"/>
  <c r="AX5" i="7"/>
  <c r="AX22" i="3"/>
  <c r="AM128" i="4"/>
  <c r="AM134" i="4" s="1"/>
  <c r="AM137" i="4" s="1"/>
  <c r="AM140" i="4" s="1"/>
  <c r="AM135" i="4"/>
  <c r="AM138" i="4" s="1"/>
  <c r="AM141" i="4" s="1"/>
  <c r="AM95" i="4"/>
  <c r="AM101" i="4" s="1"/>
  <c r="AM104" i="4" s="1"/>
  <c r="AM107" i="4" s="1"/>
  <c r="AI81" i="4" s="1" a="1"/>
  <c r="AI81" i="4" s="1"/>
  <c r="AP112" i="4"/>
  <c r="AP103" i="4"/>
  <c r="AP119" i="4"/>
  <c r="AP98" i="4"/>
  <c r="AP113" i="4"/>
  <c r="AO142" i="7"/>
  <c r="AN96" i="4"/>
  <c r="AN129" i="4"/>
  <c r="AP171" i="7"/>
  <c r="AO155" i="4" s="1"/>
  <c r="AP168" i="7"/>
  <c r="AO139" i="4" s="1"/>
  <c r="AN97" i="4"/>
  <c r="AN102" i="4" s="1"/>
  <c r="AN105" i="4" s="1"/>
  <c r="AN108" i="4" s="1"/>
  <c r="AN130" i="4"/>
  <c r="AO111" i="4"/>
  <c r="AR93" i="7"/>
  <c r="AR121" i="7" s="1"/>
  <c r="AR132" i="7" s="1"/>
  <c r="AR80" i="7"/>
  <c r="AR107" i="7" s="1"/>
  <c r="AR118" i="7" s="1"/>
  <c r="AL61" i="4"/>
  <c r="AP148" i="4"/>
  <c r="AP115" i="4" s="1"/>
  <c r="AP132" i="4"/>
  <c r="AL54" i="4"/>
  <c r="AO99" i="4"/>
  <c r="AY20" i="2"/>
  <c r="AX22" i="2"/>
  <c r="AL123" i="4"/>
  <c r="AH82" i="4" s="1" a="1"/>
  <c r="AH82" i="4" s="1"/>
  <c r="AN151" i="4"/>
  <c r="AN154" i="4" s="1"/>
  <c r="AN157" i="4" s="1"/>
  <c r="AN150" i="4"/>
  <c r="AN153" i="4" s="1"/>
  <c r="AN156" i="4" s="1"/>
  <c r="AM118" i="4"/>
  <c r="AM121" i="4" s="1"/>
  <c r="AM124" i="4" s="1"/>
  <c r="AM117" i="4"/>
  <c r="AM120" i="4" s="1"/>
  <c r="AN114" i="4"/>
  <c r="AO147" i="4"/>
  <c r="AO143" i="7"/>
  <c r="AO144" i="7" s="1"/>
  <c r="AN133" i="4" s="1"/>
  <c r="AN100" i="4" s="1"/>
  <c r="AP17" i="7"/>
  <c r="AK52" i="4" s="1"/>
  <c r="AP138" i="7"/>
  <c r="AP139" i="7"/>
  <c r="AP137" i="7"/>
  <c r="AP140" i="7"/>
  <c r="AP136" i="7"/>
  <c r="AP141" i="7"/>
  <c r="AQ42" i="7"/>
  <c r="AQ49" i="7" s="1"/>
  <c r="AL60" i="4" s="1"/>
  <c r="AQ60" i="3"/>
  <c r="AP218" i="3"/>
  <c r="AP199" i="3"/>
  <c r="AP153" i="7"/>
  <c r="AO149" i="4" s="1"/>
  <c r="AO116" i="4" s="1"/>
  <c r="AU48" i="3"/>
  <c r="AU209" i="3" s="1"/>
  <c r="AV136" i="4" l="1"/>
  <c r="AR57" i="4" a="1"/>
  <c r="AR57" i="4" s="1"/>
  <c r="AV152" i="4"/>
  <c r="AR64" i="4" a="1"/>
  <c r="AR64" i="4" s="1"/>
  <c r="AX32" i="7"/>
  <c r="AX37" i="7"/>
  <c r="AX35" i="7"/>
  <c r="AX46" i="7"/>
  <c r="AX33" i="7"/>
  <c r="AX45" i="7"/>
  <c r="AX38" i="7"/>
  <c r="AX48" i="7"/>
  <c r="AX43" i="7"/>
  <c r="AX47" i="7"/>
  <c r="AX161" i="7"/>
  <c r="AX36" i="7"/>
  <c r="AX44" i="7"/>
  <c r="AX164" i="7"/>
  <c r="AX34" i="7"/>
  <c r="AU131" i="4"/>
  <c r="AQ53" i="4"/>
  <c r="AW39" i="7"/>
  <c r="AX24" i="7"/>
  <c r="AX21" i="7"/>
  <c r="AX16" i="7"/>
  <c r="AX25" i="7"/>
  <c r="AX15" i="7"/>
  <c r="AX14" i="7"/>
  <c r="AX23" i="7"/>
  <c r="AX26" i="7"/>
  <c r="AX10" i="7"/>
  <c r="AX13" i="7"/>
  <c r="AX11" i="7"/>
  <c r="AX20" i="7"/>
  <c r="AX12" i="7"/>
  <c r="AX22" i="7"/>
  <c r="AY5" i="7"/>
  <c r="AY22" i="3"/>
  <c r="AZ10" i="3"/>
  <c r="AZ213" i="3" s="1"/>
  <c r="AY34" i="3"/>
  <c r="AW27" i="7"/>
  <c r="AR59" i="4" s="1"/>
  <c r="AV146" i="4" s="1"/>
  <c r="AV144" i="4" s="1"/>
  <c r="AZ9" i="3"/>
  <c r="AZ4" i="7" s="1"/>
  <c r="AY4" i="7"/>
  <c r="AP111" i="4"/>
  <c r="AP142" i="7"/>
  <c r="AO96" i="4"/>
  <c r="AO129" i="4"/>
  <c r="AQ171" i="7"/>
  <c r="AP155" i="4" s="1"/>
  <c r="AQ168" i="7"/>
  <c r="AP139" i="4" s="1"/>
  <c r="AO97" i="4"/>
  <c r="AO130" i="4"/>
  <c r="AN128" i="4"/>
  <c r="AN134" i="4" s="1"/>
  <c r="AN137" i="4" s="1"/>
  <c r="AN140" i="4" s="1"/>
  <c r="AN135" i="4"/>
  <c r="AN138" i="4" s="1"/>
  <c r="AN141" i="4" s="1"/>
  <c r="AN95" i="4"/>
  <c r="AN101" i="4" s="1"/>
  <c r="AN104" i="4" s="1"/>
  <c r="AN107" i="4" s="1"/>
  <c r="AJ81" i="4" s="1" a="1"/>
  <c r="AJ81" i="4" s="1"/>
  <c r="AQ112" i="4"/>
  <c r="AQ103" i="4"/>
  <c r="AQ119" i="4"/>
  <c r="AQ113" i="4"/>
  <c r="AQ98" i="4"/>
  <c r="AS93" i="7"/>
  <c r="AS121" i="7" s="1"/>
  <c r="AS132" i="7" s="1"/>
  <c r="AS80" i="7"/>
  <c r="AS107" i="7" s="1"/>
  <c r="AS118" i="7" s="1"/>
  <c r="AZ20" i="2"/>
  <c r="AY22" i="2"/>
  <c r="AM61" i="4"/>
  <c r="AQ148" i="4"/>
  <c r="AQ115" i="4" s="1"/>
  <c r="AP99" i="4"/>
  <c r="AQ132" i="4"/>
  <c r="AM54" i="4"/>
  <c r="AM123" i="4"/>
  <c r="AI82" i="4" s="1" a="1"/>
  <c r="AI82" i="4" s="1"/>
  <c r="AO151" i="4"/>
  <c r="AO154" i="4" s="1"/>
  <c r="AO157" i="4" s="1"/>
  <c r="AO150" i="4"/>
  <c r="AO153" i="4" s="1"/>
  <c r="AO156" i="4" s="1"/>
  <c r="AN118" i="4"/>
  <c r="AN121" i="4" s="1"/>
  <c r="AN124" i="4" s="1"/>
  <c r="AN117" i="4"/>
  <c r="AN120" i="4" s="1"/>
  <c r="AO114" i="4"/>
  <c r="AP147" i="4"/>
  <c r="AQ17" i="7"/>
  <c r="AL52" i="4" s="1"/>
  <c r="AQ138" i="7"/>
  <c r="AQ139" i="7"/>
  <c r="AQ140" i="7"/>
  <c r="AQ137" i="7"/>
  <c r="AQ141" i="7"/>
  <c r="AQ136" i="7"/>
  <c r="AP143" i="7"/>
  <c r="AP144" i="7" s="1"/>
  <c r="AO133" i="4" s="1"/>
  <c r="AO100" i="4" s="1"/>
  <c r="AR42" i="7"/>
  <c r="AR49" i="7" s="1"/>
  <c r="AM60" i="4" s="1"/>
  <c r="AR60" i="3"/>
  <c r="AQ218" i="3"/>
  <c r="AQ199" i="3"/>
  <c r="AQ153" i="7"/>
  <c r="AP149" i="4" s="1"/>
  <c r="AP116" i="4" s="1"/>
  <c r="AV48" i="3"/>
  <c r="AV209" i="3" s="1"/>
  <c r="AV131" i="4" l="1"/>
  <c r="AR53" i="4"/>
  <c r="AW152" i="4"/>
  <c r="AS64" i="4" a="1"/>
  <c r="AS64" i="4" s="1"/>
  <c r="AX39" i="7"/>
  <c r="AW136" i="4"/>
  <c r="AS57" i="4" a="1"/>
  <c r="AS57" i="4" s="1"/>
  <c r="AY164" i="7"/>
  <c r="AY36" i="7"/>
  <c r="AY32" i="7"/>
  <c r="AY34" i="7"/>
  <c r="AY37" i="7"/>
  <c r="AY35" i="7"/>
  <c r="AY43" i="7"/>
  <c r="AY161" i="7"/>
  <c r="AY47" i="7"/>
  <c r="AY38" i="7"/>
  <c r="AY33" i="7"/>
  <c r="AY48" i="7"/>
  <c r="AY45" i="7"/>
  <c r="AY46" i="7"/>
  <c r="AY44" i="7"/>
  <c r="AY13" i="7"/>
  <c r="AY15" i="7"/>
  <c r="AY20" i="7"/>
  <c r="AY21" i="7"/>
  <c r="AY10" i="7"/>
  <c r="AY23" i="7"/>
  <c r="AY25" i="7"/>
  <c r="AY26" i="7"/>
  <c r="AY14" i="7"/>
  <c r="AY22" i="7"/>
  <c r="AY16" i="7"/>
  <c r="AY12" i="7"/>
  <c r="AY24" i="7"/>
  <c r="AY11" i="7"/>
  <c r="AX27" i="7"/>
  <c r="AS59" i="4" s="1"/>
  <c r="AW146" i="4" s="1"/>
  <c r="AW144" i="4" s="1"/>
  <c r="AZ5" i="7"/>
  <c r="AZ22" i="3"/>
  <c r="AZ34" i="3"/>
  <c r="AO95" i="4"/>
  <c r="AO101" i="4" s="1"/>
  <c r="AO104" i="4" s="1"/>
  <c r="AO107" i="4" s="1"/>
  <c r="AK81" i="4" s="1" a="1"/>
  <c r="AK81" i="4" s="1"/>
  <c r="AO102" i="4"/>
  <c r="AO105" i="4" s="1"/>
  <c r="AO108" i="4" s="1"/>
  <c r="AQ142" i="7"/>
  <c r="AP96" i="4"/>
  <c r="AP129" i="4"/>
  <c r="AO128" i="4"/>
  <c r="AO134" i="4" s="1"/>
  <c r="AO137" i="4" s="1"/>
  <c r="AO140" i="4" s="1"/>
  <c r="AO135" i="4"/>
  <c r="AO138" i="4" s="1"/>
  <c r="AO141" i="4" s="1"/>
  <c r="AR171" i="7"/>
  <c r="AQ155" i="4" s="1"/>
  <c r="AR168" i="7"/>
  <c r="AQ139" i="4" s="1"/>
  <c r="AQ111" i="4"/>
  <c r="AP97" i="4"/>
  <c r="AP130" i="4"/>
  <c r="AR112" i="4"/>
  <c r="AR103" i="4"/>
  <c r="AR119" i="4"/>
  <c r="AR113" i="4"/>
  <c r="AR98" i="4"/>
  <c r="AT93" i="7"/>
  <c r="AT121" i="7" s="1"/>
  <c r="AT132" i="7" s="1"/>
  <c r="AT80" i="7"/>
  <c r="AT107" i="7" s="1"/>
  <c r="AT118" i="7" s="1"/>
  <c r="AQ99" i="4"/>
  <c r="AR132" i="4"/>
  <c r="AN54" i="4"/>
  <c r="AN61" i="4"/>
  <c r="AR148" i="4"/>
  <c r="AR115" i="4" s="1"/>
  <c r="BA20" i="2"/>
  <c r="AZ22" i="2"/>
  <c r="AN123" i="4"/>
  <c r="AJ82" i="4" s="1" a="1"/>
  <c r="AJ82" i="4" s="1"/>
  <c r="AP151" i="4"/>
  <c r="AP154" i="4" s="1"/>
  <c r="AP157" i="4" s="1"/>
  <c r="AP150" i="4"/>
  <c r="AP153" i="4" s="1"/>
  <c r="AP156" i="4" s="1"/>
  <c r="AO118" i="4"/>
  <c r="AO121" i="4" s="1"/>
  <c r="AO124" i="4" s="1"/>
  <c r="AO117" i="4"/>
  <c r="AO120" i="4" s="1"/>
  <c r="AP114" i="4"/>
  <c r="AQ147" i="4"/>
  <c r="AQ143" i="7"/>
  <c r="AQ144" i="7" s="1"/>
  <c r="AP133" i="4" s="1"/>
  <c r="AP100" i="4" s="1"/>
  <c r="AR17" i="7"/>
  <c r="AM52" i="4" s="1"/>
  <c r="AR139" i="7"/>
  <c r="AR140" i="7"/>
  <c r="AR137" i="7"/>
  <c r="AR141" i="7"/>
  <c r="AR138" i="7"/>
  <c r="AR136" i="7"/>
  <c r="AS42" i="7"/>
  <c r="AS49" i="7" s="1"/>
  <c r="AN60" i="4" s="1"/>
  <c r="AS60" i="3"/>
  <c r="AR218" i="3"/>
  <c r="AR199" i="3"/>
  <c r="AR153" i="7"/>
  <c r="AQ149" i="4" s="1"/>
  <c r="AQ116" i="4" s="1"/>
  <c r="AW48" i="3"/>
  <c r="AW209" i="3" s="1"/>
  <c r="AT64" i="4" l="1" a="1"/>
  <c r="AT64" i="4" s="1"/>
  <c r="AX152" i="4"/>
  <c r="AY39" i="7"/>
  <c r="AS53" i="4"/>
  <c r="AW131" i="4"/>
  <c r="AP95" i="4"/>
  <c r="AP101" i="4" s="1"/>
  <c r="AP104" i="4" s="1"/>
  <c r="AP107" i="4" s="1"/>
  <c r="AL81" i="4" s="1" a="1"/>
  <c r="AL81" i="4" s="1"/>
  <c r="AX136" i="4"/>
  <c r="AT57" i="4" a="1"/>
  <c r="AT57" i="4" s="1"/>
  <c r="AZ48" i="7"/>
  <c r="AZ47" i="7"/>
  <c r="AZ164" i="7"/>
  <c r="AZ33" i="7"/>
  <c r="AZ161" i="7"/>
  <c r="AZ36" i="7"/>
  <c r="AZ32" i="7"/>
  <c r="AZ45" i="7"/>
  <c r="AZ38" i="7"/>
  <c r="AZ46" i="7"/>
  <c r="AZ44" i="7"/>
  <c r="AZ37" i="7"/>
  <c r="AZ34" i="7"/>
  <c r="AZ43" i="7"/>
  <c r="AZ35" i="7"/>
  <c r="AZ24" i="7"/>
  <c r="AZ25" i="7"/>
  <c r="AZ22" i="7"/>
  <c r="AZ15" i="7"/>
  <c r="AZ16" i="7"/>
  <c r="AZ10" i="7"/>
  <c r="AZ20" i="7"/>
  <c r="AZ23" i="7"/>
  <c r="AZ13" i="7"/>
  <c r="AZ14" i="7"/>
  <c r="AZ12" i="7"/>
  <c r="AZ26" i="7"/>
  <c r="AZ11" i="7"/>
  <c r="AZ21" i="7"/>
  <c r="AY27" i="7"/>
  <c r="AT59" i="4" s="1"/>
  <c r="AX146" i="4" s="1"/>
  <c r="AX144" i="4" s="1"/>
  <c r="AR143" i="7"/>
  <c r="AR144" i="7" s="1"/>
  <c r="AQ133" i="4" s="1"/>
  <c r="AQ100" i="4" s="1"/>
  <c r="AP102" i="4"/>
  <c r="AP105" i="4" s="1"/>
  <c r="AP108" i="4" s="1"/>
  <c r="AP128" i="4"/>
  <c r="AP134" i="4" s="1"/>
  <c r="AP137" i="4" s="1"/>
  <c r="AP140" i="4" s="1"/>
  <c r="AP135" i="4"/>
  <c r="AP138" i="4" s="1"/>
  <c r="AP141" i="4" s="1"/>
  <c r="AR142" i="7"/>
  <c r="AQ96" i="4"/>
  <c r="AQ129" i="4"/>
  <c r="AS112" i="4"/>
  <c r="AS119" i="4"/>
  <c r="AS103" i="4"/>
  <c r="AS113" i="4"/>
  <c r="AS98" i="4"/>
  <c r="AS168" i="7"/>
  <c r="AR139" i="4" s="1"/>
  <c r="AS171" i="7"/>
  <c r="AR155" i="4" s="1"/>
  <c r="AQ97" i="4"/>
  <c r="AQ102" i="4" s="1"/>
  <c r="AQ105" i="4" s="1"/>
  <c r="AQ108" i="4" s="1"/>
  <c r="AQ130" i="4"/>
  <c r="AR111" i="4"/>
  <c r="AU93" i="7"/>
  <c r="AU121" i="7" s="1"/>
  <c r="AU132" i="7" s="1"/>
  <c r="AU80" i="7"/>
  <c r="AU107" i="7" s="1"/>
  <c r="AU118" i="7" s="1"/>
  <c r="BB20" i="2"/>
  <c r="BA22" i="2"/>
  <c r="AR99" i="4"/>
  <c r="AS132" i="4"/>
  <c r="AO54" i="4"/>
  <c r="AO61" i="4"/>
  <c r="AS148" i="4"/>
  <c r="AS115" i="4" s="1"/>
  <c r="AO123" i="4"/>
  <c r="AK82" i="4" s="1" a="1"/>
  <c r="AK82" i="4" s="1"/>
  <c r="AQ151" i="4"/>
  <c r="AQ154" i="4" s="1"/>
  <c r="AQ157" i="4" s="1"/>
  <c r="AQ150" i="4"/>
  <c r="AQ153" i="4" s="1"/>
  <c r="AQ156" i="4" s="1"/>
  <c r="AP118" i="4"/>
  <c r="AP121" i="4" s="1"/>
  <c r="AP124" i="4" s="1"/>
  <c r="AP117" i="4"/>
  <c r="AP120" i="4" s="1"/>
  <c r="AQ114" i="4"/>
  <c r="AR147" i="4"/>
  <c r="AS17" i="7"/>
  <c r="AN52" i="4" s="1"/>
  <c r="AS136" i="7"/>
  <c r="AS139" i="7"/>
  <c r="AS140" i="7"/>
  <c r="AS141" i="7"/>
  <c r="AS137" i="7"/>
  <c r="AS138" i="7"/>
  <c r="AT42" i="7"/>
  <c r="AT49" i="7" s="1"/>
  <c r="AO60" i="4" s="1"/>
  <c r="AT60" i="3"/>
  <c r="AS218" i="3"/>
  <c r="AS199" i="3"/>
  <c r="AS153" i="7"/>
  <c r="AR149" i="4" s="1"/>
  <c r="AR116" i="4" s="1"/>
  <c r="AX48" i="3"/>
  <c r="AX209" i="3" s="1"/>
  <c r="AU64" i="4" l="1" a="1"/>
  <c r="AU64" i="4" s="1"/>
  <c r="AY152" i="4"/>
  <c r="AZ39" i="7"/>
  <c r="AT53" i="4"/>
  <c r="AX131" i="4"/>
  <c r="AS111" i="4"/>
  <c r="AU57" i="4" a="1"/>
  <c r="AU57" i="4" s="1"/>
  <c r="AY136" i="4"/>
  <c r="AZ27" i="7"/>
  <c r="AU59" i="4" s="1"/>
  <c r="AY146" i="4" s="1"/>
  <c r="AY144" i="4" s="1"/>
  <c r="AS143" i="7"/>
  <c r="AS144" i="7" s="1"/>
  <c r="AR133" i="4" s="1"/>
  <c r="AR100" i="4" s="1"/>
  <c r="AT112" i="4"/>
  <c r="AT103" i="4"/>
  <c r="AT119" i="4"/>
  <c r="AT113" i="4"/>
  <c r="AT98" i="4"/>
  <c r="AT168" i="7"/>
  <c r="AS139" i="4" s="1"/>
  <c r="AT171" i="7"/>
  <c r="AS155" i="4" s="1"/>
  <c r="AR96" i="4"/>
  <c r="AR129" i="4"/>
  <c r="AQ128" i="4"/>
  <c r="AQ134" i="4" s="1"/>
  <c r="AQ137" i="4" s="1"/>
  <c r="AQ140" i="4" s="1"/>
  <c r="AQ135" i="4"/>
  <c r="AQ138" i="4" s="1"/>
  <c r="AQ141" i="4" s="1"/>
  <c r="AR97" i="4"/>
  <c r="AR130" i="4"/>
  <c r="AQ95" i="4"/>
  <c r="AQ101" i="4" s="1"/>
  <c r="AQ104" i="4" s="1"/>
  <c r="AQ107" i="4" s="1"/>
  <c r="AM81" i="4" s="1" a="1"/>
  <c r="AM81" i="4" s="1"/>
  <c r="AV80" i="7"/>
  <c r="AV107" i="7" s="1"/>
  <c r="AV118" i="7" s="1"/>
  <c r="AV93" i="7"/>
  <c r="AV121" i="7" s="1"/>
  <c r="AV132" i="7" s="1"/>
  <c r="AS99" i="4"/>
  <c r="AP61" i="4"/>
  <c r="AT148" i="4"/>
  <c r="AT115" i="4" s="1"/>
  <c r="AT132" i="4"/>
  <c r="AP54" i="4"/>
  <c r="BC20" i="2"/>
  <c r="BB22" i="2"/>
  <c r="AP123" i="4"/>
  <c r="AL82" i="4" s="1" a="1"/>
  <c r="AL82" i="4" s="1"/>
  <c r="AR151" i="4"/>
  <c r="AR154" i="4" s="1"/>
  <c r="AR157" i="4" s="1"/>
  <c r="AR150" i="4"/>
  <c r="AR153" i="4" s="1"/>
  <c r="AR156" i="4" s="1"/>
  <c r="AQ117" i="4"/>
  <c r="AQ120" i="4" s="1"/>
  <c r="AQ118" i="4"/>
  <c r="AQ121" i="4" s="1"/>
  <c r="AQ124" i="4" s="1"/>
  <c r="AR114" i="4"/>
  <c r="AS147" i="4"/>
  <c r="AS142" i="7"/>
  <c r="AT17" i="7"/>
  <c r="AO52" i="4" s="1"/>
  <c r="AT139" i="7"/>
  <c r="AT136" i="7"/>
  <c r="AT140" i="7"/>
  <c r="AT141" i="7"/>
  <c r="AT138" i="7"/>
  <c r="AT137" i="7"/>
  <c r="AU42" i="7"/>
  <c r="AU49" i="7" s="1"/>
  <c r="AP60" i="4" s="1"/>
  <c r="AU60" i="3"/>
  <c r="AT218" i="3"/>
  <c r="AT199" i="3"/>
  <c r="AT153" i="7"/>
  <c r="AS149" i="4" s="1"/>
  <c r="AS116" i="4" s="1"/>
  <c r="AY48" i="3"/>
  <c r="AY209" i="3" s="1"/>
  <c r="AY131" i="4" l="1"/>
  <c r="AU53" i="4"/>
  <c r="AT111" i="4"/>
  <c r="AR95" i="4"/>
  <c r="AR101" i="4" s="1"/>
  <c r="AR104" i="4" s="1"/>
  <c r="AR107" i="4" s="1"/>
  <c r="AN81" i="4" s="1" a="1"/>
  <c r="AN81" i="4" s="1"/>
  <c r="AT143" i="7"/>
  <c r="AT144" i="7" s="1"/>
  <c r="AS133" i="4" s="1"/>
  <c r="AS100" i="4" s="1"/>
  <c r="AR102" i="4"/>
  <c r="AR105" i="4" s="1"/>
  <c r="AR108" i="4" s="1"/>
  <c r="AU168" i="7"/>
  <c r="AT139" i="4" s="1"/>
  <c r="AU171" i="7"/>
  <c r="AT155" i="4" s="1"/>
  <c r="AS96" i="4"/>
  <c r="AS129" i="4"/>
  <c r="AS97" i="4"/>
  <c r="AS130" i="4"/>
  <c r="AU112" i="4"/>
  <c r="AU119" i="4"/>
  <c r="AU103" i="4"/>
  <c r="AU98" i="4"/>
  <c r="AU113" i="4"/>
  <c r="AR128" i="4"/>
  <c r="AR134" i="4" s="1"/>
  <c r="AR137" i="4" s="1"/>
  <c r="AR140" i="4" s="1"/>
  <c r="AR135" i="4"/>
  <c r="AR138" i="4" s="1"/>
  <c r="AR141" i="4" s="1"/>
  <c r="AW80" i="7"/>
  <c r="AW107" i="7" s="1"/>
  <c r="AW118" i="7" s="1"/>
  <c r="AW93" i="7"/>
  <c r="AW121" i="7" s="1"/>
  <c r="AW132" i="7" s="1"/>
  <c r="AQ61" i="4"/>
  <c r="AU148" i="4"/>
  <c r="AU115" i="4" s="1"/>
  <c r="BD20" i="2"/>
  <c r="BC22" i="2"/>
  <c r="AT99" i="4"/>
  <c r="AU132" i="4"/>
  <c r="AQ54" i="4"/>
  <c r="AQ123" i="4"/>
  <c r="AM82" i="4" s="1" a="1"/>
  <c r="AM82" i="4" s="1"/>
  <c r="AS151" i="4"/>
  <c r="AS154" i="4" s="1"/>
  <c r="AS157" i="4" s="1"/>
  <c r="AS150" i="4"/>
  <c r="AS153" i="4" s="1"/>
  <c r="AS156" i="4" s="1"/>
  <c r="AR117" i="4"/>
  <c r="AR120" i="4" s="1"/>
  <c r="AR118" i="4"/>
  <c r="AR121" i="4" s="1"/>
  <c r="AR124" i="4" s="1"/>
  <c r="AS114" i="4"/>
  <c r="AT147" i="4"/>
  <c r="AT142" i="7"/>
  <c r="AU17" i="7"/>
  <c r="AP52" i="4" s="1"/>
  <c r="AU140" i="7"/>
  <c r="AU136" i="7"/>
  <c r="AU141" i="7"/>
  <c r="AU138" i="7"/>
  <c r="AU137" i="7"/>
  <c r="AU139" i="7"/>
  <c r="AU218" i="3"/>
  <c r="AU199" i="3"/>
  <c r="AV42" i="7"/>
  <c r="AV49" i="7" s="1"/>
  <c r="AQ60" i="4" s="1"/>
  <c r="AV60" i="3"/>
  <c r="AU153" i="7"/>
  <c r="AT149" i="4" s="1"/>
  <c r="AT116" i="4" s="1"/>
  <c r="AZ48" i="3"/>
  <c r="AZ209" i="3" s="1"/>
  <c r="AS95" i="4" l="1"/>
  <c r="AS101" i="4" s="1"/>
  <c r="AS104" i="4" s="1"/>
  <c r="AS107" i="4" s="1"/>
  <c r="AO81" i="4" s="1" a="1"/>
  <c r="AO81" i="4" s="1"/>
  <c r="AS102" i="4"/>
  <c r="AS105" i="4" s="1"/>
  <c r="AS108" i="4" s="1"/>
  <c r="AU111" i="4"/>
  <c r="AV168" i="7"/>
  <c r="AU139" i="4" s="1"/>
  <c r="AV171" i="7"/>
  <c r="AU155" i="4" s="1"/>
  <c r="AS128" i="4"/>
  <c r="AS134" i="4" s="1"/>
  <c r="AS137" i="4" s="1"/>
  <c r="AS140" i="4" s="1"/>
  <c r="AS135" i="4"/>
  <c r="AS138" i="4" s="1"/>
  <c r="AS141" i="4" s="1"/>
  <c r="AT129" i="4"/>
  <c r="AT96" i="4"/>
  <c r="AV112" i="4"/>
  <c r="AV119" i="4"/>
  <c r="AV103" i="4"/>
  <c r="AV113" i="4"/>
  <c r="AV98" i="4"/>
  <c r="AT97" i="4"/>
  <c r="AT130" i="4"/>
  <c r="AX80" i="7"/>
  <c r="AX107" i="7" s="1"/>
  <c r="AX118" i="7" s="1"/>
  <c r="AX93" i="7"/>
  <c r="AX121" i="7" s="1"/>
  <c r="AX132" i="7" s="1"/>
  <c r="AV132" i="4"/>
  <c r="AR54" i="4"/>
  <c r="AU99" i="4"/>
  <c r="BE20" i="2"/>
  <c r="BE22" i="2" s="1"/>
  <c r="BD22" i="2"/>
  <c r="AR61" i="4"/>
  <c r="AV148" i="4"/>
  <c r="AV115" i="4" s="1"/>
  <c r="AR123" i="4"/>
  <c r="AN82" i="4" s="1" a="1"/>
  <c r="AN82" i="4" s="1"/>
  <c r="AT151" i="4"/>
  <c r="AT154" i="4" s="1"/>
  <c r="AT157" i="4" s="1"/>
  <c r="AT150" i="4"/>
  <c r="AT153" i="4" s="1"/>
  <c r="AT156" i="4" s="1"/>
  <c r="AS118" i="4"/>
  <c r="AS121" i="4" s="1"/>
  <c r="AS124" i="4" s="1"/>
  <c r="AS117" i="4"/>
  <c r="AS120" i="4" s="1"/>
  <c r="AT114" i="4"/>
  <c r="AU147" i="4"/>
  <c r="AU142" i="7"/>
  <c r="AU143" i="7"/>
  <c r="AU144" i="7" s="1"/>
  <c r="AT133" i="4" s="1"/>
  <c r="AT100" i="4" s="1"/>
  <c r="AV17" i="7"/>
  <c r="AQ52" i="4" s="1"/>
  <c r="AV140" i="7"/>
  <c r="AV136" i="7"/>
  <c r="AV141" i="7"/>
  <c r="AV138" i="7"/>
  <c r="AV139" i="7"/>
  <c r="AV137" i="7"/>
  <c r="AW42" i="7"/>
  <c r="AW49" i="7" s="1"/>
  <c r="AR60" i="4" s="1"/>
  <c r="AW60" i="3"/>
  <c r="AV218" i="3"/>
  <c r="AV199" i="3"/>
  <c r="AV153" i="7"/>
  <c r="AU149" i="4" s="1"/>
  <c r="AU116" i="4" s="1"/>
  <c r="AV111" i="4" l="1"/>
  <c r="AT95" i="4"/>
  <c r="AT101" i="4" s="1"/>
  <c r="AT104" i="4" s="1"/>
  <c r="AT107" i="4" s="1"/>
  <c r="AP81" i="4" s="1" a="1"/>
  <c r="AP81" i="4" s="1"/>
  <c r="AT102" i="4"/>
  <c r="AT105" i="4" s="1"/>
  <c r="AT108" i="4" s="1"/>
  <c r="AW112" i="4"/>
  <c r="AW103" i="4"/>
  <c r="AW119" i="4"/>
  <c r="AW98" i="4"/>
  <c r="AW113" i="4"/>
  <c r="AU129" i="4"/>
  <c r="AU96" i="4"/>
  <c r="AW168" i="7"/>
  <c r="AV139" i="4" s="1"/>
  <c r="AW171" i="7"/>
  <c r="AV155" i="4" s="1"/>
  <c r="AU97" i="4"/>
  <c r="AU130" i="4"/>
  <c r="AT128" i="4"/>
  <c r="AT134" i="4" s="1"/>
  <c r="AT137" i="4" s="1"/>
  <c r="AT140" i="4" s="1"/>
  <c r="AT135" i="4"/>
  <c r="AT138" i="4" s="1"/>
  <c r="AT141" i="4" s="1"/>
  <c r="AZ80" i="7"/>
  <c r="AZ107" i="7" s="1"/>
  <c r="AZ93" i="7"/>
  <c r="AZ121" i="7" s="1"/>
  <c r="AY80" i="7"/>
  <c r="AY107" i="7" s="1"/>
  <c r="AY118" i="7" s="1"/>
  <c r="AY93" i="7"/>
  <c r="AY121" i="7" s="1"/>
  <c r="AY132" i="7" s="1"/>
  <c r="AS61" i="4"/>
  <c r="AW148" i="4"/>
  <c r="AW115" i="4" s="1"/>
  <c r="AZ118" i="7"/>
  <c r="AZ132" i="7"/>
  <c r="AW132" i="4"/>
  <c r="AS54" i="4"/>
  <c r="AV99" i="4"/>
  <c r="AS123" i="4"/>
  <c r="AO82" i="4" s="1" a="1"/>
  <c r="AO82" i="4" s="1"/>
  <c r="AU151" i="4"/>
  <c r="AU154" i="4" s="1"/>
  <c r="AU157" i="4" s="1"/>
  <c r="AU150" i="4"/>
  <c r="AU153" i="4" s="1"/>
  <c r="AU156" i="4" s="1"/>
  <c r="AT118" i="4"/>
  <c r="AT121" i="4" s="1"/>
  <c r="AT124" i="4" s="1"/>
  <c r="AT117" i="4"/>
  <c r="AT120" i="4" s="1"/>
  <c r="AU114" i="4"/>
  <c r="AV147" i="4"/>
  <c r="AV143" i="7"/>
  <c r="AV144" i="7" s="1"/>
  <c r="AU133" i="4" s="1"/>
  <c r="AU100" i="4" s="1"/>
  <c r="AV142" i="7"/>
  <c r="AW17" i="7"/>
  <c r="AR52" i="4" s="1"/>
  <c r="AW140" i="7"/>
  <c r="AW137" i="7"/>
  <c r="AW141" i="7"/>
  <c r="AW136" i="7"/>
  <c r="AW138" i="7"/>
  <c r="AW139" i="7"/>
  <c r="AX42" i="7"/>
  <c r="AX49" i="7" s="1"/>
  <c r="AS60" i="4" s="1"/>
  <c r="AX60" i="3"/>
  <c r="AW218" i="3"/>
  <c r="AW199" i="3"/>
  <c r="AW153" i="7"/>
  <c r="AV149" i="4" s="1"/>
  <c r="AV116" i="4" s="1"/>
  <c r="AW111" i="4" l="1"/>
  <c r="AU95" i="4"/>
  <c r="AU101" i="4" s="1"/>
  <c r="AU104" i="4" s="1"/>
  <c r="AU107" i="4" s="1"/>
  <c r="AQ81" i="4" s="1" a="1"/>
  <c r="AQ81" i="4" s="1"/>
  <c r="AW142" i="7"/>
  <c r="AV129" i="4"/>
  <c r="AV96" i="4"/>
  <c r="AU128" i="4"/>
  <c r="AU134" i="4" s="1"/>
  <c r="AU137" i="4" s="1"/>
  <c r="AU140" i="4" s="1"/>
  <c r="AU135" i="4"/>
  <c r="AU138" i="4" s="1"/>
  <c r="AU141" i="4" s="1"/>
  <c r="AU102" i="4"/>
  <c r="AU105" i="4" s="1"/>
  <c r="AU108" i="4" s="1"/>
  <c r="AV97" i="4"/>
  <c r="AV130" i="4"/>
  <c r="AX168" i="7"/>
  <c r="AW139" i="4" s="1"/>
  <c r="AX171" i="7"/>
  <c r="AW155" i="4" s="1"/>
  <c r="AX112" i="4"/>
  <c r="AX103" i="4"/>
  <c r="AX119" i="4"/>
  <c r="AX113" i="4"/>
  <c r="AX98" i="4"/>
  <c r="AT61" i="4"/>
  <c r="AX148" i="4"/>
  <c r="AX115" i="4" s="1"/>
  <c r="AX132" i="4"/>
  <c r="AT54" i="4"/>
  <c r="AW99" i="4"/>
  <c r="AU61" i="4"/>
  <c r="AY148" i="4"/>
  <c r="AY132" i="4"/>
  <c r="AU54" i="4"/>
  <c r="AT123" i="4"/>
  <c r="AP82" i="4" s="1" a="1"/>
  <c r="AP82" i="4" s="1"/>
  <c r="AV151" i="4"/>
  <c r="AV154" i="4" s="1"/>
  <c r="AV157" i="4" s="1"/>
  <c r="AV150" i="4"/>
  <c r="AV153" i="4" s="1"/>
  <c r="AV156" i="4" s="1"/>
  <c r="AU118" i="4"/>
  <c r="AU121" i="4" s="1"/>
  <c r="AU124" i="4" s="1"/>
  <c r="AU117" i="4"/>
  <c r="AU120" i="4" s="1"/>
  <c r="AV114" i="4"/>
  <c r="AW147" i="4"/>
  <c r="AW143" i="7"/>
  <c r="AW144" i="7" s="1"/>
  <c r="AV133" i="4" s="1"/>
  <c r="AV100" i="4" s="1"/>
  <c r="AX17" i="7"/>
  <c r="AS52" i="4" s="1"/>
  <c r="AX137" i="7"/>
  <c r="AX141" i="7"/>
  <c r="AX138" i="7"/>
  <c r="AX136" i="7"/>
  <c r="AX139" i="7"/>
  <c r="AX140" i="7"/>
  <c r="AX218" i="3"/>
  <c r="AX199" i="3"/>
  <c r="AY42" i="7"/>
  <c r="AY49" i="7" s="1"/>
  <c r="AT60" i="4" s="1"/>
  <c r="AY60" i="3"/>
  <c r="AX153" i="7"/>
  <c r="AW149" i="4" s="1"/>
  <c r="AW116" i="4" s="1"/>
  <c r="AV95" i="4" l="1"/>
  <c r="AV101" i="4" s="1"/>
  <c r="AV104" i="4" s="1"/>
  <c r="AV107" i="4" s="1"/>
  <c r="AR81" i="4" s="1" a="1"/>
  <c r="AR81" i="4" s="1"/>
  <c r="AV102" i="4"/>
  <c r="AV105" i="4" s="1"/>
  <c r="AV108" i="4" s="1"/>
  <c r="AV128" i="4"/>
  <c r="AV134" i="4" s="1"/>
  <c r="AV137" i="4" s="1"/>
  <c r="AV140" i="4" s="1"/>
  <c r="AV135" i="4"/>
  <c r="AV138" i="4" s="1"/>
  <c r="AV141" i="4" s="1"/>
  <c r="AY112" i="4"/>
  <c r="AY103" i="4"/>
  <c r="AY119" i="4"/>
  <c r="AY98" i="4"/>
  <c r="AY113" i="4"/>
  <c r="AX142" i="7"/>
  <c r="AW129" i="4"/>
  <c r="AW96" i="4"/>
  <c r="AY115" i="4"/>
  <c r="AX111" i="4"/>
  <c r="AY168" i="7"/>
  <c r="AX139" i="4" s="1"/>
  <c r="AY171" i="7"/>
  <c r="AX155" i="4" s="1"/>
  <c r="AW97" i="4"/>
  <c r="AW102" i="4" s="1"/>
  <c r="AW105" i="4" s="1"/>
  <c r="AW108" i="4" s="1"/>
  <c r="AW130" i="4"/>
  <c r="AY99" i="4"/>
  <c r="AX99" i="4"/>
  <c r="AU123" i="4"/>
  <c r="AQ82" i="4" s="1" a="1"/>
  <c r="AQ82" i="4" s="1"/>
  <c r="AW151" i="4"/>
  <c r="AW154" i="4" s="1"/>
  <c r="AW157" i="4" s="1"/>
  <c r="AW150" i="4"/>
  <c r="AW153" i="4" s="1"/>
  <c r="AW156" i="4" s="1"/>
  <c r="AV118" i="4"/>
  <c r="AV121" i="4" s="1"/>
  <c r="AV124" i="4" s="1"/>
  <c r="AV117" i="4"/>
  <c r="AV120" i="4" s="1"/>
  <c r="AW114" i="4"/>
  <c r="AX147" i="4"/>
  <c r="AX143" i="7"/>
  <c r="AX144" i="7" s="1"/>
  <c r="AW133" i="4" s="1"/>
  <c r="AW100" i="4" s="1"/>
  <c r="AY17" i="7"/>
  <c r="AT52" i="4" s="1"/>
  <c r="AY141" i="7"/>
  <c r="AY137" i="7"/>
  <c r="AY138" i="7"/>
  <c r="AY136" i="7"/>
  <c r="AY139" i="7"/>
  <c r="AY140" i="7"/>
  <c r="AZ42" i="7"/>
  <c r="AZ49" i="7" s="1"/>
  <c r="AU60" i="4" s="1"/>
  <c r="AZ60" i="3"/>
  <c r="AY218" i="3"/>
  <c r="AY199" i="3"/>
  <c r="AY153" i="7"/>
  <c r="AX149" i="4" s="1"/>
  <c r="AX116" i="4" s="1"/>
  <c r="AY111" i="4" l="1"/>
  <c r="AX97" i="4"/>
  <c r="AX102" i="4" s="1"/>
  <c r="AX105" i="4" s="1"/>
  <c r="AX108" i="4" s="1"/>
  <c r="AX130" i="4"/>
  <c r="AZ168" i="7"/>
  <c r="AY139" i="4" s="1"/>
  <c r="AZ171" i="7"/>
  <c r="AY155" i="4" s="1"/>
  <c r="AW128" i="4"/>
  <c r="AW134" i="4" s="1"/>
  <c r="AW137" i="4" s="1"/>
  <c r="AW140" i="4" s="1"/>
  <c r="AW135" i="4"/>
  <c r="AW138" i="4" s="1"/>
  <c r="AW141" i="4" s="1"/>
  <c r="AW95" i="4"/>
  <c r="AW101" i="4" s="1"/>
  <c r="AW104" i="4" s="1"/>
  <c r="AW107" i="4" s="1"/>
  <c r="AS81" i="4" s="1" a="1"/>
  <c r="AS81" i="4" s="1"/>
  <c r="AY142" i="7"/>
  <c r="AX129" i="4"/>
  <c r="AX96" i="4"/>
  <c r="AV123" i="4"/>
  <c r="AR82" i="4" s="1" a="1"/>
  <c r="AR82" i="4" s="1"/>
  <c r="AX151" i="4"/>
  <c r="AX154" i="4" s="1"/>
  <c r="AX157" i="4" s="1"/>
  <c r="AX150" i="4"/>
  <c r="AX153" i="4" s="1"/>
  <c r="AX156" i="4" s="1"/>
  <c r="AW118" i="4"/>
  <c r="AW121" i="4" s="1"/>
  <c r="AW124" i="4" s="1"/>
  <c r="AW117" i="4"/>
  <c r="AW120" i="4" s="1"/>
  <c r="AX114" i="4"/>
  <c r="AY147" i="4"/>
  <c r="AY143" i="7"/>
  <c r="AY144" i="7" s="1"/>
  <c r="AX133" i="4" s="1"/>
  <c r="AX100" i="4" s="1"/>
  <c r="AZ17" i="7"/>
  <c r="AU52" i="4" s="1"/>
  <c r="AZ141" i="7"/>
  <c r="AZ138" i="7"/>
  <c r="AZ137" i="7"/>
  <c r="AZ139" i="7"/>
  <c r="AZ136" i="7"/>
  <c r="AZ140" i="7"/>
  <c r="AZ218" i="3"/>
  <c r="AZ199" i="3"/>
  <c r="AZ153" i="7"/>
  <c r="AY149" i="4" s="1"/>
  <c r="AY116" i="4" s="1"/>
  <c r="AY97" i="4" l="1"/>
  <c r="AY130" i="4"/>
  <c r="AZ142" i="7"/>
  <c r="AY96" i="4"/>
  <c r="AY129" i="4"/>
  <c r="AX128" i="4"/>
  <c r="AX134" i="4" s="1"/>
  <c r="AX137" i="4" s="1"/>
  <c r="AX140" i="4" s="1"/>
  <c r="AX135" i="4"/>
  <c r="AX138" i="4" s="1"/>
  <c r="AX141" i="4" s="1"/>
  <c r="AX95" i="4"/>
  <c r="AX101" i="4" s="1"/>
  <c r="AX104" i="4" s="1"/>
  <c r="AX107" i="4" s="1"/>
  <c r="AT81" i="4" s="1" a="1"/>
  <c r="AT81" i="4" s="1"/>
  <c r="AW123" i="4"/>
  <c r="AS82" i="4" s="1" a="1"/>
  <c r="AS82" i="4" s="1"/>
  <c r="AY151" i="4"/>
  <c r="AY154" i="4" s="1"/>
  <c r="AY157" i="4" s="1"/>
  <c r="AY150" i="4"/>
  <c r="AY153" i="4" s="1"/>
  <c r="AY156" i="4" s="1"/>
  <c r="AX117" i="4"/>
  <c r="AX120" i="4" s="1"/>
  <c r="AX118" i="4"/>
  <c r="AX121" i="4" s="1"/>
  <c r="AX124" i="4" s="1"/>
  <c r="AY114" i="4"/>
  <c r="AZ143" i="7"/>
  <c r="AZ144" i="7" s="1"/>
  <c r="AY133" i="4" s="1"/>
  <c r="AY100" i="4" s="1"/>
  <c r="AY128" i="4" l="1"/>
  <c r="AY134" i="4" s="1"/>
  <c r="AY137" i="4" s="1"/>
  <c r="AY140" i="4" s="1"/>
  <c r="AY135" i="4"/>
  <c r="AY138" i="4" s="1"/>
  <c r="AY141" i="4" s="1"/>
  <c r="AY95" i="4"/>
  <c r="AY101" i="4" s="1"/>
  <c r="AY104" i="4" s="1"/>
  <c r="AY107" i="4" s="1"/>
  <c r="AU81" i="4" s="1" a="1"/>
  <c r="AU81" i="4" s="1"/>
  <c r="C86" i="4" s="1"/>
  <c r="C11" i="8" s="1"/>
  <c r="AY102" i="4"/>
  <c r="AY105" i="4" s="1"/>
  <c r="AY108" i="4" s="1"/>
  <c r="AX123" i="4"/>
  <c r="AT82" i="4" s="1" a="1"/>
  <c r="AT82" i="4" s="1"/>
  <c r="AY118" i="4"/>
  <c r="AY121" i="4" s="1"/>
  <c r="AY124" i="4" s="1"/>
  <c r="AY117" i="4"/>
  <c r="AY120" i="4" s="1"/>
  <c r="AY123" i="4" l="1"/>
  <c r="AU82" i="4" s="1" a="1"/>
  <c r="AU82" i="4" s="1"/>
  <c r="C87" i="4" s="1"/>
  <c r="C12" i="8" s="1"/>
  <c r="C13" i="8" s="1"/>
  <c r="H181" i="3"/>
  <c r="I181" i="3" s="1"/>
  <c r="J181" i="3" s="1"/>
  <c r="K181" i="3" s="1"/>
  <c r="L181" i="3" s="1"/>
  <c r="M181" i="3" s="1"/>
  <c r="N181" i="3" s="1"/>
  <c r="O181" i="3" s="1"/>
  <c r="P181" i="3" s="1"/>
  <c r="Q181" i="3" s="1"/>
  <c r="R181" i="3" s="1"/>
  <c r="S181" i="3" s="1"/>
  <c r="T181" i="3" s="1"/>
  <c r="U181" i="3" s="1"/>
  <c r="V181" i="3" s="1"/>
  <c r="W181" i="3" s="1"/>
  <c r="X181" i="3" s="1"/>
  <c r="Y181" i="3" s="1"/>
  <c r="Z181" i="3" s="1"/>
  <c r="AA181" i="3" s="1"/>
  <c r="AB181" i="3" s="1"/>
  <c r="AC181" i="3" s="1"/>
  <c r="AD181" i="3" s="1"/>
  <c r="AE181" i="3" s="1"/>
  <c r="AF181" i="3" s="1"/>
  <c r="AG181" i="3" s="1"/>
  <c r="AH181" i="3" s="1"/>
  <c r="AI181" i="3" s="1"/>
  <c r="AJ181" i="3" s="1"/>
  <c r="AK181" i="3" s="1"/>
  <c r="AL181" i="3" s="1"/>
  <c r="AM181" i="3" s="1"/>
  <c r="AN181" i="3" s="1"/>
  <c r="AO181" i="3" s="1"/>
  <c r="AP181" i="3" s="1"/>
  <c r="AQ181" i="3" s="1"/>
  <c r="AR181" i="3" s="1"/>
  <c r="AS181" i="3" s="1"/>
  <c r="AT181" i="3" s="1"/>
  <c r="AU181" i="3" s="1"/>
  <c r="AV181" i="3" s="1"/>
  <c r="AW181" i="3" s="1"/>
  <c r="AX181" i="3" s="1"/>
  <c r="AY181" i="3" s="1"/>
  <c r="AZ181" i="3" s="1"/>
  <c r="I60" i="3"/>
  <c r="J60" i="3"/>
  <c r="K60" i="3"/>
  <c r="L60" i="3"/>
  <c r="M60" i="3"/>
  <c r="N60" i="3"/>
  <c r="O60" i="3"/>
  <c r="P60" i="3"/>
  <c r="Q60" i="3"/>
  <c r="R60" i="3"/>
  <c r="S60" i="3"/>
  <c r="T60" i="3"/>
  <c r="U60" i="3"/>
  <c r="V60" i="3"/>
  <c r="W60" i="3"/>
  <c r="X60" i="3"/>
  <c r="Y60" i="3"/>
  <c r="Z60" i="3"/>
  <c r="AA60" i="3"/>
  <c r="AB60" i="3"/>
  <c r="AC60" i="3"/>
  <c r="AC218" i="3" s="1"/>
  <c r="AD60" i="3"/>
  <c r="AE60" i="3"/>
  <c r="AF60" i="3"/>
  <c r="B6" i="5"/>
  <c r="B29" i="1"/>
  <c r="B61" i="4"/>
  <c r="B60" i="4"/>
  <c r="H167" i="3"/>
  <c r="H201" i="3" s="1"/>
  <c r="H237" i="3" s="1"/>
  <c r="H198" i="3"/>
  <c r="I198" i="3" s="1"/>
  <c r="J198" i="3" s="1"/>
  <c r="K198" i="3" s="1"/>
  <c r="L198" i="3" s="1"/>
  <c r="M198" i="3" s="1"/>
  <c r="N198" i="3" s="1"/>
  <c r="O198" i="3" s="1"/>
  <c r="P198" i="3" s="1"/>
  <c r="Q198" i="3" s="1"/>
  <c r="R198" i="3" s="1"/>
  <c r="S198" i="3" s="1"/>
  <c r="T198" i="3" s="1"/>
  <c r="U198" i="3" s="1"/>
  <c r="V198" i="3" s="1"/>
  <c r="W198" i="3" s="1"/>
  <c r="X198" i="3" s="1"/>
  <c r="Y198" i="3" s="1"/>
  <c r="Z198" i="3" s="1"/>
  <c r="AA198" i="3" s="1"/>
  <c r="AB198" i="3" s="1"/>
  <c r="AC198" i="3" s="1"/>
  <c r="AD198" i="3" s="1"/>
  <c r="AE198" i="3" s="1"/>
  <c r="AF198" i="3" s="1"/>
  <c r="AG198" i="3" s="1"/>
  <c r="AH198" i="3" s="1"/>
  <c r="AI198" i="3" s="1"/>
  <c r="AJ198" i="3" s="1"/>
  <c r="AK198" i="3" s="1"/>
  <c r="AL198" i="3" s="1"/>
  <c r="AM198" i="3" s="1"/>
  <c r="AN198" i="3" s="1"/>
  <c r="AO198" i="3" s="1"/>
  <c r="AP198" i="3" s="1"/>
  <c r="AQ198" i="3" s="1"/>
  <c r="AR198" i="3" s="1"/>
  <c r="AS198" i="3" s="1"/>
  <c r="AT198" i="3" s="1"/>
  <c r="AU198" i="3" s="1"/>
  <c r="AV198" i="3" s="1"/>
  <c r="AW198" i="3" s="1"/>
  <c r="AX198" i="3" s="1"/>
  <c r="AY198" i="3" s="1"/>
  <c r="AZ198" i="3" s="1"/>
  <c r="H189" i="3"/>
  <c r="I189" i="3" s="1"/>
  <c r="J189" i="3" s="1"/>
  <c r="K189" i="3" s="1"/>
  <c r="L189" i="3" s="1"/>
  <c r="M189" i="3" s="1"/>
  <c r="N189" i="3" s="1"/>
  <c r="O189" i="3" s="1"/>
  <c r="P189" i="3" s="1"/>
  <c r="Q189" i="3" s="1"/>
  <c r="R189" i="3" s="1"/>
  <c r="S189" i="3" s="1"/>
  <c r="T189" i="3" s="1"/>
  <c r="U189" i="3" s="1"/>
  <c r="V189" i="3" s="1"/>
  <c r="W189" i="3" s="1"/>
  <c r="X189" i="3" s="1"/>
  <c r="Y189" i="3" s="1"/>
  <c r="Z189" i="3" s="1"/>
  <c r="AA189" i="3" s="1"/>
  <c r="AB189" i="3" s="1"/>
  <c r="AC189" i="3" s="1"/>
  <c r="AD189" i="3" s="1"/>
  <c r="AE189" i="3" s="1"/>
  <c r="AF189" i="3" s="1"/>
  <c r="AG189" i="3" s="1"/>
  <c r="AH189" i="3" s="1"/>
  <c r="AI189" i="3" s="1"/>
  <c r="AJ189" i="3" s="1"/>
  <c r="AK189" i="3" s="1"/>
  <c r="AL189" i="3" s="1"/>
  <c r="AM189" i="3" s="1"/>
  <c r="AN189" i="3" s="1"/>
  <c r="AO189" i="3" s="1"/>
  <c r="AP189" i="3" s="1"/>
  <c r="AQ189" i="3" s="1"/>
  <c r="AR189" i="3" s="1"/>
  <c r="AS189" i="3" s="1"/>
  <c r="AT189" i="3" s="1"/>
  <c r="AU189" i="3" s="1"/>
  <c r="AV189" i="3" s="1"/>
  <c r="AW189" i="3" s="1"/>
  <c r="AX189" i="3" s="1"/>
  <c r="AY189" i="3" s="1"/>
  <c r="AZ189" i="3" s="1"/>
  <c r="H6" i="3"/>
  <c r="I6" i="3" s="1"/>
  <c r="J6" i="3" s="1"/>
  <c r="K6" i="3" s="1"/>
  <c r="L6" i="3" s="1"/>
  <c r="M6" i="3" s="1"/>
  <c r="N6" i="3" s="1"/>
  <c r="O6" i="3" s="1"/>
  <c r="P6" i="3" s="1"/>
  <c r="Q6" i="3" s="1"/>
  <c r="R6" i="3" s="1"/>
  <c r="S6" i="3" s="1"/>
  <c r="T6" i="3" s="1"/>
  <c r="U6" i="3" s="1"/>
  <c r="V6" i="3" s="1"/>
  <c r="W6" i="3" s="1"/>
  <c r="X6" i="3" s="1"/>
  <c r="Y6" i="3" s="1"/>
  <c r="Z6" i="3" s="1"/>
  <c r="AA6" i="3" s="1"/>
  <c r="AB6" i="3" s="1"/>
  <c r="AC6" i="3" s="1"/>
  <c r="AD6" i="3" s="1"/>
  <c r="AE6" i="3" s="1"/>
  <c r="AF6" i="3" s="1"/>
  <c r="AG6" i="3" s="1"/>
  <c r="AH6" i="3" s="1"/>
  <c r="AI6" i="3" s="1"/>
  <c r="AJ6" i="3" s="1"/>
  <c r="AK6" i="3" s="1"/>
  <c r="AL6" i="3" s="1"/>
  <c r="AM6" i="3" s="1"/>
  <c r="AN6" i="3" s="1"/>
  <c r="AO6" i="3" s="1"/>
  <c r="AP6" i="3" s="1"/>
  <c r="AQ6" i="3" s="1"/>
  <c r="AR6" i="3" s="1"/>
  <c r="AS6" i="3" s="1"/>
  <c r="AT6" i="3" s="1"/>
  <c r="AU6" i="3" s="1"/>
  <c r="AV6" i="3" s="1"/>
  <c r="AW6" i="3" s="1"/>
  <c r="AX6" i="3" s="1"/>
  <c r="AY6" i="3" s="1"/>
  <c r="AZ6" i="3" s="1"/>
  <c r="I5" i="2" a="1"/>
  <c r="I5" i="2" s="1"/>
  <c r="L4" i="2" s="1"/>
  <c r="M4" i="2" s="1"/>
  <c r="I6" i="2" a="1"/>
  <c r="I6" i="2" s="1"/>
  <c r="L5" i="2" s="1"/>
  <c r="M5" i="2" s="1"/>
  <c r="I7" i="2" a="1"/>
  <c r="I7" i="2" s="1"/>
  <c r="L6" i="2" s="1"/>
  <c r="M6" i="2" s="1"/>
  <c r="I8" i="2" a="1"/>
  <c r="I8" i="2" s="1"/>
  <c r="L7" i="2" s="1"/>
  <c r="M7" i="2" s="1"/>
  <c r="I9" i="2" a="1"/>
  <c r="I9" i="2" s="1"/>
  <c r="L8" i="2" s="1"/>
  <c r="M8" i="2" s="1"/>
  <c r="I10" i="2" a="1"/>
  <c r="I10" i="2" s="1"/>
  <c r="L9" i="2" s="1"/>
  <c r="M9" i="2" s="1"/>
  <c r="I11" i="2" a="1"/>
  <c r="I11" i="2" s="1"/>
  <c r="L10" i="2" s="1"/>
  <c r="M10" i="2" s="1"/>
  <c r="I12" i="2" a="1"/>
  <c r="I12" i="2" s="1"/>
  <c r="L11" i="2" s="1"/>
  <c r="M11" i="2" s="1"/>
  <c r="I13" i="2" a="1"/>
  <c r="I13" i="2" s="1"/>
  <c r="L12" i="2" s="1"/>
  <c r="M12" i="2" s="1"/>
  <c r="I4" i="2" a="1"/>
  <c r="I4" i="2" s="1"/>
  <c r="L3" i="2" s="1"/>
  <c r="M3" i="2" s="1"/>
  <c r="H161" i="3"/>
  <c r="I161" i="3" s="1"/>
  <c r="J161" i="3" s="1"/>
  <c r="K161" i="3" s="1"/>
  <c r="L161" i="3" s="1"/>
  <c r="M161" i="3" s="1"/>
  <c r="N161" i="3" s="1"/>
  <c r="O161" i="3" s="1"/>
  <c r="P161" i="3" s="1"/>
  <c r="Q161" i="3" s="1"/>
  <c r="R161" i="3" s="1"/>
  <c r="S161" i="3" s="1"/>
  <c r="T161" i="3" s="1"/>
  <c r="U161" i="3" s="1"/>
  <c r="V161" i="3" s="1"/>
  <c r="W161" i="3" s="1"/>
  <c r="X161" i="3" s="1"/>
  <c r="Y161" i="3" s="1"/>
  <c r="Z161" i="3" s="1"/>
  <c r="AA161" i="3" s="1"/>
  <c r="AB161" i="3" s="1"/>
  <c r="AC161" i="3" s="1"/>
  <c r="AD161" i="3" s="1"/>
  <c r="AE161" i="3" s="1"/>
  <c r="AF161" i="3" s="1"/>
  <c r="AG161" i="3" s="1"/>
  <c r="AH161" i="3" s="1"/>
  <c r="AI161" i="3" s="1"/>
  <c r="AJ161" i="3" s="1"/>
  <c r="AK161" i="3" s="1"/>
  <c r="AL161" i="3" s="1"/>
  <c r="AM161" i="3" s="1"/>
  <c r="AN161" i="3" s="1"/>
  <c r="AO161" i="3" s="1"/>
  <c r="AP161" i="3" s="1"/>
  <c r="AQ161" i="3" s="1"/>
  <c r="AR161" i="3" s="1"/>
  <c r="AS161" i="3" s="1"/>
  <c r="AT161" i="3" s="1"/>
  <c r="AU161" i="3" s="1"/>
  <c r="AV161" i="3" s="1"/>
  <c r="AW161" i="3" s="1"/>
  <c r="AX161" i="3" s="1"/>
  <c r="AY161" i="3" s="1"/>
  <c r="AZ161" i="3" s="1"/>
  <c r="AF167" i="3"/>
  <c r="AE167" i="3"/>
  <c r="AD167" i="3"/>
  <c r="AC167" i="3"/>
  <c r="AB167" i="3"/>
  <c r="AA167" i="3"/>
  <c r="Z167" i="3"/>
  <c r="Y167" i="3"/>
  <c r="X167" i="3"/>
  <c r="W167" i="3"/>
  <c r="V167" i="3"/>
  <c r="U167" i="3"/>
  <c r="T167" i="3"/>
  <c r="S167" i="3"/>
  <c r="R167" i="3"/>
  <c r="Q167" i="3"/>
  <c r="P167" i="3"/>
  <c r="O167" i="3"/>
  <c r="N167" i="3"/>
  <c r="M167" i="3"/>
  <c r="L167" i="3"/>
  <c r="K167" i="3"/>
  <c r="J167" i="3"/>
  <c r="I167" i="3"/>
  <c r="H164" i="3"/>
  <c r="I164" i="3" s="1"/>
  <c r="J164" i="3" s="1"/>
  <c r="K164" i="3" s="1"/>
  <c r="L164" i="3" s="1"/>
  <c r="M164" i="3" s="1"/>
  <c r="N164" i="3" s="1"/>
  <c r="O164" i="3" s="1"/>
  <c r="P164" i="3" s="1"/>
  <c r="Q164" i="3" s="1"/>
  <c r="R164" i="3" s="1"/>
  <c r="S164" i="3" s="1"/>
  <c r="T164" i="3" s="1"/>
  <c r="U164" i="3" s="1"/>
  <c r="V164" i="3" s="1"/>
  <c r="W164" i="3" s="1"/>
  <c r="X164" i="3" s="1"/>
  <c r="Y164" i="3" s="1"/>
  <c r="Z164" i="3" s="1"/>
  <c r="AA164" i="3" s="1"/>
  <c r="AB164" i="3" s="1"/>
  <c r="AC164" i="3" s="1"/>
  <c r="AD164" i="3" s="1"/>
  <c r="AE164" i="3" s="1"/>
  <c r="AF164" i="3" s="1"/>
  <c r="AG164" i="3" s="1"/>
  <c r="AH164" i="3" s="1"/>
  <c r="AI164" i="3" s="1"/>
  <c r="AJ164" i="3" s="1"/>
  <c r="AK164" i="3" s="1"/>
  <c r="AL164" i="3" s="1"/>
  <c r="AM164" i="3" s="1"/>
  <c r="AN164" i="3" s="1"/>
  <c r="AO164" i="3" s="1"/>
  <c r="AP164" i="3" s="1"/>
  <c r="AQ164" i="3" s="1"/>
  <c r="AR164" i="3" s="1"/>
  <c r="AS164" i="3" s="1"/>
  <c r="AT164" i="3" s="1"/>
  <c r="AU164" i="3" s="1"/>
  <c r="AV164" i="3" s="1"/>
  <c r="AW164" i="3" s="1"/>
  <c r="AX164" i="3" s="1"/>
  <c r="AY164" i="3" s="1"/>
  <c r="AZ164" i="3" s="1"/>
  <c r="I156" i="3"/>
  <c r="J156" i="3"/>
  <c r="K156" i="3"/>
  <c r="L156" i="3"/>
  <c r="M156" i="3"/>
  <c r="N156" i="3"/>
  <c r="O156" i="3"/>
  <c r="P156" i="3"/>
  <c r="Q156" i="3"/>
  <c r="R156" i="3"/>
  <c r="S156" i="3"/>
  <c r="T156" i="3"/>
  <c r="U156" i="3"/>
  <c r="V156" i="3"/>
  <c r="W156" i="3"/>
  <c r="X156" i="3"/>
  <c r="Y156" i="3"/>
  <c r="Z156" i="3"/>
  <c r="AA156" i="3"/>
  <c r="AB156" i="3"/>
  <c r="AC156" i="3"/>
  <c r="AD156" i="3"/>
  <c r="AE156" i="3"/>
  <c r="AF156" i="3"/>
  <c r="H156" i="3"/>
  <c r="H192" i="3" s="1"/>
  <c r="H153" i="3"/>
  <c r="I153" i="3" s="1"/>
  <c r="J153" i="3" s="1"/>
  <c r="K153" i="3" s="1"/>
  <c r="L153" i="3" s="1"/>
  <c r="M153" i="3" s="1"/>
  <c r="N153" i="3" s="1"/>
  <c r="O153" i="3" s="1"/>
  <c r="P153" i="3" s="1"/>
  <c r="Q153" i="3" s="1"/>
  <c r="R153" i="3" s="1"/>
  <c r="S153" i="3" s="1"/>
  <c r="T153" i="3" s="1"/>
  <c r="U153" i="3" s="1"/>
  <c r="V153" i="3" s="1"/>
  <c r="W153" i="3" s="1"/>
  <c r="X153" i="3" s="1"/>
  <c r="Y153" i="3" s="1"/>
  <c r="Z153" i="3" s="1"/>
  <c r="AA153" i="3" s="1"/>
  <c r="AB153" i="3" s="1"/>
  <c r="AC153" i="3" s="1"/>
  <c r="AD153" i="3" s="1"/>
  <c r="AE153" i="3" s="1"/>
  <c r="AF153" i="3" s="1"/>
  <c r="AG153" i="3" s="1"/>
  <c r="AH153" i="3" s="1"/>
  <c r="AI153" i="3" s="1"/>
  <c r="AJ153" i="3" s="1"/>
  <c r="AK153" i="3" s="1"/>
  <c r="AL153" i="3" s="1"/>
  <c r="AM153" i="3" s="1"/>
  <c r="AN153" i="3" s="1"/>
  <c r="AO153" i="3" s="1"/>
  <c r="AP153" i="3" s="1"/>
  <c r="AQ153" i="3" s="1"/>
  <c r="AR153" i="3" s="1"/>
  <c r="AS153" i="3" s="1"/>
  <c r="AT153" i="3" s="1"/>
  <c r="AU153" i="3" s="1"/>
  <c r="AV153" i="3" s="1"/>
  <c r="AW153" i="3" s="1"/>
  <c r="AX153" i="3" s="1"/>
  <c r="AY153" i="3" s="1"/>
  <c r="AZ153" i="3" s="1"/>
  <c r="H104" i="3"/>
  <c r="I104" i="3" s="1"/>
  <c r="J104" i="3" s="1"/>
  <c r="K104" i="3" s="1"/>
  <c r="L104" i="3" s="1"/>
  <c r="M104" i="3" s="1"/>
  <c r="N104" i="3" s="1"/>
  <c r="O104" i="3" s="1"/>
  <c r="P104" i="3" s="1"/>
  <c r="Q104" i="3" s="1"/>
  <c r="R104" i="3" s="1"/>
  <c r="S104" i="3" s="1"/>
  <c r="T104" i="3" s="1"/>
  <c r="U104" i="3" s="1"/>
  <c r="V104" i="3" s="1"/>
  <c r="W104" i="3" s="1"/>
  <c r="X104" i="3" s="1"/>
  <c r="Y104" i="3" s="1"/>
  <c r="Z104" i="3" s="1"/>
  <c r="AA104" i="3" s="1"/>
  <c r="AB104" i="3" s="1"/>
  <c r="AC104" i="3" s="1"/>
  <c r="AD104" i="3" s="1"/>
  <c r="AE104" i="3" s="1"/>
  <c r="AF104" i="3" s="1"/>
  <c r="AG104" i="3" s="1"/>
  <c r="AH104" i="3" s="1"/>
  <c r="AI104" i="3" s="1"/>
  <c r="AJ104" i="3" s="1"/>
  <c r="AK104" i="3" s="1"/>
  <c r="AL104" i="3" s="1"/>
  <c r="AM104" i="3" s="1"/>
  <c r="AN104" i="3" s="1"/>
  <c r="AO104" i="3" s="1"/>
  <c r="AP104" i="3" s="1"/>
  <c r="AQ104" i="3" s="1"/>
  <c r="AR104" i="3" s="1"/>
  <c r="AS104" i="3" s="1"/>
  <c r="AT104" i="3" s="1"/>
  <c r="AU104" i="3" s="1"/>
  <c r="AV104" i="3" s="1"/>
  <c r="AW104" i="3" s="1"/>
  <c r="AX104" i="3" s="1"/>
  <c r="AY104" i="3" s="1"/>
  <c r="AZ104" i="3" s="1"/>
  <c r="B93" i="7"/>
  <c r="B80" i="7"/>
  <c r="H91" i="3"/>
  <c r="I91" i="3" s="1"/>
  <c r="J91" i="3" s="1"/>
  <c r="K91" i="3" s="1"/>
  <c r="L91" i="3" s="1"/>
  <c r="M91" i="3" s="1"/>
  <c r="N91" i="3" s="1"/>
  <c r="O91" i="3" s="1"/>
  <c r="P91" i="3" s="1"/>
  <c r="Q91" i="3" s="1"/>
  <c r="R91" i="3" s="1"/>
  <c r="S91" i="3" s="1"/>
  <c r="T91" i="3" s="1"/>
  <c r="U91" i="3" s="1"/>
  <c r="V91" i="3" s="1"/>
  <c r="W91" i="3" s="1"/>
  <c r="X91" i="3" s="1"/>
  <c r="Y91" i="3" s="1"/>
  <c r="Z91" i="3" s="1"/>
  <c r="AA91" i="3" s="1"/>
  <c r="AB91" i="3" s="1"/>
  <c r="AC91" i="3" s="1"/>
  <c r="AD91" i="3" s="1"/>
  <c r="AE91" i="3" s="1"/>
  <c r="AF91" i="3" s="1"/>
  <c r="AG91" i="3" s="1"/>
  <c r="AH91" i="3" s="1"/>
  <c r="AI91" i="3" s="1"/>
  <c r="AJ91" i="3" s="1"/>
  <c r="AK91" i="3" s="1"/>
  <c r="AL91" i="3" s="1"/>
  <c r="AM91" i="3" s="1"/>
  <c r="AN91" i="3" s="1"/>
  <c r="AO91" i="3" s="1"/>
  <c r="AP91" i="3" s="1"/>
  <c r="AQ91" i="3" s="1"/>
  <c r="AR91" i="3" s="1"/>
  <c r="AS91" i="3" s="1"/>
  <c r="AT91" i="3" s="1"/>
  <c r="AU91" i="3" s="1"/>
  <c r="AV91" i="3" s="1"/>
  <c r="AW91" i="3" s="1"/>
  <c r="AX91" i="3" s="1"/>
  <c r="AY91" i="3" s="1"/>
  <c r="AZ91" i="3" s="1"/>
  <c r="H150" i="3"/>
  <c r="I150" i="3" s="1"/>
  <c r="J150" i="3" s="1"/>
  <c r="K150" i="3" s="1"/>
  <c r="L150" i="3" s="1"/>
  <c r="M150" i="3" s="1"/>
  <c r="N150" i="3" s="1"/>
  <c r="O150" i="3" s="1"/>
  <c r="P150" i="3" s="1"/>
  <c r="Q150" i="3" s="1"/>
  <c r="R150" i="3" s="1"/>
  <c r="S150" i="3" s="1"/>
  <c r="T150" i="3" s="1"/>
  <c r="U150" i="3" s="1"/>
  <c r="V150" i="3" s="1"/>
  <c r="W150" i="3" s="1"/>
  <c r="X150" i="3" s="1"/>
  <c r="Y150" i="3" s="1"/>
  <c r="Z150" i="3" s="1"/>
  <c r="AA150" i="3" s="1"/>
  <c r="AB150" i="3" s="1"/>
  <c r="AC150" i="3" s="1"/>
  <c r="AD150" i="3" s="1"/>
  <c r="AE150" i="3" s="1"/>
  <c r="AF150" i="3" s="1"/>
  <c r="AG150" i="3" s="1"/>
  <c r="AH150" i="3" s="1"/>
  <c r="AI150" i="3" s="1"/>
  <c r="AJ150" i="3" s="1"/>
  <c r="AK150" i="3" s="1"/>
  <c r="AL150" i="3" s="1"/>
  <c r="AM150" i="3" s="1"/>
  <c r="AN150" i="3" s="1"/>
  <c r="AO150" i="3" s="1"/>
  <c r="AP150" i="3" s="1"/>
  <c r="AQ150" i="3" s="1"/>
  <c r="AR150" i="3" s="1"/>
  <c r="AS150" i="3" s="1"/>
  <c r="AT150" i="3" s="1"/>
  <c r="AU150" i="3" s="1"/>
  <c r="AV150" i="3" s="1"/>
  <c r="AW150" i="3" s="1"/>
  <c r="AX150" i="3" s="1"/>
  <c r="AY150" i="3" s="1"/>
  <c r="AZ150" i="3" s="1"/>
  <c r="F10" i="7" l="1"/>
  <c r="F11" i="7"/>
  <c r="F12" i="7"/>
  <c r="F13" i="7"/>
  <c r="F14" i="7"/>
  <c r="F15" i="7"/>
  <c r="F16" i="7"/>
  <c r="F21" i="7"/>
  <c r="F23" i="7"/>
  <c r="F24" i="7"/>
  <c r="F20" i="7"/>
  <c r="F22" i="7"/>
  <c r="F25" i="7"/>
  <c r="F26" i="7"/>
  <c r="F33" i="7"/>
  <c r="F35" i="7"/>
  <c r="F36" i="7"/>
  <c r="F32" i="7"/>
  <c r="F34" i="7"/>
  <c r="F37" i="7"/>
  <c r="F38" i="7"/>
  <c r="F42" i="7"/>
  <c r="F46" i="7"/>
  <c r="F43" i="7"/>
  <c r="F44" i="7"/>
  <c r="F45" i="7"/>
  <c r="F47" i="7"/>
  <c r="F48" i="7"/>
  <c r="F81" i="7"/>
  <c r="F88" i="7"/>
  <c r="F89" i="7"/>
  <c r="F80" i="7"/>
  <c r="F83" i="7"/>
  <c r="F85" i="7"/>
  <c r="F87" i="7"/>
  <c r="F90" i="7"/>
  <c r="F82" i="7"/>
  <c r="F84" i="7"/>
  <c r="F86" i="7"/>
  <c r="F102" i="7"/>
  <c r="F96" i="7"/>
  <c r="F98" i="7"/>
  <c r="F100" i="7"/>
  <c r="F103" i="7"/>
  <c r="F93" i="7"/>
  <c r="F94" i="7"/>
  <c r="F95" i="7"/>
  <c r="F97" i="7"/>
  <c r="F99" i="7"/>
  <c r="F101" i="7"/>
  <c r="F107" i="7"/>
  <c r="F108" i="7"/>
  <c r="F109" i="7"/>
  <c r="F110" i="7"/>
  <c r="F111" i="7"/>
  <c r="F113" i="7"/>
  <c r="F114" i="7"/>
  <c r="F116" i="7"/>
  <c r="F112" i="7"/>
  <c r="F117" i="7"/>
  <c r="F115" i="7"/>
  <c r="F121" i="7"/>
  <c r="F128" i="7"/>
  <c r="F123" i="7"/>
  <c r="F124" i="7"/>
  <c r="F126" i="7"/>
  <c r="F129" i="7"/>
  <c r="F130" i="7"/>
  <c r="F122" i="7"/>
  <c r="F125" i="7"/>
  <c r="F127" i="7"/>
  <c r="F131" i="7"/>
  <c r="F139" i="7"/>
  <c r="F137" i="7"/>
  <c r="F140" i="7"/>
  <c r="F141" i="7"/>
  <c r="F136" i="7"/>
  <c r="F138" i="7"/>
  <c r="F143" i="7"/>
  <c r="F144" i="7"/>
  <c r="F153" i="7"/>
  <c r="F142" i="7"/>
  <c r="F152" i="7"/>
  <c r="F151" i="7"/>
  <c r="F149" i="7"/>
  <c r="F147" i="7"/>
  <c r="F148" i="7"/>
  <c r="F150" i="7"/>
  <c r="F164" i="7"/>
  <c r="F161" i="7"/>
  <c r="E121" i="7"/>
  <c r="E128" i="7"/>
  <c r="E127" i="7"/>
  <c r="E129" i="7"/>
  <c r="E125" i="7"/>
  <c r="E126" i="7"/>
  <c r="E130" i="7"/>
  <c r="E123" i="7"/>
  <c r="E131" i="7"/>
  <c r="E122" i="7"/>
  <c r="E124" i="7"/>
  <c r="E107" i="7"/>
  <c r="E108" i="7"/>
  <c r="E110" i="7"/>
  <c r="E112" i="7"/>
  <c r="E114" i="7"/>
  <c r="E117" i="7"/>
  <c r="E113" i="7"/>
  <c r="E115" i="7"/>
  <c r="E116" i="7"/>
  <c r="E111" i="7"/>
  <c r="E109" i="7"/>
  <c r="C80" i="4"/>
  <c r="C28" i="4"/>
  <c r="C17" i="4"/>
  <c r="N12" i="2"/>
  <c r="C27" i="4"/>
  <c r="C16" i="4"/>
  <c r="C37" i="4" s="1"/>
  <c r="N11" i="2"/>
  <c r="C26" i="4"/>
  <c r="C15" i="4"/>
  <c r="N10" i="2"/>
  <c r="C25" i="4"/>
  <c r="C14" i="4"/>
  <c r="N9" i="2"/>
  <c r="C13" i="4"/>
  <c r="C24" i="4"/>
  <c r="N8" i="2"/>
  <c r="C23" i="4"/>
  <c r="C12" i="4"/>
  <c r="N7" i="2"/>
  <c r="C22" i="4"/>
  <c r="C11" i="4"/>
  <c r="N6" i="2"/>
  <c r="C21" i="4"/>
  <c r="C10" i="4"/>
  <c r="N5" i="2"/>
  <c r="C20" i="4"/>
  <c r="C9" i="4"/>
  <c r="N4" i="2"/>
  <c r="C19" i="4"/>
  <c r="C8" i="4"/>
  <c r="N3" i="2"/>
  <c r="D6" i="5"/>
  <c r="A17" i="1"/>
  <c r="A16" i="1"/>
  <c r="A14" i="1"/>
  <c r="D80" i="4"/>
  <c r="P80" i="4"/>
  <c r="AB80" i="4"/>
  <c r="AN80" i="4"/>
  <c r="E80" i="4"/>
  <c r="Q80" i="4"/>
  <c r="AC80" i="4"/>
  <c r="AO80" i="4"/>
  <c r="F80" i="4"/>
  <c r="R80" i="4"/>
  <c r="AD80" i="4"/>
  <c r="AP80" i="4"/>
  <c r="G80" i="4"/>
  <c r="S80" i="4"/>
  <c r="AE80" i="4"/>
  <c r="AQ80" i="4"/>
  <c r="H80" i="4"/>
  <c r="T80" i="4"/>
  <c r="AF80" i="4"/>
  <c r="AR80" i="4"/>
  <c r="I80" i="4"/>
  <c r="U80" i="4"/>
  <c r="AG80" i="4"/>
  <c r="AS80" i="4"/>
  <c r="J80" i="4"/>
  <c r="V80" i="4"/>
  <c r="AH80" i="4"/>
  <c r="AT80" i="4"/>
  <c r="K80" i="4"/>
  <c r="W80" i="4"/>
  <c r="AI80" i="4"/>
  <c r="AU80" i="4"/>
  <c r="AA80" i="4"/>
  <c r="L80" i="4"/>
  <c r="X80" i="4"/>
  <c r="AJ80" i="4"/>
  <c r="M80" i="4"/>
  <c r="Y80" i="4"/>
  <c r="AK80" i="4"/>
  <c r="AM80" i="4"/>
  <c r="N80" i="4"/>
  <c r="Z80" i="4"/>
  <c r="AL80" i="4"/>
  <c r="O80" i="4"/>
  <c r="C69" i="4"/>
  <c r="D144" i="7"/>
  <c r="D153" i="7"/>
  <c r="D49" i="7"/>
  <c r="D27" i="7"/>
  <c r="D118" i="7"/>
  <c r="D132" i="7" s="1"/>
  <c r="D39" i="7"/>
  <c r="D17" i="7"/>
  <c r="AD199" i="3"/>
  <c r="AD218" i="3"/>
  <c r="R199" i="3"/>
  <c r="R235" i="3" s="1"/>
  <c r="R218" i="3"/>
  <c r="AC199" i="3"/>
  <c r="AC235" i="3" s="1"/>
  <c r="Q199" i="3"/>
  <c r="Q218" i="3"/>
  <c r="AB199" i="3"/>
  <c r="AB218" i="3"/>
  <c r="P199" i="3"/>
  <c r="P235" i="3" s="1"/>
  <c r="P218" i="3"/>
  <c r="AA199" i="3"/>
  <c r="AA235" i="3" s="1"/>
  <c r="AA218" i="3"/>
  <c r="O199" i="3"/>
  <c r="O218" i="3"/>
  <c r="S199" i="3"/>
  <c r="S218" i="3"/>
  <c r="Z199" i="3"/>
  <c r="Z218" i="3"/>
  <c r="N199" i="3"/>
  <c r="N218" i="3"/>
  <c r="AE199" i="3"/>
  <c r="AE218" i="3"/>
  <c r="Y199" i="3"/>
  <c r="Y235" i="3" s="1"/>
  <c r="Y218" i="3"/>
  <c r="M199" i="3"/>
  <c r="M218" i="3"/>
  <c r="X199" i="3"/>
  <c r="X218" i="3"/>
  <c r="L199" i="3"/>
  <c r="L218" i="3"/>
  <c r="W199" i="3"/>
  <c r="W218" i="3"/>
  <c r="K199" i="3"/>
  <c r="K235" i="3" s="1"/>
  <c r="K218" i="3"/>
  <c r="V199" i="3"/>
  <c r="V235" i="3" s="1"/>
  <c r="V218" i="3"/>
  <c r="J199" i="3"/>
  <c r="J218" i="3"/>
  <c r="U199" i="3"/>
  <c r="U218" i="3"/>
  <c r="I199" i="3"/>
  <c r="AF199" i="3"/>
  <c r="AF218" i="3"/>
  <c r="T199" i="3"/>
  <c r="T218" i="3"/>
  <c r="H61" i="3"/>
  <c r="H194" i="3"/>
  <c r="H231" i="3" s="1"/>
  <c r="H203" i="3"/>
  <c r="H239" i="3" s="1"/>
  <c r="D48" i="3"/>
  <c r="D60" i="3"/>
  <c r="H146" i="3"/>
  <c r="H200" i="3" s="1"/>
  <c r="H145" i="3"/>
  <c r="H219" i="3" s="1"/>
  <c r="H131" i="3"/>
  <c r="H191" i="3" s="1"/>
  <c r="H130" i="3"/>
  <c r="B157" i="3"/>
  <c r="B168" i="3"/>
  <c r="D130" i="3"/>
  <c r="D145" i="3" s="1"/>
  <c r="H35" i="3"/>
  <c r="H49" i="3"/>
  <c r="H190" i="3" s="1"/>
  <c r="H227" i="3" s="1"/>
  <c r="D22" i="3"/>
  <c r="D34" i="3"/>
  <c r="H23" i="3"/>
  <c r="B34" i="4"/>
  <c r="B39" i="4"/>
  <c r="A4" i="3"/>
  <c r="H157" i="3"/>
  <c r="H211" i="3" s="1"/>
  <c r="H229" i="3" s="1"/>
  <c r="N157" i="3"/>
  <c r="Z157" i="3"/>
  <c r="P157" i="3"/>
  <c r="H168" i="3"/>
  <c r="AB157" i="3"/>
  <c r="W145" i="3"/>
  <c r="J157" i="3"/>
  <c r="O130" i="3"/>
  <c r="I157" i="3"/>
  <c r="N145" i="3"/>
  <c r="M130" i="3"/>
  <c r="W130" i="3"/>
  <c r="V130" i="3"/>
  <c r="J130" i="3"/>
  <c r="R145" i="3"/>
  <c r="AD145" i="3"/>
  <c r="AB130" i="3"/>
  <c r="N130" i="3"/>
  <c r="I130" i="3"/>
  <c r="Z130" i="3"/>
  <c r="T157" i="3"/>
  <c r="K130" i="3"/>
  <c r="T130" i="3"/>
  <c r="Q130" i="3"/>
  <c r="P130" i="3"/>
  <c r="AA130" i="3"/>
  <c r="U157" i="3"/>
  <c r="Z145" i="3"/>
  <c r="Y130" i="3"/>
  <c r="S157" i="3"/>
  <c r="Q145" i="3"/>
  <c r="S145" i="3"/>
  <c r="S130" i="3"/>
  <c r="I145" i="3"/>
  <c r="U145" i="3"/>
  <c r="T145" i="3"/>
  <c r="Y157" i="3"/>
  <c r="M157" i="3"/>
  <c r="K145" i="3"/>
  <c r="L145" i="3"/>
  <c r="V157" i="3"/>
  <c r="Q157" i="3"/>
  <c r="U130" i="3"/>
  <c r="R130" i="3"/>
  <c r="J145" i="3"/>
  <c r="V145" i="3"/>
  <c r="X157" i="3"/>
  <c r="L157" i="3"/>
  <c r="X130" i="3"/>
  <c r="L130" i="3"/>
  <c r="R157" i="3"/>
  <c r="X145" i="3"/>
  <c r="M145" i="3"/>
  <c r="Y145" i="3"/>
  <c r="O145" i="3"/>
  <c r="AA145" i="3"/>
  <c r="P145" i="3"/>
  <c r="AB145" i="3"/>
  <c r="J168" i="3"/>
  <c r="J201" i="3" s="1"/>
  <c r="J237" i="3" s="1"/>
  <c r="AA157" i="3"/>
  <c r="O157" i="3"/>
  <c r="W157" i="3"/>
  <c r="K157" i="3"/>
  <c r="B42" i="4"/>
  <c r="B41" i="4"/>
  <c r="B40" i="4"/>
  <c r="B36" i="4"/>
  <c r="B35" i="4"/>
  <c r="S168" i="3"/>
  <c r="S201" i="3" s="1"/>
  <c r="S237" i="3" s="1"/>
  <c r="R168" i="3"/>
  <c r="R201" i="3" s="1"/>
  <c r="R237" i="3" s="1"/>
  <c r="Q168" i="3"/>
  <c r="Q201" i="3" s="1"/>
  <c r="Q237" i="3" s="1"/>
  <c r="P168" i="3"/>
  <c r="P201" i="3" s="1"/>
  <c r="P237" i="3" s="1"/>
  <c r="AB168" i="3"/>
  <c r="AB201" i="3" s="1"/>
  <c r="AB237" i="3" s="1"/>
  <c r="AA168" i="3"/>
  <c r="AA201" i="3" s="1"/>
  <c r="AA237" i="3" s="1"/>
  <c r="O168" i="3"/>
  <c r="O201" i="3" s="1"/>
  <c r="O237" i="3" s="1"/>
  <c r="N168" i="3"/>
  <c r="N201" i="3" s="1"/>
  <c r="N237" i="3" s="1"/>
  <c r="Z168" i="3"/>
  <c r="Z201" i="3" s="1"/>
  <c r="Z237" i="3" s="1"/>
  <c r="Y168" i="3"/>
  <c r="Y201" i="3" s="1"/>
  <c r="Y237" i="3" s="1"/>
  <c r="M168" i="3"/>
  <c r="M201" i="3" s="1"/>
  <c r="M237" i="3" s="1"/>
  <c r="X168" i="3"/>
  <c r="X201" i="3" s="1"/>
  <c r="X237" i="3" s="1"/>
  <c r="L168" i="3"/>
  <c r="L201" i="3" s="1"/>
  <c r="L237" i="3" s="1"/>
  <c r="W168" i="3"/>
  <c r="W201" i="3" s="1"/>
  <c r="W237" i="3" s="1"/>
  <c r="K168" i="3"/>
  <c r="K201" i="3" s="1"/>
  <c r="K237" i="3" s="1"/>
  <c r="V168" i="3"/>
  <c r="V201" i="3" s="1"/>
  <c r="V237" i="3" s="1"/>
  <c r="U168" i="3"/>
  <c r="U201" i="3" s="1"/>
  <c r="U237" i="3" s="1"/>
  <c r="I168" i="3"/>
  <c r="I201" i="3" s="1"/>
  <c r="I237" i="3" s="1"/>
  <c r="T168" i="3"/>
  <c r="T201" i="3" s="1"/>
  <c r="T237" i="3" s="1"/>
  <c r="T235" i="3" l="1"/>
  <c r="W235" i="3"/>
  <c r="N235" i="3"/>
  <c r="AB235" i="3"/>
  <c r="L235" i="3"/>
  <c r="Z235" i="3"/>
  <c r="Q235" i="3"/>
  <c r="H221" i="3"/>
  <c r="H223" i="3" s="1"/>
  <c r="H236" i="3"/>
  <c r="U235" i="3"/>
  <c r="X235" i="3"/>
  <c r="S235" i="3"/>
  <c r="J235" i="3"/>
  <c r="M235" i="3"/>
  <c r="O235" i="3"/>
  <c r="H199" i="3"/>
  <c r="H218" i="3"/>
  <c r="B86" i="4"/>
  <c r="B11" i="8" s="1"/>
  <c r="B87" i="4"/>
  <c r="B12" i="8" s="1"/>
  <c r="O6" i="2"/>
  <c r="D22" i="4"/>
  <c r="D11" i="4"/>
  <c r="D26" i="4"/>
  <c r="D15" i="4"/>
  <c r="O10" i="2"/>
  <c r="O3" i="2"/>
  <c r="D19" i="4"/>
  <c r="D8" i="4"/>
  <c r="D23" i="4"/>
  <c r="D12" i="4"/>
  <c r="O7" i="2"/>
  <c r="D27" i="4"/>
  <c r="D16" i="4"/>
  <c r="D37" i="4" s="1"/>
  <c r="O11" i="2"/>
  <c r="C29" i="4"/>
  <c r="C45" i="4" s="1"/>
  <c r="C55" i="4" s="1"/>
  <c r="C48" i="4"/>
  <c r="C49" i="4"/>
  <c r="C30" i="4"/>
  <c r="C46" i="4" s="1"/>
  <c r="C62" i="4" s="1"/>
  <c r="D20" i="4"/>
  <c r="D9" i="4"/>
  <c r="O4" i="2"/>
  <c r="D24" i="4"/>
  <c r="D13" i="4"/>
  <c r="O8" i="2"/>
  <c r="O12" i="2"/>
  <c r="D28" i="4"/>
  <c r="D17" i="4"/>
  <c r="D38" i="4" s="1"/>
  <c r="D10" i="4"/>
  <c r="D21" i="4"/>
  <c r="O5" i="2"/>
  <c r="O9" i="2"/>
  <c r="D25" i="4"/>
  <c r="D14" i="4"/>
  <c r="Z210" i="3"/>
  <c r="U210" i="3"/>
  <c r="I210" i="3"/>
  <c r="R210" i="3"/>
  <c r="N210" i="3"/>
  <c r="H210" i="3"/>
  <c r="H212" i="3" s="1"/>
  <c r="H214" i="3" s="1"/>
  <c r="H215" i="3" s="1"/>
  <c r="C38" i="4"/>
  <c r="AB210" i="3"/>
  <c r="Y210" i="3"/>
  <c r="L210" i="3"/>
  <c r="AA210" i="3"/>
  <c r="J210" i="3"/>
  <c r="X210" i="3"/>
  <c r="P210" i="3"/>
  <c r="V210" i="3"/>
  <c r="W210" i="3"/>
  <c r="M210" i="3"/>
  <c r="Q210" i="3"/>
  <c r="T210" i="3"/>
  <c r="K210" i="3"/>
  <c r="S210" i="3"/>
  <c r="O210" i="3"/>
  <c r="T192" i="3"/>
  <c r="T211" i="3"/>
  <c r="K192" i="3"/>
  <c r="K211" i="3"/>
  <c r="R192" i="3"/>
  <c r="R211" i="3"/>
  <c r="R212" i="3" s="1"/>
  <c r="R214" i="3" s="1"/>
  <c r="R215" i="3" s="1"/>
  <c r="K200" i="3"/>
  <c r="K219" i="3"/>
  <c r="K221" i="3" s="1"/>
  <c r="U192" i="3"/>
  <c r="U229" i="3" s="1"/>
  <c r="U211" i="3"/>
  <c r="R200" i="3"/>
  <c r="R219" i="3"/>
  <c r="R221" i="3" s="1"/>
  <c r="P200" i="3"/>
  <c r="P219" i="3"/>
  <c r="P221" i="3" s="1"/>
  <c r="W192" i="3"/>
  <c r="W211" i="3"/>
  <c r="M192" i="3"/>
  <c r="M211" i="3"/>
  <c r="O192" i="3"/>
  <c r="O211" i="3"/>
  <c r="Y192" i="3"/>
  <c r="Y229" i="3" s="1"/>
  <c r="Y211" i="3"/>
  <c r="AA192" i="3"/>
  <c r="AA211" i="3"/>
  <c r="L192" i="3"/>
  <c r="L211" i="3"/>
  <c r="T200" i="3"/>
  <c r="T219" i="3"/>
  <c r="T221" i="3" s="1"/>
  <c r="P192" i="3"/>
  <c r="P211" i="3"/>
  <c r="X192" i="3"/>
  <c r="X211" i="3"/>
  <c r="U200" i="3"/>
  <c r="U219" i="3"/>
  <c r="U221" i="3" s="1"/>
  <c r="Z192" i="3"/>
  <c r="Z211" i="3"/>
  <c r="AB200" i="3"/>
  <c r="AB219" i="3"/>
  <c r="AB221" i="3" s="1"/>
  <c r="V200" i="3"/>
  <c r="V219" i="3"/>
  <c r="V221" i="3" s="1"/>
  <c r="I200" i="3"/>
  <c r="I219" i="3"/>
  <c r="I221" i="3" s="1"/>
  <c r="N200" i="3"/>
  <c r="N219" i="3"/>
  <c r="N221" i="3" s="1"/>
  <c r="N192" i="3"/>
  <c r="N229" i="3" s="1"/>
  <c r="N211" i="3"/>
  <c r="AA200" i="3"/>
  <c r="AA219" i="3"/>
  <c r="AA221" i="3" s="1"/>
  <c r="S200" i="3"/>
  <c r="S219" i="3"/>
  <c r="S221" i="3" s="1"/>
  <c r="O200" i="3"/>
  <c r="O219" i="3"/>
  <c r="O221" i="3" s="1"/>
  <c r="Q200" i="3"/>
  <c r="Q219" i="3"/>
  <c r="Q221" i="3" s="1"/>
  <c r="J192" i="3"/>
  <c r="J211" i="3"/>
  <c r="I192" i="3"/>
  <c r="I229" i="3" s="1"/>
  <c r="I211" i="3"/>
  <c r="Y200" i="3"/>
  <c r="Y219" i="3"/>
  <c r="Y221" i="3" s="1"/>
  <c r="Q192" i="3"/>
  <c r="Q211" i="3"/>
  <c r="S192" i="3"/>
  <c r="S211" i="3"/>
  <c r="W200" i="3"/>
  <c r="W219" i="3"/>
  <c r="W221" i="3" s="1"/>
  <c r="M200" i="3"/>
  <c r="M219" i="3"/>
  <c r="M221" i="3" s="1"/>
  <c r="V192" i="3"/>
  <c r="V229" i="3" s="1"/>
  <c r="V211" i="3"/>
  <c r="AB192" i="3"/>
  <c r="AB211" i="3"/>
  <c r="J200" i="3"/>
  <c r="J219" i="3"/>
  <c r="J221" i="3" s="1"/>
  <c r="X200" i="3"/>
  <c r="X219" i="3"/>
  <c r="X221" i="3" s="1"/>
  <c r="L200" i="3"/>
  <c r="L219" i="3"/>
  <c r="L221" i="3" s="1"/>
  <c r="Z200" i="3"/>
  <c r="Z219" i="3"/>
  <c r="Z221" i="3" s="1"/>
  <c r="AD200" i="3"/>
  <c r="AD219" i="3"/>
  <c r="AD221" i="3" s="1"/>
  <c r="H202" i="3"/>
  <c r="H204" i="3" s="1"/>
  <c r="I61" i="3"/>
  <c r="I218" i="3" s="1"/>
  <c r="I235" i="3" s="1"/>
  <c r="I203" i="3"/>
  <c r="I239" i="3" s="1"/>
  <c r="I194" i="3"/>
  <c r="I231" i="3" s="1"/>
  <c r="I146" i="3"/>
  <c r="I131" i="3"/>
  <c r="I191" i="3" s="1"/>
  <c r="I228" i="3" s="1"/>
  <c r="I35" i="3"/>
  <c r="I49" i="3"/>
  <c r="I190" i="3" s="1"/>
  <c r="I227" i="3" s="1"/>
  <c r="I23" i="3"/>
  <c r="AB69" i="4"/>
  <c r="AB70" i="4"/>
  <c r="AF130" i="3"/>
  <c r="AC130" i="3"/>
  <c r="AF168" i="3"/>
  <c r="AF201" i="3" s="1"/>
  <c r="AF145" i="3"/>
  <c r="AD168" i="3"/>
  <c r="AD201" i="3" s="1"/>
  <c r="AC168" i="3"/>
  <c r="AC201" i="3" s="1"/>
  <c r="AC237" i="3" s="1"/>
  <c r="AF157" i="3"/>
  <c r="AD130" i="3"/>
  <c r="AC145" i="3"/>
  <c r="AE168" i="3"/>
  <c r="AE201" i="3" s="1"/>
  <c r="AE130" i="3"/>
  <c r="AD157" i="3"/>
  <c r="AC157" i="3"/>
  <c r="AE145" i="3"/>
  <c r="AE157" i="3"/>
  <c r="AB229" i="3" l="1"/>
  <c r="Z229" i="3"/>
  <c r="AA229" i="3"/>
  <c r="J229" i="3"/>
  <c r="X229" i="3"/>
  <c r="O229" i="3"/>
  <c r="P229" i="3"/>
  <c r="M229" i="3"/>
  <c r="R229" i="3"/>
  <c r="Z202" i="3"/>
  <c r="Z238" i="3" s="1"/>
  <c r="Z236" i="3"/>
  <c r="M202" i="3"/>
  <c r="M238" i="3" s="1"/>
  <c r="M236" i="3"/>
  <c r="N202" i="3"/>
  <c r="N238" i="3" s="1"/>
  <c r="N236" i="3"/>
  <c r="K202" i="3"/>
  <c r="K238" i="3" s="1"/>
  <c r="K236" i="3"/>
  <c r="W202" i="3"/>
  <c r="W238" i="3" s="1"/>
  <c r="W236" i="3"/>
  <c r="I202" i="3"/>
  <c r="I238" i="3" s="1"/>
  <c r="I236" i="3"/>
  <c r="H238" i="3"/>
  <c r="Q202" i="3"/>
  <c r="Q238" i="3" s="1"/>
  <c r="Q236" i="3"/>
  <c r="X202" i="3"/>
  <c r="X238" i="3" s="1"/>
  <c r="X236" i="3"/>
  <c r="S229" i="3"/>
  <c r="O202" i="3"/>
  <c r="O238" i="3" s="1"/>
  <c r="O236" i="3"/>
  <c r="V202" i="3"/>
  <c r="V238" i="3" s="1"/>
  <c r="V236" i="3"/>
  <c r="T202" i="3"/>
  <c r="T238" i="3" s="1"/>
  <c r="T236" i="3"/>
  <c r="K229" i="3"/>
  <c r="J202" i="3"/>
  <c r="J238" i="3" s="1"/>
  <c r="J236" i="3"/>
  <c r="Q229" i="3"/>
  <c r="S202" i="3"/>
  <c r="S238" i="3" s="1"/>
  <c r="S236" i="3"/>
  <c r="AB202" i="3"/>
  <c r="AB238" i="3" s="1"/>
  <c r="AB236" i="3"/>
  <c r="L229" i="3"/>
  <c r="P202" i="3"/>
  <c r="P238" i="3" s="1"/>
  <c r="P236" i="3"/>
  <c r="T229" i="3"/>
  <c r="W229" i="3"/>
  <c r="H235" i="3"/>
  <c r="Y202" i="3"/>
  <c r="Y238" i="3" s="1"/>
  <c r="Y236" i="3"/>
  <c r="AA202" i="3"/>
  <c r="AA238" i="3" s="1"/>
  <c r="AA236" i="3"/>
  <c r="R202" i="3"/>
  <c r="R238" i="3" s="1"/>
  <c r="R236" i="3"/>
  <c r="H228" i="3"/>
  <c r="L202" i="3"/>
  <c r="L238" i="3" s="1"/>
  <c r="L236" i="3"/>
  <c r="U202" i="3"/>
  <c r="U238" i="3" s="1"/>
  <c r="U236" i="3"/>
  <c r="I223" i="3"/>
  <c r="H224" i="3"/>
  <c r="H240" i="3"/>
  <c r="M212" i="3"/>
  <c r="M214" i="3" s="1"/>
  <c r="M215" i="3" s="1"/>
  <c r="I212" i="3"/>
  <c r="I214" i="3" s="1"/>
  <c r="I215" i="3" s="1"/>
  <c r="W212" i="3"/>
  <c r="W214" i="3" s="1"/>
  <c r="W215" i="3" s="1"/>
  <c r="J212" i="3"/>
  <c r="J214" i="3" s="1"/>
  <c r="J215" i="3" s="1"/>
  <c r="S212" i="3"/>
  <c r="S214" i="3" s="1"/>
  <c r="S215" i="3" s="1"/>
  <c r="B13" i="8"/>
  <c r="E20" i="4"/>
  <c r="E9" i="4"/>
  <c r="P4" i="2"/>
  <c r="D48" i="4"/>
  <c r="D29" i="4"/>
  <c r="D45" i="4" s="1"/>
  <c r="D55" i="4" s="1"/>
  <c r="D56" i="4" s="1"/>
  <c r="D58" i="4" s="1"/>
  <c r="P9" i="2"/>
  <c r="E25" i="4"/>
  <c r="E14" i="4"/>
  <c r="D30" i="4"/>
  <c r="D46" i="4" s="1"/>
  <c r="D62" i="4" s="1"/>
  <c r="D63" i="4" s="1"/>
  <c r="D65" i="4" s="1"/>
  <c r="D49" i="4"/>
  <c r="P5" i="2"/>
  <c r="E10" i="4"/>
  <c r="E21" i="4"/>
  <c r="P3" i="2"/>
  <c r="E8" i="4"/>
  <c r="E19" i="4"/>
  <c r="E26" i="4"/>
  <c r="E15" i="4"/>
  <c r="P10" i="2"/>
  <c r="E23" i="4"/>
  <c r="E12" i="4"/>
  <c r="P7" i="2"/>
  <c r="P11" i="2"/>
  <c r="E16" i="4"/>
  <c r="E37" i="4" s="1"/>
  <c r="E27" i="4"/>
  <c r="P12" i="2"/>
  <c r="E17" i="4"/>
  <c r="E38" i="4" s="1"/>
  <c r="E28" i="4"/>
  <c r="P8" i="2"/>
  <c r="E13" i="4"/>
  <c r="E24" i="4"/>
  <c r="P6" i="2"/>
  <c r="E22" i="4"/>
  <c r="E11" i="4"/>
  <c r="V212" i="3"/>
  <c r="V214" i="3" s="1"/>
  <c r="V215" i="3" s="1"/>
  <c r="Y212" i="3"/>
  <c r="Y214" i="3" s="1"/>
  <c r="Y215" i="3" s="1"/>
  <c r="T212" i="3"/>
  <c r="T214" i="3" s="1"/>
  <c r="T215" i="3" s="1"/>
  <c r="Q212" i="3"/>
  <c r="Q214" i="3" s="1"/>
  <c r="Q215" i="3" s="1"/>
  <c r="P212" i="3"/>
  <c r="P214" i="3" s="1"/>
  <c r="P215" i="3" s="1"/>
  <c r="AD202" i="3"/>
  <c r="K212" i="3"/>
  <c r="K214" i="3" s="1"/>
  <c r="K215" i="3" s="1"/>
  <c r="AB212" i="3"/>
  <c r="AB214" i="3" s="1"/>
  <c r="AB215" i="3" s="1"/>
  <c r="Z212" i="3"/>
  <c r="Z214" i="3" s="1"/>
  <c r="Z215" i="3" s="1"/>
  <c r="U212" i="3"/>
  <c r="U214" i="3" s="1"/>
  <c r="U215" i="3" s="1"/>
  <c r="L212" i="3"/>
  <c r="L214" i="3" s="1"/>
  <c r="L215" i="3" s="1"/>
  <c r="N212" i="3"/>
  <c r="N214" i="3" s="1"/>
  <c r="N215" i="3" s="1"/>
  <c r="AA212" i="3"/>
  <c r="AA214" i="3" s="1"/>
  <c r="AA215" i="3" s="1"/>
  <c r="O212" i="3"/>
  <c r="O214" i="3" s="1"/>
  <c r="O215" i="3" s="1"/>
  <c r="X212" i="3"/>
  <c r="X214" i="3" s="1"/>
  <c r="X215" i="3" s="1"/>
  <c r="AC210" i="3"/>
  <c r="AF210" i="3"/>
  <c r="AD210" i="3"/>
  <c r="AE210" i="3"/>
  <c r="J223" i="3"/>
  <c r="J224" i="3" s="1"/>
  <c r="AE192" i="3"/>
  <c r="AE211" i="3"/>
  <c r="AF200" i="3"/>
  <c r="AF202" i="3" s="1"/>
  <c r="AF219" i="3"/>
  <c r="AF221" i="3" s="1"/>
  <c r="AE200" i="3"/>
  <c r="AE202" i="3" s="1"/>
  <c r="AE219" i="3"/>
  <c r="AE221" i="3" s="1"/>
  <c r="AC192" i="3"/>
  <c r="AC211" i="3"/>
  <c r="AD192" i="3"/>
  <c r="AD211" i="3"/>
  <c r="AC200" i="3"/>
  <c r="AC219" i="3"/>
  <c r="AC221" i="3" s="1"/>
  <c r="AF192" i="3"/>
  <c r="AF211" i="3"/>
  <c r="H205" i="3"/>
  <c r="J194" i="3"/>
  <c r="J231" i="3" s="1"/>
  <c r="J203" i="3"/>
  <c r="J239" i="3" s="1"/>
  <c r="I193" i="3"/>
  <c r="J61" i="3"/>
  <c r="J146" i="3"/>
  <c r="J131" i="3"/>
  <c r="J191" i="3" s="1"/>
  <c r="J228" i="3" s="1"/>
  <c r="J35" i="3"/>
  <c r="J49" i="3"/>
  <c r="J190" i="3" s="1"/>
  <c r="J227" i="3" s="1"/>
  <c r="K223" i="3"/>
  <c r="K224" i="3" s="1"/>
  <c r="J23" i="3"/>
  <c r="V69" i="4"/>
  <c r="V70" i="4"/>
  <c r="T70" i="4"/>
  <c r="T69" i="4"/>
  <c r="L69" i="4"/>
  <c r="L70" i="4"/>
  <c r="Q70" i="4"/>
  <c r="Q69" i="4"/>
  <c r="F69" i="4"/>
  <c r="F70" i="4"/>
  <c r="I70" i="4"/>
  <c r="I69" i="4"/>
  <c r="P69" i="4"/>
  <c r="P70" i="4"/>
  <c r="N70" i="4"/>
  <c r="N69" i="4"/>
  <c r="R69" i="4"/>
  <c r="R70" i="4"/>
  <c r="S70" i="4"/>
  <c r="S69" i="4"/>
  <c r="W69" i="4"/>
  <c r="W70" i="4"/>
  <c r="J70" i="4"/>
  <c r="J69" i="4"/>
  <c r="AA70" i="4"/>
  <c r="AA69" i="4"/>
  <c r="U70" i="4"/>
  <c r="U69" i="4"/>
  <c r="M69" i="4"/>
  <c r="M70" i="4"/>
  <c r="E70" i="4"/>
  <c r="E69" i="4"/>
  <c r="D69" i="4"/>
  <c r="D70" i="4"/>
  <c r="O70" i="4"/>
  <c r="O69" i="4"/>
  <c r="H70" i="4"/>
  <c r="H69" i="4"/>
  <c r="G70" i="4"/>
  <c r="G69" i="4"/>
  <c r="Z70" i="4"/>
  <c r="Z69" i="4"/>
  <c r="Y69" i="4"/>
  <c r="Y70" i="4"/>
  <c r="X69" i="4"/>
  <c r="X70" i="4"/>
  <c r="K69" i="4"/>
  <c r="K70" i="4"/>
  <c r="C70" i="4"/>
  <c r="AG157" i="3"/>
  <c r="AG145" i="3"/>
  <c r="AG168" i="3"/>
  <c r="AG201" i="3" s="1"/>
  <c r="AG130" i="3"/>
  <c r="AC229" i="3" l="1"/>
  <c r="I204" i="3"/>
  <c r="I205" i="3" s="1"/>
  <c r="I195" i="3"/>
  <c r="I230" i="3"/>
  <c r="H241" i="3"/>
  <c r="AC202" i="3"/>
  <c r="AC238" i="3" s="1"/>
  <c r="AC236" i="3"/>
  <c r="I224" i="3"/>
  <c r="I241" i="3" s="1"/>
  <c r="I240" i="3"/>
  <c r="Q11" i="2"/>
  <c r="F27" i="4"/>
  <c r="F16" i="4"/>
  <c r="F37" i="4" s="1"/>
  <c r="Q5" i="2"/>
  <c r="F21" i="4"/>
  <c r="F10" i="4"/>
  <c r="Q7" i="2"/>
  <c r="F23" i="4"/>
  <c r="F12" i="4"/>
  <c r="Q6" i="2"/>
  <c r="F22" i="4"/>
  <c r="F11" i="4"/>
  <c r="Q10" i="2"/>
  <c r="F26" i="4"/>
  <c r="F15" i="4"/>
  <c r="Q9" i="2"/>
  <c r="F25" i="4"/>
  <c r="F14" i="4"/>
  <c r="Q8" i="2"/>
  <c r="F24" i="4"/>
  <c r="F13" i="4"/>
  <c r="E49" i="4"/>
  <c r="E30" i="4"/>
  <c r="E46" i="4" s="1"/>
  <c r="E62" i="4" s="1"/>
  <c r="E63" i="4" s="1"/>
  <c r="E65" i="4" s="1"/>
  <c r="E48" i="4"/>
  <c r="E29" i="4"/>
  <c r="E45" i="4" s="1"/>
  <c r="E55" i="4" s="1"/>
  <c r="E56" i="4" s="1"/>
  <c r="E58" i="4" s="1"/>
  <c r="Q4" i="2"/>
  <c r="F20" i="4"/>
  <c r="F9" i="4"/>
  <c r="Q12" i="2"/>
  <c r="F28" i="4"/>
  <c r="F17" i="4"/>
  <c r="F38" i="4" s="1"/>
  <c r="Q3" i="2"/>
  <c r="F19" i="4"/>
  <c r="F8" i="4"/>
  <c r="AD212" i="3"/>
  <c r="AD214" i="3" s="1"/>
  <c r="AD215" i="3" s="1"/>
  <c r="AC212" i="3"/>
  <c r="AC214" i="3" s="1"/>
  <c r="AC215" i="3" s="1"/>
  <c r="AF212" i="3"/>
  <c r="AF214" i="3" s="1"/>
  <c r="AF215" i="3" s="1"/>
  <c r="AE212" i="3"/>
  <c r="AE214" i="3" s="1"/>
  <c r="AE215" i="3" s="1"/>
  <c r="AG210" i="3"/>
  <c r="J193" i="3"/>
  <c r="AG200" i="3"/>
  <c r="AG202" i="3" s="1"/>
  <c r="AG219" i="3"/>
  <c r="AG221" i="3" s="1"/>
  <c r="AG192" i="3"/>
  <c r="AG211" i="3"/>
  <c r="J204" i="3"/>
  <c r="K194" i="3"/>
  <c r="K231" i="3" s="1"/>
  <c r="K203" i="3"/>
  <c r="K239" i="3" s="1"/>
  <c r="K61" i="3"/>
  <c r="K146" i="3"/>
  <c r="K131" i="3"/>
  <c r="K191" i="3" s="1"/>
  <c r="K228" i="3" s="1"/>
  <c r="K35" i="3"/>
  <c r="K49" i="3"/>
  <c r="K190" i="3" s="1"/>
  <c r="K227" i="3" s="1"/>
  <c r="L223" i="3"/>
  <c r="L224" i="3" s="1"/>
  <c r="K23" i="3"/>
  <c r="AC70" i="4"/>
  <c r="AC69" i="4"/>
  <c r="AH168" i="3"/>
  <c r="AH201" i="3" s="1"/>
  <c r="AH130" i="3"/>
  <c r="AH145" i="3"/>
  <c r="AH157" i="3"/>
  <c r="J205" i="3" l="1"/>
  <c r="J241" i="3" s="1"/>
  <c r="J240" i="3"/>
  <c r="J195" i="3"/>
  <c r="J230" i="3"/>
  <c r="I196" i="3"/>
  <c r="I233" i="3" s="1"/>
  <c r="I232" i="3"/>
  <c r="AG212" i="3"/>
  <c r="AG214" i="3" s="1"/>
  <c r="AG215" i="3" s="1"/>
  <c r="R6" i="2"/>
  <c r="G11" i="4"/>
  <c r="G22" i="4"/>
  <c r="F49" i="4"/>
  <c r="F30" i="4"/>
  <c r="F46" i="4" s="1"/>
  <c r="F62" i="4" s="1"/>
  <c r="F63" i="4" s="1"/>
  <c r="F65" i="4" s="1"/>
  <c r="R7" i="2"/>
  <c r="G23" i="4"/>
  <c r="G12" i="4"/>
  <c r="R12" i="2"/>
  <c r="G28" i="4"/>
  <c r="G17" i="4"/>
  <c r="G38" i="4" s="1"/>
  <c r="R9" i="2"/>
  <c r="G14" i="4"/>
  <c r="G25" i="4"/>
  <c r="R5" i="2"/>
  <c r="G21" i="4"/>
  <c r="G10" i="4"/>
  <c r="F29" i="4"/>
  <c r="F45" i="4" s="1"/>
  <c r="F55" i="4" s="1"/>
  <c r="F56" i="4" s="1"/>
  <c r="F58" i="4" s="1"/>
  <c r="F48" i="4"/>
  <c r="R8" i="2"/>
  <c r="G24" i="4"/>
  <c r="G13" i="4"/>
  <c r="R4" i="2"/>
  <c r="G20" i="4"/>
  <c r="G9" i="4"/>
  <c r="R3" i="2"/>
  <c r="G8" i="4"/>
  <c r="G19" i="4"/>
  <c r="R10" i="2"/>
  <c r="G26" i="4"/>
  <c r="G15" i="4"/>
  <c r="R11" i="2"/>
  <c r="G27" i="4"/>
  <c r="G16" i="4"/>
  <c r="G37" i="4" s="1"/>
  <c r="AH210" i="3"/>
  <c r="AH200" i="3"/>
  <c r="AH202" i="3" s="1"/>
  <c r="AH219" i="3"/>
  <c r="AH221" i="3" s="1"/>
  <c r="AH192" i="3"/>
  <c r="AH211" i="3"/>
  <c r="L203" i="3"/>
  <c r="L239" i="3" s="1"/>
  <c r="L194" i="3"/>
  <c r="L231" i="3" s="1"/>
  <c r="K193" i="3"/>
  <c r="K204" i="3"/>
  <c r="L61" i="3"/>
  <c r="L131" i="3"/>
  <c r="L191" i="3" s="1"/>
  <c r="L228" i="3" s="1"/>
  <c r="L146" i="3"/>
  <c r="L35" i="3"/>
  <c r="L49" i="3"/>
  <c r="L190" i="3" s="1"/>
  <c r="L227" i="3" s="1"/>
  <c r="M223" i="3"/>
  <c r="M224" i="3" s="1"/>
  <c r="L23" i="3"/>
  <c r="AD70" i="4"/>
  <c r="AD69" i="4"/>
  <c r="AI168" i="3"/>
  <c r="AI201" i="3" s="1"/>
  <c r="AI130" i="3"/>
  <c r="AI157" i="3"/>
  <c r="AI145" i="3"/>
  <c r="J196" i="3" l="1"/>
  <c r="J233" i="3" s="1"/>
  <c r="J232" i="3"/>
  <c r="K205" i="3"/>
  <c r="K241" i="3" s="1"/>
  <c r="K240" i="3"/>
  <c r="K195" i="3"/>
  <c r="K230" i="3"/>
  <c r="AH212" i="3"/>
  <c r="AH214" i="3" s="1"/>
  <c r="AH215" i="3" s="1"/>
  <c r="S12" i="2"/>
  <c r="H28" i="4"/>
  <c r="H17" i="4"/>
  <c r="H38" i="4" s="1"/>
  <c r="S7" i="2"/>
  <c r="H23" i="4"/>
  <c r="H12" i="4"/>
  <c r="S11" i="2"/>
  <c r="H27" i="4"/>
  <c r="H16" i="4"/>
  <c r="H37" i="4" s="1"/>
  <c r="S8" i="2"/>
  <c r="H24" i="4"/>
  <c r="H13" i="4"/>
  <c r="S9" i="2"/>
  <c r="H25" i="4"/>
  <c r="H14" i="4"/>
  <c r="S10" i="2"/>
  <c r="H26" i="4"/>
  <c r="H15" i="4"/>
  <c r="S5" i="2"/>
  <c r="H21" i="4"/>
  <c r="H10" i="4"/>
  <c r="S3" i="2"/>
  <c r="H8" i="4"/>
  <c r="H19" i="4"/>
  <c r="S4" i="2"/>
  <c r="H20" i="4"/>
  <c r="H9" i="4"/>
  <c r="G49" i="4"/>
  <c r="G30" i="4"/>
  <c r="G46" i="4" s="1"/>
  <c r="G62" i="4" s="1"/>
  <c r="G63" i="4" s="1"/>
  <c r="G65" i="4" s="1"/>
  <c r="G29" i="4"/>
  <c r="G45" i="4" s="1"/>
  <c r="G55" i="4" s="1"/>
  <c r="G56" i="4" s="1"/>
  <c r="G58" i="4" s="1"/>
  <c r="G48" i="4"/>
  <c r="S6" i="2"/>
  <c r="H22" i="4"/>
  <c r="H11" i="4"/>
  <c r="AI210" i="3"/>
  <c r="L193" i="3"/>
  <c r="AI200" i="3"/>
  <c r="AI202" i="3" s="1"/>
  <c r="AI219" i="3"/>
  <c r="AI221" i="3" s="1"/>
  <c r="AI192" i="3"/>
  <c r="AI211" i="3"/>
  <c r="L204" i="3"/>
  <c r="M194" i="3"/>
  <c r="M231" i="3" s="1"/>
  <c r="M203" i="3"/>
  <c r="M239" i="3" s="1"/>
  <c r="M61" i="3"/>
  <c r="M131" i="3"/>
  <c r="M191" i="3" s="1"/>
  <c r="M228" i="3" s="1"/>
  <c r="M146" i="3"/>
  <c r="M35" i="3"/>
  <c r="M49" i="3"/>
  <c r="M190" i="3" s="1"/>
  <c r="M227" i="3" s="1"/>
  <c r="N223" i="3"/>
  <c r="N224" i="3" s="1"/>
  <c r="M23" i="3"/>
  <c r="AE69" i="4"/>
  <c r="AE70" i="4"/>
  <c r="AJ157" i="3"/>
  <c r="AJ145" i="3"/>
  <c r="AJ130" i="3"/>
  <c r="AJ168" i="3"/>
  <c r="AJ201" i="3" s="1"/>
  <c r="L205" i="3" l="1"/>
  <c r="L241" i="3" s="1"/>
  <c r="L240" i="3"/>
  <c r="L195" i="3"/>
  <c r="L230" i="3"/>
  <c r="K196" i="3"/>
  <c r="K233" i="3" s="1"/>
  <c r="K232" i="3"/>
  <c r="AI212" i="3"/>
  <c r="AI214" i="3" s="1"/>
  <c r="AI215" i="3" s="1"/>
  <c r="T6" i="2"/>
  <c r="I11" i="4"/>
  <c r="I22" i="4"/>
  <c r="H49" i="4"/>
  <c r="H30" i="4"/>
  <c r="H46" i="4" s="1"/>
  <c r="H62" i="4" s="1"/>
  <c r="H63" i="4" s="1"/>
  <c r="H65" i="4" s="1"/>
  <c r="T3" i="2"/>
  <c r="I8" i="4"/>
  <c r="I19" i="4"/>
  <c r="I27" i="4"/>
  <c r="I16" i="4"/>
  <c r="I37" i="4" s="1"/>
  <c r="T11" i="2"/>
  <c r="T5" i="2"/>
  <c r="I21" i="4"/>
  <c r="I10" i="4"/>
  <c r="T7" i="2"/>
  <c r="I23" i="4"/>
  <c r="I12" i="4"/>
  <c r="I24" i="4"/>
  <c r="I13" i="4"/>
  <c r="T8" i="2"/>
  <c r="H29" i="4"/>
  <c r="H45" i="4" s="1"/>
  <c r="H55" i="4" s="1"/>
  <c r="H56" i="4" s="1"/>
  <c r="H58" i="4" s="1"/>
  <c r="H48" i="4"/>
  <c r="T10" i="2"/>
  <c r="I26" i="4"/>
  <c r="I15" i="4"/>
  <c r="T4" i="2"/>
  <c r="I9" i="4"/>
  <c r="I20" i="4"/>
  <c r="T9" i="2"/>
  <c r="I14" i="4"/>
  <c r="I25" i="4"/>
  <c r="T12" i="2"/>
  <c r="I17" i="4"/>
  <c r="I38" i="4" s="1"/>
  <c r="I28" i="4"/>
  <c r="AJ210" i="3"/>
  <c r="AJ200" i="3"/>
  <c r="AJ202" i="3" s="1"/>
  <c r="AJ219" i="3"/>
  <c r="AJ221" i="3" s="1"/>
  <c r="AJ192" i="3"/>
  <c r="AJ211" i="3"/>
  <c r="M204" i="3"/>
  <c r="N194" i="3"/>
  <c r="N231" i="3" s="1"/>
  <c r="N203" i="3"/>
  <c r="N239" i="3" s="1"/>
  <c r="M193" i="3"/>
  <c r="N61" i="3"/>
  <c r="N131" i="3"/>
  <c r="N191" i="3" s="1"/>
  <c r="N228" i="3" s="1"/>
  <c r="N146" i="3"/>
  <c r="N35" i="3"/>
  <c r="N49" i="3"/>
  <c r="N190" i="3" s="1"/>
  <c r="N227" i="3" s="1"/>
  <c r="O223" i="3"/>
  <c r="O224" i="3" s="1"/>
  <c r="N23" i="3"/>
  <c r="AF70" i="4"/>
  <c r="AF69" i="4"/>
  <c r="AK145" i="3"/>
  <c r="AK130" i="3"/>
  <c r="AK157" i="3"/>
  <c r="AK168" i="3"/>
  <c r="AK201" i="3" s="1"/>
  <c r="L196" i="3" l="1"/>
  <c r="L233" i="3" s="1"/>
  <c r="L232" i="3"/>
  <c r="M195" i="3"/>
  <c r="M230" i="3"/>
  <c r="M205" i="3"/>
  <c r="M241" i="3" s="1"/>
  <c r="M240" i="3"/>
  <c r="U11" i="2"/>
  <c r="J27" i="4"/>
  <c r="J16" i="4"/>
  <c r="J37" i="4" s="1"/>
  <c r="I48" i="4"/>
  <c r="I29" i="4"/>
  <c r="I45" i="4" s="1"/>
  <c r="I55" i="4" s="1"/>
  <c r="I56" i="4" s="1"/>
  <c r="I58" i="4" s="1"/>
  <c r="U3" i="2"/>
  <c r="J19" i="4"/>
  <c r="J8" i="4"/>
  <c r="U5" i="2"/>
  <c r="J21" i="4"/>
  <c r="J10" i="4"/>
  <c r="U12" i="2"/>
  <c r="J28" i="4"/>
  <c r="J17" i="4"/>
  <c r="J38" i="4" s="1"/>
  <c r="U10" i="2"/>
  <c r="J26" i="4"/>
  <c r="J15" i="4"/>
  <c r="U8" i="2"/>
  <c r="J24" i="4"/>
  <c r="J13" i="4"/>
  <c r="I30" i="4"/>
  <c r="I46" i="4" s="1"/>
  <c r="I62" i="4" s="1"/>
  <c r="I63" i="4" s="1"/>
  <c r="I65" i="4" s="1"/>
  <c r="I49" i="4"/>
  <c r="U9" i="2"/>
  <c r="J25" i="4"/>
  <c r="J14" i="4"/>
  <c r="U4" i="2"/>
  <c r="J20" i="4"/>
  <c r="J9" i="4"/>
  <c r="U7" i="2"/>
  <c r="J23" i="4"/>
  <c r="J12" i="4"/>
  <c r="U6" i="2"/>
  <c r="J22" i="4"/>
  <c r="J11" i="4"/>
  <c r="AJ212" i="3"/>
  <c r="AJ214" i="3" s="1"/>
  <c r="AJ215" i="3" s="1"/>
  <c r="AK210" i="3"/>
  <c r="AK200" i="3"/>
  <c r="AK202" i="3" s="1"/>
  <c r="AK219" i="3"/>
  <c r="AK221" i="3" s="1"/>
  <c r="AK192" i="3"/>
  <c r="AK211" i="3"/>
  <c r="N204" i="3"/>
  <c r="O203" i="3"/>
  <c r="O239" i="3" s="1"/>
  <c r="O194" i="3"/>
  <c r="O231" i="3" s="1"/>
  <c r="N193" i="3"/>
  <c r="O61" i="3"/>
  <c r="O131" i="3"/>
  <c r="O191" i="3" s="1"/>
  <c r="O228" i="3" s="1"/>
  <c r="O146" i="3"/>
  <c r="O35" i="3"/>
  <c r="O49" i="3"/>
  <c r="O190" i="3" s="1"/>
  <c r="O227" i="3" s="1"/>
  <c r="P223" i="3"/>
  <c r="P224" i="3" s="1"/>
  <c r="O23" i="3"/>
  <c r="AG70" i="4"/>
  <c r="AG69" i="4"/>
  <c r="AL168" i="3"/>
  <c r="AL201" i="3" s="1"/>
  <c r="AL130" i="3"/>
  <c r="AL145" i="3"/>
  <c r="AL157" i="3"/>
  <c r="M196" i="3" l="1"/>
  <c r="M233" i="3" s="1"/>
  <c r="M232" i="3"/>
  <c r="N195" i="3"/>
  <c r="N230" i="3"/>
  <c r="N205" i="3"/>
  <c r="N241" i="3" s="1"/>
  <c r="N240" i="3"/>
  <c r="AK212" i="3"/>
  <c r="AK214" i="3" s="1"/>
  <c r="AK215" i="3" s="1"/>
  <c r="J48" i="4"/>
  <c r="J29" i="4"/>
  <c r="J45" i="4" s="1"/>
  <c r="J55" i="4" s="1"/>
  <c r="J56" i="4" s="1"/>
  <c r="J58" i="4" s="1"/>
  <c r="J30" i="4"/>
  <c r="J46" i="4" s="1"/>
  <c r="J62" i="4" s="1"/>
  <c r="J63" i="4" s="1"/>
  <c r="J65" i="4" s="1"/>
  <c r="J49" i="4"/>
  <c r="V8" i="2"/>
  <c r="K24" i="4"/>
  <c r="K13" i="4"/>
  <c r="V3" i="2"/>
  <c r="K19" i="4"/>
  <c r="K8" i="4"/>
  <c r="V7" i="2"/>
  <c r="K12" i="4"/>
  <c r="K23" i="4"/>
  <c r="V10" i="2"/>
  <c r="K15" i="4"/>
  <c r="K26" i="4"/>
  <c r="V12" i="2"/>
  <c r="K17" i="4"/>
  <c r="K38" i="4" s="1"/>
  <c r="K28" i="4"/>
  <c r="V6" i="2"/>
  <c r="K22" i="4"/>
  <c r="K11" i="4"/>
  <c r="V9" i="2"/>
  <c r="K25" i="4"/>
  <c r="K14" i="4"/>
  <c r="V5" i="2"/>
  <c r="K21" i="4"/>
  <c r="K10" i="4"/>
  <c r="V4" i="2"/>
  <c r="K9" i="4"/>
  <c r="K20" i="4"/>
  <c r="V11" i="2"/>
  <c r="K27" i="4"/>
  <c r="K16" i="4"/>
  <c r="K37" i="4" s="1"/>
  <c r="AL210" i="3"/>
  <c r="AL200" i="3"/>
  <c r="AL202" i="3" s="1"/>
  <c r="AL219" i="3"/>
  <c r="AL221" i="3" s="1"/>
  <c r="AL192" i="3"/>
  <c r="AL211" i="3"/>
  <c r="O193" i="3"/>
  <c r="O204" i="3"/>
  <c r="P194" i="3"/>
  <c r="P231" i="3" s="1"/>
  <c r="P203" i="3"/>
  <c r="P239" i="3" s="1"/>
  <c r="P61" i="3"/>
  <c r="P146" i="3"/>
  <c r="P131" i="3"/>
  <c r="P191" i="3" s="1"/>
  <c r="P228" i="3" s="1"/>
  <c r="P35" i="3"/>
  <c r="P49" i="3"/>
  <c r="P190" i="3" s="1"/>
  <c r="P227" i="3" s="1"/>
  <c r="Q223" i="3"/>
  <c r="Q224" i="3" s="1"/>
  <c r="P23" i="3"/>
  <c r="AH69" i="4"/>
  <c r="AH70" i="4"/>
  <c r="AM130" i="3"/>
  <c r="AM157" i="3"/>
  <c r="AM168" i="3"/>
  <c r="AM201" i="3" s="1"/>
  <c r="AM145" i="3"/>
  <c r="O205" i="3" l="1"/>
  <c r="O241" i="3" s="1"/>
  <c r="O240" i="3"/>
  <c r="O195" i="3"/>
  <c r="O230" i="3"/>
  <c r="N196" i="3"/>
  <c r="N233" i="3" s="1"/>
  <c r="N232" i="3"/>
  <c r="AL212" i="3"/>
  <c r="AL214" i="3" s="1"/>
  <c r="AL215" i="3" s="1"/>
  <c r="K49" i="4"/>
  <c r="K30" i="4"/>
  <c r="K46" i="4" s="1"/>
  <c r="K62" i="4" s="1"/>
  <c r="K63" i="4" s="1"/>
  <c r="K65" i="4" s="1"/>
  <c r="W9" i="2"/>
  <c r="L25" i="4"/>
  <c r="L14" i="4"/>
  <c r="K48" i="4"/>
  <c r="K29" i="4"/>
  <c r="K45" i="4" s="1"/>
  <c r="K55" i="4" s="1"/>
  <c r="K56" i="4" s="1"/>
  <c r="K58" i="4" s="1"/>
  <c r="W4" i="2"/>
  <c r="L20" i="4"/>
  <c r="L9" i="4"/>
  <c r="W12" i="2"/>
  <c r="L28" i="4"/>
  <c r="L17" i="4"/>
  <c r="L38" i="4" s="1"/>
  <c r="W8" i="2"/>
  <c r="L24" i="4"/>
  <c r="L13" i="4"/>
  <c r="W3" i="2"/>
  <c r="L19" i="4"/>
  <c r="L8" i="4"/>
  <c r="W6" i="2"/>
  <c r="L22" i="4"/>
  <c r="L11" i="4"/>
  <c r="W7" i="2"/>
  <c r="L23" i="4"/>
  <c r="L12" i="4"/>
  <c r="W5" i="2"/>
  <c r="L21" i="4"/>
  <c r="L10" i="4"/>
  <c r="W11" i="2"/>
  <c r="L27" i="4"/>
  <c r="L16" i="4"/>
  <c r="L37" i="4" s="1"/>
  <c r="W10" i="2"/>
  <c r="L15" i="4"/>
  <c r="L26" i="4"/>
  <c r="AM210" i="3"/>
  <c r="P193" i="3"/>
  <c r="AM200" i="3"/>
  <c r="AM202" i="3" s="1"/>
  <c r="AM219" i="3"/>
  <c r="AM221" i="3" s="1"/>
  <c r="AM192" i="3"/>
  <c r="AM211" i="3"/>
  <c r="P204" i="3"/>
  <c r="Q194" i="3"/>
  <c r="Q231" i="3" s="1"/>
  <c r="Q203" i="3"/>
  <c r="Q239" i="3" s="1"/>
  <c r="Q61" i="3"/>
  <c r="Q146" i="3"/>
  <c r="Q131" i="3"/>
  <c r="Q191" i="3" s="1"/>
  <c r="Q228" i="3" s="1"/>
  <c r="Q35" i="3"/>
  <c r="Q49" i="3"/>
  <c r="Q190" i="3" s="1"/>
  <c r="Q227" i="3" s="1"/>
  <c r="R223" i="3"/>
  <c r="R224" i="3" s="1"/>
  <c r="Q23" i="3"/>
  <c r="AI69" i="4"/>
  <c r="AI70" i="4"/>
  <c r="AN130" i="3"/>
  <c r="AN157" i="3"/>
  <c r="AN168" i="3"/>
  <c r="AN201" i="3" s="1"/>
  <c r="AN145" i="3"/>
  <c r="P205" i="3" l="1"/>
  <c r="P241" i="3" s="1"/>
  <c r="P240" i="3"/>
  <c r="P195" i="3"/>
  <c r="P230" i="3"/>
  <c r="O196" i="3"/>
  <c r="O233" i="3" s="1"/>
  <c r="O232" i="3"/>
  <c r="AM212" i="3"/>
  <c r="AM214" i="3" s="1"/>
  <c r="AM215" i="3" s="1"/>
  <c r="X4" i="2"/>
  <c r="M9" i="4"/>
  <c r="M20" i="4"/>
  <c r="M28" i="4"/>
  <c r="M17" i="4"/>
  <c r="M38" i="4" s="1"/>
  <c r="X12" i="2"/>
  <c r="L49" i="4"/>
  <c r="L30" i="4"/>
  <c r="L46" i="4" s="1"/>
  <c r="L62" i="4" s="1"/>
  <c r="L63" i="4" s="1"/>
  <c r="L65" i="4" s="1"/>
  <c r="X10" i="2"/>
  <c r="M15" i="4"/>
  <c r="M26" i="4"/>
  <c r="X11" i="2"/>
  <c r="M27" i="4"/>
  <c r="M16" i="4"/>
  <c r="M37" i="4" s="1"/>
  <c r="X3" i="2"/>
  <c r="M19" i="4"/>
  <c r="M8" i="4"/>
  <c r="L29" i="4"/>
  <c r="L45" i="4" s="1"/>
  <c r="L55" i="4" s="1"/>
  <c r="L56" i="4" s="1"/>
  <c r="L58" i="4" s="1"/>
  <c r="L48" i="4"/>
  <c r="M25" i="4"/>
  <c r="M14" i="4"/>
  <c r="X9" i="2"/>
  <c r="X7" i="2"/>
  <c r="M12" i="4"/>
  <c r="M23" i="4"/>
  <c r="X5" i="2"/>
  <c r="M21" i="4"/>
  <c r="M10" i="4"/>
  <c r="X8" i="2"/>
  <c r="M13" i="4"/>
  <c r="M24" i="4"/>
  <c r="X6" i="2"/>
  <c r="M22" i="4"/>
  <c r="M11" i="4"/>
  <c r="AN210" i="3"/>
  <c r="Q193" i="3"/>
  <c r="AN200" i="3"/>
  <c r="AN202" i="3" s="1"/>
  <c r="AN219" i="3"/>
  <c r="AN221" i="3" s="1"/>
  <c r="AN192" i="3"/>
  <c r="AN211" i="3"/>
  <c r="Q204" i="3"/>
  <c r="R203" i="3"/>
  <c r="R239" i="3" s="1"/>
  <c r="R194" i="3"/>
  <c r="R231" i="3" s="1"/>
  <c r="R61" i="3"/>
  <c r="R146" i="3"/>
  <c r="R131" i="3"/>
  <c r="R191" i="3" s="1"/>
  <c r="R228" i="3" s="1"/>
  <c r="R35" i="3"/>
  <c r="R49" i="3"/>
  <c r="R190" i="3" s="1"/>
  <c r="R227" i="3" s="1"/>
  <c r="S223" i="3"/>
  <c r="S224" i="3" s="1"/>
  <c r="R23" i="3"/>
  <c r="AJ70" i="4"/>
  <c r="AJ69" i="4"/>
  <c r="AO130" i="3"/>
  <c r="AO157" i="3"/>
  <c r="AO145" i="3"/>
  <c r="AO168" i="3"/>
  <c r="AO201" i="3" s="1"/>
  <c r="Q205" i="3" l="1"/>
  <c r="Q241" i="3" s="1"/>
  <c r="Q240" i="3"/>
  <c r="Q195" i="3"/>
  <c r="Q230" i="3"/>
  <c r="P196" i="3"/>
  <c r="P233" i="3" s="1"/>
  <c r="P232" i="3"/>
  <c r="AN212" i="3"/>
  <c r="AN214" i="3" s="1"/>
  <c r="AN215" i="3" s="1"/>
  <c r="Y10" i="2"/>
  <c r="N26" i="4"/>
  <c r="N41" i="4" s="1"/>
  <c r="N15" i="4"/>
  <c r="N36" i="4" s="1"/>
  <c r="Y7" i="2"/>
  <c r="N23" i="4"/>
  <c r="N12" i="4"/>
  <c r="Y12" i="2"/>
  <c r="N17" i="4"/>
  <c r="N38" i="4" s="1"/>
  <c r="N28" i="4"/>
  <c r="Y9" i="2"/>
  <c r="N25" i="4"/>
  <c r="N40" i="4" s="1"/>
  <c r="N14" i="4"/>
  <c r="N35" i="4" s="1"/>
  <c r="Y8" i="2"/>
  <c r="N24" i="4"/>
  <c r="N13" i="4"/>
  <c r="M30" i="4"/>
  <c r="M46" i="4" s="1"/>
  <c r="M62" i="4" s="1"/>
  <c r="M63" i="4" s="1"/>
  <c r="M65" i="4" s="1"/>
  <c r="M49" i="4"/>
  <c r="Y11" i="2"/>
  <c r="N27" i="4"/>
  <c r="N42" i="4" s="1"/>
  <c r="N16" i="4"/>
  <c r="N37" i="4" s="1"/>
  <c r="Y3" i="2"/>
  <c r="N19" i="4"/>
  <c r="N8" i="4"/>
  <c r="Y6" i="2"/>
  <c r="N11" i="4"/>
  <c r="N22" i="4"/>
  <c r="M48" i="4"/>
  <c r="M29" i="4"/>
  <c r="M45" i="4" s="1"/>
  <c r="M55" i="4" s="1"/>
  <c r="M56" i="4" s="1"/>
  <c r="M58" i="4" s="1"/>
  <c r="Y5" i="2"/>
  <c r="N21" i="4"/>
  <c r="N10" i="4"/>
  <c r="Y4" i="2"/>
  <c r="N20" i="4"/>
  <c r="N9" i="4"/>
  <c r="AO210" i="3"/>
  <c r="AO200" i="3"/>
  <c r="AO202" i="3" s="1"/>
  <c r="AO219" i="3"/>
  <c r="AO221" i="3" s="1"/>
  <c r="AO192" i="3"/>
  <c r="AO211" i="3"/>
  <c r="E35" i="4"/>
  <c r="F42" i="4"/>
  <c r="F40" i="4"/>
  <c r="G40" i="4"/>
  <c r="L42" i="4"/>
  <c r="L36" i="4"/>
  <c r="D42" i="4"/>
  <c r="H40" i="4"/>
  <c r="C41" i="4"/>
  <c r="J35" i="4"/>
  <c r="G36" i="4"/>
  <c r="C36" i="4"/>
  <c r="C40" i="4"/>
  <c r="K42" i="4"/>
  <c r="M41" i="4"/>
  <c r="K35" i="4"/>
  <c r="M42" i="4"/>
  <c r="D36" i="4"/>
  <c r="F36" i="4"/>
  <c r="H35" i="4"/>
  <c r="C42" i="4"/>
  <c r="L40" i="4"/>
  <c r="D40" i="4"/>
  <c r="M40" i="4"/>
  <c r="H36" i="4"/>
  <c r="E41" i="4"/>
  <c r="I36" i="4"/>
  <c r="H42" i="4"/>
  <c r="D41" i="4"/>
  <c r="E40" i="4"/>
  <c r="K40" i="4"/>
  <c r="I41" i="4"/>
  <c r="J42" i="4"/>
  <c r="L35" i="4"/>
  <c r="I35" i="4"/>
  <c r="H41" i="4"/>
  <c r="I42" i="4"/>
  <c r="J36" i="4"/>
  <c r="K41" i="4"/>
  <c r="F35" i="4"/>
  <c r="G41" i="4"/>
  <c r="M35" i="4"/>
  <c r="G42" i="4"/>
  <c r="E36" i="4"/>
  <c r="M36" i="4"/>
  <c r="L41" i="4"/>
  <c r="K36" i="4"/>
  <c r="E42" i="4"/>
  <c r="C35" i="4"/>
  <c r="J40" i="4"/>
  <c r="G35" i="4"/>
  <c r="I40" i="4"/>
  <c r="J41" i="4"/>
  <c r="F41" i="4"/>
  <c r="D35" i="4"/>
  <c r="R204" i="3"/>
  <c r="S194" i="3"/>
  <c r="S231" i="3" s="1"/>
  <c r="S203" i="3"/>
  <c r="S239" i="3" s="1"/>
  <c r="R193" i="3"/>
  <c r="S61" i="3"/>
  <c r="S131" i="3"/>
  <c r="S191" i="3" s="1"/>
  <c r="S228" i="3" s="1"/>
  <c r="S146" i="3"/>
  <c r="S35" i="3"/>
  <c r="S49" i="3"/>
  <c r="S190" i="3" s="1"/>
  <c r="S227" i="3" s="1"/>
  <c r="T223" i="3"/>
  <c r="T224" i="3" s="1"/>
  <c r="S23" i="3"/>
  <c r="AK39" i="4"/>
  <c r="AK69" i="4"/>
  <c r="AK70" i="4"/>
  <c r="AP130" i="3"/>
  <c r="AP157" i="3"/>
  <c r="AP168" i="3"/>
  <c r="AP201" i="3" s="1"/>
  <c r="AP145" i="3"/>
  <c r="R195" i="3" l="1"/>
  <c r="R230" i="3"/>
  <c r="R205" i="3"/>
  <c r="R241" i="3" s="1"/>
  <c r="R240" i="3"/>
  <c r="Q196" i="3"/>
  <c r="Q233" i="3" s="1"/>
  <c r="Q232" i="3"/>
  <c r="AO212" i="3"/>
  <c r="AO214" i="3" s="1"/>
  <c r="AO215" i="3" s="1"/>
  <c r="N49" i="4"/>
  <c r="N30" i="4"/>
  <c r="N46" i="4" s="1"/>
  <c r="N62" i="4" s="1"/>
  <c r="N63" i="4" s="1"/>
  <c r="N65" i="4" s="1"/>
  <c r="Z9" i="2"/>
  <c r="O25" i="4"/>
  <c r="O40" i="4" s="1"/>
  <c r="O14" i="4"/>
  <c r="O35" i="4" s="1"/>
  <c r="Z3" i="2"/>
  <c r="O19" i="4"/>
  <c r="O8" i="4"/>
  <c r="Z4" i="2"/>
  <c r="O9" i="4"/>
  <c r="O20" i="4"/>
  <c r="Z12" i="2"/>
  <c r="O28" i="4"/>
  <c r="O17" i="4"/>
  <c r="O38" i="4" s="1"/>
  <c r="N29" i="4"/>
  <c r="N45" i="4" s="1"/>
  <c r="N55" i="4" s="1"/>
  <c r="N56" i="4" s="1"/>
  <c r="N58" i="4" s="1"/>
  <c r="N48" i="4"/>
  <c r="Z11" i="2"/>
  <c r="O16" i="4"/>
  <c r="O37" i="4" s="1"/>
  <c r="O27" i="4"/>
  <c r="O42" i="4" s="1"/>
  <c r="Z5" i="2"/>
  <c r="O10" i="4"/>
  <c r="O21" i="4"/>
  <c r="Z6" i="2"/>
  <c r="O22" i="4"/>
  <c r="O11" i="4"/>
  <c r="Z7" i="2"/>
  <c r="O23" i="4"/>
  <c r="O12" i="4"/>
  <c r="Z8" i="2"/>
  <c r="O13" i="4"/>
  <c r="O24" i="4"/>
  <c r="Z10" i="2"/>
  <c r="O15" i="4"/>
  <c r="O36" i="4" s="1"/>
  <c r="O26" i="4"/>
  <c r="O41" i="4" s="1"/>
  <c r="AP210" i="3"/>
  <c r="AP200" i="3"/>
  <c r="AP202" i="3" s="1"/>
  <c r="AP219" i="3"/>
  <c r="AP221" i="3" s="1"/>
  <c r="AP192" i="3"/>
  <c r="AP211" i="3"/>
  <c r="AK34" i="4"/>
  <c r="AF39" i="4"/>
  <c r="D39" i="4"/>
  <c r="L39" i="4"/>
  <c r="I34" i="4"/>
  <c r="G34" i="4"/>
  <c r="Z34" i="4"/>
  <c r="L34" i="4"/>
  <c r="J34" i="4"/>
  <c r="AE34" i="4"/>
  <c r="AA34" i="4"/>
  <c r="J39" i="4"/>
  <c r="R39" i="4"/>
  <c r="E39" i="4"/>
  <c r="M39" i="4"/>
  <c r="AA39" i="4"/>
  <c r="AF34" i="4"/>
  <c r="K34" i="4"/>
  <c r="O39" i="4"/>
  <c r="P39" i="4"/>
  <c r="I39" i="4"/>
  <c r="S39" i="4"/>
  <c r="AJ34" i="4"/>
  <c r="AC39" i="4"/>
  <c r="H34" i="4"/>
  <c r="W34" i="4"/>
  <c r="S34" i="4"/>
  <c r="AC34" i="4"/>
  <c r="H39" i="4"/>
  <c r="AG39" i="4"/>
  <c r="O34" i="4"/>
  <c r="K39" i="4"/>
  <c r="AI34" i="4"/>
  <c r="C34" i="4"/>
  <c r="X39" i="4"/>
  <c r="V39" i="4"/>
  <c r="T39" i="4"/>
  <c r="N39" i="4"/>
  <c r="AD34" i="4"/>
  <c r="V34" i="4"/>
  <c r="AG34" i="4"/>
  <c r="Y39" i="4"/>
  <c r="Y34" i="4"/>
  <c r="AB39" i="4"/>
  <c r="T34" i="4"/>
  <c r="AH39" i="4"/>
  <c r="AB34" i="4"/>
  <c r="AJ39" i="4"/>
  <c r="W39" i="4"/>
  <c r="F39" i="4"/>
  <c r="Q39" i="4"/>
  <c r="F34" i="4"/>
  <c r="AD39" i="4"/>
  <c r="P34" i="4"/>
  <c r="C39" i="4"/>
  <c r="AI39" i="4"/>
  <c r="D34" i="4"/>
  <c r="U39" i="4"/>
  <c r="AE39" i="4"/>
  <c r="Q34" i="4"/>
  <c r="R34" i="4"/>
  <c r="AH34" i="4"/>
  <c r="M34" i="4"/>
  <c r="E34" i="4"/>
  <c r="X34" i="4"/>
  <c r="N34" i="4"/>
  <c r="G39" i="4"/>
  <c r="Z39" i="4"/>
  <c r="U34" i="4"/>
  <c r="S204" i="3"/>
  <c r="T194" i="3"/>
  <c r="T231" i="3" s="1"/>
  <c r="T203" i="3"/>
  <c r="T239" i="3" s="1"/>
  <c r="S193" i="3"/>
  <c r="T61" i="3"/>
  <c r="T146" i="3"/>
  <c r="T131" i="3"/>
  <c r="T191" i="3" s="1"/>
  <c r="T228" i="3" s="1"/>
  <c r="T35" i="3"/>
  <c r="T49" i="3"/>
  <c r="T190" i="3" s="1"/>
  <c r="T227" i="3" s="1"/>
  <c r="U223" i="3"/>
  <c r="U224" i="3" s="1"/>
  <c r="T23" i="3"/>
  <c r="AL34" i="4"/>
  <c r="AL39" i="4"/>
  <c r="AL70" i="4"/>
  <c r="AL69" i="4"/>
  <c r="AQ130" i="3"/>
  <c r="AQ168" i="3"/>
  <c r="AQ201" i="3" s="1"/>
  <c r="AQ145" i="3"/>
  <c r="AQ157" i="3"/>
  <c r="S195" i="3" l="1"/>
  <c r="S230" i="3"/>
  <c r="S205" i="3"/>
  <c r="S241" i="3" s="1"/>
  <c r="S240" i="3"/>
  <c r="R196" i="3"/>
  <c r="R233" i="3" s="1"/>
  <c r="R232" i="3"/>
  <c r="AP212" i="3"/>
  <c r="AP214" i="3" s="1"/>
  <c r="AP215" i="3" s="1"/>
  <c r="AA12" i="2"/>
  <c r="P28" i="4"/>
  <c r="P17" i="4"/>
  <c r="P38" i="4" s="1"/>
  <c r="AA4" i="2"/>
  <c r="P20" i="4"/>
  <c r="P9" i="4"/>
  <c r="AA6" i="2"/>
  <c r="P22" i="4"/>
  <c r="P11" i="4"/>
  <c r="AA10" i="2"/>
  <c r="P26" i="4"/>
  <c r="P41" i="4" s="1"/>
  <c r="P15" i="4"/>
  <c r="P36" i="4" s="1"/>
  <c r="AA5" i="2"/>
  <c r="P21" i="4"/>
  <c r="P10" i="4"/>
  <c r="O48" i="4"/>
  <c r="O29" i="4"/>
  <c r="O45" i="4" s="1"/>
  <c r="O55" i="4" s="1"/>
  <c r="O56" i="4" s="1"/>
  <c r="O58" i="4" s="1"/>
  <c r="O49" i="4"/>
  <c r="O30" i="4"/>
  <c r="O46" i="4" s="1"/>
  <c r="O62" i="4" s="1"/>
  <c r="O63" i="4" s="1"/>
  <c r="O65" i="4" s="1"/>
  <c r="AA3" i="2"/>
  <c r="P19" i="4"/>
  <c r="P8" i="4"/>
  <c r="AA8" i="2"/>
  <c r="P13" i="4"/>
  <c r="P24" i="4"/>
  <c r="AA11" i="2"/>
  <c r="P27" i="4"/>
  <c r="P42" i="4" s="1"/>
  <c r="P16" i="4"/>
  <c r="P37" i="4" s="1"/>
  <c r="AA9" i="2"/>
  <c r="P25" i="4"/>
  <c r="P40" i="4" s="1"/>
  <c r="P14" i="4"/>
  <c r="P35" i="4" s="1"/>
  <c r="AA7" i="2"/>
  <c r="P23" i="4"/>
  <c r="P12" i="4"/>
  <c r="AQ210" i="3"/>
  <c r="AQ200" i="3"/>
  <c r="AQ202" i="3" s="1"/>
  <c r="AQ219" i="3"/>
  <c r="AQ221" i="3" s="1"/>
  <c r="AQ192" i="3"/>
  <c r="AQ211" i="3"/>
  <c r="C63" i="4"/>
  <c r="C65" i="4" s="1"/>
  <c r="T204" i="3"/>
  <c r="U203" i="3"/>
  <c r="U239" i="3" s="1"/>
  <c r="U194" i="3"/>
  <c r="U231" i="3" s="1"/>
  <c r="T193" i="3"/>
  <c r="U61" i="3"/>
  <c r="U131" i="3"/>
  <c r="U191" i="3" s="1"/>
  <c r="U228" i="3" s="1"/>
  <c r="U146" i="3"/>
  <c r="U35" i="3"/>
  <c r="U49" i="3"/>
  <c r="U190" i="3" s="1"/>
  <c r="U227" i="3" s="1"/>
  <c r="V223" i="3"/>
  <c r="V224" i="3" s="1"/>
  <c r="U23" i="3"/>
  <c r="AM34" i="4"/>
  <c r="AM39" i="4"/>
  <c r="AM70" i="4"/>
  <c r="AM69" i="4"/>
  <c r="AR145" i="3"/>
  <c r="AR157" i="3"/>
  <c r="AR168" i="3"/>
  <c r="AR201" i="3" s="1"/>
  <c r="AR130" i="3"/>
  <c r="T205" i="3" l="1"/>
  <c r="T241" i="3" s="1"/>
  <c r="T240" i="3"/>
  <c r="T195" i="3"/>
  <c r="T230" i="3"/>
  <c r="S196" i="3"/>
  <c r="S233" i="3" s="1"/>
  <c r="S232" i="3"/>
  <c r="AQ212" i="3"/>
  <c r="AQ214" i="3" s="1"/>
  <c r="AQ215" i="3" s="1"/>
  <c r="P29" i="4"/>
  <c r="P45" i="4" s="1"/>
  <c r="P55" i="4" s="1"/>
  <c r="P56" i="4" s="1"/>
  <c r="P58" i="4" s="1"/>
  <c r="P48" i="4"/>
  <c r="AB10" i="2"/>
  <c r="Q26" i="4"/>
  <c r="Q41" i="4" s="1"/>
  <c r="Q15" i="4"/>
  <c r="Q36" i="4" s="1"/>
  <c r="P30" i="4"/>
  <c r="P46" i="4" s="1"/>
  <c r="P62" i="4" s="1"/>
  <c r="P63" i="4" s="1"/>
  <c r="P65" i="4" s="1"/>
  <c r="P49" i="4"/>
  <c r="AB6" i="2"/>
  <c r="Q11" i="4"/>
  <c r="Q22" i="4"/>
  <c r="AB8" i="2"/>
  <c r="Q13" i="4"/>
  <c r="Q24" i="4"/>
  <c r="AB3" i="2"/>
  <c r="Q19" i="4"/>
  <c r="Q8" i="4"/>
  <c r="AB9" i="2"/>
  <c r="Q25" i="4"/>
  <c r="Q40" i="4" s="1"/>
  <c r="Q14" i="4"/>
  <c r="Q35" i="4" s="1"/>
  <c r="AB4" i="2"/>
  <c r="Q20" i="4"/>
  <c r="Q9" i="4"/>
  <c r="Q23" i="4"/>
  <c r="Q12" i="4"/>
  <c r="AB7" i="2"/>
  <c r="AB11" i="2"/>
  <c r="Q16" i="4"/>
  <c r="Q37" i="4" s="1"/>
  <c r="Q27" i="4"/>
  <c r="Q42" i="4" s="1"/>
  <c r="AB5" i="2"/>
  <c r="Q10" i="4"/>
  <c r="Q21" i="4"/>
  <c r="AB12" i="2"/>
  <c r="Q28" i="4"/>
  <c r="Q17" i="4"/>
  <c r="Q38" i="4" s="1"/>
  <c r="AR210" i="3"/>
  <c r="AR200" i="3"/>
  <c r="AR202" i="3" s="1"/>
  <c r="AR219" i="3"/>
  <c r="AR221" i="3" s="1"/>
  <c r="AR192" i="3"/>
  <c r="AR211" i="3"/>
  <c r="U204" i="3"/>
  <c r="V203" i="3"/>
  <c r="V239" i="3" s="1"/>
  <c r="V194" i="3"/>
  <c r="V231" i="3" s="1"/>
  <c r="U193" i="3"/>
  <c r="V61" i="3"/>
  <c r="V146" i="3"/>
  <c r="V131" i="3"/>
  <c r="V191" i="3" s="1"/>
  <c r="V228" i="3" s="1"/>
  <c r="V35" i="3"/>
  <c r="V49" i="3"/>
  <c r="V190" i="3" s="1"/>
  <c r="V227" i="3" s="1"/>
  <c r="W223" i="3"/>
  <c r="W224" i="3" s="1"/>
  <c r="V23" i="3"/>
  <c r="AN34" i="4"/>
  <c r="AN39" i="4"/>
  <c r="AN70" i="4"/>
  <c r="AN69" i="4"/>
  <c r="AS130" i="3"/>
  <c r="AS145" i="3"/>
  <c r="AS168" i="3"/>
  <c r="AS201" i="3" s="1"/>
  <c r="AS157" i="3"/>
  <c r="U205" i="3" l="1"/>
  <c r="U241" i="3" s="1"/>
  <c r="U240" i="3"/>
  <c r="T196" i="3"/>
  <c r="T233" i="3" s="1"/>
  <c r="T232" i="3"/>
  <c r="U195" i="3"/>
  <c r="U230" i="3"/>
  <c r="AC6" i="2"/>
  <c r="R22" i="4"/>
  <c r="R11" i="4"/>
  <c r="AC4" i="2"/>
  <c r="R9" i="4"/>
  <c r="R20" i="4"/>
  <c r="AC9" i="2"/>
  <c r="R25" i="4"/>
  <c r="R40" i="4" s="1"/>
  <c r="R14" i="4"/>
  <c r="R35" i="4" s="1"/>
  <c r="AC12" i="2"/>
  <c r="R28" i="4"/>
  <c r="R17" i="4"/>
  <c r="R38" i="4" s="1"/>
  <c r="Q49" i="4"/>
  <c r="Q30" i="4"/>
  <c r="Q46" i="4" s="1"/>
  <c r="Q62" i="4" s="1"/>
  <c r="Q63" i="4" s="1"/>
  <c r="Q65" i="4" s="1"/>
  <c r="AC10" i="2"/>
  <c r="R26" i="4"/>
  <c r="R41" i="4" s="1"/>
  <c r="R15" i="4"/>
  <c r="R36" i="4" s="1"/>
  <c r="AC5" i="2"/>
  <c r="R21" i="4"/>
  <c r="R10" i="4"/>
  <c r="Q48" i="4"/>
  <c r="Q29" i="4"/>
  <c r="Q45" i="4" s="1"/>
  <c r="Q55" i="4" s="1"/>
  <c r="Q56" i="4" s="1"/>
  <c r="Q58" i="4" s="1"/>
  <c r="AC11" i="2"/>
  <c r="R27" i="4"/>
  <c r="R42" i="4" s="1"/>
  <c r="R16" i="4"/>
  <c r="R37" i="4" s="1"/>
  <c r="AC3" i="2"/>
  <c r="R19" i="4"/>
  <c r="R8" i="4"/>
  <c r="AC8" i="2"/>
  <c r="R24" i="4"/>
  <c r="R13" i="4"/>
  <c r="AC7" i="2"/>
  <c r="R23" i="4"/>
  <c r="R12" i="4"/>
  <c r="AR212" i="3"/>
  <c r="AR214" i="3" s="1"/>
  <c r="AR215" i="3" s="1"/>
  <c r="AS210" i="3"/>
  <c r="V193" i="3"/>
  <c r="AS200" i="3"/>
  <c r="AS202" i="3" s="1"/>
  <c r="AS219" i="3"/>
  <c r="AS221" i="3" s="1"/>
  <c r="AS192" i="3"/>
  <c r="AS211" i="3"/>
  <c r="V204" i="3"/>
  <c r="W194" i="3"/>
  <c r="W231" i="3" s="1"/>
  <c r="W203" i="3"/>
  <c r="W239" i="3" s="1"/>
  <c r="W61" i="3"/>
  <c r="W131" i="3"/>
  <c r="W191" i="3" s="1"/>
  <c r="W228" i="3" s="1"/>
  <c r="W146" i="3"/>
  <c r="W35" i="3"/>
  <c r="W49" i="3"/>
  <c r="W190" i="3" s="1"/>
  <c r="W227" i="3" s="1"/>
  <c r="X223" i="3"/>
  <c r="X224" i="3" s="1"/>
  <c r="W23" i="3"/>
  <c r="AO69" i="4"/>
  <c r="AO70" i="4"/>
  <c r="AO34" i="4"/>
  <c r="AO39" i="4"/>
  <c r="AT168" i="3"/>
  <c r="AT201" i="3" s="1"/>
  <c r="AT157" i="3"/>
  <c r="AT145" i="3"/>
  <c r="AT130" i="3"/>
  <c r="V195" i="3" l="1"/>
  <c r="V230" i="3"/>
  <c r="U196" i="3"/>
  <c r="U233" i="3" s="1"/>
  <c r="U232" i="3"/>
  <c r="V205" i="3"/>
  <c r="V241" i="3" s="1"/>
  <c r="V240" i="3"/>
  <c r="AD11" i="2"/>
  <c r="S27" i="4"/>
  <c r="S42" i="4" s="1"/>
  <c r="S16" i="4"/>
  <c r="S37" i="4" s="1"/>
  <c r="AD12" i="2"/>
  <c r="S28" i="4"/>
  <c r="S17" i="4"/>
  <c r="S38" i="4" s="1"/>
  <c r="AD9" i="2"/>
  <c r="S14" i="4"/>
  <c r="S35" i="4" s="1"/>
  <c r="S25" i="4"/>
  <c r="S40" i="4" s="1"/>
  <c r="AD5" i="2"/>
  <c r="S21" i="4"/>
  <c r="S10" i="4"/>
  <c r="AD8" i="2"/>
  <c r="S24" i="4"/>
  <c r="S13" i="4"/>
  <c r="AD7" i="2"/>
  <c r="S23" i="4"/>
  <c r="S12" i="4"/>
  <c r="AD4" i="2"/>
  <c r="S20" i="4"/>
  <c r="S9" i="4"/>
  <c r="R49" i="4"/>
  <c r="R30" i="4"/>
  <c r="R46" i="4" s="1"/>
  <c r="R62" i="4" s="1"/>
  <c r="R63" i="4" s="1"/>
  <c r="R65" i="4" s="1"/>
  <c r="AD10" i="2"/>
  <c r="S26" i="4"/>
  <c r="S41" i="4" s="1"/>
  <c r="S15" i="4"/>
  <c r="S36" i="4" s="1"/>
  <c r="AD3" i="2"/>
  <c r="S8" i="4"/>
  <c r="S19" i="4"/>
  <c r="R29" i="4"/>
  <c r="R45" i="4" s="1"/>
  <c r="R55" i="4" s="1"/>
  <c r="R56" i="4" s="1"/>
  <c r="R58" i="4" s="1"/>
  <c r="R48" i="4"/>
  <c r="AD6" i="2"/>
  <c r="S11" i="4"/>
  <c r="S22" i="4"/>
  <c r="AS212" i="3"/>
  <c r="AS214" i="3" s="1"/>
  <c r="AS215" i="3" s="1"/>
  <c r="AT210" i="3"/>
  <c r="AT200" i="3"/>
  <c r="AT202" i="3" s="1"/>
  <c r="AT219" i="3"/>
  <c r="AT221" i="3" s="1"/>
  <c r="AT192" i="3"/>
  <c r="AT211" i="3"/>
  <c r="W193" i="3"/>
  <c r="W204" i="3"/>
  <c r="X203" i="3"/>
  <c r="X239" i="3" s="1"/>
  <c r="X194" i="3"/>
  <c r="X231" i="3" s="1"/>
  <c r="X61" i="3"/>
  <c r="X131" i="3"/>
  <c r="X191" i="3" s="1"/>
  <c r="X228" i="3" s="1"/>
  <c r="X146" i="3"/>
  <c r="X35" i="3"/>
  <c r="X49" i="3"/>
  <c r="X190" i="3" s="1"/>
  <c r="X227" i="3" s="1"/>
  <c r="Y223" i="3"/>
  <c r="Y224" i="3" s="1"/>
  <c r="X23" i="3"/>
  <c r="AP39" i="4"/>
  <c r="AP34" i="4"/>
  <c r="AP70" i="4"/>
  <c r="AP69" i="4"/>
  <c r="AU145" i="3"/>
  <c r="AU157" i="3"/>
  <c r="AU168" i="3"/>
  <c r="AU201" i="3" s="1"/>
  <c r="AU130" i="3"/>
  <c r="W195" i="3" l="1"/>
  <c r="W230" i="3"/>
  <c r="W205" i="3"/>
  <c r="W241" i="3" s="1"/>
  <c r="W240" i="3"/>
  <c r="V196" i="3"/>
  <c r="V233" i="3" s="1"/>
  <c r="V232" i="3"/>
  <c r="AE5" i="2"/>
  <c r="T21" i="4"/>
  <c r="T10" i="4"/>
  <c r="AE4" i="2"/>
  <c r="T20" i="4"/>
  <c r="T9" i="4"/>
  <c r="AE9" i="2"/>
  <c r="T25" i="4"/>
  <c r="T40" i="4" s="1"/>
  <c r="T14" i="4"/>
  <c r="T35" i="4" s="1"/>
  <c r="S30" i="4"/>
  <c r="S46" i="4" s="1"/>
  <c r="S62" i="4" s="1"/>
  <c r="S63" i="4" s="1"/>
  <c r="S65" i="4" s="1"/>
  <c r="S49" i="4"/>
  <c r="S29" i="4"/>
  <c r="S45" i="4" s="1"/>
  <c r="S55" i="4" s="1"/>
  <c r="S56" i="4" s="1"/>
  <c r="S58" i="4" s="1"/>
  <c r="S48" i="4"/>
  <c r="AE7" i="2"/>
  <c r="T23" i="4"/>
  <c r="T12" i="4"/>
  <c r="AE12" i="2"/>
  <c r="T28" i="4"/>
  <c r="T17" i="4"/>
  <c r="T38" i="4" s="1"/>
  <c r="AE10" i="2"/>
  <c r="T26" i="4"/>
  <c r="T41" i="4" s="1"/>
  <c r="T15" i="4"/>
  <c r="T36" i="4" s="1"/>
  <c r="AE6" i="2"/>
  <c r="T11" i="4"/>
  <c r="T22" i="4"/>
  <c r="AE3" i="2"/>
  <c r="T19" i="4"/>
  <c r="T8" i="4"/>
  <c r="AE8" i="2"/>
  <c r="T24" i="4"/>
  <c r="T13" i="4"/>
  <c r="AE11" i="2"/>
  <c r="T27" i="4"/>
  <c r="T42" i="4" s="1"/>
  <c r="T16" i="4"/>
  <c r="T37" i="4" s="1"/>
  <c r="AT212" i="3"/>
  <c r="AT214" i="3" s="1"/>
  <c r="AT215" i="3" s="1"/>
  <c r="AU210" i="3"/>
  <c r="AU200" i="3"/>
  <c r="AU202" i="3" s="1"/>
  <c r="AU219" i="3"/>
  <c r="AU221" i="3" s="1"/>
  <c r="X193" i="3"/>
  <c r="AU192" i="3"/>
  <c r="AU211" i="3"/>
  <c r="X204" i="3"/>
  <c r="Y203" i="3"/>
  <c r="Y239" i="3" s="1"/>
  <c r="Y194" i="3"/>
  <c r="Y231" i="3" s="1"/>
  <c r="Y61" i="3"/>
  <c r="Y131" i="3"/>
  <c r="Y191" i="3" s="1"/>
  <c r="Y228" i="3" s="1"/>
  <c r="Y146" i="3"/>
  <c r="Y35" i="3"/>
  <c r="Y49" i="3"/>
  <c r="Y190" i="3" s="1"/>
  <c r="Y227" i="3" s="1"/>
  <c r="Z223" i="3"/>
  <c r="Z224" i="3" s="1"/>
  <c r="Y23" i="3"/>
  <c r="AQ39" i="4"/>
  <c r="AQ70" i="4"/>
  <c r="AQ69" i="4"/>
  <c r="AQ34" i="4"/>
  <c r="AV157" i="3"/>
  <c r="AV168" i="3"/>
  <c r="AV201" i="3" s="1"/>
  <c r="AV130" i="3"/>
  <c r="AV145" i="3"/>
  <c r="X205" i="3" l="1"/>
  <c r="X241" i="3" s="1"/>
  <c r="X240" i="3"/>
  <c r="X195" i="3"/>
  <c r="X230" i="3"/>
  <c r="W196" i="3"/>
  <c r="W233" i="3" s="1"/>
  <c r="W232" i="3"/>
  <c r="U27" i="4"/>
  <c r="U42" i="4" s="1"/>
  <c r="U16" i="4"/>
  <c r="U37" i="4" s="1"/>
  <c r="AF11" i="2"/>
  <c r="AF9" i="2"/>
  <c r="U14" i="4"/>
  <c r="U35" i="4" s="1"/>
  <c r="U25" i="4"/>
  <c r="U40" i="4" s="1"/>
  <c r="AF8" i="2"/>
  <c r="U24" i="4"/>
  <c r="U13" i="4"/>
  <c r="AF12" i="2"/>
  <c r="U28" i="4"/>
  <c r="U17" i="4"/>
  <c r="U38" i="4" s="1"/>
  <c r="AF6" i="2"/>
  <c r="U11" i="4"/>
  <c r="U22" i="4"/>
  <c r="AF4" i="2"/>
  <c r="U9" i="4"/>
  <c r="U20" i="4"/>
  <c r="AF10" i="2"/>
  <c r="U26" i="4"/>
  <c r="U41" i="4" s="1"/>
  <c r="U15" i="4"/>
  <c r="U36" i="4" s="1"/>
  <c r="T48" i="4"/>
  <c r="T29" i="4"/>
  <c r="T45" i="4" s="1"/>
  <c r="T55" i="4" s="1"/>
  <c r="T56" i="4" s="1"/>
  <c r="T58" i="4" s="1"/>
  <c r="T30" i="4"/>
  <c r="T46" i="4" s="1"/>
  <c r="T62" i="4" s="1"/>
  <c r="T63" i="4" s="1"/>
  <c r="T65" i="4" s="1"/>
  <c r="T49" i="4"/>
  <c r="AF3" i="2"/>
  <c r="U8" i="4"/>
  <c r="U19" i="4"/>
  <c r="AF7" i="2"/>
  <c r="U23" i="4"/>
  <c r="U12" i="4"/>
  <c r="AF5" i="2"/>
  <c r="U21" i="4"/>
  <c r="U10" i="4"/>
  <c r="AU212" i="3"/>
  <c r="AU214" i="3" s="1"/>
  <c r="AU215" i="3" s="1"/>
  <c r="AV210" i="3"/>
  <c r="AV200" i="3"/>
  <c r="AV202" i="3" s="1"/>
  <c r="AV219" i="3"/>
  <c r="AV221" i="3" s="1"/>
  <c r="AV192" i="3"/>
  <c r="AV211" i="3"/>
  <c r="Y204" i="3"/>
  <c r="Z194" i="3"/>
  <c r="Z231" i="3" s="1"/>
  <c r="Z203" i="3"/>
  <c r="Z239" i="3" s="1"/>
  <c r="Y193" i="3"/>
  <c r="Z61" i="3"/>
  <c r="Z131" i="3"/>
  <c r="Z191" i="3" s="1"/>
  <c r="Z228" i="3" s="1"/>
  <c r="Z146" i="3"/>
  <c r="Z35" i="3"/>
  <c r="Z49" i="3"/>
  <c r="Z190" i="3" s="1"/>
  <c r="Z227" i="3" s="1"/>
  <c r="AA223" i="3"/>
  <c r="AA224" i="3" s="1"/>
  <c r="Z23" i="3"/>
  <c r="AR39" i="4"/>
  <c r="AR70" i="4"/>
  <c r="AR69" i="4"/>
  <c r="AR34" i="4"/>
  <c r="AW145" i="3"/>
  <c r="AW157" i="3"/>
  <c r="AW168" i="3"/>
  <c r="AW201" i="3" s="1"/>
  <c r="AW130" i="3"/>
  <c r="Y205" i="3" l="1"/>
  <c r="Y241" i="3" s="1"/>
  <c r="Y240" i="3"/>
  <c r="X196" i="3"/>
  <c r="X233" i="3" s="1"/>
  <c r="X232" i="3"/>
  <c r="Y195" i="3"/>
  <c r="Y230" i="3"/>
  <c r="AV212" i="3"/>
  <c r="AV214" i="3" s="1"/>
  <c r="AV215" i="3" s="1"/>
  <c r="AG12" i="2"/>
  <c r="V28" i="4"/>
  <c r="V17" i="4"/>
  <c r="V38" i="4" s="1"/>
  <c r="AG10" i="2"/>
  <c r="V26" i="4"/>
  <c r="V41" i="4" s="1"/>
  <c r="V15" i="4"/>
  <c r="V36" i="4" s="1"/>
  <c r="AG8" i="2"/>
  <c r="V24" i="4"/>
  <c r="V13" i="4"/>
  <c r="U49" i="4"/>
  <c r="U30" i="4"/>
  <c r="U46" i="4" s="1"/>
  <c r="U62" i="4" s="1"/>
  <c r="U63" i="4" s="1"/>
  <c r="U65" i="4" s="1"/>
  <c r="AG4" i="2"/>
  <c r="V20" i="4"/>
  <c r="V9" i="4"/>
  <c r="AG9" i="2"/>
  <c r="V25" i="4"/>
  <c r="V40" i="4" s="1"/>
  <c r="V14" i="4"/>
  <c r="V35" i="4" s="1"/>
  <c r="AG5" i="2"/>
  <c r="V21" i="4"/>
  <c r="V10" i="4"/>
  <c r="AG7" i="2"/>
  <c r="V23" i="4"/>
  <c r="V12" i="4"/>
  <c r="U48" i="4"/>
  <c r="U29" i="4"/>
  <c r="U45" i="4" s="1"/>
  <c r="U55" i="4" s="1"/>
  <c r="U56" i="4" s="1"/>
  <c r="U58" i="4" s="1"/>
  <c r="AG11" i="2"/>
  <c r="V27" i="4"/>
  <c r="V42" i="4" s="1"/>
  <c r="V16" i="4"/>
  <c r="V37" i="4" s="1"/>
  <c r="AG3" i="2"/>
  <c r="V19" i="4"/>
  <c r="V8" i="4"/>
  <c r="AG6" i="2"/>
  <c r="V22" i="4"/>
  <c r="V11" i="4"/>
  <c r="AW210" i="3"/>
  <c r="AW200" i="3"/>
  <c r="AW202" i="3" s="1"/>
  <c r="AW219" i="3"/>
  <c r="AW221" i="3" s="1"/>
  <c r="AW192" i="3"/>
  <c r="AW211" i="3"/>
  <c r="Z204" i="3"/>
  <c r="AA194" i="3"/>
  <c r="AA231" i="3" s="1"/>
  <c r="AA203" i="3"/>
  <c r="AA239" i="3" s="1"/>
  <c r="Z193" i="3"/>
  <c r="AA61" i="3"/>
  <c r="AA131" i="3"/>
  <c r="AA191" i="3" s="1"/>
  <c r="AA228" i="3" s="1"/>
  <c r="AA146" i="3"/>
  <c r="AA35" i="3"/>
  <c r="AA49" i="3"/>
  <c r="AA190" i="3" s="1"/>
  <c r="AA227" i="3" s="1"/>
  <c r="AB223" i="3"/>
  <c r="AB224" i="3" s="1"/>
  <c r="AA23" i="3"/>
  <c r="AS34" i="4"/>
  <c r="AS39" i="4"/>
  <c r="AS70" i="4"/>
  <c r="AS69" i="4"/>
  <c r="AX130" i="3"/>
  <c r="AX157" i="3"/>
  <c r="AX145" i="3"/>
  <c r="AX168" i="3"/>
  <c r="AX201" i="3" s="1"/>
  <c r="Z205" i="3" l="1"/>
  <c r="Z241" i="3" s="1"/>
  <c r="Z240" i="3"/>
  <c r="Y196" i="3"/>
  <c r="Y233" i="3" s="1"/>
  <c r="Y232" i="3"/>
  <c r="Z195" i="3"/>
  <c r="Z230" i="3"/>
  <c r="AH4" i="2"/>
  <c r="W9" i="4"/>
  <c r="W20" i="4"/>
  <c r="AH7" i="2"/>
  <c r="W12" i="4"/>
  <c r="W23" i="4"/>
  <c r="AH6" i="2"/>
  <c r="W22" i="4"/>
  <c r="W11" i="4"/>
  <c r="V48" i="4"/>
  <c r="V29" i="4"/>
  <c r="V45" i="4" s="1"/>
  <c r="V55" i="4" s="1"/>
  <c r="V56" i="4" s="1"/>
  <c r="V58" i="4" s="1"/>
  <c r="AH8" i="2"/>
  <c r="W24" i="4"/>
  <c r="W13" i="4"/>
  <c r="AH5" i="2"/>
  <c r="W21" i="4"/>
  <c r="W10" i="4"/>
  <c r="AH10" i="2"/>
  <c r="W15" i="4"/>
  <c r="W36" i="4" s="1"/>
  <c r="W26" i="4"/>
  <c r="W41" i="4" s="1"/>
  <c r="V49" i="4"/>
  <c r="V30" i="4"/>
  <c r="V46" i="4" s="1"/>
  <c r="V62" i="4" s="1"/>
  <c r="V63" i="4" s="1"/>
  <c r="V65" i="4" s="1"/>
  <c r="AH3" i="2"/>
  <c r="W8" i="4"/>
  <c r="W19" i="4"/>
  <c r="AH11" i="2"/>
  <c r="W27" i="4"/>
  <c r="W42" i="4" s="1"/>
  <c r="W16" i="4"/>
  <c r="W37" i="4" s="1"/>
  <c r="AH9" i="2"/>
  <c r="W25" i="4"/>
  <c r="W40" i="4" s="1"/>
  <c r="W14" i="4"/>
  <c r="W35" i="4" s="1"/>
  <c r="AH12" i="2"/>
  <c r="W28" i="4"/>
  <c r="W17" i="4"/>
  <c r="W38" i="4" s="1"/>
  <c r="AW212" i="3"/>
  <c r="AW214" i="3" s="1"/>
  <c r="AW215" i="3" s="1"/>
  <c r="AX210" i="3"/>
  <c r="AX200" i="3"/>
  <c r="AX202" i="3" s="1"/>
  <c r="AX219" i="3"/>
  <c r="AX221" i="3" s="1"/>
  <c r="AA193" i="3"/>
  <c r="AX192" i="3"/>
  <c r="AX211" i="3"/>
  <c r="AA204" i="3"/>
  <c r="AB194" i="3"/>
  <c r="AB231" i="3" s="1"/>
  <c r="AB203" i="3"/>
  <c r="AB239" i="3" s="1"/>
  <c r="AB61" i="3"/>
  <c r="AB131" i="3"/>
  <c r="AB191" i="3" s="1"/>
  <c r="AB228" i="3" s="1"/>
  <c r="AB146" i="3"/>
  <c r="AB35" i="3"/>
  <c r="AB49" i="3"/>
  <c r="AB190" i="3" s="1"/>
  <c r="AB227" i="3" s="1"/>
  <c r="AC223" i="3"/>
  <c r="AB23" i="3"/>
  <c r="AT70" i="4"/>
  <c r="AT69" i="4"/>
  <c r="AT39" i="4"/>
  <c r="AT34" i="4"/>
  <c r="AY145" i="3"/>
  <c r="AY130" i="3"/>
  <c r="AY168" i="3"/>
  <c r="AY201" i="3" s="1"/>
  <c r="AY157" i="3"/>
  <c r="AA205" i="3" l="1"/>
  <c r="AA241" i="3" s="1"/>
  <c r="AA240" i="3"/>
  <c r="Z196" i="3"/>
  <c r="Z233" i="3" s="1"/>
  <c r="Z232" i="3"/>
  <c r="AA195" i="3"/>
  <c r="AA230" i="3"/>
  <c r="AC224" i="3"/>
  <c r="AX212" i="3"/>
  <c r="AX214" i="3" s="1"/>
  <c r="AX215" i="3" s="1"/>
  <c r="AI12" i="2"/>
  <c r="X28" i="4"/>
  <c r="X17" i="4"/>
  <c r="X38" i="4" s="1"/>
  <c r="W29" i="4"/>
  <c r="W45" i="4" s="1"/>
  <c r="W55" i="4" s="1"/>
  <c r="W56" i="4" s="1"/>
  <c r="W58" i="4" s="1"/>
  <c r="W48" i="4"/>
  <c r="AI6" i="2"/>
  <c r="X22" i="4"/>
  <c r="X11" i="4"/>
  <c r="AI10" i="2"/>
  <c r="X26" i="4"/>
  <c r="X41" i="4" s="1"/>
  <c r="X15" i="4"/>
  <c r="X36" i="4" s="1"/>
  <c r="AI9" i="2"/>
  <c r="X25" i="4"/>
  <c r="X40" i="4" s="1"/>
  <c r="X14" i="4"/>
  <c r="X35" i="4" s="1"/>
  <c r="AI8" i="2"/>
  <c r="X24" i="4"/>
  <c r="X13" i="4"/>
  <c r="AI7" i="2"/>
  <c r="X23" i="4"/>
  <c r="X12" i="4"/>
  <c r="AI5" i="2"/>
  <c r="X21" i="4"/>
  <c r="X10" i="4"/>
  <c r="AI11" i="2"/>
  <c r="X27" i="4"/>
  <c r="X42" i="4" s="1"/>
  <c r="X16" i="4"/>
  <c r="X37" i="4" s="1"/>
  <c r="AI3" i="2"/>
  <c r="X19" i="4"/>
  <c r="X8" i="4"/>
  <c r="W49" i="4"/>
  <c r="W30" i="4"/>
  <c r="W46" i="4" s="1"/>
  <c r="W62" i="4" s="1"/>
  <c r="W63" i="4" s="1"/>
  <c r="W65" i="4" s="1"/>
  <c r="AI4" i="2"/>
  <c r="X20" i="4"/>
  <c r="X9" i="4"/>
  <c r="AB193" i="3"/>
  <c r="AY210" i="3"/>
  <c r="AY200" i="3"/>
  <c r="AY202" i="3" s="1"/>
  <c r="AY219" i="3"/>
  <c r="AY221" i="3" s="1"/>
  <c r="AY192" i="3"/>
  <c r="AY211" i="3"/>
  <c r="AB204" i="3"/>
  <c r="AC194" i="3"/>
  <c r="AC231" i="3" s="1"/>
  <c r="AC203" i="3"/>
  <c r="AC239" i="3" s="1"/>
  <c r="AC61" i="3"/>
  <c r="AC146" i="3"/>
  <c r="AC131" i="3"/>
  <c r="AC191" i="3" s="1"/>
  <c r="AC228" i="3" s="1"/>
  <c r="AC35" i="3"/>
  <c r="AC49" i="3"/>
  <c r="AC190" i="3" s="1"/>
  <c r="AC227" i="3" s="1"/>
  <c r="AD222" i="3"/>
  <c r="AD223" i="3" s="1"/>
  <c r="AD224" i="3" s="1"/>
  <c r="AC23" i="3"/>
  <c r="AU34" i="4"/>
  <c r="AU39" i="4"/>
  <c r="AU69" i="4"/>
  <c r="AU70" i="4"/>
  <c r="AZ168" i="3"/>
  <c r="AZ201" i="3" s="1"/>
  <c r="AZ130" i="3"/>
  <c r="AZ145" i="3"/>
  <c r="AZ157" i="3"/>
  <c r="AB195" i="3" l="1"/>
  <c r="AB230" i="3"/>
  <c r="AA196" i="3"/>
  <c r="AA233" i="3" s="1"/>
  <c r="AA232" i="3"/>
  <c r="AB205" i="3"/>
  <c r="AB241" i="3" s="1"/>
  <c r="AB240" i="3"/>
  <c r="AY212" i="3"/>
  <c r="AY214" i="3" s="1"/>
  <c r="AY215" i="3" s="1"/>
  <c r="AJ10" i="2"/>
  <c r="Y15" i="4"/>
  <c r="Y36" i="4" s="1"/>
  <c r="Y26" i="4"/>
  <c r="Y41" i="4" s="1"/>
  <c r="AJ11" i="2"/>
  <c r="Y16" i="4"/>
  <c r="Y37" i="4" s="1"/>
  <c r="Y27" i="4"/>
  <c r="Y42" i="4" s="1"/>
  <c r="AJ7" i="2"/>
  <c r="Y12" i="4"/>
  <c r="Y23" i="4"/>
  <c r="AJ6" i="2"/>
  <c r="Y22" i="4"/>
  <c r="Y11" i="4"/>
  <c r="X48" i="4"/>
  <c r="X29" i="4"/>
  <c r="X45" i="4" s="1"/>
  <c r="X55" i="4" s="1"/>
  <c r="X56" i="4" s="1"/>
  <c r="X58" i="4" s="1"/>
  <c r="AJ4" i="2"/>
  <c r="Y9" i="4"/>
  <c r="Y20" i="4"/>
  <c r="X49" i="4"/>
  <c r="X30" i="4"/>
  <c r="X46" i="4" s="1"/>
  <c r="X62" i="4" s="1"/>
  <c r="X63" i="4" s="1"/>
  <c r="X65" i="4" s="1"/>
  <c r="AJ5" i="2"/>
  <c r="Y21" i="4"/>
  <c r="Y10" i="4"/>
  <c r="AJ3" i="2"/>
  <c r="Y19" i="4"/>
  <c r="Y8" i="4"/>
  <c r="AJ8" i="2"/>
  <c r="Y24" i="4"/>
  <c r="Y13" i="4"/>
  <c r="AJ9" i="2"/>
  <c r="Y25" i="4"/>
  <c r="Y40" i="4" s="1"/>
  <c r="Y14" i="4"/>
  <c r="Y35" i="4" s="1"/>
  <c r="AJ12" i="2"/>
  <c r="Y28" i="4"/>
  <c r="Y17" i="4"/>
  <c r="Y38" i="4" s="1"/>
  <c r="AZ210" i="3"/>
  <c r="AC193" i="3"/>
  <c r="AZ200" i="3"/>
  <c r="AZ202" i="3" s="1"/>
  <c r="AZ219" i="3"/>
  <c r="AZ221" i="3" s="1"/>
  <c r="AZ192" i="3"/>
  <c r="AZ211" i="3"/>
  <c r="AD194" i="3"/>
  <c r="AD203" i="3"/>
  <c r="AC204" i="3"/>
  <c r="AD61" i="3"/>
  <c r="AD146" i="3"/>
  <c r="AD131" i="3"/>
  <c r="AD191" i="3" s="1"/>
  <c r="AD35" i="3"/>
  <c r="AD49" i="3"/>
  <c r="AD190" i="3" s="1"/>
  <c r="AE222" i="3"/>
  <c r="AE223" i="3" s="1"/>
  <c r="AE224" i="3" s="1"/>
  <c r="AD23" i="3"/>
  <c r="AC195" i="3" l="1"/>
  <c r="AC230" i="3"/>
  <c r="AC205" i="3"/>
  <c r="AC241" i="3" s="1"/>
  <c r="AC240" i="3"/>
  <c r="AB196" i="3"/>
  <c r="AB233" i="3" s="1"/>
  <c r="AB232" i="3"/>
  <c r="AZ212" i="3"/>
  <c r="AZ214" i="3" s="1"/>
  <c r="AZ215" i="3" s="1"/>
  <c r="AK6" i="2"/>
  <c r="Z22" i="4"/>
  <c r="Z11" i="4"/>
  <c r="AK7" i="2"/>
  <c r="Z23" i="4"/>
  <c r="Z12" i="4"/>
  <c r="AK3" i="2"/>
  <c r="Z19" i="4"/>
  <c r="Z8" i="4"/>
  <c r="AK12" i="2"/>
  <c r="Z28" i="4"/>
  <c r="Z17" i="4"/>
  <c r="Z38" i="4" s="1"/>
  <c r="AK11" i="2"/>
  <c r="Z27" i="4"/>
  <c r="Z42" i="4" s="1"/>
  <c r="Z16" i="4"/>
  <c r="Z37" i="4" s="1"/>
  <c r="AK5" i="2"/>
  <c r="Z21" i="4"/>
  <c r="Z10" i="4"/>
  <c r="Y49" i="4"/>
  <c r="Y30" i="4"/>
  <c r="Y46" i="4" s="1"/>
  <c r="Y62" i="4" s="1"/>
  <c r="Y63" i="4" s="1"/>
  <c r="Y65" i="4" s="1"/>
  <c r="AK9" i="2"/>
  <c r="Z14" i="4"/>
  <c r="Z35" i="4" s="1"/>
  <c r="Z25" i="4"/>
  <c r="Z40" i="4" s="1"/>
  <c r="AK4" i="2"/>
  <c r="Z20" i="4"/>
  <c r="Z9" i="4"/>
  <c r="AK8" i="2"/>
  <c r="Z24" i="4"/>
  <c r="Z13" i="4"/>
  <c r="Y29" i="4"/>
  <c r="Y45" i="4" s="1"/>
  <c r="Y55" i="4" s="1"/>
  <c r="Y56" i="4" s="1"/>
  <c r="Y58" i="4" s="1"/>
  <c r="Y48" i="4"/>
  <c r="AK10" i="2"/>
  <c r="Z26" i="4"/>
  <c r="Z41" i="4" s="1"/>
  <c r="Z15" i="4"/>
  <c r="Z36" i="4" s="1"/>
  <c r="AD204" i="3"/>
  <c r="AD205" i="3" s="1"/>
  <c r="AE194" i="3"/>
  <c r="AE203" i="3"/>
  <c r="AD193" i="3"/>
  <c r="AD195" i="3" s="1"/>
  <c r="AD196" i="3" s="1"/>
  <c r="AE61" i="3"/>
  <c r="AE131" i="3"/>
  <c r="AE191" i="3" s="1"/>
  <c r="AE146" i="3"/>
  <c r="AE35" i="3"/>
  <c r="AE49" i="3"/>
  <c r="AE190" i="3" s="1"/>
  <c r="AF222" i="3"/>
  <c r="AF223" i="3" s="1"/>
  <c r="AF224" i="3" s="1"/>
  <c r="AE23" i="3"/>
  <c r="M39" i="2"/>
  <c r="X39" i="2"/>
  <c r="AC196" i="3" l="1"/>
  <c r="AC233" i="3" s="1"/>
  <c r="AC232" i="3"/>
  <c r="Z48" i="4"/>
  <c r="Z29" i="4"/>
  <c r="Z45" i="4" s="1"/>
  <c r="Z55" i="4" s="1"/>
  <c r="Z56" i="4" s="1"/>
  <c r="Z58" i="4" s="1"/>
  <c r="AL10" i="2"/>
  <c r="AA26" i="4"/>
  <c r="AA41" i="4" s="1"/>
  <c r="AA15" i="4"/>
  <c r="AA36" i="4" s="1"/>
  <c r="Z49" i="4"/>
  <c r="Z30" i="4"/>
  <c r="Z46" i="4" s="1"/>
  <c r="Z62" i="4" s="1"/>
  <c r="Z63" i="4" s="1"/>
  <c r="Z65" i="4" s="1"/>
  <c r="AL4" i="2"/>
  <c r="AA20" i="4"/>
  <c r="AA9" i="4"/>
  <c r="AL7" i="2"/>
  <c r="AA12" i="4"/>
  <c r="AA23" i="4"/>
  <c r="AL9" i="2"/>
  <c r="AA25" i="4"/>
  <c r="AA40" i="4" s="1"/>
  <c r="AA14" i="4"/>
  <c r="AA35" i="4" s="1"/>
  <c r="AL3" i="2"/>
  <c r="AA19" i="4"/>
  <c r="AA8" i="4"/>
  <c r="AL12" i="2"/>
  <c r="AA28" i="4"/>
  <c r="AA17" i="4"/>
  <c r="AA38" i="4" s="1"/>
  <c r="AL5" i="2"/>
  <c r="AA10" i="4"/>
  <c r="AA21" i="4"/>
  <c r="AL8" i="2"/>
  <c r="AA13" i="4"/>
  <c r="AA24" i="4"/>
  <c r="AL11" i="2"/>
  <c r="AA27" i="4"/>
  <c r="AA42" i="4" s="1"/>
  <c r="AA16" i="4"/>
  <c r="AA37" i="4" s="1"/>
  <c r="AL6" i="2"/>
  <c r="AA22" i="4"/>
  <c r="AA11" i="4"/>
  <c r="AE193" i="3"/>
  <c r="AE195" i="3" s="1"/>
  <c r="AE196" i="3" s="1"/>
  <c r="AE204" i="3"/>
  <c r="AE205" i="3" s="1"/>
  <c r="AF194" i="3"/>
  <c r="AF203" i="3"/>
  <c r="AF61" i="3"/>
  <c r="AF146" i="3"/>
  <c r="AF131" i="3"/>
  <c r="AF191" i="3" s="1"/>
  <c r="AF35" i="3"/>
  <c r="AF49" i="3"/>
  <c r="AF190" i="3" s="1"/>
  <c r="AG222" i="3"/>
  <c r="AG223" i="3" s="1"/>
  <c r="AG224" i="3" s="1"/>
  <c r="AF23" i="3"/>
  <c r="C56" i="4"/>
  <c r="C58" i="4" s="1"/>
  <c r="AM7" i="2" l="1"/>
  <c r="AB23" i="4"/>
  <c r="AB12" i="4"/>
  <c r="AM4" i="2"/>
  <c r="AB20" i="4"/>
  <c r="AB9" i="4"/>
  <c r="AA29" i="4"/>
  <c r="AA45" i="4" s="1"/>
  <c r="AA55" i="4" s="1"/>
  <c r="AA56" i="4" s="1"/>
  <c r="AA58" i="4" s="1"/>
  <c r="AA48" i="4"/>
  <c r="AA49" i="4"/>
  <c r="AA30" i="4"/>
  <c r="AA46" i="4" s="1"/>
  <c r="AA62" i="4" s="1"/>
  <c r="AA63" i="4" s="1"/>
  <c r="AA65" i="4" s="1"/>
  <c r="AM5" i="2"/>
  <c r="AB21" i="4"/>
  <c r="AB10" i="4"/>
  <c r="AM6" i="2"/>
  <c r="AB22" i="4"/>
  <c r="AB11" i="4"/>
  <c r="AM3" i="2"/>
  <c r="AB19" i="4"/>
  <c r="AB8" i="4"/>
  <c r="AM10" i="2"/>
  <c r="AB26" i="4"/>
  <c r="AB41" i="4" s="1"/>
  <c r="AB15" i="4"/>
  <c r="AB36" i="4" s="1"/>
  <c r="AM9" i="2"/>
  <c r="AB25" i="4"/>
  <c r="AB40" i="4" s="1"/>
  <c r="AB14" i="4"/>
  <c r="AB35" i="4" s="1"/>
  <c r="AM12" i="2"/>
  <c r="AB28" i="4"/>
  <c r="AB17" i="4"/>
  <c r="AB38" i="4" s="1"/>
  <c r="AM11" i="2"/>
  <c r="AB16" i="4"/>
  <c r="AB37" i="4" s="1"/>
  <c r="AB27" i="4"/>
  <c r="AB42" i="4" s="1"/>
  <c r="AM8" i="2"/>
  <c r="AB24" i="4"/>
  <c r="AB13" i="4"/>
  <c r="B88" i="4"/>
  <c r="AF204" i="3"/>
  <c r="AF205" i="3" s="1"/>
  <c r="AF193" i="3"/>
  <c r="AF195" i="3" s="1"/>
  <c r="AF196" i="3" s="1"/>
  <c r="AG203" i="3"/>
  <c r="AG194" i="3"/>
  <c r="AG61" i="3"/>
  <c r="AG146" i="3"/>
  <c r="AG131" i="3"/>
  <c r="AG191" i="3" s="1"/>
  <c r="AG35" i="3"/>
  <c r="AG49" i="3"/>
  <c r="AG190" i="3" s="1"/>
  <c r="AH222" i="3"/>
  <c r="AH223" i="3" s="1"/>
  <c r="AH224" i="3" s="1"/>
  <c r="AG23" i="3"/>
  <c r="H193" i="3"/>
  <c r="H195" i="3" l="1"/>
  <c r="H230" i="3"/>
  <c r="AN10" i="2"/>
  <c r="AC26" i="4"/>
  <c r="AC41" i="4" s="1"/>
  <c r="AC15" i="4"/>
  <c r="AC36" i="4" s="1"/>
  <c r="AB29" i="4"/>
  <c r="AB45" i="4" s="1"/>
  <c r="AB55" i="4" s="1"/>
  <c r="AB56" i="4" s="1"/>
  <c r="AB58" i="4" s="1"/>
  <c r="AB48" i="4"/>
  <c r="AB49" i="4"/>
  <c r="AB30" i="4"/>
  <c r="AB46" i="4" s="1"/>
  <c r="AB62" i="4" s="1"/>
  <c r="AB63" i="4" s="1"/>
  <c r="AB65" i="4" s="1"/>
  <c r="AN8" i="2"/>
  <c r="AC13" i="4"/>
  <c r="AC24" i="4"/>
  <c r="AN3" i="2"/>
  <c r="AC19" i="4"/>
  <c r="AC8" i="4"/>
  <c r="AN4" i="2"/>
  <c r="AC20" i="4"/>
  <c r="AC9" i="4"/>
  <c r="AN5" i="2"/>
  <c r="AC10" i="4"/>
  <c r="AC21" i="4"/>
  <c r="AN11" i="2"/>
  <c r="AC16" i="4"/>
  <c r="AC37" i="4" s="1"/>
  <c r="AC27" i="4"/>
  <c r="AC42" i="4" s="1"/>
  <c r="AN12" i="2"/>
  <c r="AC17" i="4"/>
  <c r="AC38" i="4" s="1"/>
  <c r="AC28" i="4"/>
  <c r="AN6" i="2"/>
  <c r="AC22" i="4"/>
  <c r="AC11" i="4"/>
  <c r="AN9" i="2"/>
  <c r="AC14" i="4"/>
  <c r="AC35" i="4" s="1"/>
  <c r="AC25" i="4"/>
  <c r="AC40" i="4" s="1"/>
  <c r="AC23" i="4"/>
  <c r="AC12" i="4"/>
  <c r="AN7" i="2"/>
  <c r="AG193" i="3"/>
  <c r="AG195" i="3" s="1"/>
  <c r="AG196" i="3" s="1"/>
  <c r="AH194" i="3"/>
  <c r="AH203" i="3"/>
  <c r="AG204" i="3"/>
  <c r="AG205" i="3" s="1"/>
  <c r="AH61" i="3"/>
  <c r="AH131" i="3"/>
  <c r="AH191" i="3" s="1"/>
  <c r="AH146" i="3"/>
  <c r="AH35" i="3"/>
  <c r="AH49" i="3"/>
  <c r="AH190" i="3" s="1"/>
  <c r="AI222" i="3"/>
  <c r="AI223" i="3" s="1"/>
  <c r="AI224" i="3" s="1"/>
  <c r="AH23" i="3"/>
  <c r="H196" i="3" l="1"/>
  <c r="H233" i="3" s="1"/>
  <c r="H232" i="3"/>
  <c r="AO7" i="2"/>
  <c r="AD12" i="4"/>
  <c r="AD23" i="4"/>
  <c r="AO3" i="2"/>
  <c r="AD19" i="4"/>
  <c r="AD8" i="4"/>
  <c r="AO5" i="2"/>
  <c r="AD21" i="4"/>
  <c r="AD10" i="4"/>
  <c r="AC30" i="4"/>
  <c r="AC46" i="4" s="1"/>
  <c r="AC62" i="4" s="1"/>
  <c r="AC63" i="4" s="1"/>
  <c r="AC65" i="4" s="1"/>
  <c r="AC49" i="4"/>
  <c r="AO11" i="2"/>
  <c r="AD27" i="4"/>
  <c r="AD42" i="4" s="1"/>
  <c r="AD16" i="4"/>
  <c r="AD37" i="4" s="1"/>
  <c r="AO12" i="2"/>
  <c r="AD28" i="4"/>
  <c r="AD17" i="4"/>
  <c r="AD38" i="4" s="1"/>
  <c r="AO8" i="2"/>
  <c r="AD24" i="4"/>
  <c r="AD13" i="4"/>
  <c r="AO6" i="2"/>
  <c r="AD22" i="4"/>
  <c r="AD11" i="4"/>
  <c r="AO9" i="2"/>
  <c r="AD25" i="4"/>
  <c r="AD40" i="4" s="1"/>
  <c r="AD14" i="4"/>
  <c r="AD35" i="4" s="1"/>
  <c r="AO4" i="2"/>
  <c r="AD20" i="4"/>
  <c r="AD9" i="4"/>
  <c r="AC29" i="4"/>
  <c r="AC45" i="4" s="1"/>
  <c r="AC55" i="4" s="1"/>
  <c r="AC56" i="4" s="1"/>
  <c r="AC58" i="4" s="1"/>
  <c r="AC48" i="4"/>
  <c r="AO10" i="2"/>
  <c r="AD26" i="4"/>
  <c r="AD41" i="4" s="1"/>
  <c r="AD15" i="4"/>
  <c r="AD36" i="4" s="1"/>
  <c r="AH193" i="3"/>
  <c r="AH195" i="3" s="1"/>
  <c r="AH196" i="3" s="1"/>
  <c r="AH204" i="3"/>
  <c r="AH205" i="3" s="1"/>
  <c r="AI194" i="3"/>
  <c r="AI203" i="3"/>
  <c r="AI61" i="3"/>
  <c r="AI131" i="3"/>
  <c r="AI191" i="3" s="1"/>
  <c r="AI146" i="3"/>
  <c r="AI35" i="3"/>
  <c r="AI49" i="3"/>
  <c r="AI190" i="3" s="1"/>
  <c r="AJ222" i="3"/>
  <c r="AJ223" i="3" s="1"/>
  <c r="AJ224" i="3" s="1"/>
  <c r="AI23" i="3"/>
  <c r="AP10" i="2" l="1"/>
  <c r="AE26" i="4"/>
  <c r="AE41" i="4" s="1"/>
  <c r="AE15" i="4"/>
  <c r="AE36" i="4" s="1"/>
  <c r="AP9" i="2"/>
  <c r="AE14" i="4"/>
  <c r="AE35" i="4" s="1"/>
  <c r="AE25" i="4"/>
  <c r="AE40" i="4" s="1"/>
  <c r="AP5" i="2"/>
  <c r="AE10" i="4"/>
  <c r="AE21" i="4"/>
  <c r="AP6" i="2"/>
  <c r="AE11" i="4"/>
  <c r="AE22" i="4"/>
  <c r="AP8" i="2"/>
  <c r="AE24" i="4"/>
  <c r="AE13" i="4"/>
  <c r="AD48" i="4"/>
  <c r="AD29" i="4"/>
  <c r="AD45" i="4" s="1"/>
  <c r="AD55" i="4" s="1"/>
  <c r="AD56" i="4" s="1"/>
  <c r="AD58" i="4" s="1"/>
  <c r="AD30" i="4"/>
  <c r="AD46" i="4" s="1"/>
  <c r="AD62" i="4" s="1"/>
  <c r="AD63" i="4" s="1"/>
  <c r="AD65" i="4" s="1"/>
  <c r="AD49" i="4"/>
  <c r="AP3" i="2"/>
  <c r="AE8" i="4"/>
  <c r="AE19" i="4"/>
  <c r="AP4" i="2"/>
  <c r="AE20" i="4"/>
  <c r="AE9" i="4"/>
  <c r="AP12" i="2"/>
  <c r="AE28" i="4"/>
  <c r="AE17" i="4"/>
  <c r="AE38" i="4" s="1"/>
  <c r="AP11" i="2"/>
  <c r="AE27" i="4"/>
  <c r="AE42" i="4" s="1"/>
  <c r="AE16" i="4"/>
  <c r="AE37" i="4" s="1"/>
  <c r="AP7" i="2"/>
  <c r="AE23" i="4"/>
  <c r="AE12" i="4"/>
  <c r="AI204" i="3"/>
  <c r="AI205" i="3" s="1"/>
  <c r="AJ203" i="3"/>
  <c r="AJ194" i="3"/>
  <c r="AI193" i="3"/>
  <c r="AI195" i="3" s="1"/>
  <c r="AI196" i="3" s="1"/>
  <c r="AJ61" i="3"/>
  <c r="AJ131" i="3"/>
  <c r="AJ191" i="3" s="1"/>
  <c r="AJ146" i="3"/>
  <c r="AJ35" i="3"/>
  <c r="AJ49" i="3"/>
  <c r="AJ190" i="3" s="1"/>
  <c r="AK222" i="3"/>
  <c r="AK223" i="3" s="1"/>
  <c r="AK224" i="3" s="1"/>
  <c r="AJ23" i="3"/>
  <c r="AQ5" i="2" l="1"/>
  <c r="AF21" i="4"/>
  <c r="AF10" i="4"/>
  <c r="AE49" i="4"/>
  <c r="AE30" i="4"/>
  <c r="AE46" i="4" s="1"/>
  <c r="AE62" i="4" s="1"/>
  <c r="AE63" i="4" s="1"/>
  <c r="AE65" i="4" s="1"/>
  <c r="AQ6" i="2"/>
  <c r="AF22" i="4"/>
  <c r="AF11" i="4"/>
  <c r="AQ3" i="2"/>
  <c r="AF8" i="4"/>
  <c r="AF19" i="4"/>
  <c r="AQ9" i="2"/>
  <c r="AF14" i="4"/>
  <c r="AF35" i="4" s="1"/>
  <c r="AF25" i="4"/>
  <c r="AF40" i="4" s="1"/>
  <c r="AE48" i="4"/>
  <c r="AE29" i="4"/>
  <c r="AE45" i="4" s="1"/>
  <c r="AE55" i="4" s="1"/>
  <c r="AE56" i="4" s="1"/>
  <c r="AE58" i="4" s="1"/>
  <c r="AQ4" i="2"/>
  <c r="AF20" i="4"/>
  <c r="AF9" i="4"/>
  <c r="AQ7" i="2"/>
  <c r="AF23" i="4"/>
  <c r="AF12" i="4"/>
  <c r="AQ11" i="2"/>
  <c r="AF27" i="4"/>
  <c r="AF42" i="4" s="1"/>
  <c r="AF16" i="4"/>
  <c r="AF37" i="4" s="1"/>
  <c r="AQ12" i="2"/>
  <c r="AF17" i="4"/>
  <c r="AF38" i="4" s="1"/>
  <c r="AF28" i="4"/>
  <c r="AQ8" i="2"/>
  <c r="AF24" i="4"/>
  <c r="AF13" i="4"/>
  <c r="AQ10" i="2"/>
  <c r="AF26" i="4"/>
  <c r="AF41" i="4" s="1"/>
  <c r="AF15" i="4"/>
  <c r="AF36" i="4" s="1"/>
  <c r="AJ193" i="3"/>
  <c r="AJ195" i="3" s="1"/>
  <c r="AJ196" i="3" s="1"/>
  <c r="AK203" i="3"/>
  <c r="AK194" i="3"/>
  <c r="AJ204" i="3"/>
  <c r="AJ205" i="3" s="1"/>
  <c r="AK61" i="3"/>
  <c r="AK131" i="3"/>
  <c r="AK191" i="3" s="1"/>
  <c r="AK146" i="3"/>
  <c r="AK35" i="3"/>
  <c r="AK49" i="3"/>
  <c r="AK190" i="3" s="1"/>
  <c r="AL222" i="3"/>
  <c r="AL223" i="3" s="1"/>
  <c r="AL224" i="3" s="1"/>
  <c r="AK23" i="3"/>
  <c r="AR9" i="2" l="1"/>
  <c r="AG14" i="4"/>
  <c r="AG35" i="4" s="1"/>
  <c r="AG25" i="4"/>
  <c r="AG40" i="4" s="1"/>
  <c r="AF48" i="4"/>
  <c r="AF29" i="4"/>
  <c r="AF45" i="4" s="1"/>
  <c r="AF55" i="4" s="1"/>
  <c r="AF56" i="4" s="1"/>
  <c r="AF58" i="4" s="1"/>
  <c r="AR11" i="2"/>
  <c r="AG27" i="4"/>
  <c r="AG42" i="4" s="1"/>
  <c r="AG16" i="4"/>
  <c r="AG37" i="4" s="1"/>
  <c r="AR3" i="2"/>
  <c r="AG8" i="4"/>
  <c r="AG19" i="4"/>
  <c r="AR7" i="2"/>
  <c r="AG12" i="4"/>
  <c r="AG23" i="4"/>
  <c r="AF49" i="4"/>
  <c r="AF30" i="4"/>
  <c r="AF46" i="4" s="1"/>
  <c r="AF62" i="4" s="1"/>
  <c r="AF63" i="4" s="1"/>
  <c r="AF65" i="4" s="1"/>
  <c r="AR10" i="2"/>
  <c r="AG15" i="4"/>
  <c r="AG36" i="4" s="1"/>
  <c r="AG26" i="4"/>
  <c r="AG41" i="4" s="1"/>
  <c r="AR6" i="2"/>
  <c r="AG11" i="4"/>
  <c r="AG22" i="4"/>
  <c r="AR8" i="2"/>
  <c r="AG24" i="4"/>
  <c r="AG13" i="4"/>
  <c r="AR4" i="2"/>
  <c r="AG20" i="4"/>
  <c r="AG9" i="4"/>
  <c r="AR12" i="2"/>
  <c r="AG17" i="4"/>
  <c r="AG38" i="4" s="1"/>
  <c r="AG28" i="4"/>
  <c r="AR5" i="2"/>
  <c r="AG21" i="4"/>
  <c r="AG10" i="4"/>
  <c r="AK193" i="3"/>
  <c r="AK195" i="3" s="1"/>
  <c r="AK196" i="3" s="1"/>
  <c r="AL194" i="3"/>
  <c r="AL203" i="3"/>
  <c r="AK204" i="3"/>
  <c r="AK205" i="3" s="1"/>
  <c r="AL61" i="3"/>
  <c r="AL131" i="3"/>
  <c r="AL191" i="3" s="1"/>
  <c r="AL146" i="3"/>
  <c r="AL35" i="3"/>
  <c r="AL49" i="3"/>
  <c r="AL190" i="3" s="1"/>
  <c r="AM222" i="3"/>
  <c r="AM223" i="3" s="1"/>
  <c r="AM224" i="3" s="1"/>
  <c r="AL23" i="3"/>
  <c r="AS8" i="2" l="1"/>
  <c r="AH13" i="4"/>
  <c r="AH24" i="4"/>
  <c r="AG29" i="4"/>
  <c r="AG45" i="4" s="1"/>
  <c r="AG55" i="4" s="1"/>
  <c r="AG56" i="4" s="1"/>
  <c r="AG58" i="4" s="1"/>
  <c r="AG48" i="4"/>
  <c r="AG30" i="4"/>
  <c r="AG46" i="4" s="1"/>
  <c r="AG62" i="4" s="1"/>
  <c r="AG63" i="4" s="1"/>
  <c r="AG65" i="4" s="1"/>
  <c r="AG49" i="4"/>
  <c r="AS3" i="2"/>
  <c r="AH19" i="4"/>
  <c r="AH8" i="4"/>
  <c r="AS10" i="2"/>
  <c r="AH26" i="4"/>
  <c r="AH41" i="4" s="1"/>
  <c r="AH15" i="4"/>
  <c r="AH36" i="4" s="1"/>
  <c r="AS7" i="2"/>
  <c r="AH23" i="4"/>
  <c r="AH12" i="4"/>
  <c r="AS12" i="2"/>
  <c r="AH28" i="4"/>
  <c r="AH17" i="4"/>
  <c r="AH38" i="4" s="1"/>
  <c r="AS4" i="2"/>
  <c r="AH20" i="4"/>
  <c r="AH9" i="4"/>
  <c r="AS5" i="2"/>
  <c r="AH10" i="4"/>
  <c r="AH21" i="4"/>
  <c r="AS6" i="2"/>
  <c r="AH22" i="4"/>
  <c r="AH11" i="4"/>
  <c r="AS11" i="2"/>
  <c r="AH27" i="4"/>
  <c r="AH42" i="4" s="1"/>
  <c r="AH16" i="4"/>
  <c r="AH37" i="4" s="1"/>
  <c r="AS9" i="2"/>
  <c r="AH25" i="4"/>
  <c r="AH40" i="4" s="1"/>
  <c r="AH14" i="4"/>
  <c r="AH35" i="4" s="1"/>
  <c r="AL204" i="3"/>
  <c r="AL205" i="3" s="1"/>
  <c r="AM203" i="3"/>
  <c r="AM194" i="3"/>
  <c r="AL193" i="3"/>
  <c r="AL195" i="3" s="1"/>
  <c r="AL196" i="3" s="1"/>
  <c r="AM61" i="3"/>
  <c r="AM131" i="3"/>
  <c r="AM191" i="3" s="1"/>
  <c r="AM146" i="3"/>
  <c r="AM35" i="3"/>
  <c r="AM49" i="3"/>
  <c r="AM190" i="3" s="1"/>
  <c r="AN222" i="3"/>
  <c r="AN223" i="3" s="1"/>
  <c r="AN224" i="3" s="1"/>
  <c r="AM23" i="3"/>
  <c r="AT5" i="2" l="1"/>
  <c r="AI21" i="4"/>
  <c r="AI10" i="4"/>
  <c r="AT10" i="2"/>
  <c r="AI15" i="4"/>
  <c r="AI36" i="4" s="1"/>
  <c r="AI26" i="4"/>
  <c r="AI41" i="4" s="1"/>
  <c r="AH30" i="4"/>
  <c r="AH46" i="4" s="1"/>
  <c r="AH62" i="4" s="1"/>
  <c r="AH63" i="4" s="1"/>
  <c r="AH65" i="4" s="1"/>
  <c r="AH49" i="4"/>
  <c r="AT4" i="2"/>
  <c r="AI9" i="4"/>
  <c r="AI20" i="4"/>
  <c r="AH48" i="4"/>
  <c r="AH29" i="4"/>
  <c r="AH45" i="4" s="1"/>
  <c r="AH55" i="4" s="1"/>
  <c r="AH56" i="4" s="1"/>
  <c r="AH58" i="4" s="1"/>
  <c r="AT9" i="2"/>
  <c r="AI25" i="4"/>
  <c r="AI40" i="4" s="1"/>
  <c r="AI14" i="4"/>
  <c r="AI35" i="4" s="1"/>
  <c r="AT3" i="2"/>
  <c r="AI8" i="4"/>
  <c r="AI19" i="4"/>
  <c r="AT11" i="2"/>
  <c r="AI27" i="4"/>
  <c r="AI42" i="4" s="1"/>
  <c r="AI16" i="4"/>
  <c r="AI37" i="4" s="1"/>
  <c r="AT12" i="2"/>
  <c r="AI28" i="4"/>
  <c r="AI17" i="4"/>
  <c r="AI38" i="4" s="1"/>
  <c r="AT6" i="2"/>
  <c r="AI11" i="4"/>
  <c r="AI22" i="4"/>
  <c r="AT7" i="2"/>
  <c r="AI12" i="4"/>
  <c r="AI23" i="4"/>
  <c r="AT8" i="2"/>
  <c r="AI24" i="4"/>
  <c r="AI13" i="4"/>
  <c r="AN203" i="3"/>
  <c r="AN194" i="3"/>
  <c r="AM204" i="3"/>
  <c r="AM205" i="3" s="1"/>
  <c r="AM193" i="3"/>
  <c r="AM195" i="3" s="1"/>
  <c r="AM196" i="3" s="1"/>
  <c r="AN61" i="3"/>
  <c r="AN131" i="3"/>
  <c r="AN191" i="3" s="1"/>
  <c r="AN146" i="3"/>
  <c r="AN35" i="3"/>
  <c r="AN49" i="3"/>
  <c r="AN190" i="3" s="1"/>
  <c r="AO222" i="3"/>
  <c r="AO223" i="3" s="1"/>
  <c r="AO224" i="3" s="1"/>
  <c r="AN23" i="3"/>
  <c r="AU4" i="2" l="1"/>
  <c r="AJ20" i="4"/>
  <c r="AJ9" i="4"/>
  <c r="AU8" i="2"/>
  <c r="AJ24" i="4"/>
  <c r="AJ13" i="4"/>
  <c r="AU3" i="2"/>
  <c r="AJ19" i="4"/>
  <c r="AJ8" i="4"/>
  <c r="AU10" i="2"/>
  <c r="AJ26" i="4"/>
  <c r="AJ41" i="4" s="1"/>
  <c r="AJ15" i="4"/>
  <c r="AJ36" i="4" s="1"/>
  <c r="AU7" i="2"/>
  <c r="AJ23" i="4"/>
  <c r="AJ12" i="4"/>
  <c r="AI49" i="4"/>
  <c r="AI30" i="4"/>
  <c r="AI46" i="4" s="1"/>
  <c r="AI62" i="4" s="1"/>
  <c r="AI63" i="4" s="1"/>
  <c r="AI65" i="4" s="1"/>
  <c r="AU6" i="2"/>
  <c r="AJ22" i="4"/>
  <c r="AJ11" i="4"/>
  <c r="AU9" i="2"/>
  <c r="AJ25" i="4"/>
  <c r="AJ40" i="4" s="1"/>
  <c r="AJ14" i="4"/>
  <c r="AJ35" i="4" s="1"/>
  <c r="AU12" i="2"/>
  <c r="AJ28" i="4"/>
  <c r="AJ17" i="4"/>
  <c r="AJ38" i="4" s="1"/>
  <c r="AU11" i="2"/>
  <c r="AJ27" i="4"/>
  <c r="AJ42" i="4" s="1"/>
  <c r="AJ16" i="4"/>
  <c r="AJ37" i="4" s="1"/>
  <c r="AI48" i="4"/>
  <c r="AI29" i="4"/>
  <c r="AI45" i="4" s="1"/>
  <c r="AI55" i="4" s="1"/>
  <c r="AI56" i="4" s="1"/>
  <c r="AI58" i="4" s="1"/>
  <c r="AU5" i="2"/>
  <c r="AJ21" i="4"/>
  <c r="AJ10" i="4"/>
  <c r="AN193" i="3"/>
  <c r="AN195" i="3" s="1"/>
  <c r="AN196" i="3" s="1"/>
  <c r="AO194" i="3"/>
  <c r="AO203" i="3"/>
  <c r="AN204" i="3"/>
  <c r="AN205" i="3" s="1"/>
  <c r="AO61" i="3"/>
  <c r="AO131" i="3"/>
  <c r="AO191" i="3" s="1"/>
  <c r="AO146" i="3"/>
  <c r="AO35" i="3"/>
  <c r="AO49" i="3"/>
  <c r="AO190" i="3" s="1"/>
  <c r="AP222" i="3"/>
  <c r="AP223" i="3" s="1"/>
  <c r="AP224" i="3" s="1"/>
  <c r="AO23" i="3"/>
  <c r="AV10" i="2" l="1"/>
  <c r="AK15" i="4"/>
  <c r="AK36" i="4" s="1"/>
  <c r="AK26" i="4"/>
  <c r="AK41" i="4" s="1"/>
  <c r="AV9" i="2"/>
  <c r="AK25" i="4"/>
  <c r="AK40" i="4" s="1"/>
  <c r="AK14" i="4"/>
  <c r="AK35" i="4" s="1"/>
  <c r="AJ29" i="4"/>
  <c r="AJ45" i="4" s="1"/>
  <c r="AJ55" i="4" s="1"/>
  <c r="AJ56" i="4" s="1"/>
  <c r="AJ58" i="4" s="1"/>
  <c r="AJ48" i="4"/>
  <c r="AV5" i="2"/>
  <c r="AK21" i="4"/>
  <c r="AK10" i="4"/>
  <c r="AJ49" i="4"/>
  <c r="AJ30" i="4"/>
  <c r="AJ46" i="4" s="1"/>
  <c r="AJ62" i="4" s="1"/>
  <c r="AJ63" i="4" s="1"/>
  <c r="AJ65" i="4" s="1"/>
  <c r="AV8" i="2"/>
  <c r="AK24" i="4"/>
  <c r="AK13" i="4"/>
  <c r="AV6" i="2"/>
  <c r="AK22" i="4"/>
  <c r="AK11" i="4"/>
  <c r="AV12" i="2"/>
  <c r="AK28" i="4"/>
  <c r="AK17" i="4"/>
  <c r="AK38" i="4" s="1"/>
  <c r="AV3" i="2"/>
  <c r="AK19" i="4"/>
  <c r="AK8" i="4"/>
  <c r="AV11" i="2"/>
  <c r="AK27" i="4"/>
  <c r="AK42" i="4" s="1"/>
  <c r="AK16" i="4"/>
  <c r="AK37" i="4" s="1"/>
  <c r="AV7" i="2"/>
  <c r="AK12" i="4"/>
  <c r="AK23" i="4"/>
  <c r="AV4" i="2"/>
  <c r="AK9" i="4"/>
  <c r="AK20" i="4"/>
  <c r="AO193" i="3"/>
  <c r="AO195" i="3" s="1"/>
  <c r="AO196" i="3" s="1"/>
  <c r="AP203" i="3"/>
  <c r="AP194" i="3"/>
  <c r="AO204" i="3"/>
  <c r="AO205" i="3" s="1"/>
  <c r="AP61" i="3"/>
  <c r="AP146" i="3"/>
  <c r="AP131" i="3"/>
  <c r="AP191" i="3" s="1"/>
  <c r="AP35" i="3"/>
  <c r="AP49" i="3"/>
  <c r="AP190" i="3" s="1"/>
  <c r="AQ222" i="3"/>
  <c r="AQ223" i="3" s="1"/>
  <c r="AQ224" i="3" s="1"/>
  <c r="AP23" i="3"/>
  <c r="AK30" i="4" l="1"/>
  <c r="AK46" i="4" s="1"/>
  <c r="AK62" i="4" s="1"/>
  <c r="AK63" i="4" s="1"/>
  <c r="AK65" i="4" s="1"/>
  <c r="AK49" i="4"/>
  <c r="AW3" i="2"/>
  <c r="AL19" i="4"/>
  <c r="AL8" i="4"/>
  <c r="AK29" i="4"/>
  <c r="AK45" i="4" s="1"/>
  <c r="AK55" i="4" s="1"/>
  <c r="AK56" i="4" s="1"/>
  <c r="AK58" i="4" s="1"/>
  <c r="AK48" i="4"/>
  <c r="AW5" i="2"/>
  <c r="AL21" i="4"/>
  <c r="AL10" i="4"/>
  <c r="AW4" i="2"/>
  <c r="AL20" i="4"/>
  <c r="AL9" i="4"/>
  <c r="AW12" i="2"/>
  <c r="AL17" i="4"/>
  <c r="AL38" i="4" s="1"/>
  <c r="AL28" i="4"/>
  <c r="AW11" i="2"/>
  <c r="AL27" i="4"/>
  <c r="AL42" i="4" s="1"/>
  <c r="AL16" i="4"/>
  <c r="AL37" i="4" s="1"/>
  <c r="AW7" i="2"/>
  <c r="AL23" i="4"/>
  <c r="AL12" i="4"/>
  <c r="AW9" i="2"/>
  <c r="AL25" i="4"/>
  <c r="AL40" i="4" s="1"/>
  <c r="AL14" i="4"/>
  <c r="AL35" i="4" s="1"/>
  <c r="AW6" i="2"/>
  <c r="AL22" i="4"/>
  <c r="AL11" i="4"/>
  <c r="AW8" i="2"/>
  <c r="AL24" i="4"/>
  <c r="AL13" i="4"/>
  <c r="AW10" i="2"/>
  <c r="AL26" i="4"/>
  <c r="AL41" i="4" s="1"/>
  <c r="AL15" i="4"/>
  <c r="AL36" i="4" s="1"/>
  <c r="AP204" i="3"/>
  <c r="AP205" i="3" s="1"/>
  <c r="AP193" i="3"/>
  <c r="AP195" i="3" s="1"/>
  <c r="AP196" i="3" s="1"/>
  <c r="AQ194" i="3"/>
  <c r="AQ203" i="3"/>
  <c r="AQ61" i="3"/>
  <c r="AQ131" i="3"/>
  <c r="AQ191" i="3" s="1"/>
  <c r="AQ146" i="3"/>
  <c r="AQ35" i="3"/>
  <c r="AQ49" i="3"/>
  <c r="AQ190" i="3" s="1"/>
  <c r="AR222" i="3"/>
  <c r="AR223" i="3" s="1"/>
  <c r="AR224" i="3" s="1"/>
  <c r="AQ23" i="3"/>
  <c r="AX4" i="2" l="1"/>
  <c r="AM20" i="4"/>
  <c r="AM9" i="4"/>
  <c r="AX5" i="2"/>
  <c r="AM10" i="4"/>
  <c r="AM21" i="4"/>
  <c r="AX10" i="2"/>
  <c r="AM15" i="4"/>
  <c r="AM36" i="4" s="1"/>
  <c r="AM26" i="4"/>
  <c r="AM41" i="4" s="1"/>
  <c r="AX11" i="2"/>
  <c r="AM27" i="4"/>
  <c r="AM42" i="4" s="1"/>
  <c r="AM16" i="4"/>
  <c r="AM37" i="4" s="1"/>
  <c r="AX7" i="2"/>
  <c r="AM23" i="4"/>
  <c r="AM12" i="4"/>
  <c r="AL49" i="4"/>
  <c r="AL30" i="4"/>
  <c r="AL46" i="4" s="1"/>
  <c r="AL62" i="4" s="1"/>
  <c r="AL63" i="4" s="1"/>
  <c r="AL65" i="4" s="1"/>
  <c r="AX9" i="2"/>
  <c r="AM25" i="4"/>
  <c r="AM40" i="4" s="1"/>
  <c r="AM14" i="4"/>
  <c r="AM35" i="4" s="1"/>
  <c r="AL29" i="4"/>
  <c r="AL45" i="4" s="1"/>
  <c r="AL55" i="4" s="1"/>
  <c r="AL56" i="4" s="1"/>
  <c r="AL58" i="4" s="1"/>
  <c r="AL48" i="4"/>
  <c r="AX3" i="2"/>
  <c r="AM19" i="4"/>
  <c r="AM8" i="4"/>
  <c r="AX6" i="2"/>
  <c r="AM22" i="4"/>
  <c r="AM11" i="4"/>
  <c r="AX12" i="2"/>
  <c r="AM28" i="4"/>
  <c r="AM17" i="4"/>
  <c r="AM38" i="4" s="1"/>
  <c r="AX8" i="2"/>
  <c r="AM13" i="4"/>
  <c r="AM24" i="4"/>
  <c r="AQ204" i="3"/>
  <c r="AQ205" i="3" s="1"/>
  <c r="AQ193" i="3"/>
  <c r="AQ195" i="3" s="1"/>
  <c r="AQ196" i="3" s="1"/>
  <c r="AR194" i="3"/>
  <c r="AR203" i="3"/>
  <c r="AR61" i="3"/>
  <c r="AR146" i="3"/>
  <c r="AR131" i="3"/>
  <c r="AR191" i="3" s="1"/>
  <c r="AR35" i="3"/>
  <c r="AR49" i="3"/>
  <c r="AR190" i="3" s="1"/>
  <c r="AS222" i="3"/>
  <c r="AS223" i="3" s="1"/>
  <c r="AS224" i="3" s="1"/>
  <c r="AR23" i="3"/>
  <c r="AY11" i="2" l="1"/>
  <c r="AN27" i="4"/>
  <c r="AN42" i="4" s="1"/>
  <c r="AN16" i="4"/>
  <c r="AN37" i="4" s="1"/>
  <c r="AY3" i="2"/>
  <c r="AN19" i="4"/>
  <c r="AN8" i="4"/>
  <c r="AY10" i="2"/>
  <c r="AN26" i="4"/>
  <c r="AN41" i="4" s="1"/>
  <c r="AN15" i="4"/>
  <c r="AN36" i="4" s="1"/>
  <c r="AY12" i="2"/>
  <c r="AN28" i="4"/>
  <c r="AN17" i="4"/>
  <c r="AN38" i="4" s="1"/>
  <c r="AM49" i="4"/>
  <c r="AM30" i="4"/>
  <c r="AM46" i="4" s="1"/>
  <c r="AM62" i="4" s="1"/>
  <c r="AM63" i="4" s="1"/>
  <c r="AM65" i="4" s="1"/>
  <c r="AY5" i="2"/>
  <c r="AN21" i="4"/>
  <c r="AN10" i="4"/>
  <c r="AY8" i="2"/>
  <c r="AN24" i="4"/>
  <c r="AN13" i="4"/>
  <c r="AY9" i="2"/>
  <c r="AN25" i="4"/>
  <c r="AN40" i="4" s="1"/>
  <c r="AN14" i="4"/>
  <c r="AN35" i="4" s="1"/>
  <c r="AY6" i="2"/>
  <c r="AN22" i="4"/>
  <c r="AN11" i="4"/>
  <c r="AM48" i="4"/>
  <c r="AM29" i="4"/>
  <c r="AM45" i="4" s="1"/>
  <c r="AM55" i="4" s="1"/>
  <c r="AM56" i="4" s="1"/>
  <c r="AM58" i="4" s="1"/>
  <c r="AY7" i="2"/>
  <c r="AN23" i="4"/>
  <c r="AN12" i="4"/>
  <c r="AY4" i="2"/>
  <c r="AN20" i="4"/>
  <c r="AN9" i="4"/>
  <c r="AR204" i="3"/>
  <c r="AR205" i="3" s="1"/>
  <c r="AS203" i="3"/>
  <c r="AS194" i="3"/>
  <c r="AR193" i="3"/>
  <c r="AR195" i="3" s="1"/>
  <c r="AR196" i="3" s="1"/>
  <c r="AS61" i="3"/>
  <c r="AS146" i="3"/>
  <c r="AS131" i="3"/>
  <c r="AS191" i="3" s="1"/>
  <c r="AS35" i="3"/>
  <c r="AS49" i="3"/>
  <c r="AS190" i="3" s="1"/>
  <c r="AT222" i="3"/>
  <c r="AT223" i="3" s="1"/>
  <c r="AT224" i="3" s="1"/>
  <c r="AS23" i="3"/>
  <c r="AZ9" i="2" l="1"/>
  <c r="AO25" i="4"/>
  <c r="AO40" i="4" s="1"/>
  <c r="AO14" i="4"/>
  <c r="AO35" i="4" s="1"/>
  <c r="AZ8" i="2"/>
  <c r="AO13" i="4"/>
  <c r="AO24" i="4"/>
  <c r="AN29" i="4"/>
  <c r="AN45" i="4" s="1"/>
  <c r="AN55" i="4" s="1"/>
  <c r="AN56" i="4" s="1"/>
  <c r="AN58" i="4" s="1"/>
  <c r="AN48" i="4"/>
  <c r="AZ7" i="2"/>
  <c r="AO23" i="4"/>
  <c r="AO12" i="4"/>
  <c r="AN30" i="4"/>
  <c r="AN46" i="4" s="1"/>
  <c r="AN62" i="4" s="1"/>
  <c r="AN63" i="4" s="1"/>
  <c r="AN65" i="4" s="1"/>
  <c r="AN49" i="4"/>
  <c r="AZ3" i="2"/>
  <c r="AO19" i="4"/>
  <c r="AO8" i="4"/>
  <c r="AZ4" i="2"/>
  <c r="AO20" i="4"/>
  <c r="AO9" i="4"/>
  <c r="AZ5" i="2"/>
  <c r="AO10" i="4"/>
  <c r="AO21" i="4"/>
  <c r="AZ6" i="2"/>
  <c r="AO22" i="4"/>
  <c r="AO11" i="4"/>
  <c r="AZ12" i="2"/>
  <c r="AO17" i="4"/>
  <c r="AO38" i="4" s="1"/>
  <c r="AO28" i="4"/>
  <c r="AZ10" i="2"/>
  <c r="AO26" i="4"/>
  <c r="AO41" i="4" s="1"/>
  <c r="AO15" i="4"/>
  <c r="AO36" i="4" s="1"/>
  <c r="AZ11" i="2"/>
  <c r="AO27" i="4"/>
  <c r="AO42" i="4" s="1"/>
  <c r="AO16" i="4"/>
  <c r="AO37" i="4" s="1"/>
  <c r="AS193" i="3"/>
  <c r="AS195" i="3" s="1"/>
  <c r="AS196" i="3" s="1"/>
  <c r="AT203" i="3"/>
  <c r="AT194" i="3"/>
  <c r="AS204" i="3"/>
  <c r="AS205" i="3" s="1"/>
  <c r="AT61" i="3"/>
  <c r="AT131" i="3"/>
  <c r="AT191" i="3" s="1"/>
  <c r="AT146" i="3"/>
  <c r="AT35" i="3"/>
  <c r="AT49" i="3"/>
  <c r="AT190" i="3" s="1"/>
  <c r="AU222" i="3"/>
  <c r="AU223" i="3" s="1"/>
  <c r="AU224" i="3" s="1"/>
  <c r="AT23" i="3"/>
  <c r="AT193" i="3" l="1"/>
  <c r="AT195" i="3" s="1"/>
  <c r="AT196" i="3" s="1"/>
  <c r="BA7" i="2"/>
  <c r="AP23" i="4"/>
  <c r="AP12" i="4"/>
  <c r="BA5" i="2"/>
  <c r="AP21" i="4"/>
  <c r="AP10" i="4"/>
  <c r="BA4" i="2"/>
  <c r="AP20" i="4"/>
  <c r="AP9" i="4"/>
  <c r="BA10" i="2"/>
  <c r="AP15" i="4"/>
  <c r="AP36" i="4" s="1"/>
  <c r="AP26" i="4"/>
  <c r="AP41" i="4" s="1"/>
  <c r="AO29" i="4"/>
  <c r="AO45" i="4" s="1"/>
  <c r="AO55" i="4" s="1"/>
  <c r="AO56" i="4" s="1"/>
  <c r="AO58" i="4" s="1"/>
  <c r="AO48" i="4"/>
  <c r="BA8" i="2"/>
  <c r="AP24" i="4"/>
  <c r="AP13" i="4"/>
  <c r="BA6" i="2"/>
  <c r="AP22" i="4"/>
  <c r="AP11" i="4"/>
  <c r="BA12" i="2"/>
  <c r="AP28" i="4"/>
  <c r="AP17" i="4"/>
  <c r="AP38" i="4" s="1"/>
  <c r="BA11" i="2"/>
  <c r="AP27" i="4"/>
  <c r="AP42" i="4" s="1"/>
  <c r="AP16" i="4"/>
  <c r="AP37" i="4" s="1"/>
  <c r="AO49" i="4"/>
  <c r="AO30" i="4"/>
  <c r="AO46" i="4" s="1"/>
  <c r="AO62" i="4" s="1"/>
  <c r="AO63" i="4" s="1"/>
  <c r="AO65" i="4" s="1"/>
  <c r="BA3" i="2"/>
  <c r="AP19" i="4"/>
  <c r="AP8" i="4"/>
  <c r="BA9" i="2"/>
  <c r="AP25" i="4"/>
  <c r="AP40" i="4" s="1"/>
  <c r="AP14" i="4"/>
  <c r="AP35" i="4" s="1"/>
  <c r="AT204" i="3"/>
  <c r="AT205" i="3" s="1"/>
  <c r="AU194" i="3"/>
  <c r="AU203" i="3"/>
  <c r="AU61" i="3"/>
  <c r="AU131" i="3"/>
  <c r="AU191" i="3" s="1"/>
  <c r="AU146" i="3"/>
  <c r="AU35" i="3"/>
  <c r="AU49" i="3"/>
  <c r="AU190" i="3" s="1"/>
  <c r="AV222" i="3"/>
  <c r="AV223" i="3" s="1"/>
  <c r="AV224" i="3" s="1"/>
  <c r="AU23" i="3"/>
  <c r="BB11" i="2" l="1"/>
  <c r="AQ27" i="4"/>
  <c r="AQ42" i="4" s="1"/>
  <c r="AQ16" i="4"/>
  <c r="AQ37" i="4" s="1"/>
  <c r="BB6" i="2"/>
  <c r="AQ11" i="4"/>
  <c r="AQ22" i="4"/>
  <c r="BB12" i="2"/>
  <c r="AQ28" i="4"/>
  <c r="AQ17" i="4"/>
  <c r="AQ38" i="4" s="1"/>
  <c r="BB9" i="2"/>
  <c r="AQ14" i="4"/>
  <c r="AQ35" i="4" s="1"/>
  <c r="AQ25" i="4"/>
  <c r="AQ40" i="4" s="1"/>
  <c r="BB3" i="2"/>
  <c r="AQ8" i="4"/>
  <c r="AQ19" i="4"/>
  <c r="BB5" i="2"/>
  <c r="AQ21" i="4"/>
  <c r="AQ10" i="4"/>
  <c r="AP48" i="4"/>
  <c r="AP29" i="4"/>
  <c r="AP45" i="4" s="1"/>
  <c r="AP55" i="4" s="1"/>
  <c r="AP56" i="4" s="1"/>
  <c r="AP58" i="4" s="1"/>
  <c r="AP30" i="4"/>
  <c r="AP46" i="4" s="1"/>
  <c r="AP62" i="4" s="1"/>
  <c r="AP63" i="4" s="1"/>
  <c r="AP65" i="4" s="1"/>
  <c r="AP49" i="4"/>
  <c r="BB8" i="2"/>
  <c r="AQ13" i="4"/>
  <c r="AQ24" i="4"/>
  <c r="BB10" i="2"/>
  <c r="AQ26" i="4"/>
  <c r="AQ41" i="4" s="1"/>
  <c r="AQ15" i="4"/>
  <c r="AQ36" i="4" s="1"/>
  <c r="BB4" i="2"/>
  <c r="AQ20" i="4"/>
  <c r="AQ9" i="4"/>
  <c r="BB7" i="2"/>
  <c r="AQ23" i="4"/>
  <c r="AQ12" i="4"/>
  <c r="AU204" i="3"/>
  <c r="AU205" i="3" s="1"/>
  <c r="AV203" i="3"/>
  <c r="AV194" i="3"/>
  <c r="AU193" i="3"/>
  <c r="AU195" i="3" s="1"/>
  <c r="AU196" i="3" s="1"/>
  <c r="AV61" i="3"/>
  <c r="AV146" i="3"/>
  <c r="AV131" i="3"/>
  <c r="AV191" i="3" s="1"/>
  <c r="AV35" i="3"/>
  <c r="AV49" i="3"/>
  <c r="AV190" i="3" s="1"/>
  <c r="AW222" i="3"/>
  <c r="AW223" i="3" s="1"/>
  <c r="AW224" i="3" s="1"/>
  <c r="AV23" i="3"/>
  <c r="BC8" i="2" l="1"/>
  <c r="AR24" i="4"/>
  <c r="AR13" i="4"/>
  <c r="BC9" i="2"/>
  <c r="AR25" i="4"/>
  <c r="AR40" i="4" s="1"/>
  <c r="AR14" i="4"/>
  <c r="AR35" i="4" s="1"/>
  <c r="BC5" i="2"/>
  <c r="AR21" i="4"/>
  <c r="AR10" i="4"/>
  <c r="BC6" i="2"/>
  <c r="AR11" i="4"/>
  <c r="AR22" i="4"/>
  <c r="AQ30" i="4"/>
  <c r="AQ46" i="4" s="1"/>
  <c r="AQ62" i="4" s="1"/>
  <c r="AQ63" i="4" s="1"/>
  <c r="AQ65" i="4" s="1"/>
  <c r="AQ49" i="4"/>
  <c r="BC12" i="2"/>
  <c r="AR17" i="4"/>
  <c r="AR38" i="4" s="1"/>
  <c r="AR28" i="4"/>
  <c r="BC7" i="2"/>
  <c r="AR23" i="4"/>
  <c r="AR12" i="4"/>
  <c r="BC4" i="2"/>
  <c r="AR20" i="4"/>
  <c r="AR9" i="4"/>
  <c r="BC10" i="2"/>
  <c r="AR26" i="4"/>
  <c r="AR41" i="4" s="1"/>
  <c r="AR15" i="4"/>
  <c r="AR36" i="4" s="1"/>
  <c r="AQ48" i="4"/>
  <c r="AQ29" i="4"/>
  <c r="AQ45" i="4" s="1"/>
  <c r="AQ55" i="4" s="1"/>
  <c r="AQ56" i="4" s="1"/>
  <c r="AQ58" i="4" s="1"/>
  <c r="BC3" i="2"/>
  <c r="AR19" i="4"/>
  <c r="AR8" i="4"/>
  <c r="BC11" i="2"/>
  <c r="AR27" i="4"/>
  <c r="AR42" i="4" s="1"/>
  <c r="AR16" i="4"/>
  <c r="AR37" i="4" s="1"/>
  <c r="AV193" i="3"/>
  <c r="AV195" i="3" s="1"/>
  <c r="AV196" i="3" s="1"/>
  <c r="AW203" i="3"/>
  <c r="AW194" i="3"/>
  <c r="AV204" i="3"/>
  <c r="AV205" i="3" s="1"/>
  <c r="AW61" i="3"/>
  <c r="AW131" i="3"/>
  <c r="AW191" i="3" s="1"/>
  <c r="AW146" i="3"/>
  <c r="AW35" i="3"/>
  <c r="AW49" i="3"/>
  <c r="AW190" i="3" s="1"/>
  <c r="AX222" i="3"/>
  <c r="AX223" i="3" s="1"/>
  <c r="AX224" i="3" s="1"/>
  <c r="AW23" i="3"/>
  <c r="BD6" i="2" l="1"/>
  <c r="AS11" i="4"/>
  <c r="AS22" i="4"/>
  <c r="BD4" i="2"/>
  <c r="AS9" i="4"/>
  <c r="AS20" i="4"/>
  <c r="AR48" i="4"/>
  <c r="AR29" i="4"/>
  <c r="AR45" i="4" s="1"/>
  <c r="AR55" i="4" s="1"/>
  <c r="AR56" i="4" s="1"/>
  <c r="AR58" i="4" s="1"/>
  <c r="BD5" i="2"/>
  <c r="AS21" i="4"/>
  <c r="AS10" i="4"/>
  <c r="AR49" i="4"/>
  <c r="AR30" i="4"/>
  <c r="AR46" i="4" s="1"/>
  <c r="AR62" i="4" s="1"/>
  <c r="AR63" i="4" s="1"/>
  <c r="AR65" i="4" s="1"/>
  <c r="BD3" i="2"/>
  <c r="AS8" i="4"/>
  <c r="AS19" i="4"/>
  <c r="BD11" i="2"/>
  <c r="AS27" i="4"/>
  <c r="AS42" i="4" s="1"/>
  <c r="AS16" i="4"/>
  <c r="AS37" i="4" s="1"/>
  <c r="BD9" i="2"/>
  <c r="AS14" i="4"/>
  <c r="AS35" i="4" s="1"/>
  <c r="AS25" i="4"/>
  <c r="AS40" i="4" s="1"/>
  <c r="BD12" i="2"/>
  <c r="AS28" i="4"/>
  <c r="AS17" i="4"/>
  <c r="AS38" i="4" s="1"/>
  <c r="BD7" i="2"/>
  <c r="AS23" i="4"/>
  <c r="AS12" i="4"/>
  <c r="BD10" i="2"/>
  <c r="AS15" i="4"/>
  <c r="AS36" i="4" s="1"/>
  <c r="AS26" i="4"/>
  <c r="AS41" i="4" s="1"/>
  <c r="BD8" i="2"/>
  <c r="AS24" i="4"/>
  <c r="AS13" i="4"/>
  <c r="AW204" i="3"/>
  <c r="AW205" i="3" s="1"/>
  <c r="AX194" i="3"/>
  <c r="AX203" i="3"/>
  <c r="AW193" i="3"/>
  <c r="AW195" i="3" s="1"/>
  <c r="AW196" i="3" s="1"/>
  <c r="AX61" i="3"/>
  <c r="AX146" i="3"/>
  <c r="AX131" i="3"/>
  <c r="AX191" i="3" s="1"/>
  <c r="AX35" i="3"/>
  <c r="AX49" i="3"/>
  <c r="AX190" i="3" s="1"/>
  <c r="AY222" i="3"/>
  <c r="AY223" i="3" s="1"/>
  <c r="AY224" i="3" s="1"/>
  <c r="AX23" i="3"/>
  <c r="BE5" i="2" l="1"/>
  <c r="AT21" i="4"/>
  <c r="AT10" i="4"/>
  <c r="BE8" i="2"/>
  <c r="AT13" i="4"/>
  <c r="AT24" i="4"/>
  <c r="BE9" i="2"/>
  <c r="AT25" i="4"/>
  <c r="AT40" i="4" s="1"/>
  <c r="AT14" i="4"/>
  <c r="AT35" i="4" s="1"/>
  <c r="BE10" i="2"/>
  <c r="AT26" i="4"/>
  <c r="AT41" i="4" s="1"/>
  <c r="AT15" i="4"/>
  <c r="AT36" i="4" s="1"/>
  <c r="BE11" i="2"/>
  <c r="AT27" i="4"/>
  <c r="AT42" i="4" s="1"/>
  <c r="AT16" i="4"/>
  <c r="AT37" i="4" s="1"/>
  <c r="AS49" i="4"/>
  <c r="AS30" i="4"/>
  <c r="AS46" i="4" s="1"/>
  <c r="AS62" i="4" s="1"/>
  <c r="AS63" i="4" s="1"/>
  <c r="AS65" i="4" s="1"/>
  <c r="BE4" i="2"/>
  <c r="AT20" i="4"/>
  <c r="AT9" i="4"/>
  <c r="AS48" i="4"/>
  <c r="AS29" i="4"/>
  <c r="AS45" i="4" s="1"/>
  <c r="AS55" i="4" s="1"/>
  <c r="AS56" i="4" s="1"/>
  <c r="AS58" i="4" s="1"/>
  <c r="BE12" i="2"/>
  <c r="AT28" i="4"/>
  <c r="AT17" i="4"/>
  <c r="AT38" i="4" s="1"/>
  <c r="BE7" i="2"/>
  <c r="AT23" i="4"/>
  <c r="AT12" i="4"/>
  <c r="BE3" i="2"/>
  <c r="AT19" i="4"/>
  <c r="AT8" i="4"/>
  <c r="BE6" i="2"/>
  <c r="AT22" i="4"/>
  <c r="AT11" i="4"/>
  <c r="AY194" i="3"/>
  <c r="AY203" i="3"/>
  <c r="AX204" i="3"/>
  <c r="AX205" i="3" s="1"/>
  <c r="AX193" i="3"/>
  <c r="AX195" i="3" s="1"/>
  <c r="AX196" i="3" s="1"/>
  <c r="AY61" i="3"/>
  <c r="AY131" i="3"/>
  <c r="AY191" i="3" s="1"/>
  <c r="AY146" i="3"/>
  <c r="AY35" i="3"/>
  <c r="AY49" i="3"/>
  <c r="AY190" i="3" s="1"/>
  <c r="AZ222" i="3"/>
  <c r="AZ223" i="3" s="1"/>
  <c r="AZ224" i="3" s="1"/>
  <c r="AY23" i="3"/>
  <c r="AU28" i="4" l="1"/>
  <c r="AU17" i="4"/>
  <c r="AU38" i="4" s="1"/>
  <c r="AU9" i="4"/>
  <c r="AU20" i="4"/>
  <c r="AU19" i="4"/>
  <c r="AU8" i="4"/>
  <c r="AU24" i="4"/>
  <c r="AU13" i="4"/>
  <c r="AU11" i="4"/>
  <c r="AU22" i="4"/>
  <c r="AT30" i="4"/>
  <c r="AT46" i="4" s="1"/>
  <c r="AT62" i="4" s="1"/>
  <c r="AT63" i="4" s="1"/>
  <c r="AT65" i="4" s="1"/>
  <c r="AT49" i="4"/>
  <c r="AT29" i="4"/>
  <c r="AT45" i="4" s="1"/>
  <c r="AT55" i="4" s="1"/>
  <c r="AT56" i="4" s="1"/>
  <c r="AT58" i="4" s="1"/>
  <c r="AT48" i="4"/>
  <c r="AU14" i="4"/>
  <c r="AU35" i="4" s="1"/>
  <c r="AU25" i="4"/>
  <c r="AU40" i="4" s="1"/>
  <c r="AU12" i="4"/>
  <c r="AU23" i="4"/>
  <c r="AU15" i="4"/>
  <c r="AU36" i="4" s="1"/>
  <c r="AU26" i="4"/>
  <c r="AU41" i="4" s="1"/>
  <c r="AU27" i="4"/>
  <c r="AU42" i="4" s="1"/>
  <c r="AU16" i="4"/>
  <c r="AU37" i="4" s="1"/>
  <c r="AU21" i="4"/>
  <c r="AU10" i="4"/>
  <c r="AY193" i="3"/>
  <c r="AY195" i="3" s="1"/>
  <c r="AY196" i="3" s="1"/>
  <c r="AY204" i="3"/>
  <c r="AY205" i="3" s="1"/>
  <c r="AZ203" i="3"/>
  <c r="AZ194" i="3"/>
  <c r="AZ61" i="3"/>
  <c r="AZ131" i="3"/>
  <c r="AZ191" i="3" s="1"/>
  <c r="AZ146" i="3"/>
  <c r="AZ35" i="3"/>
  <c r="AZ49" i="3"/>
  <c r="AZ190" i="3" s="1"/>
  <c r="AZ23" i="3"/>
  <c r="AU29" i="4" l="1"/>
  <c r="AU45" i="4" s="1"/>
  <c r="AU55" i="4" s="1"/>
  <c r="AU56" i="4" s="1"/>
  <c r="AU58" i="4" s="1"/>
  <c r="AU48" i="4"/>
  <c r="AU30" i="4"/>
  <c r="AU46" i="4" s="1"/>
  <c r="AU62" i="4" s="1"/>
  <c r="AU63" i="4" s="1"/>
  <c r="AU65" i="4" s="1"/>
  <c r="AU49" i="4"/>
  <c r="AZ193" i="3"/>
  <c r="AZ195" i="3" s="1"/>
  <c r="AZ196" i="3" s="1"/>
  <c r="AZ204" i="3"/>
  <c r="AZ205" i="3" s="1"/>
  <c r="D76" i="4" l="1"/>
  <c r="C4" i="8" s="1"/>
  <c r="C76" i="4"/>
  <c r="B4" i="8" s="1"/>
  <c r="D75" i="4"/>
  <c r="C3" i="8" s="1"/>
  <c r="C75" i="4"/>
  <c r="B3" i="8" s="1"/>
  <c r="C5" i="8" l="1"/>
  <c r="D77" i="4"/>
  <c r="B5" i="8"/>
  <c r="C7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tc={A7D28B31-006B-4DD7-B3B8-D6DEE14F717E}</author>
    <author>tc={00785D79-8C39-4750-B93A-43689D21D5E2}</author>
    <author>tc={BC8A5110-8E44-4051-B634-1E6F001E07AF}</author>
    <author>tc={975BF996-6160-458C-9D3E-874E9928F5F2}</author>
    <author>tc={47576FD6-7A28-4D90-B987-2CC838C583DF}</author>
    <author>tc={3FD8E67A-959B-46C4-8DCC-4440936DFF75}</author>
    <author>tc={2E84DEE2-49F1-4CF8-A9F1-A3235642C85B}</author>
    <author>tc={6D05732E-8BB9-4A0B-A27E-553E3E378C3F}</author>
    <author>Tim Denne</author>
  </authors>
  <commentList>
    <comment ref="A7" authorId="0" shapeId="0" xr:uid="{A7D28B31-006B-4DD7-B3B8-D6DEE14F717E}">
      <text>
        <t>[Threaded comment]
Your version of Excel allows you to read this threaded comment; however, any edits to it will get removed if the file is opened in a newer version of Excel. Learn more: https://go.microsoft.com/fwlink/?linkid=870924
Comment:
    Which regional council or unitary authority, using definitions as per https://www.lgnz.co.nz/regionals/</t>
      </text>
    </comment>
    <comment ref="A9" authorId="1" shapeId="0" xr:uid="{00785D79-8C39-4750-B93A-43689D21D5E2}">
      <text>
        <t>[Threaded comment]
Your version of Excel allows you to read this threaded comment; however, any edits to it will get removed if the file is opened in a newer version of Excel. Learn more: https://go.microsoft.com/fwlink/?linkid=870924
Comment:
    The date of submission of the application - together with the expected commissioning date, this is used to calculate the speed of implementation score.</t>
      </text>
    </comment>
    <comment ref="A10" authorId="2" shapeId="0" xr:uid="{BC8A5110-8E44-4051-B634-1E6F001E07AF}">
      <text>
        <t>[Threaded comment]
Your version of Excel allows you to read this threaded comment; however, any edits to it will get removed if the file is opened in a newer version of Excel. Learn more: https://go.microsoft.com/fwlink/?linkid=870924
Comment:
    This is the calendar year during which the first expenditure on the Preferred Project occurs.</t>
      </text>
    </comment>
    <comment ref="A11" authorId="3" shapeId="0" xr:uid="{975BF996-6160-458C-9D3E-874E9928F5F2}">
      <text>
        <t>[Threaded comment]
Your version of Excel allows you to read this threaded comment; however, any edits to it will get removed if the file is opened in a newer version of Excel. Learn more: https://go.microsoft.com/fwlink/?linkid=870924
Comment:
    This is the date when the project will become operational.</t>
      </text>
    </comment>
    <comment ref="A19" authorId="4" shapeId="0" xr:uid="{47576FD6-7A28-4D90-B987-2CC838C583DF}">
      <text>
        <t>[Threaded comment]
Your version of Excel allows you to read this threaded comment; however, any edits to it will get removed if the file is opened in a newer version of Excel. Learn more: https://go.microsoft.com/fwlink/?linkid=870924
Comment:
    Commercial Buildings: please respond with “No”. Commercial space heating is not governed by the RMA rules for industrial process heat.
Industrial: if your project reduces coal consumption, please note that the use of coal to provide industrial process heat is subject to the Resource Management (National Environmental Standards for Greenhouse Gas Emissions from Industrial Process Heat) Regulations 2023 (SL 2023/165) – New Zealand Legislation.</t>
      </text>
    </comment>
    <comment ref="A20" authorId="5" shapeId="0" xr:uid="{3FD8E67A-959B-46C4-8DCC-4440936DFF75}">
      <text>
        <t>[Threaded comment]
Your version of Excel allows you to read this threaded comment; however, any edits to it will get removed if the file is opened in a newer version of Excel. Learn more: https://go.microsoft.com/fwlink/?linkid=870924
Comment:
    With reference to Resource Management (National Environmental Standards for Greenhouse Gas Emissions from Industrial Process Heat) Regulations 2023 (SL 2023/165) – New Zealand Legislation, the only valid project would be one that brought forward the timing of the requirement to phase-out the use of coal for industrial process heat from the start of 2037.</t>
      </text>
    </comment>
    <comment ref="B20" authorId="6" shapeId="0" xr:uid="{2E84DEE2-49F1-4CF8-A9F1-A3235642C85B}">
      <text>
        <t>[Threaded comment]
Your version of Excel allows you to read this threaded comment; however, any edits to it will get removed if the file is opened in a newer version of Excel. Learn more: https://go.microsoft.com/fwlink/?linkid=870924
Comment:
    Can this gray out if they select no. 
Reply:
    As in B12</t>
      </text>
    </comment>
    <comment ref="A21" authorId="7" shapeId="0" xr:uid="{6D05732E-8BB9-4A0B-A27E-553E3E378C3F}">
      <text>
        <t>[Threaded comment]
Your version of Excel allows you to read this threaded comment; however, any edits to it will get removed if the file is opened in a newer version of Excel. Learn more: https://go.microsoft.com/fwlink/?linkid=870924
Comment:
    Note that high temperature heat pump projects will be evaluated over a maximum lifetime of 20 years. Other projects will be evaluated over a maximum lifetime of up to 25 years.</t>
      </text>
    </comment>
    <comment ref="A26" authorId="8" shapeId="0" xr:uid="{16E9A259-9797-4731-9792-29C46CB492ED}">
      <text>
        <r>
          <rPr>
            <sz val="9"/>
            <color indexed="81"/>
            <rFont val="Tahoma"/>
            <family val="2"/>
          </rPr>
          <t xml:space="preserve">This might be the weighted average cost of capital (WACC) or higher. It should be in nominal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Tim Denne</author>
    <author>tc={9801518E-64FF-4CBE-A1DC-F0245DB133AB}</author>
    <author>tc={D68D2717-F572-44A4-807D-0C2863A29A32}</author>
    <author>tc={B9AE5672-E3D0-4E52-A06F-CBEAA5CB69E0}</author>
    <author>tc={B187C689-E4F0-478E-AA93-20DBE15D78D4}</author>
    <author>tc={7B034D84-D197-4CCD-BC48-C2660418A646}</author>
    <author>tc={29CA0E7A-113A-49AC-A5B9-2A7C94F1B96F}</author>
    <author>tc={4B95563D-A0EB-4FD6-B7FA-A0073CE9EAEC}</author>
    <author>tc={6B3DF73A-A7E2-437D-BBF5-EFD2E905AA11}</author>
    <author>tc={134AB500-7A13-40D1-AE9F-230168DCBB1A}</author>
    <author>tc={08B30D32-1AC9-4474-B627-2EB6E21F3DEB}</author>
    <author>tc={B15D0C86-357E-43F5-AAE5-92B41466818E}</author>
    <author>tc={4715A132-1AAA-4372-9223-24B49E0D5CC8}</author>
    <author>tc={C625AEBE-BE42-4779-BD2B-F047E6F0DB12}</author>
    <author>tc={C4B8366A-7E67-4793-BBDC-7885AFBB0637}</author>
    <author>tc={39CF5F88-0E0B-4F53-9D76-70B56744FEA6}</author>
    <author>tc={702DB999-FAF0-48F0-BAE3-0CF46FC0427D}</author>
    <author>tc={2DF3B7A8-F7FE-42E2-B8EC-E0673788F5D2}</author>
    <author>tc={AEBE9C18-2C3A-4F51-BA5E-E72A1E8953DD}</author>
  </authors>
  <commentList>
    <comment ref="A6" authorId="0" shapeId="0" xr:uid="{5359920C-3DAA-4C3A-AB56-44526B69975D}">
      <text>
        <r>
          <rPr>
            <sz val="9"/>
            <color indexed="81"/>
            <rFont val="Tahoma"/>
            <family val="2"/>
          </rPr>
          <t>Debt finance assumptions included below are assumed to be in nominal terms but without requiring an inflation adjustment to calculate them</t>
        </r>
      </text>
    </comment>
    <comment ref="G14" authorId="1" shapeId="0" xr:uid="{9801518E-64FF-4CBE-A1DC-F0245DB133AB}">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26" authorId="2" shapeId="0" xr:uid="{D68D2717-F572-44A4-807D-0C2863A29A3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39" authorId="3" shapeId="0" xr:uid="{B9AE5672-E3D0-4E52-A06F-CBEAA5CB69E0}">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G40" authorId="4" shapeId="0" xr:uid="{B187C689-E4F0-478E-AA93-20DBE15D78D4}">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52" authorId="5" shapeId="0" xr:uid="{7B034D84-D197-4CCD-BC48-C2660418A64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64" authorId="6" shapeId="0" xr:uid="{29CA0E7A-113A-49AC-A5B9-2A7C94F1B96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77" authorId="7" shapeId="0" xr:uid="{4B95563D-A0EB-4FD6-B7FA-A0073CE9EAE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91" authorId="8" shapeId="0" xr:uid="{6B3DF73A-A7E2-437D-BBF5-EFD2E905AA1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04" authorId="9" shapeId="0" xr:uid="{134AB500-7A13-40D1-AE9F-230168DCBB1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117" authorId="10" shapeId="0" xr:uid="{08B30D32-1AC9-4474-B627-2EB6E21F3DEB}">
      <text>
        <t>[Threaded comment]
Your version of Excel allows you to read this threaded comment; however, any edits to it will get removed if the file is opened in a newer version of Excel. Learn more: https://go.microsoft.com/fwlink/?linkid=870924
Comment:
    'Fuel'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
      </text>
    </comment>
    <comment ref="G118" authorId="11" shapeId="0" xr:uid="{B15D0C86-357E-43F5-AAE5-92B41466818E}">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33" authorId="12" shapeId="0" xr:uid="{4715A132-1AAA-4372-9223-24B49E0D5CC8}">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50" authorId="13" shapeId="0" xr:uid="{C625AEBE-BE42-4779-BD2B-F047E6F0DB1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61" authorId="14" shapeId="0" xr:uid="{C4B8366A-7E67-4793-BBDC-7885AFBB0637}">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4" authorId="15" shapeId="0" xr:uid="{39CF5F88-0E0B-4F53-9D76-70B56744FEA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7" authorId="16" shapeId="0" xr:uid="{702DB999-FAF0-48F0-BAE3-0CF46FC0427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81" authorId="17" shapeId="0" xr:uid="{2DF3B7A8-F7FE-42E2-B8EC-E0673788F5D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84" authorId="18" shapeId="0" xr:uid="{AEBE9C18-2C3A-4F51-BA5E-E72A1E8953DD}">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tc={EF2D52A9-30B0-43CF-B6B3-6646816A32AA}</author>
    <author>tc={6A5321F3-4999-464F-899E-ACF57A8D7CA3}</author>
    <author>tc={FA4950CF-66C2-4222-B0A5-08C273CBBD28}</author>
    <author>tc={5C5E1B04-8194-4DAF-B213-3E2C5C26BFCA}</author>
    <author>tc={AF63B22B-EF48-4D4C-81E6-7E5BF669E035}</author>
    <author>tc={03546D28-FB51-4264-9912-D4CB2EEDB03C}</author>
    <author>tc={550820E7-1CAA-4EED-AD07-350B2BE7F63C}</author>
    <author>tc={7C9CACC5-489A-45B8-A1A0-4D5A4A450086}</author>
    <author>tc={14FCC550-1EC7-4EBC-B59C-8CFA9BBFAD21}</author>
    <author>tc={9003105A-0263-4C11-902C-580A729D970A}</author>
    <author>tc={56DFB85B-75CB-4DAC-AD91-7161B6BD1C88}</author>
    <author>tc={6A92E070-CA19-4ED2-B31F-0165B5D508F6}</author>
    <author>tc={A8D9480C-8D67-459B-9031-3518A56FBF5C}</author>
    <author>tc={5BF1CD45-FA60-47B3-AB3D-6DE4909A103F}</author>
    <author>tc={CC565FF2-799D-4A86-A78E-71BD9C4F0009}</author>
    <author>tc={F6EB6B97-1FB0-4248-90E6-486303D69EC2}</author>
    <author>tc={DDA9CE3A-F1B6-4335-9655-5EB84717868E}</author>
    <author>tc={5E130C58-3E68-4EFA-A534-4713BD9DBD81}</author>
    <author>tc={CECF92D3-3F1C-479D-851D-4C58C04F442F}</author>
    <author>tc={45475DB8-697E-4417-8771-0D409F7F79DC}</author>
  </authors>
  <commentList>
    <comment ref="G9" authorId="0" shapeId="0" xr:uid="{EF2D52A9-30B0-43CF-B6B3-6646816A32A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9" authorId="1" shapeId="0" xr:uid="{6A5321F3-4999-464F-899E-ACF57A8D7CA3}">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30" authorId="2" shapeId="0" xr:uid="{FA4950CF-66C2-4222-B0A5-08C273CBBD28}">
      <text>
        <t>[Threaded comment]
Your version of Excel allows you to read this threaded comment; however, any edits to it will get removed if the file is opened in a newer version of Excel. Learn more: https://go.microsoft.com/fwlink/?linkid=870924
Comment:
    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
      </text>
    </comment>
    <comment ref="G31" authorId="3" shapeId="0" xr:uid="{5C5E1B04-8194-4DAF-B213-3E2C5C26BFC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41" authorId="4" shapeId="0" xr:uid="{AF63B22B-EF48-4D4C-81E6-7E5BF669E035}">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E52" authorId="5" shapeId="0" xr:uid="{03546D28-FB51-4264-9912-D4CB2EEDB03C}">
      <text>
        <t>[Threaded comment]
Your version of Excel allows you to read this threaded comment; however, any edits to it will get removed if the file is opened in a newer version of Excel. Learn more: https://go.microsoft.com/fwlink/?linkid=870924
Comment:
    Use the drop-down menu to specify the type of fuel. Eg, Natural gas, LPG, etc.
Do not type different values, and do not leave a cell blank - i.e. leave as '&lt;Select&gt;' if there is no entry to make</t>
      </text>
    </comment>
    <comment ref="F52" authorId="6" shapeId="0" xr:uid="{550820E7-1CAA-4EED-AD07-350B2BE7F63C}">
      <text>
        <t>[Threaded comment]
Your version of Excel allows you to read this threaded comment; however, any edits to it will get removed if the file is opened in a newer version of Excel. Learn more: https://go.microsoft.com/fwlink/?linkid=870924
Comment:
    Use the drop-down menu to specify the units of the fuel projection. Eg, GJ, kg, kWh, litre.
Do not type different values, and do not leave a cell blank - i.e. leave as '&lt;Select&gt;' if there is no entry to make</t>
      </text>
    </comment>
    <comment ref="G52" authorId="7" shapeId="0" xr:uid="{7C9CACC5-489A-45B8-A1A0-4D5A4A450086}">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65" authorId="8" shapeId="0" xr:uid="{14FCC550-1EC7-4EBC-B59C-8CFA9BBFAD2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79" authorId="9" shapeId="0" xr:uid="{9003105A-0263-4C11-902C-580A729D970A}">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92" authorId="10" shapeId="0" xr:uid="{56DFB85B-75CB-4DAC-AD91-7161B6BD1C88}">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A105" authorId="11" shapeId="0" xr:uid="{6A92E070-CA19-4ED2-B31F-0165B5D508F6}">
      <text>
        <t>[Threaded comment]
Your version of Excel allows you to read this threaded comment; however, any edits to it will get removed if the file is opened in a newer version of Excel. Learn more: https://go.microsoft.com/fwlink/?linkid=870924
Comment:
    'Fuel'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
      </text>
    </comment>
    <comment ref="G106" authorId="12" shapeId="0" xr:uid="{A8D9480C-8D67-459B-9031-3518A56FBF5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20" authorId="13" shapeId="0" xr:uid="{5BF1CD45-FA60-47B3-AB3D-6DE4909A103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35" authorId="14" shapeId="0" xr:uid="{CC565FF2-799D-4A86-A78E-71BD9C4F0009}">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46" authorId="15" shapeId="0" xr:uid="{F6EB6B97-1FB0-4248-90E6-486303D69EC2}">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60" authorId="16" shapeId="0" xr:uid="{DDA9CE3A-F1B6-4335-9655-5EB84717868E}">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63" authorId="17" shapeId="0" xr:uid="{5E130C58-3E68-4EFA-A534-4713BD9DBD81}">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67" authorId="18" shapeId="0" xr:uid="{CECF92D3-3F1C-479D-851D-4C58C04F442F}">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 ref="G170" authorId="19" shapeId="0" xr:uid="{45475DB8-697E-4417-8771-0D409F7F79DC}">
      <text>
        <t>[Threaded comment]
Your version of Excel allows you to read this threaded comment; however, any edits to it will get removed if the file is opened in a newer version of Excel. Learn more: https://go.microsoft.com/fwlink/?linkid=870924
Comment:
    Use the cells in this column to enter any notes relating to a particular line item you think may be useful for EECA's evaluation team.  It is perfectly acceptable for these note cells to be left blank if you feel that no explanation is required.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Tim Denne</author>
    <author>tc={86C3538E-1EEF-4C67-A42D-874D9E6E3158}</author>
    <author>tc={6531E5A3-D977-4342-9AA3-A69A17E80FB6}</author>
    <author>tc={B4A32415-5764-45EB-AD5C-97B1BEE7D236}</author>
    <author>tc={167B9849-D009-4A78-8991-B073CE0FEEFB}</author>
    <author>tc={CFB8BE23-95AE-4FF2-9F3F-50709409408B}</author>
    <author>tc={EF65AA4A-3671-42FD-A434-E2B630FD6C77}</author>
    <author>tc={1A888713-7C0C-4F24-8555-599B24BC82CC}</author>
    <author>tc={5D74B269-0E75-460E-811D-2577B109223E}</author>
    <author>tc={B828C2D3-542D-4F0E-AF03-44D1898FFD34}</author>
    <author>tc={DC26CC8D-6736-447F-A054-D03E25CB5569}</author>
    <author>tc={CD8F07B3-2A6F-4731-B781-48EB2A0F870B}</author>
    <author>tc={900A7E29-2CFF-4E71-AE2A-723182E96062}</author>
    <author>tc={D5E705CF-C5ED-411B-8D0B-A9F9D61ED095}</author>
    <author>tc={8EF197ED-9D51-40C6-ABB0-8A9F948F7151}</author>
    <author>tc={DA7CA15B-8342-45B6-A5F7-31FAAA2E2CB8}</author>
    <author>tc={AFA38859-378E-4A64-9C12-3B734D70E71C}</author>
  </authors>
  <commentList>
    <comment ref="F9" authorId="0" shapeId="0" xr:uid="{F57D3474-4B7F-4D5F-881F-70F5DFAAA868}">
      <text>
        <r>
          <rPr>
            <sz val="9"/>
            <color indexed="81"/>
            <rFont val="Tahoma"/>
            <family val="2"/>
          </rPr>
          <t>1L = 0.546 m3
1L = 25 MJ
Source: https://www.elgas.com.au/elgas-knowledge-hub/residential-lpg/lpg-gas-unit-conversions/</t>
        </r>
      </text>
    </comment>
    <comment ref="K18" authorId="0" shapeId="0" xr:uid="{97778E09-D6C2-435A-BC13-ACB93AB13482}">
      <text>
        <r>
          <rPr>
            <sz val="9"/>
            <color indexed="81"/>
            <rFont val="Tahoma"/>
            <family val="2"/>
          </rPr>
          <t>https://www.mbie.govt.nz/assets/Data-Files/Energy/electricity-demand-generation-scenarios-2024-results.xlsx</t>
        </r>
      </text>
    </comment>
    <comment ref="H22" authorId="0" shapeId="0" xr:uid="{E11F5794-9087-4AE0-9A2A-947C56346FC0}">
      <text>
        <r>
          <rPr>
            <sz val="9"/>
            <color indexed="81"/>
            <rFont val="Tahoma"/>
            <family val="2"/>
          </rPr>
          <t>https://www.elgas.com.au/elgas-knowledge-hub/residential-lpg/lpg-gas-unit-conversions/</t>
        </r>
      </text>
    </comment>
    <comment ref="H23" authorId="0" shapeId="0" xr:uid="{C8348852-1240-4346-BC02-72D217001428}">
      <text>
        <r>
          <rPr>
            <sz val="9"/>
            <color indexed="81"/>
            <rFont val="Tahoma"/>
            <family val="2"/>
          </rPr>
          <t>https://www.elgas.com.au/elgas-knowledge-hub/residential-lpg/lpg-gas-unit-conversions/</t>
        </r>
      </text>
    </comment>
    <comment ref="K23" authorId="0" shapeId="0" xr:uid="{CA4B9D6A-405D-4C9B-B7EE-30B50B181A37}">
      <text>
        <r>
          <rPr>
            <sz val="9"/>
            <color indexed="81"/>
            <rFont val="Tahoma"/>
            <family val="2"/>
          </rPr>
          <t>EDGS assumption</t>
        </r>
      </text>
    </comment>
    <comment ref="K24" authorId="0" shapeId="0" xr:uid="{99A94A91-131A-468E-916B-D8CD6ED5D60C}">
      <text>
        <r>
          <rPr>
            <sz val="9"/>
            <color indexed="81"/>
            <rFont val="Tahoma"/>
            <family val="2"/>
          </rPr>
          <t>CBAx</t>
        </r>
      </text>
    </comment>
    <comment ref="K28" authorId="0" shapeId="0" xr:uid="{24D297D3-293C-4F52-8D4A-3B2B2AA0638C}">
      <text>
        <r>
          <rPr>
            <sz val="9"/>
            <color indexed="81"/>
            <rFont val="Tahoma"/>
            <family val="2"/>
          </rPr>
          <t>https://www.climatecommission.govt.nz/public/Advice-to-govt-docs/Target-and-budgets-final-reports/ENZ-results-for-Final-EB4-advice.xlsx</t>
        </r>
      </text>
    </comment>
    <comment ref="Y38" authorId="1" shapeId="0" xr:uid="{86C3538E-1EEF-4C67-A42D-874D9E6E3158}">
      <text>
        <t>[Threaded comment]
Your version of Excel allows you to read this threaded comment; however, any edits to it will get removed if the file is opened in a newer version of Excel. Learn more: https://go.microsoft.com/fwlink/?linkid=870924
Comment:
    This is the heat energy of any geothermal fluid supplied for heating purposes</t>
      </text>
    </comment>
    <comment ref="L39" authorId="2" shapeId="0" xr:uid="{6531E5A3-D977-4342-9AA3-A69A17E80FB6}">
      <text>
        <t>[Threaded comment]
Your version of Excel allows you to read this threaded comment; however, any edits to it will get removed if the file is opened in a newer version of Excel. Learn more: https://go.microsoft.com/fwlink/?linkid=870924
Comment:
    Except where specified in individual comments, source is https://environment.govt.nz/assets/Publications/Files/Measuring-Emissions-Detailed-Guide-2020.pdf</t>
      </text>
    </comment>
    <comment ref="M39" authorId="3" shapeId="0" xr:uid="{B4A32415-5764-45EB-AD5C-97B1BEE7D236}">
      <text>
        <t>[Threaded comment]
Your version of Excel allows you to read this threaded comment; however, any edits to it will get removed if the file is opened in a newer version of Excel. Learn more: https://go.microsoft.com/fwlink/?linkid=870924
Comment:
    Source: https://ccc-production-media.s3.ap-southeast-2.amazonaws.com/public/Inaia-tonu-nei-a-low-emissions-future-for-Aotearoa/Modelling-files/Scenarios-dataset-2021-final-advice.xlsx 
plus 8.7% (p38 of main ref)</t>
      </text>
    </comment>
    <comment ref="N39" authorId="4" shapeId="0" xr:uid="{167B9849-D009-4A78-8991-B073CE0FEEFB}">
      <text>
        <t>[Threaded comment]
Your version of Excel allows you to read this threaded comment; however, any edits to it will get removed if the file is opened in a newer version of Excel. Learn more: https://go.microsoft.com/fwlink/?linkid=870924
Comment:
    P25 of main reference, plus calculation of diesel emissions from transporting fuel an assumed 40 km</t>
      </text>
    </comment>
    <comment ref="O39" authorId="5" shapeId="0" xr:uid="{CFB8BE23-95AE-4FF2-9F3F-50709409408B}">
      <text>
        <t>[Threaded comment]
Your version of Excel allows you to read this threaded comment; however, any edits to it will get removed if the file is opened in a newer version of Excel. Learn more: https://go.microsoft.com/fwlink/?linkid=870924
Comment:
    P25 of main reference, plus calculation of diesel emissions from transporting fuel an assumed 40 km</t>
      </text>
    </comment>
    <comment ref="P39" authorId="6" shapeId="0" xr:uid="{EF65AA4A-3671-42FD-A434-E2B630FD6C77}">
      <text>
        <t>[Threaded comment]
Your version of Excel allows you to read this threaded comment; however, any edits to it will get removed if the file is opened in a newer version of Excel. Learn more: https://go.microsoft.com/fwlink/?linkid=870924
Comment:
    P25 of main reference, plus calculation of diesel emissions from transporting fuel an assumed 40 km</t>
      </text>
    </comment>
    <comment ref="Q39" authorId="7" shapeId="0" xr:uid="{1A888713-7C0C-4F24-8555-599B24BC82CC}">
      <text>
        <t>[Threaded comment]
Your version of Excel allows you to read this threaded comment; however, any edits to it will get removed if the file is opened in a newer version of Excel. Learn more: https://go.microsoft.com/fwlink/?linkid=870924
Comment:
    P21 of main reference, plus calculation of diesel emissions from transporting fuel an assumed 40 km</t>
      </text>
    </comment>
    <comment ref="R39" authorId="8" shapeId="0" xr:uid="{5D74B269-0E75-460E-811D-2577B109223E}">
      <text>
        <t>[Threaded comment]
Your version of Excel allows you to read this threaded comment; however, any edits to it will get removed if the file is opened in a newer version of Excel. Learn more: https://go.microsoft.com/fwlink/?linkid=870924
Comment:
    P21 of main reference, plus calculation of diesel emissions from transporting fuel an assumed 40 km</t>
      </text>
    </comment>
    <comment ref="S39" authorId="9" shapeId="0" xr:uid="{B828C2D3-542D-4F0E-AF03-44D1898FFD34}">
      <text>
        <t>[Threaded comment]
Your version of Excel allows you to read this threaded comment; however, any edits to it will get removed if the file is opened in a newer version of Excel. Learn more: https://go.microsoft.com/fwlink/?linkid=870924
Comment:
    P21 of main reference, plus calculation of diesel emissions from transporting fuel an assumed 40 km</t>
      </text>
    </comment>
    <comment ref="T39" authorId="10" shapeId="0" xr:uid="{DC26CC8D-6736-447F-A054-D03E25CB5569}">
      <text>
        <t>[Threaded comment]
Your version of Excel allows you to read this threaded comment; however, any edits to it will get removed if the file is opened in a newer version of Excel. Learn more: https://go.microsoft.com/fwlink/?linkid=870924
Comment:
    P21 of main reference</t>
      </text>
    </comment>
    <comment ref="U39" authorId="11" shapeId="0" xr:uid="{CD8F07B3-2A6F-4731-B781-48EB2A0F870B}">
      <text>
        <t>[Threaded comment]
Your version of Excel allows you to read this threaded comment; however, any edits to it will get removed if the file is opened in a newer version of Excel. Learn more: https://go.microsoft.com/fwlink/?linkid=870924
Comment:
    P21 of main reference</t>
      </text>
    </comment>
    <comment ref="V39" authorId="12" shapeId="0" xr:uid="{900A7E29-2CFF-4E71-AE2A-723182E96062}">
      <text>
        <t>[Threaded comment]
Your version of Excel allows you to read this threaded comment; however, any edits to it will get removed if the file is opened in a newer version of Excel. Learn more: https://go.microsoft.com/fwlink/?linkid=870924
Comment:
    P21 of main reference</t>
      </text>
    </comment>
    <comment ref="W39" authorId="13" shapeId="0" xr:uid="{D5E705CF-C5ED-411B-8D0B-A9F9D61ED095}">
      <text>
        <t>[Threaded comment]
Your version of Excel allows you to read this threaded comment; however, any edits to it will get removed if the file is opened in a newer version of Excel. Learn more: https://go.microsoft.com/fwlink/?linkid=870924
Comment:
    P21 of main reference</t>
      </text>
    </comment>
    <comment ref="X39" authorId="14" shapeId="0" xr:uid="{8EF197ED-9D51-40C6-ABB0-8A9F948F7151}">
      <text>
        <t>[Threaded comment]
Your version of Excel allows you to read this threaded comment; however, any edits to it will get removed if the file is opened in a newer version of Excel. Learn more: https://go.microsoft.com/fwlink/?linkid=870924
Comment:
    P21 and P27 of main reference</t>
      </text>
    </comment>
    <comment ref="Y39" authorId="15" shapeId="0" xr:uid="{DA7CA15B-8342-45B6-A5F7-31FAAA2E2CB8}">
      <text>
        <t>[Threaded comment]
Your version of Excel allows you to read this threaded comment; however, any edits to it will get removed if the file is opened in a newer version of Excel. Learn more: https://go.microsoft.com/fwlink/?linkid=870924
Comment:
    Source: https://www.nzgeothermal.org.nz/geothermal-in-nz/what-is-geothermal/#:~:text=The%20IPCC%20life%2Dcycle%20(LCA,)%2FkWh%20from%20operation%20only.</t>
      </text>
    </comment>
    <comment ref="L40" authorId="16" shapeId="0" xr:uid="{AFA38859-378E-4A64-9C12-3B734D70E71C}">
      <text>
        <t>[Threaded comment]
Your version of Excel allows you to read this threaded comment; however, any edits to it will get removed if the file is opened in a newer version of Excel. Learn more: https://go.microsoft.com/fwlink/?linkid=870924
Comment:
    Coal from different mines can have differing CO2 emissions, as can geothermal fluid from different fields.  Likewise, depending on distance from source and nature of supply, wood can have different emissions factors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<sst xmlns="http://schemas.openxmlformats.org/spreadsheetml/2006/main" count="1785" uniqueCount="325">
  <si>
    <t>This spreadsheet is for the applicant to fill in information about the 'Proposed project' (ie, the project for which Concenssions Loan funds are sought) and also a 'Base Case' (ie, the outcomes if the project were not to proceed).</t>
  </si>
  <si>
    <t>For example, the Proposed Project could be the replacement of a coal-fired boiler with a biomass boiler, whereas the Base Case could be the coal-fired boiler continuing to operate.</t>
  </si>
  <si>
    <t>The spreadsheet consists of two tabs:</t>
  </si>
  <si>
    <r>
      <t>Project description</t>
    </r>
    <r>
      <rPr>
        <sz val="11"/>
        <color theme="1"/>
        <rFont val="Aptos Narrow"/>
        <family val="2"/>
        <scheme val="minor"/>
      </rPr>
      <t xml:space="preserve"> in which basic information is input </t>
    </r>
  </si>
  <si>
    <r>
      <rPr>
        <b/>
        <i/>
        <sz val="11"/>
        <color theme="1"/>
        <rFont val="Calibri"/>
        <family val="2"/>
      </rPr>
      <t>Project description</t>
    </r>
    <r>
      <rPr>
        <sz val="11"/>
        <color theme="1"/>
        <rFont val="Aptos Narrow"/>
        <family val="2"/>
        <scheme val="minor"/>
      </rPr>
      <t>.  This has some input cells for applicants to fill in regarding the name and type of project,starting dates and the applicant's investment criteria.</t>
    </r>
  </si>
  <si>
    <r>
      <rPr>
        <b/>
        <i/>
        <sz val="11"/>
        <color theme="1"/>
        <rFont val="Calibri"/>
        <family val="2"/>
      </rPr>
      <t>Inputs</t>
    </r>
    <r>
      <rPr>
        <sz val="11"/>
        <color theme="1"/>
        <rFont val="Aptos Narrow"/>
        <family val="2"/>
        <scheme val="minor"/>
      </rPr>
      <t>.  This is the main tab for the applicant to fill in projected Capex and Opex cashflows for the Proposed Project and the Base Case, as well as projected fuel consumption for both situations.</t>
    </r>
  </si>
  <si>
    <r>
      <rPr>
        <b/>
        <i/>
        <sz val="11"/>
        <color theme="1"/>
        <rFont val="Calibri"/>
        <family val="2"/>
      </rPr>
      <t>Scratch</t>
    </r>
    <r>
      <rPr>
        <sz val="11"/>
        <color theme="1"/>
        <rFont val="Aptos Narrow"/>
        <family val="2"/>
        <scheme val="minor"/>
      </rPr>
      <t>.  This is a tab which applicants can use if they wish to do their own bespoke calculations - noting that the rest of the spreadsheet is 'locked-down' to enable EECA to extract and evaluate data in a rigorous fashion.</t>
    </r>
  </si>
  <si>
    <t>Input data</t>
  </si>
  <si>
    <t>Project information</t>
  </si>
  <si>
    <t>Information should be included on the proposed project (assuming the loan is given) and the base case (what you would do without the loan)</t>
  </si>
  <si>
    <t>Applicant's name</t>
  </si>
  <si>
    <t>Oliver's Meatworks</t>
  </si>
  <si>
    <t>Sector</t>
  </si>
  <si>
    <t>Agriculture, Forestry and Fishing</t>
  </si>
  <si>
    <t>Region</t>
  </si>
  <si>
    <t>Gisborne</t>
  </si>
  <si>
    <t>Name for proposed project</t>
  </si>
  <si>
    <t>Heat pump gas replacement</t>
  </si>
  <si>
    <t>Date of application submission (dd/mm/yy)</t>
  </si>
  <si>
    <t>First year of expenditure (yyyy)</t>
  </si>
  <si>
    <t>Expected commissioning date of proposed project (dd/mm/yy)</t>
  </si>
  <si>
    <t>Project type</t>
  </si>
  <si>
    <t>Early replacement of asset</t>
  </si>
  <si>
    <t>If not a retrofit, what is the expected economic or useful life of the new investment?</t>
  </si>
  <si>
    <t>The same as the the proposed project</t>
  </si>
  <si>
    <t>Does the project replace the use of coal for industrial process heat?</t>
  </si>
  <si>
    <t>No</t>
  </si>
  <si>
    <t>If this project replaces coal consumption for industrial process heat, does the project bring forward the time of replacement from the start of 2037?</t>
  </si>
  <si>
    <t>Yes</t>
  </si>
  <si>
    <t>Is this a heat pump project?</t>
  </si>
  <si>
    <t>What level of loan contribution are you requesting? ($)</t>
  </si>
  <si>
    <t>Start date? (dd/mm/yyyy)</t>
  </si>
  <si>
    <t>How long would the loan be for? (years)</t>
  </si>
  <si>
    <t>What is your hurdle rate for this investment (%)</t>
  </si>
  <si>
    <t>What basis is used for the hurdle rate?</t>
  </si>
  <si>
    <t>Pre-tax Nominal</t>
  </si>
  <si>
    <t>Is the hurdle rate for the return on equity only or for the whole invstment</t>
  </si>
  <si>
    <t>Return on Equity</t>
  </si>
  <si>
    <t>Analysis year</t>
  </si>
  <si>
    <t xml:space="preserve">Inflation </t>
  </si>
  <si>
    <t>Cashflow values may be specified in real (ie, current year values) or nominal (values for the year of the cost or revenue item)</t>
  </si>
  <si>
    <t>I will include my own inflation assumptions</t>
  </si>
  <si>
    <t>If an inflation rate has been used to produce a future nominal value, please note it below</t>
  </si>
  <si>
    <t>Inflation rate in the year</t>
  </si>
  <si>
    <t>Default inflation rates</t>
  </si>
  <si>
    <t>Inflator - use this to convert real values to nominal</t>
  </si>
  <si>
    <t>Deflator - use this to convert nominal values to real</t>
  </si>
  <si>
    <t>1) Capital expenditure (CAPEX) ($) - please enter all costs as positive numbers</t>
  </si>
  <si>
    <t>Value basis</t>
  </si>
  <si>
    <t>Nominal</t>
  </si>
  <si>
    <t>Proposed Project (PP)</t>
  </si>
  <si>
    <t>Capex item</t>
  </si>
  <si>
    <t>Applicant comment</t>
  </si>
  <si>
    <t>Equipment purchase</t>
  </si>
  <si>
    <t>Civil works</t>
  </si>
  <si>
    <t>Electrical works</t>
  </si>
  <si>
    <t>Installation</t>
  </si>
  <si>
    <t>Indirect costs</t>
  </si>
  <si>
    <t>Project management</t>
  </si>
  <si>
    <t>Other</t>
  </si>
  <si>
    <t>Total capex in nominal dollars</t>
  </si>
  <si>
    <t>Base Case (BC)</t>
  </si>
  <si>
    <t>Expand if more items</t>
  </si>
  <si>
    <t>2) Operating &amp; Maintenance Expenditure (OPEX) ($) - please enter all costs as positive numbers</t>
  </si>
  <si>
    <t>2a) Non-fuel opex</t>
  </si>
  <si>
    <t>nominal</t>
  </si>
  <si>
    <t>Opex item</t>
  </si>
  <si>
    <t>Energy costs (already handled separately)</t>
  </si>
  <si>
    <t>Equipment Operation Costs</t>
  </si>
  <si>
    <t>Maintenance, Repairs, Inspections</t>
  </si>
  <si>
    <t>Compliance Testing</t>
  </si>
  <si>
    <t>Optimisation</t>
  </si>
  <si>
    <t>Utilities and Consumables</t>
  </si>
  <si>
    <t>Total non-fuel opex in nominal dollars</t>
  </si>
  <si>
    <t>2b) Fuel consumption</t>
  </si>
  <si>
    <t>Fuel type</t>
  </si>
  <si>
    <t>Units</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</si>
  <si>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</si>
  <si>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</si>
  <si>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</si>
  <si>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</si>
  <si>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</si>
  <si>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</si>
  <si>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</si>
  <si>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</si>
  <si>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</si>
  <si>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</si>
  <si>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</si>
  <si>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</si>
  <si>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</si>
  <si>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</si>
  <si>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</si>
  <si>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</si>
  <si>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</si>
  <si>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</si>
  <si>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</si>
  <si>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</si>
  <si>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</si>
  <si>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</si>
  <si>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</si>
  <si>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</si>
  <si>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</si>
  <si>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</si>
  <si>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</si>
  <si>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</si>
  <si>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</si>
  <si>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</si>
  <si>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</si>
  <si>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</si>
  <si>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</si>
  <si>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</si>
  <si>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</si>
  <si>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</si>
  <si>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</si>
  <si>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</si>
  <si>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</si>
  <si>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</si>
  <si>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</si>
  <si>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</si>
  <si>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</si>
  <si>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</si>
  <si>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</si>
  <si>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2b) Expected fuel prices (excl GST)</t>
  </si>
  <si>
    <t>ETS cost included?</t>
  </si>
  <si>
    <t>Real</t>
  </si>
  <si>
    <t>2c) Fuel costs</t>
  </si>
  <si>
    <t>Proposed Project</t>
  </si>
  <si>
    <t>Total fuel opex in nominal dollars</t>
  </si>
  <si>
    <t>4) Finance Costs</t>
  </si>
  <si>
    <t>ALL VALUES TO BE IN NOMINAL TERMS</t>
  </si>
  <si>
    <t>Please include assumptions on commercial debt additional to concessioary loan</t>
  </si>
  <si>
    <t>Commercial debt drawn</t>
  </si>
  <si>
    <t>Principal repayment</t>
  </si>
  <si>
    <t>Total commercial debt</t>
  </si>
  <si>
    <t>Interest paid</t>
  </si>
  <si>
    <t>Fees</t>
  </si>
  <si>
    <t>Costs of debt</t>
  </si>
  <si>
    <t>Concessionary loan assumed</t>
  </si>
  <si>
    <t>Debt drawn</t>
  </si>
  <si>
    <t>Total debt</t>
  </si>
  <si>
    <t>5) Change in revenue</t>
  </si>
  <si>
    <r>
      <t xml:space="preserve">Because the project may only be part of the production process, it may be inappropriate to include all revenue. For analysis our interest is only in the </t>
    </r>
    <r>
      <rPr>
        <u/>
        <sz val="14"/>
        <color theme="1"/>
        <rFont val="Aptos Narrow"/>
        <family val="2"/>
        <scheme val="minor"/>
      </rPr>
      <t>change</t>
    </r>
    <r>
      <rPr>
        <sz val="14"/>
        <color theme="1"/>
        <rFont val="Aptos Narrow"/>
        <family val="2"/>
        <scheme val="minor"/>
      </rPr>
      <t xml:space="preserve"> in revenue. This means, you can either: (a) include only the change in revenue in the Proposed Project section and leave the Base Case revenue blank, or (b) include total revenue (or some part of it) for both the Proposed Project  and the Base Case. The difference between the PP and BC revenue values should be exactly the same regardless of whether approach (a) or (b) is taken</t>
    </r>
  </si>
  <si>
    <t>Revenue</t>
  </si>
  <si>
    <t>Sales revenue</t>
  </si>
  <si>
    <t>6)  Tax</t>
  </si>
  <si>
    <t>Estimated tax</t>
  </si>
  <si>
    <t xml:space="preserve">7)  Summary - Private perspective </t>
  </si>
  <si>
    <t>a) Nominal</t>
  </si>
  <si>
    <t>Non-fuel opex</t>
  </si>
  <si>
    <t>Fuel opex</t>
  </si>
  <si>
    <t>Cost of debt</t>
  </si>
  <si>
    <t>Total annual costs</t>
  </si>
  <si>
    <t>Net costs/revenue before tax</t>
  </si>
  <si>
    <t>Net costs/revenue after tax</t>
  </si>
  <si>
    <t>b) Real</t>
  </si>
  <si>
    <t xml:space="preserve">Project seems fine </t>
  </si>
  <si>
    <t>Base</t>
  </si>
  <si>
    <t>Heat demand (GJ)</t>
  </si>
  <si>
    <t>Project</t>
  </si>
  <si>
    <t>Annual gas (GJ)</t>
  </si>
  <si>
    <t xml:space="preserve">Annual electricity for same work (GJ) </t>
  </si>
  <si>
    <t>Annual electricity (mWh)</t>
  </si>
  <si>
    <t>mWh conversion</t>
  </si>
  <si>
    <t xml:space="preserve">Demand growth (rebound) </t>
  </si>
  <si>
    <t>New electricity demand (mWh)</t>
  </si>
  <si>
    <t xml:space="preserve">COP of heat pump </t>
  </si>
  <si>
    <t xml:space="preserve">Efficiency of gas </t>
  </si>
  <si>
    <t>GJ to MWH conversion</t>
  </si>
  <si>
    <t>Financial projection basis</t>
  </si>
  <si>
    <t>GJ</t>
  </si>
  <si>
    <t>$/GJ</t>
  </si>
  <si>
    <t>Category</t>
  </si>
  <si>
    <t>Tax</t>
  </si>
  <si>
    <t>Final Year</t>
  </si>
  <si>
    <t>Base Case</t>
  </si>
  <si>
    <t>Emissions</t>
  </si>
  <si>
    <t>PP</t>
  </si>
  <si>
    <t>Electricity</t>
  </si>
  <si>
    <t>Natural Gas</t>
  </si>
  <si>
    <t>Coal - sub bituminous</t>
  </si>
  <si>
    <t>Coal - bituminous</t>
  </si>
  <si>
    <t>Coal - lignite</t>
  </si>
  <si>
    <t>Diesel</t>
  </si>
  <si>
    <t>LPG</t>
  </si>
  <si>
    <t>Light fuel oil</t>
  </si>
  <si>
    <t>Heavy fuel oil</t>
  </si>
  <si>
    <t>Geothermal</t>
  </si>
  <si>
    <t>Wood or wood chips</t>
  </si>
  <si>
    <t>BC</t>
  </si>
  <si>
    <t>Total PP</t>
  </si>
  <si>
    <t>Total BC</t>
  </si>
  <si>
    <t>Fuel costs without ETS costs</t>
  </si>
  <si>
    <t>Shadow costs</t>
  </si>
  <si>
    <t>ETS costs</t>
  </si>
  <si>
    <t>Summary - National Perspective</t>
  </si>
  <si>
    <t>Capex</t>
  </si>
  <si>
    <t>Emission costs</t>
  </si>
  <si>
    <t>Total costs</t>
  </si>
  <si>
    <t>Revenues</t>
  </si>
  <si>
    <t>Net</t>
  </si>
  <si>
    <t>Discount factor</t>
  </si>
  <si>
    <t>DR</t>
  </si>
  <si>
    <t>Final year for assessment (PP)</t>
  </si>
  <si>
    <t>Final year for assessment (BC)</t>
  </si>
  <si>
    <t>NPV</t>
  </si>
  <si>
    <t xml:space="preserve">PP </t>
  </si>
  <si>
    <t>Preferred:</t>
  </si>
  <si>
    <t>Basis</t>
  </si>
  <si>
    <t>Hurdle factor</t>
  </si>
  <si>
    <t>Net costs/revenues</t>
  </si>
  <si>
    <t>Private Returns</t>
  </si>
  <si>
    <t>Row No</t>
  </si>
  <si>
    <t xml:space="preserve">Summary - Private perspective </t>
  </si>
  <si>
    <t>Capex - equity funded</t>
  </si>
  <si>
    <t>Capex - debt funded</t>
  </si>
  <si>
    <t>Capex total</t>
  </si>
  <si>
    <t>Total annual costs (ROE basis)</t>
  </si>
  <si>
    <t>Total annual costs (ROI basis)</t>
  </si>
  <si>
    <t>Net costs/revenue before tax (ROE)</t>
  </si>
  <si>
    <t>Net costs/revenue before tax (ROI)</t>
  </si>
  <si>
    <t>Net costs/revenue after tax (ROE)</t>
  </si>
  <si>
    <t>Net costs/revenue after tax (ROI)</t>
  </si>
  <si>
    <t>National perspective</t>
  </si>
  <si>
    <t>Private perspective</t>
  </si>
  <si>
    <t>IRR</t>
  </si>
  <si>
    <t>Sectors</t>
  </si>
  <si>
    <t>Regions</t>
  </si>
  <si>
    <t>Fuel</t>
  </si>
  <si>
    <t>Consump-tion unit</t>
  </si>
  <si>
    <t>GJ conversion</t>
  </si>
  <si>
    <t>Unit for Emission Factor</t>
  </si>
  <si>
    <r>
      <t>Emission factor (kg CO</t>
    </r>
    <r>
      <rPr>
        <b/>
        <vertAlign val="subscript"/>
        <sz val="11"/>
        <color theme="1"/>
        <rFont val="Aptos Narrow"/>
        <family val="2"/>
        <scheme val="minor"/>
      </rPr>
      <t>2</t>
    </r>
    <r>
      <rPr>
        <b/>
        <sz val="11"/>
        <color theme="1"/>
        <rFont val="Aptos Narrow"/>
        <family val="2"/>
        <scheme val="minor"/>
      </rPr>
      <t>-e/unit)</t>
    </r>
  </si>
  <si>
    <r>
      <t>Emission factor (t CO</t>
    </r>
    <r>
      <rPr>
        <b/>
        <vertAlign val="subscript"/>
        <sz val="11"/>
        <color theme="1"/>
        <rFont val="Aptos Narrow"/>
        <family val="2"/>
        <scheme val="minor"/>
      </rPr>
      <t>2</t>
    </r>
    <r>
      <rPr>
        <b/>
        <sz val="11"/>
        <color theme="1"/>
        <rFont val="Aptos Narrow"/>
        <family val="2"/>
        <scheme val="minor"/>
      </rPr>
      <t>-e/ consumption unit)</t>
    </r>
  </si>
  <si>
    <t>Emission factors by year</t>
  </si>
  <si>
    <t>&lt;Select&gt;</t>
  </si>
  <si>
    <t>Commercial</t>
  </si>
  <si>
    <t>Northland</t>
  </si>
  <si>
    <t>MWh</t>
  </si>
  <si>
    <t>kWh</t>
  </si>
  <si>
    <t>Construction</t>
  </si>
  <si>
    <t>Auckland</t>
  </si>
  <si>
    <t>Waikato</t>
  </si>
  <si>
    <t>tonnes</t>
  </si>
  <si>
    <t>kg</t>
  </si>
  <si>
    <t>Dairy Product Manufacturing</t>
  </si>
  <si>
    <t>Bay of Plenty</t>
  </si>
  <si>
    <t>Industrial others</t>
  </si>
  <si>
    <t>Meat and Meat Product Manufacturing and Seafood</t>
  </si>
  <si>
    <t>Hawke’s Bay</t>
  </si>
  <si>
    <t>litres</t>
  </si>
  <si>
    <t>Mining</t>
  </si>
  <si>
    <t>Taranaki</t>
  </si>
  <si>
    <t>m3</t>
  </si>
  <si>
    <t>Non-Metallic Mineral Product Manufacturing</t>
  </si>
  <si>
    <t>Manawatu-Whanganui</t>
  </si>
  <si>
    <t>Other Food Product Manufacturing</t>
  </si>
  <si>
    <t>Wellington</t>
  </si>
  <si>
    <t>Petroleum, Basic Chemical and Rubber Product Manufacturing</t>
  </si>
  <si>
    <t>Tasman</t>
  </si>
  <si>
    <t>Primary Metal and Metal Product Manufacturing</t>
  </si>
  <si>
    <t>Nelson</t>
  </si>
  <si>
    <t>Pulp, Paper and Converted Paper Product Manufacturing</t>
  </si>
  <si>
    <t>Marlborough</t>
  </si>
  <si>
    <t>Wood Product Manufacturing</t>
  </si>
  <si>
    <t>West Coast</t>
  </si>
  <si>
    <t>Canterbury</t>
  </si>
  <si>
    <t>Electricity emisisons</t>
  </si>
  <si>
    <t>Otago</t>
  </si>
  <si>
    <t>Unit 1</t>
  </si>
  <si>
    <t>Unit 2</t>
  </si>
  <si>
    <t>Multiplier</t>
  </si>
  <si>
    <t>Parameter</t>
  </si>
  <si>
    <t>Southland</t>
  </si>
  <si>
    <t>Any</t>
  </si>
  <si>
    <t>EDGS - Reference scenario</t>
  </si>
  <si>
    <t>Electricity Allocation Factor (t CO2e/MWh)</t>
  </si>
  <si>
    <t>Wholesale price projection no ETS ($/MWh)</t>
  </si>
  <si>
    <t>Distribution costs ($/MWh)</t>
  </si>
  <si>
    <t>Total marginal cost ($/MWh)</t>
  </si>
  <si>
    <t>NZU Price projection</t>
  </si>
  <si>
    <t>Shadow price (central)</t>
  </si>
  <si>
    <t>Shadow price (low)</t>
  </si>
  <si>
    <t>Shadow price (chigh)</t>
  </si>
  <si>
    <t>CCC Current Policy Reference ($/MWh)</t>
  </si>
  <si>
    <t>Carbon price assumption</t>
  </si>
  <si>
    <t>Ex ETS</t>
  </si>
  <si>
    <t>Inflation</t>
  </si>
  <si>
    <t>INPUT DATA FROM GIDI SPREADSHEET - TO REMOVE</t>
  </si>
  <si>
    <t>Wood - pellet</t>
  </si>
  <si>
    <t>Wood - hog</t>
  </si>
  <si>
    <t>Wood - chips</t>
  </si>
  <si>
    <t>Emissions unit</t>
  </si>
  <si>
    <t>litre</t>
  </si>
  <si>
    <t>Default emissions factor (kgCO2-e/unit)</t>
  </si>
  <si>
    <t>Project Options</t>
  </si>
  <si>
    <t>Q2</t>
  </si>
  <si>
    <t>Final year</t>
  </si>
  <si>
    <t>Q3</t>
  </si>
  <si>
    <t>Q4</t>
  </si>
  <si>
    <t xml:space="preserve"> </t>
  </si>
  <si>
    <t>Retrofit of existing asset</t>
  </si>
  <si>
    <t>Expected final year of operation/use of existing asset</t>
  </si>
  <si>
    <t>Information not required</t>
  </si>
  <si>
    <t>Replacing asset at the end of its life</t>
  </si>
  <si>
    <t>Without the loan, what would the existing asset be replaced with at the end of its life?</t>
  </si>
  <si>
    <t>What would be the expected life of the replacement asset in the base case (no loan)</t>
  </si>
  <si>
    <t>Expected final year of operation/use of existing asset if not replaced early</t>
  </si>
  <si>
    <t>Choice</t>
  </si>
  <si>
    <t>Options</t>
  </si>
  <si>
    <t>The same as the current asset</t>
  </si>
  <si>
    <t>Hurdle rate</t>
  </si>
  <si>
    <t>Something different</t>
  </si>
  <si>
    <t>Pre-tax Real</t>
  </si>
  <si>
    <t>Post-tax Real</t>
  </si>
  <si>
    <t>Post-tax Nominal</t>
  </si>
  <si>
    <t>Return on Whole Investment</t>
  </si>
  <si>
    <t>Field</t>
  </si>
  <si>
    <t>Value</t>
  </si>
  <si>
    <t>Notes</t>
  </si>
  <si>
    <t>Base year</t>
  </si>
  <si>
    <t>ProjectID</t>
  </si>
  <si>
    <t>CL-001</t>
  </si>
  <si>
    <t>2%</t>
  </si>
  <si>
    <t>8%</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</si>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</sst>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6" formatCode="&quot;$&quot;#,##0;[Red]\-&quot;$&quot;#,##0"/>
    <numFmt numFmtId="43" formatCode="_-* #,##0.00_-;\-* #,##0.00_-;_-* &quot;-&quot;??_-;_-@_-"/>
    <numFmt numFmtId="164" formatCode="0.###"/>
    <numFmt numFmtId="165" formatCode="0.0000"/>
    <numFmt numFmtId="166" formatCode="0.000"/>
    <numFmt numFmtId="167" formatCode="&quot;$&quot;#,##0.00"/>
    <numFmt numFmtId="168" formatCode="_-* #,##0_-;\-* #,##0_-;_-* &quot;-&quot;??_-;_-@_-"/>
    <numFmt numFmtId="169" formatCode="_-* #,##0.000_-;\-* #,##0.000_-;_-* &quot;-&quot;??_-;_-@_-"/>
    <numFmt numFmtId="170" formatCode="0.0"/>
    <numFmt numFmtId="171" formatCode="#,##0.0"/>
    <numFmt numFmtId="172" formatCode="&quot;$&quot;#,##0"/>
    <numFmt numFmtId="173" formatCode="0.0%"/>
  </numFmts>
  <fonts count="37"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4"/>
      <color theme="0"/>
      <name val="Aptos Narrow"/>
      <family val="2"/>
      <scheme val="minor"/>
    </font>
    <font>
      <b/>
      <i/>
      <sz val="11"/>
      <color theme="1"/>
      <name val="Aptos Narrow"/>
      <family val="2"/>
      <scheme val="minor"/>
    </font>
    <font>
      <sz val="11"/>
      <color theme="4"/>
      <name val="Aptos Narrow"/>
      <family val="2"/>
      <scheme val="minor"/>
    </font>
    <font>
      <sz val="11"/>
      <name val="Aptos Narrow"/>
      <family val="2"/>
      <scheme val="minor"/>
    </font>
    <font>
      <sz val="11"/>
      <color rgb="FFFF00FF"/>
      <name val="Aptos Narrow"/>
      <family val="2"/>
      <scheme val="minor"/>
    </font>
    <font>
      <sz val="9"/>
      <color indexed="81"/>
      <name val="Tahoma"/>
      <family val="2"/>
    </font>
    <font>
      <b/>
      <vertAlign val="subscript"/>
      <sz val="11"/>
      <color theme="1"/>
      <name val="Aptos Narrow"/>
      <family val="2"/>
      <scheme val="minor"/>
    </font>
    <font>
      <b/>
      <sz val="14"/>
      <color theme="1"/>
      <name val="Aptos Narrow"/>
      <family val="2"/>
      <scheme val="minor"/>
    </font>
    <font>
      <b/>
      <sz val="11"/>
      <color rgb="FF00B050"/>
      <name val="Aptos Narrow"/>
      <family val="2"/>
      <scheme val="minor"/>
    </font>
    <font>
      <sz val="11"/>
      <color rgb="FF00B050"/>
      <name val="Aptos Narrow"/>
      <family val="2"/>
      <scheme val="minor"/>
    </font>
    <font>
      <sz val="9"/>
      <color rgb="FF00B050"/>
      <name val="Aptos Narrow"/>
      <family val="2"/>
      <scheme val="minor"/>
    </font>
    <font>
      <sz val="9"/>
      <color theme="1"/>
      <name val="Aptos Narrow"/>
      <family val="2"/>
      <scheme val="minor"/>
    </font>
    <font>
      <b/>
      <sz val="11"/>
      <color rgb="FFFF0000"/>
      <name val="Aptos Narrow"/>
      <family val="2"/>
      <scheme val="minor"/>
    </font>
    <font>
      <sz val="9"/>
      <color rgb="FFFF0000"/>
      <name val="Aptos Narrow"/>
      <family val="2"/>
      <scheme val="minor"/>
    </font>
    <font>
      <b/>
      <sz val="11"/>
      <name val="Aptos Narrow"/>
      <family val="2"/>
      <scheme val="minor"/>
    </font>
    <font>
      <sz val="9"/>
      <name val="Aptos Narrow"/>
      <family val="2"/>
      <scheme val="minor"/>
    </font>
    <font>
      <sz val="8"/>
      <name val="Aptos Narrow"/>
      <family val="2"/>
      <scheme val="minor"/>
    </font>
    <font>
      <sz val="11"/>
      <color theme="1"/>
      <name val="Aptos Narrow"/>
      <family val="2"/>
    </font>
    <font>
      <sz val="10"/>
      <color theme="1"/>
      <name val="Aptos Narrow"/>
      <family val="2"/>
      <scheme val="minor"/>
    </font>
    <font>
      <sz val="10"/>
      <color rgb="FF00B050"/>
      <name val="Aptos Narrow"/>
      <family val="2"/>
      <scheme val="minor"/>
    </font>
    <font>
      <b/>
      <sz val="11"/>
      <color theme="5"/>
      <name val="Aptos Narrow"/>
      <family val="2"/>
      <scheme val="minor"/>
    </font>
    <font>
      <sz val="14"/>
      <color theme="1"/>
      <name val="Aptos Narrow"/>
      <family val="2"/>
      <scheme val="minor"/>
    </font>
    <font>
      <u/>
      <sz val="14"/>
      <color theme="1"/>
      <name val="Aptos Narrow"/>
      <family val="2"/>
      <scheme val="minor"/>
    </font>
    <font>
      <sz val="11"/>
      <color rgb="FF00B050"/>
      <name val="Aptos"/>
      <family val="2"/>
    </font>
    <font>
      <sz val="11"/>
      <color rgb="FFFF0000"/>
      <name val="Aptos"/>
      <family val="2"/>
    </font>
    <font>
      <b/>
      <i/>
      <sz val="11"/>
      <color rgb="FF00B050"/>
      <name val="Aptos Narrow"/>
      <family val="2"/>
      <scheme val="minor"/>
    </font>
    <font>
      <b/>
      <i/>
      <sz val="11"/>
      <color rgb="FFFF0000"/>
      <name val="Aptos Narrow"/>
      <family val="2"/>
      <scheme val="minor"/>
    </font>
    <font>
      <sz val="11"/>
      <color theme="1"/>
      <name val="Calibri"/>
      <family val="2"/>
    </font>
    <font>
      <sz val="10"/>
      <color rgb="FFFF0000"/>
      <name val="Aptos Narrow"/>
      <family val="2"/>
      <scheme val="minor"/>
    </font>
    <font>
      <u/>
      <sz val="10"/>
      <color rgb="FF00B050"/>
      <name val="Aptos Narrow"/>
      <family val="2"/>
      <scheme val="minor"/>
    </font>
    <font>
      <u/>
      <sz val="10"/>
      <color rgb="FFFF0000"/>
      <name val="Aptos Narrow"/>
      <family val="2"/>
      <scheme val="minor"/>
    </font>
    <font>
      <sz val="10"/>
      <name val="Aptos Narrow"/>
      <family val="2"/>
      <scheme val="minor"/>
    </font>
    <font>
      <b/>
      <i/>
      <sz val="11"/>
      <color theme="1"/>
      <name val="Calibri"/>
      <family val="2"/>
    </font>
  </fonts>
  <fills count="9">
    <fill>
      <patternFill patternType="none"/>
    </fill>
    <fill>
      <patternFill patternType="gray125"/>
    </fill>
    <fill>
      <patternFill patternType="solid">
        <fgColor theme="1" tint="0.49998474074526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F2F2F2"/>
        <bgColor rgb="FF000000"/>
      </patternFill>
    </fill>
    <fill>
      <patternFill patternType="solid">
        <fgColor theme="2"/>
        <bgColor indexed="64"/>
      </patternFill>
    </fill>
    <fill>
      <patternFill patternType="solid">
        <fgColor theme="0"/>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2">
    <xf numFmtId="0" fontId="0" fillId="0" borderId="0" xfId="0"/>
    <xf numFmtId="0" fontId="4" fillId="2" borderId="0" xfId="0" applyFont="1" applyFill="1"/>
    <xf numFmtId="0" fontId="0" fillId="2" borderId="0" xfId="0" applyFill="1"/>
    <xf numFmtId="0" fontId="5" fillId="3" borderId="0" xfId="0" applyFont="1" applyFill="1"/>
    <xf numFmtId="0" fontId="0" fillId="3" borderId="0" xfId="0" applyFill="1"/>
    <xf numFmtId="1" fontId="6" fillId="0" borderId="0" xfId="0" applyNumberFormat="1" applyFont="1" applyAlignment="1" applyProtection="1">
      <alignment horizontal="right"/>
      <protection locked="0"/>
    </xf>
    <xf numFmtId="0" fontId="7" fillId="3" borderId="0" xfId="0" applyFont="1" applyFill="1"/>
    <xf numFmtId="0" fontId="8" fillId="3" borderId="0" xfId="0" applyFont="1" applyFill="1"/>
    <xf numFmtId="0" fontId="7" fillId="3" borderId="0" xfId="0" applyFont="1" applyFill="1" applyAlignment="1">
      <alignment wrapText="1"/>
    </xf>
    <xf numFmtId="0" fontId="2" fillId="3" borderId="0" xfId="0" applyFont="1" applyFill="1"/>
    <xf numFmtId="0" fontId="3" fillId="0" borderId="0" xfId="0" applyFont="1"/>
    <xf numFmtId="0" fontId="0" fillId="4" borderId="0" xfId="0" applyFill="1"/>
    <xf numFmtId="0" fontId="5" fillId="3" borderId="1" xfId="0" applyFont="1" applyFill="1" applyBorder="1" applyAlignment="1">
      <alignment horizontal="center" wrapText="1"/>
    </xf>
    <xf numFmtId="0" fontId="5" fillId="3" borderId="2" xfId="0" applyFont="1" applyFill="1" applyBorder="1" applyAlignment="1">
      <alignment horizontal="center" wrapText="1"/>
    </xf>
    <xf numFmtId="0" fontId="5" fillId="3" borderId="3" xfId="0" applyFont="1" applyFill="1" applyBorder="1" applyAlignment="1">
      <alignment horizontal="center" wrapText="1"/>
    </xf>
    <xf numFmtId="0" fontId="0" fillId="3" borderId="0" xfId="0" applyFill="1" applyAlignment="1">
      <alignment horizontal="center"/>
    </xf>
    <xf numFmtId="164" fontId="0" fillId="3" borderId="0" xfId="1" applyNumberFormat="1" applyFont="1" applyFill="1"/>
    <xf numFmtId="0" fontId="0" fillId="0" borderId="0" xfId="0" applyAlignment="1">
      <alignment horizontal="left" wrapText="1"/>
    </xf>
    <xf numFmtId="0" fontId="11" fillId="3" borderId="0" xfId="0" applyFont="1" applyFill="1"/>
    <xf numFmtId="0" fontId="12" fillId="3" borderId="0" xfId="0" applyFont="1" applyFill="1"/>
    <xf numFmtId="0" fontId="13" fillId="3" borderId="0" xfId="0" applyFont="1" applyFill="1"/>
    <xf numFmtId="0" fontId="13" fillId="0" borderId="0" xfId="0" applyFont="1" applyProtection="1">
      <protection locked="0"/>
    </xf>
    <xf numFmtId="0" fontId="0" fillId="0" borderId="0" xfId="0" applyProtection="1">
      <protection locked="0"/>
    </xf>
    <xf numFmtId="0" fontId="13" fillId="3" borderId="4" xfId="0" applyFont="1" applyFill="1" applyBorder="1"/>
    <xf numFmtId="0" fontId="0" fillId="3" borderId="4" xfId="0" applyFill="1" applyBorder="1"/>
    <xf numFmtId="43" fontId="15" fillId="3" borderId="0" xfId="1" applyFont="1" applyFill="1"/>
    <xf numFmtId="0" fontId="16" fillId="3" borderId="0" xfId="0" applyFont="1" applyFill="1"/>
    <xf numFmtId="0" fontId="2" fillId="0" borderId="0" xfId="0" applyFont="1" applyProtection="1">
      <protection locked="0"/>
    </xf>
    <xf numFmtId="0" fontId="18" fillId="3" borderId="0" xfId="0" applyFont="1" applyFill="1"/>
    <xf numFmtId="167" fontId="14" fillId="0" borderId="0" xfId="1" applyNumberFormat="1" applyFont="1" applyFill="1" applyProtection="1">
      <protection locked="0"/>
    </xf>
    <xf numFmtId="0" fontId="3" fillId="3" borderId="0" xfId="0" applyFont="1" applyFill="1"/>
    <xf numFmtId="0" fontId="3" fillId="3" borderId="5" xfId="0" applyFont="1" applyFill="1" applyBorder="1" applyAlignment="1">
      <alignment horizontal="left" wrapText="1"/>
    </xf>
    <xf numFmtId="0" fontId="3" fillId="3" borderId="5" xfId="0" applyFont="1" applyFill="1" applyBorder="1"/>
    <xf numFmtId="165" fontId="0" fillId="0" borderId="0" xfId="0" applyNumberFormat="1"/>
    <xf numFmtId="166" fontId="0" fillId="0" borderId="0" xfId="0" applyNumberFormat="1"/>
    <xf numFmtId="165" fontId="0" fillId="0" borderId="0" xfId="0" applyNumberFormat="1" applyAlignment="1">
      <alignment horizontal="right"/>
    </xf>
    <xf numFmtId="166" fontId="0" fillId="0" borderId="0" xfId="0" applyNumberFormat="1" applyAlignment="1">
      <alignment horizontal="right"/>
    </xf>
    <xf numFmtId="1" fontId="21" fillId="0" borderId="0" xfId="0" applyNumberFormat="1" applyFont="1"/>
    <xf numFmtId="168" fontId="21" fillId="0" borderId="0" xfId="1" applyNumberFormat="1" applyFont="1" applyFill="1" applyBorder="1"/>
    <xf numFmtId="169" fontId="0" fillId="0" borderId="0" xfId="0" applyNumberFormat="1"/>
    <xf numFmtId="2" fontId="15" fillId="3" borderId="0" xfId="1" applyNumberFormat="1" applyFont="1" applyFill="1"/>
    <xf numFmtId="2" fontId="0" fillId="3" borderId="0" xfId="0" applyNumberFormat="1" applyFill="1"/>
    <xf numFmtId="2" fontId="19" fillId="3" borderId="0" xfId="1" applyNumberFormat="1" applyFont="1" applyFill="1" applyBorder="1"/>
    <xf numFmtId="2" fontId="0" fillId="0" borderId="0" xfId="0" applyNumberFormat="1" applyProtection="1">
      <protection locked="0"/>
    </xf>
    <xf numFmtId="2" fontId="2" fillId="0" borderId="0" xfId="0" applyNumberFormat="1" applyFont="1" applyProtection="1">
      <protection locked="0"/>
    </xf>
    <xf numFmtId="0" fontId="13" fillId="3" borderId="0" xfId="0" applyFont="1" applyFill="1" applyAlignment="1">
      <alignment wrapText="1"/>
    </xf>
    <xf numFmtId="0" fontId="2" fillId="0" borderId="0" xfId="0" applyFont="1"/>
    <xf numFmtId="0" fontId="5" fillId="3" borderId="5" xfId="0" applyFont="1" applyFill="1" applyBorder="1"/>
    <xf numFmtId="0" fontId="11" fillId="3" borderId="5" xfId="0" applyFont="1" applyFill="1" applyBorder="1"/>
    <xf numFmtId="0" fontId="0" fillId="3" borderId="5" xfId="0" applyFill="1" applyBorder="1"/>
    <xf numFmtId="0" fontId="16" fillId="3" borderId="5" xfId="0" applyFont="1" applyFill="1" applyBorder="1"/>
    <xf numFmtId="0" fontId="2" fillId="3" borderId="5" xfId="0" applyFont="1" applyFill="1" applyBorder="1" applyAlignment="1">
      <alignment wrapText="1"/>
    </xf>
    <xf numFmtId="0" fontId="12" fillId="3" borderId="5" xfId="0" applyFont="1" applyFill="1" applyBorder="1"/>
    <xf numFmtId="0" fontId="13" fillId="3" borderId="5" xfId="0" applyFont="1" applyFill="1" applyBorder="1" applyAlignment="1">
      <alignment wrapText="1"/>
    </xf>
    <xf numFmtId="0" fontId="2" fillId="3" borderId="5" xfId="0" applyFont="1" applyFill="1" applyBorder="1"/>
    <xf numFmtId="0" fontId="13" fillId="3" borderId="0" xfId="0" applyFont="1" applyFill="1" applyProtection="1">
      <protection locked="0"/>
    </xf>
    <xf numFmtId="0" fontId="2" fillId="3" borderId="0" xfId="0" applyFont="1" applyFill="1" applyProtection="1">
      <protection locked="0"/>
    </xf>
    <xf numFmtId="0" fontId="0" fillId="0" borderId="5" xfId="0" applyBorder="1"/>
    <xf numFmtId="43" fontId="0" fillId="3" borderId="0" xfId="1" applyFont="1" applyFill="1" applyBorder="1"/>
    <xf numFmtId="2" fontId="17" fillId="3" borderId="0" xfId="1" applyNumberFormat="1" applyFont="1" applyFill="1" applyBorder="1"/>
    <xf numFmtId="0" fontId="16" fillId="3" borderId="5" xfId="0" applyFont="1" applyFill="1" applyBorder="1" applyAlignment="1">
      <alignment wrapText="1"/>
    </xf>
    <xf numFmtId="0" fontId="12" fillId="3" borderId="5" xfId="0" applyFont="1" applyFill="1" applyBorder="1" applyAlignment="1">
      <alignment wrapText="1"/>
    </xf>
    <xf numFmtId="0" fontId="13" fillId="3" borderId="5" xfId="0" applyFont="1" applyFill="1" applyBorder="1"/>
    <xf numFmtId="0" fontId="0" fillId="3" borderId="0" xfId="0" applyFill="1" applyProtection="1">
      <protection locked="0"/>
    </xf>
    <xf numFmtId="166" fontId="2" fillId="0" borderId="0" xfId="0" applyNumberFormat="1" applyFont="1"/>
    <xf numFmtId="0" fontId="3" fillId="3" borderId="5" xfId="0" applyFont="1" applyFill="1" applyBorder="1" applyAlignment="1">
      <alignment horizontal="right" wrapText="1"/>
    </xf>
    <xf numFmtId="0" fontId="3" fillId="0" borderId="5" xfId="0" applyFont="1" applyBorder="1"/>
    <xf numFmtId="170" fontId="0" fillId="0" borderId="5" xfId="0" applyNumberFormat="1" applyBorder="1"/>
    <xf numFmtId="0" fontId="6" fillId="3" borderId="5" xfId="0" applyFont="1" applyFill="1" applyBorder="1" applyProtection="1">
      <protection locked="0"/>
    </xf>
    <xf numFmtId="0" fontId="7" fillId="3" borderId="5" xfId="0" applyFont="1" applyFill="1" applyBorder="1"/>
    <xf numFmtId="170" fontId="0" fillId="3" borderId="0" xfId="0" applyNumberFormat="1" applyFill="1"/>
    <xf numFmtId="9" fontId="0" fillId="0" borderId="0" xfId="0" applyNumberFormat="1"/>
    <xf numFmtId="0" fontId="2" fillId="3" borderId="0" xfId="0" applyFont="1" applyFill="1" applyAlignment="1">
      <alignment wrapText="1"/>
    </xf>
    <xf numFmtId="0" fontId="2" fillId="0" borderId="0" xfId="0" applyFont="1" applyAlignment="1">
      <alignment wrapText="1"/>
    </xf>
    <xf numFmtId="9" fontId="0" fillId="3" borderId="5" xfId="0" applyNumberFormat="1" applyFill="1" applyBorder="1"/>
    <xf numFmtId="1" fontId="0" fillId="0" borderId="0" xfId="0" applyNumberFormat="1"/>
    <xf numFmtId="0" fontId="0" fillId="0" borderId="6" xfId="0" applyBorder="1"/>
    <xf numFmtId="3" fontId="14" fillId="3" borderId="4" xfId="1" applyNumberFormat="1" applyFont="1" applyFill="1" applyBorder="1"/>
    <xf numFmtId="3" fontId="0" fillId="0" borderId="0" xfId="0" applyNumberFormat="1"/>
    <xf numFmtId="3" fontId="14" fillId="0" borderId="0" xfId="1" applyNumberFormat="1" applyFont="1" applyFill="1" applyProtection="1">
      <protection locked="0"/>
    </xf>
    <xf numFmtId="3" fontId="13" fillId="0" borderId="0" xfId="0" applyNumberFormat="1" applyFont="1"/>
    <xf numFmtId="3" fontId="2" fillId="0" borderId="0" xfId="0" applyNumberFormat="1" applyFont="1"/>
    <xf numFmtId="3" fontId="0" fillId="0" borderId="6" xfId="0" applyNumberFormat="1" applyBorder="1"/>
    <xf numFmtId="49" fontId="0" fillId="0" borderId="0" xfId="0" applyNumberFormat="1"/>
    <xf numFmtId="0" fontId="13" fillId="0" borderId="6" xfId="0" applyFont="1" applyBorder="1" applyProtection="1">
      <protection locked="0"/>
    </xf>
    <xf numFmtId="0" fontId="2" fillId="0" borderId="6" xfId="0" applyFont="1" applyBorder="1" applyProtection="1">
      <protection locked="0"/>
    </xf>
    <xf numFmtId="2" fontId="14" fillId="0" borderId="0" xfId="1" applyNumberFormat="1" applyFont="1" applyFill="1"/>
    <xf numFmtId="1" fontId="6" fillId="3" borderId="0" xfId="0" applyNumberFormat="1" applyFont="1" applyFill="1" applyAlignment="1" applyProtection="1">
      <alignment horizontal="left"/>
      <protection locked="0"/>
    </xf>
    <xf numFmtId="0" fontId="6" fillId="0" borderId="0" xfId="0" applyFont="1" applyAlignment="1">
      <alignment horizontal="left" vertical="center"/>
    </xf>
    <xf numFmtId="3" fontId="0" fillId="0" borderId="5" xfId="0" applyNumberFormat="1" applyBorder="1"/>
    <xf numFmtId="1" fontId="0" fillId="0" borderId="0" xfId="0" applyNumberFormat="1" applyAlignment="1">
      <alignment horizontal="left"/>
    </xf>
    <xf numFmtId="0" fontId="24" fillId="0" borderId="0" xfId="0" applyFont="1"/>
    <xf numFmtId="9" fontId="0" fillId="0" borderId="0" xfId="0" applyNumberFormat="1" applyAlignment="1">
      <alignment horizontal="left"/>
    </xf>
    <xf numFmtId="9" fontId="0" fillId="0" borderId="6" xfId="0" applyNumberFormat="1" applyBorder="1" applyAlignment="1">
      <alignment horizontal="right"/>
    </xf>
    <xf numFmtId="167" fontId="6" fillId="0" borderId="0" xfId="1" applyNumberFormat="1" applyFont="1" applyFill="1" applyAlignment="1" applyProtection="1">
      <alignment horizontal="left" vertical="center"/>
      <protection locked="0"/>
    </xf>
    <xf numFmtId="14" fontId="6" fillId="0" borderId="0" xfId="1" applyNumberFormat="1" applyFont="1" applyFill="1" applyAlignment="1" applyProtection="1">
      <alignment horizontal="left" vertical="center"/>
      <protection locked="0"/>
    </xf>
    <xf numFmtId="9" fontId="6" fillId="0" borderId="0" xfId="1" applyNumberFormat="1" applyFont="1" applyFill="1" applyAlignment="1" applyProtection="1">
      <alignment horizontal="left" vertical="center"/>
      <protection locked="0"/>
    </xf>
    <xf numFmtId="1" fontId="6" fillId="0" borderId="0" xfId="0" applyNumberFormat="1" applyFont="1" applyAlignment="1" applyProtection="1">
      <alignment horizontal="left" vertical="center"/>
      <protection locked="0"/>
    </xf>
    <xf numFmtId="14" fontId="6" fillId="0" borderId="0" xfId="0" applyNumberFormat="1" applyFont="1" applyAlignment="1" applyProtection="1">
      <alignment horizontal="left" vertical="center"/>
      <protection locked="0"/>
    </xf>
    <xf numFmtId="0" fontId="6" fillId="0" borderId="0" xfId="0" applyFont="1" applyAlignment="1" applyProtection="1">
      <alignment horizontal="left" vertical="center"/>
      <protection locked="0"/>
    </xf>
    <xf numFmtId="15" fontId="6" fillId="0" borderId="0" xfId="0" applyNumberFormat="1" applyFont="1" applyAlignment="1" applyProtection="1">
      <alignment horizontal="left" vertical="center"/>
      <protection locked="0"/>
    </xf>
    <xf numFmtId="0" fontId="0" fillId="3" borderId="0" xfId="0" applyFill="1" applyAlignment="1">
      <alignment horizontal="left" vertical="center"/>
    </xf>
    <xf numFmtId="1" fontId="6" fillId="0" borderId="0" xfId="1" applyNumberFormat="1" applyFont="1" applyFill="1" applyAlignment="1" applyProtection="1">
      <alignment horizontal="left" vertical="center"/>
      <protection locked="0"/>
    </xf>
    <xf numFmtId="3" fontId="14" fillId="3" borderId="0" xfId="1" applyNumberFormat="1" applyFont="1" applyFill="1" applyBorder="1"/>
    <xf numFmtId="3" fontId="17" fillId="3" borderId="0" xfId="1" applyNumberFormat="1" applyFont="1" applyFill="1" applyBorder="1"/>
    <xf numFmtId="0" fontId="25" fillId="3" borderId="0" xfId="0" applyFont="1" applyFill="1" applyAlignment="1">
      <alignment horizontal="left" wrapText="1"/>
    </xf>
    <xf numFmtId="0" fontId="27" fillId="0" borderId="0" xfId="0" applyFont="1" applyAlignment="1">
      <alignment horizontal="left" vertical="center"/>
    </xf>
    <xf numFmtId="0" fontId="27" fillId="0" borderId="0" xfId="0" applyFont="1"/>
    <xf numFmtId="0" fontId="28" fillId="0" borderId="0" xfId="0" applyFont="1" applyAlignment="1">
      <alignment horizontal="left" vertical="center"/>
    </xf>
    <xf numFmtId="0" fontId="13" fillId="3" borderId="5" xfId="0" applyFont="1" applyFill="1" applyBorder="1" applyProtection="1">
      <protection locked="0"/>
    </xf>
    <xf numFmtId="0" fontId="28" fillId="0" borderId="0" xfId="0" applyFont="1"/>
    <xf numFmtId="0" fontId="29" fillId="3" borderId="5" xfId="0" applyFont="1" applyFill="1" applyBorder="1"/>
    <xf numFmtId="0" fontId="30" fillId="3" borderId="5" xfId="0" applyFont="1" applyFill="1" applyBorder="1"/>
    <xf numFmtId="3" fontId="13" fillId="3" borderId="0" xfId="0" applyNumberFormat="1" applyFont="1" applyFill="1"/>
    <xf numFmtId="3" fontId="12" fillId="3" borderId="0" xfId="0" applyNumberFormat="1" applyFont="1" applyFill="1"/>
    <xf numFmtId="0" fontId="25" fillId="3" borderId="0" xfId="0" applyFont="1" applyFill="1"/>
    <xf numFmtId="3" fontId="2" fillId="3" borderId="0" xfId="0" applyNumberFormat="1" applyFont="1" applyFill="1"/>
    <xf numFmtId="3" fontId="16" fillId="3" borderId="0" xfId="0" applyNumberFormat="1" applyFont="1" applyFill="1"/>
    <xf numFmtId="1" fontId="3" fillId="0" borderId="5" xfId="0" applyNumberFormat="1" applyFont="1" applyBorder="1" applyAlignment="1">
      <alignment horizontal="right"/>
    </xf>
    <xf numFmtId="164" fontId="31" fillId="6" borderId="0" xfId="1" applyNumberFormat="1" applyFont="1" applyFill="1" applyBorder="1"/>
    <xf numFmtId="0" fontId="13" fillId="3" borderId="5" xfId="0" applyFont="1" applyFill="1" applyBorder="1" applyAlignment="1">
      <alignment horizontal="right"/>
    </xf>
    <xf numFmtId="167" fontId="14" fillId="3" borderId="0" xfId="1" applyNumberFormat="1" applyFont="1" applyFill="1" applyProtection="1">
      <protection locked="0"/>
    </xf>
    <xf numFmtId="170" fontId="0" fillId="0" borderId="0" xfId="0" applyNumberFormat="1"/>
    <xf numFmtId="2" fontId="13" fillId="3" borderId="5" xfId="0" applyNumberFormat="1" applyFont="1" applyFill="1" applyBorder="1" applyAlignment="1">
      <alignment wrapText="1"/>
    </xf>
    <xf numFmtId="0" fontId="12" fillId="7" borderId="5" xfId="0" applyFont="1" applyFill="1" applyBorder="1"/>
    <xf numFmtId="0" fontId="16" fillId="7" borderId="5" xfId="0" applyFont="1" applyFill="1" applyBorder="1"/>
    <xf numFmtId="9" fontId="22" fillId="0" borderId="0" xfId="0" applyNumberFormat="1" applyFont="1"/>
    <xf numFmtId="170" fontId="22" fillId="3" borderId="0" xfId="0" applyNumberFormat="1" applyFont="1" applyFill="1"/>
    <xf numFmtId="2" fontId="22" fillId="3" borderId="0" xfId="0" applyNumberFormat="1" applyFont="1" applyFill="1"/>
    <xf numFmtId="3" fontId="23" fillId="0" borderId="0" xfId="1" applyNumberFormat="1" applyFont="1" applyFill="1" applyAlignment="1" applyProtection="1">
      <alignment vertical="center"/>
      <protection locked="0"/>
    </xf>
    <xf numFmtId="3" fontId="23" fillId="3" borderId="4" xfId="1" applyNumberFormat="1" applyFont="1" applyFill="1" applyBorder="1"/>
    <xf numFmtId="3" fontId="23" fillId="3" borderId="0" xfId="1" applyNumberFormat="1" applyFont="1" applyFill="1" applyBorder="1"/>
    <xf numFmtId="3" fontId="32" fillId="0" borderId="0" xfId="1" applyNumberFormat="1" applyFont="1" applyFill="1" applyAlignment="1" applyProtection="1">
      <alignment vertical="center"/>
      <protection locked="0"/>
    </xf>
    <xf numFmtId="3" fontId="32" fillId="3" borderId="0" xfId="1" applyNumberFormat="1" applyFont="1" applyFill="1" applyBorder="1"/>
    <xf numFmtId="3" fontId="23" fillId="0" borderId="0" xfId="1" applyNumberFormat="1" applyFont="1" applyFill="1" applyProtection="1">
      <protection locked="0"/>
    </xf>
    <xf numFmtId="3" fontId="32" fillId="0" borderId="0" xfId="1" applyNumberFormat="1" applyFont="1" applyFill="1" applyProtection="1">
      <protection locked="0"/>
    </xf>
    <xf numFmtId="171" fontId="23" fillId="0" borderId="0" xfId="1" applyNumberFormat="1" applyFont="1" applyFill="1" applyProtection="1">
      <protection locked="0"/>
    </xf>
    <xf numFmtId="171" fontId="32" fillId="0" borderId="0" xfId="1" applyNumberFormat="1" applyFont="1" applyFill="1" applyProtection="1">
      <protection locked="0"/>
    </xf>
    <xf numFmtId="2" fontId="32" fillId="0" borderId="0" xfId="1" applyNumberFormat="1" applyFont="1" applyFill="1" applyProtection="1">
      <protection locked="0"/>
    </xf>
    <xf numFmtId="0" fontId="2" fillId="0" borderId="5" xfId="0" applyFont="1" applyBorder="1" applyProtection="1">
      <protection locked="0"/>
    </xf>
    <xf numFmtId="2" fontId="23" fillId="0" borderId="0" xfId="1" applyNumberFormat="1" applyFont="1" applyFill="1" applyProtection="1">
      <protection locked="0"/>
    </xf>
    <xf numFmtId="2" fontId="33" fillId="0" borderId="0" xfId="1" applyNumberFormat="1" applyFont="1" applyFill="1" applyProtection="1">
      <protection locked="0"/>
    </xf>
    <xf numFmtId="2" fontId="23" fillId="3" borderId="0" xfId="1" applyNumberFormat="1" applyFont="1" applyFill="1"/>
    <xf numFmtId="2" fontId="23" fillId="3" borderId="5" xfId="1" applyNumberFormat="1" applyFont="1" applyFill="1" applyBorder="1"/>
    <xf numFmtId="2" fontId="34" fillId="0" borderId="0" xfId="1" applyNumberFormat="1" applyFont="1" applyFill="1" applyProtection="1">
      <protection locked="0"/>
    </xf>
    <xf numFmtId="2" fontId="32" fillId="3" borderId="0" xfId="1" applyNumberFormat="1" applyFont="1" applyFill="1"/>
    <xf numFmtId="2" fontId="32" fillId="3" borderId="0" xfId="1" applyNumberFormat="1" applyFont="1" applyFill="1" applyBorder="1"/>
    <xf numFmtId="0" fontId="13" fillId="7" borderId="5" xfId="0" applyFont="1" applyFill="1" applyBorder="1"/>
    <xf numFmtId="0" fontId="2" fillId="7" borderId="5" xfId="0" applyFont="1" applyFill="1" applyBorder="1"/>
    <xf numFmtId="0" fontId="2" fillId="3" borderId="5" xfId="0" applyFont="1" applyFill="1" applyBorder="1" applyProtection="1">
      <protection locked="0"/>
    </xf>
    <xf numFmtId="3" fontId="32" fillId="0" borderId="5" xfId="1" applyNumberFormat="1" applyFont="1" applyFill="1" applyBorder="1" applyAlignment="1" applyProtection="1">
      <alignment vertical="center"/>
      <protection locked="0"/>
    </xf>
    <xf numFmtId="0" fontId="27" fillId="0" borderId="5" xfId="0" applyFont="1" applyBorder="1"/>
    <xf numFmtId="0" fontId="0" fillId="0" borderId="5" xfId="0" applyBorder="1" applyProtection="1">
      <protection locked="0"/>
    </xf>
    <xf numFmtId="3" fontId="23" fillId="0" borderId="5" xfId="1" applyNumberFormat="1" applyFont="1" applyFill="1" applyBorder="1" applyProtection="1">
      <protection locked="0"/>
    </xf>
    <xf numFmtId="3" fontId="14" fillId="0" borderId="5" xfId="1" applyNumberFormat="1" applyFont="1" applyFill="1" applyBorder="1" applyProtection="1">
      <protection locked="0"/>
    </xf>
    <xf numFmtId="0" fontId="28" fillId="0" borderId="5" xfId="0" applyFont="1" applyBorder="1"/>
    <xf numFmtId="3" fontId="32" fillId="0" borderId="5" xfId="1" applyNumberFormat="1" applyFont="1" applyFill="1" applyBorder="1" applyProtection="1">
      <protection locked="0"/>
    </xf>
    <xf numFmtId="0" fontId="23" fillId="0" borderId="0" xfId="1" applyNumberFormat="1" applyFont="1" applyFill="1" applyAlignment="1" applyProtection="1">
      <alignment horizontal="left" vertical="center"/>
      <protection locked="0"/>
    </xf>
    <xf numFmtId="0" fontId="32" fillId="0" borderId="0" xfId="0" applyFont="1" applyAlignment="1" applyProtection="1">
      <alignment horizontal="left"/>
      <protection locked="0"/>
    </xf>
    <xf numFmtId="0" fontId="23" fillId="0" borderId="0" xfId="1" applyNumberFormat="1" applyFont="1" applyFill="1" applyAlignment="1" applyProtection="1">
      <alignment horizontal="left"/>
      <protection locked="0"/>
    </xf>
    <xf numFmtId="3" fontId="32" fillId="0" borderId="0" xfId="1" applyNumberFormat="1" applyFont="1" applyFill="1" applyAlignment="1" applyProtection="1">
      <alignment horizontal="left"/>
      <protection locked="0"/>
    </xf>
    <xf numFmtId="3" fontId="32" fillId="0" borderId="0" xfId="0" applyNumberFormat="1" applyFont="1" applyAlignment="1" applyProtection="1">
      <alignment horizontal="left"/>
      <protection locked="0"/>
    </xf>
    <xf numFmtId="0" fontId="13" fillId="0" borderId="0" xfId="1" applyNumberFormat="1" applyFont="1" applyFill="1" applyAlignment="1" applyProtection="1">
      <alignment horizontal="left"/>
      <protection locked="0"/>
    </xf>
    <xf numFmtId="0" fontId="2" fillId="0" borderId="0" xfId="1" applyNumberFormat="1" applyFont="1" applyFill="1" applyProtection="1">
      <protection locked="0"/>
    </xf>
    <xf numFmtId="0" fontId="32" fillId="0" borderId="0" xfId="1" applyNumberFormat="1" applyFont="1" applyFill="1" applyAlignment="1" applyProtection="1">
      <alignment horizontal="left"/>
      <protection locked="0"/>
    </xf>
    <xf numFmtId="171" fontId="32" fillId="5" borderId="8" xfId="1" applyNumberFormat="1" applyFont="1" applyFill="1" applyBorder="1"/>
    <xf numFmtId="0" fontId="32" fillId="5" borderId="8" xfId="1" applyNumberFormat="1" applyFont="1" applyFill="1" applyBorder="1" applyAlignment="1">
      <alignment horizontal="left"/>
    </xf>
    <xf numFmtId="171" fontId="23" fillId="5" borderId="8" xfId="1" applyNumberFormat="1" applyFont="1" applyFill="1" applyBorder="1"/>
    <xf numFmtId="0" fontId="23" fillId="5" borderId="8" xfId="1" applyNumberFormat="1" applyFont="1" applyFill="1" applyBorder="1" applyAlignment="1">
      <alignment horizontal="left"/>
    </xf>
    <xf numFmtId="171" fontId="13" fillId="5" borderId="8" xfId="1" applyNumberFormat="1" applyFont="1" applyFill="1" applyBorder="1"/>
    <xf numFmtId="171" fontId="2" fillId="5" borderId="7" xfId="1" applyNumberFormat="1" applyFont="1" applyFill="1" applyBorder="1"/>
    <xf numFmtId="171" fontId="2" fillId="5" borderId="8" xfId="1" applyNumberFormat="1" applyFont="1" applyFill="1" applyBorder="1"/>
    <xf numFmtId="0" fontId="32" fillId="3" borderId="0" xfId="0" applyFont="1" applyFill="1"/>
    <xf numFmtId="6" fontId="0" fillId="0" borderId="0" xfId="0" applyNumberFormat="1"/>
    <xf numFmtId="0" fontId="2" fillId="3" borderId="5" xfId="0" applyFont="1" applyFill="1" applyBorder="1" applyAlignment="1">
      <alignment horizontal="right"/>
    </xf>
    <xf numFmtId="2" fontId="13" fillId="3" borderId="0" xfId="0" applyNumberFormat="1" applyFont="1" applyFill="1" applyAlignment="1">
      <alignment wrapText="1"/>
    </xf>
    <xf numFmtId="2" fontId="32" fillId="3" borderId="0" xfId="0" applyNumberFormat="1" applyFont="1" applyFill="1" applyProtection="1">
      <protection locked="0"/>
    </xf>
    <xf numFmtId="3" fontId="13" fillId="3" borderId="0" xfId="0" applyNumberFormat="1" applyFont="1" applyFill="1" applyAlignment="1">
      <alignment wrapText="1"/>
    </xf>
    <xf numFmtId="3" fontId="13" fillId="3" borderId="5" xfId="0" applyNumberFormat="1" applyFont="1" applyFill="1" applyBorder="1" applyAlignment="1">
      <alignment wrapText="1"/>
    </xf>
    <xf numFmtId="2" fontId="32" fillId="3" borderId="5" xfId="0" applyNumberFormat="1" applyFont="1" applyFill="1" applyBorder="1" applyProtection="1">
      <protection locked="0"/>
    </xf>
    <xf numFmtId="3" fontId="2" fillId="3" borderId="0" xfId="0" applyNumberFormat="1" applyFont="1" applyFill="1" applyProtection="1">
      <protection locked="0"/>
    </xf>
    <xf numFmtId="3" fontId="2" fillId="3" borderId="5" xfId="0" applyNumberFormat="1" applyFont="1" applyFill="1" applyBorder="1" applyProtection="1">
      <protection locked="0"/>
    </xf>
    <xf numFmtId="2" fontId="32" fillId="3" borderId="5" xfId="1" applyNumberFormat="1" applyFont="1" applyFill="1" applyBorder="1"/>
    <xf numFmtId="2" fontId="14" fillId="0" borderId="5" xfId="1" applyNumberFormat="1" applyFont="1" applyFill="1" applyBorder="1"/>
    <xf numFmtId="0" fontId="2" fillId="0" borderId="0" xfId="1" applyNumberFormat="1" applyFont="1" applyFill="1" applyAlignment="1" applyProtection="1">
      <alignment horizontal="left"/>
      <protection locked="0"/>
    </xf>
    <xf numFmtId="0" fontId="13" fillId="0" borderId="0" xfId="0" applyFont="1"/>
    <xf numFmtId="0" fontId="23" fillId="0" borderId="0" xfId="0" applyFont="1" applyAlignment="1" applyProtection="1">
      <alignment horizontal="left"/>
      <protection locked="0"/>
    </xf>
    <xf numFmtId="0" fontId="13" fillId="0" borderId="5" xfId="0" applyFont="1" applyBorder="1" applyProtection="1">
      <protection locked="0"/>
    </xf>
    <xf numFmtId="0" fontId="23" fillId="0" borderId="0" xfId="0" applyFont="1" applyAlignment="1">
      <alignment horizontal="left"/>
    </xf>
    <xf numFmtId="0" fontId="22" fillId="0" borderId="0" xfId="0" applyFont="1"/>
    <xf numFmtId="2" fontId="23" fillId="0" borderId="0" xfId="1" applyNumberFormat="1" applyFont="1" applyFill="1" applyBorder="1" applyProtection="1">
      <protection locked="0"/>
    </xf>
    <xf numFmtId="0" fontId="23" fillId="3" borderId="0" xfId="0" applyFont="1" applyFill="1" applyAlignment="1">
      <alignment horizontal="left"/>
    </xf>
    <xf numFmtId="2" fontId="23" fillId="3" borderId="0" xfId="1" applyNumberFormat="1" applyFont="1" applyFill="1" applyProtection="1">
      <protection locked="0"/>
    </xf>
    <xf numFmtId="0" fontId="23" fillId="3" borderId="5" xfId="0" applyFont="1" applyFill="1" applyBorder="1" applyAlignment="1">
      <alignment horizontal="left"/>
    </xf>
    <xf numFmtId="2" fontId="32" fillId="0" borderId="0" xfId="1" applyNumberFormat="1" applyFont="1" applyFill="1" applyBorder="1" applyProtection="1">
      <protection locked="0"/>
    </xf>
    <xf numFmtId="0" fontId="22" fillId="3" borderId="0" xfId="0" applyFont="1" applyFill="1"/>
    <xf numFmtId="2" fontId="32" fillId="3" borderId="0" xfId="1" applyNumberFormat="1" applyFont="1" applyFill="1" applyProtection="1">
      <protection locked="0"/>
    </xf>
    <xf numFmtId="0" fontId="35" fillId="3" borderId="0" xfId="0" applyFont="1" applyFill="1"/>
    <xf numFmtId="3" fontId="23" fillId="0" borderId="0" xfId="0" applyNumberFormat="1" applyFont="1"/>
    <xf numFmtId="3" fontId="32" fillId="0" borderId="0" xfId="0" applyNumberFormat="1" applyFont="1"/>
    <xf numFmtId="1" fontId="3" fillId="3" borderId="5" xfId="0" applyNumberFormat="1" applyFont="1" applyFill="1" applyBorder="1" applyAlignment="1">
      <alignment horizontal="right"/>
    </xf>
    <xf numFmtId="0" fontId="7" fillId="3" borderId="0" xfId="0" applyFont="1" applyFill="1" applyAlignment="1">
      <alignment horizontal="left" indent="1"/>
    </xf>
    <xf numFmtId="0" fontId="0" fillId="8" borderId="0" xfId="0" applyFill="1"/>
    <xf numFmtId="14" fontId="0" fillId="3" borderId="0" xfId="0" applyNumberFormat="1" applyFill="1"/>
    <xf numFmtId="1" fontId="0" fillId="0" borderId="6" xfId="0" applyNumberFormat="1" applyBorder="1" applyAlignment="1">
      <alignment horizontal="left"/>
    </xf>
    <xf numFmtId="1" fontId="0" fillId="0" borderId="6" xfId="0" applyNumberFormat="1" applyBorder="1"/>
    <xf numFmtId="2" fontId="23" fillId="0" borderId="0" xfId="0" applyNumberFormat="1" applyFont="1" applyAlignment="1">
      <alignment wrapText="1"/>
    </xf>
    <xf numFmtId="2" fontId="32" fillId="0" borderId="0" xfId="0" applyNumberFormat="1" applyFont="1" applyAlignment="1">
      <alignment wrapText="1"/>
    </xf>
    <xf numFmtId="0" fontId="32" fillId="0" borderId="0" xfId="0" applyFont="1" applyAlignment="1">
      <alignment horizontal="left" wrapText="1"/>
    </xf>
    <xf numFmtId="3" fontId="2" fillId="3" borderId="5" xfId="0" applyNumberFormat="1" applyFont="1" applyFill="1" applyBorder="1"/>
    <xf numFmtId="0" fontId="0" fillId="3" borderId="6" xfId="0" applyFill="1" applyBorder="1"/>
    <xf numFmtId="0" fontId="0" fillId="0" borderId="6" xfId="0" applyBorder="1" applyAlignment="1">
      <alignment horizontal="center"/>
    </xf>
    <xf numFmtId="0" fontId="0" fillId="0" borderId="9" xfId="0" applyBorder="1"/>
    <xf numFmtId="3" fontId="0" fillId="0" borderId="9" xfId="0" applyNumberFormat="1" applyBorder="1"/>
    <xf numFmtId="172" fontId="0" fillId="0" borderId="6" xfId="0" applyNumberFormat="1" applyBorder="1"/>
    <xf numFmtId="9" fontId="0" fillId="0" borderId="6" xfId="2" applyFont="1" applyBorder="1"/>
    <xf numFmtId="0" fontId="3" fillId="3" borderId="0" xfId="0" applyFont="1" applyFill="1" applyAlignment="1">
      <alignment horizontal="right"/>
    </xf>
    <xf numFmtId="6" fontId="0" fillId="4" borderId="0" xfId="0" applyNumberFormat="1" applyFill="1"/>
    <xf numFmtId="165" fontId="0" fillId="0" borderId="5" xfId="0" applyNumberFormat="1" applyBorder="1"/>
    <xf numFmtId="2" fontId="31" fillId="0" borderId="0" xfId="2" applyNumberFormat="1" applyFont="1" applyFill="1" applyBorder="1"/>
    <xf numFmtId="1" fontId="31" fillId="0" borderId="0" xfId="0" applyNumberFormat="1" applyFont="1"/>
    <xf numFmtId="0" fontId="0" fillId="8" borderId="0" xfId="0" applyFill="1" applyAlignment="1">
      <alignment horizontal="left"/>
    </xf>
    <xf numFmtId="0" fontId="0" fillId="8" borderId="0" xfId="0" applyFill="1" applyAlignment="1">
      <alignment horizontal="left" indent="1"/>
    </xf>
    <xf numFmtId="0" fontId="3" fillId="8" borderId="0" xfId="0" applyFont="1" applyFill="1"/>
    <xf numFmtId="173" fontId="0" fillId="0" borderId="0" xfId="2" applyNumberFormat="1" applyFont="1"/>
    <xf numFmtId="173" fontId="22" fillId="3" borderId="0" xfId="0" applyNumberFormat="1" applyFont="1" applyFill="1"/>
    <xf numFmtId="10" fontId="0" fillId="0" borderId="0" xfId="0" applyNumberFormat="1"/>
    <xf numFmtId="0" fontId="13" fillId="5" borderId="8" xfId="1" applyNumberFormat="1" applyFont="1" applyFill="1" applyBorder="1"/>
    <xf numFmtId="0" fontId="2" fillId="5" borderId="8" xfId="1" applyNumberFormat="1" applyFont="1" applyFill="1" applyBorder="1"/>
    <xf numFmtId="0" fontId="25" fillId="3" borderId="0" xfId="0" applyFont="1" applyFill="1" applyAlignment="1">
      <alignment horizontal="left" wrapText="1"/>
    </xf>
    <xf numFmtId="0" fontId="0" fillId="0" borderId="10" xfId="0" applyBorder="1"/>
    <xf numFmtId="9" fontId="0" fillId="0" borderId="10" xfId="0" applyNumberFormat="1" applyBorder="1" applyAlignment="1">
      <alignment horizontal="right"/>
    </xf>
  </cellXfs>
  <cellStyles count="3">
    <cellStyle name="Comma" xfId="1" builtinId="3"/>
    <cellStyle name="Normal" xfId="0" builtinId="0"/>
    <cellStyle name="Percent" xfId="2" builtinId="5"/>
  </cellStyles>
  <dxfs count="865">
    <dxf>
      <border outline="0">
        <bottom style="thin">
          <color indexed="64"/>
        </bottom>
      </border>
    </dxf>
    <dxf>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bottom style="thin">
          <color indexed="64"/>
        </bottom>
      </border>
    </dxf>
    <dxf>
      <fill>
        <patternFill patternType="solid">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bgColor theme="0"/>
        </patternFill>
      </fill>
    </dxf>
    <dxf>
      <font>
        <color theme="2"/>
      </font>
    </dxf>
    <dxf>
      <fill>
        <patternFill>
          <bgColor theme="0" tint="-4.9989318521683403E-2"/>
        </patternFill>
      </fill>
    </dxf>
    <dxf>
      <font>
        <color theme="2"/>
      </font>
    </dxf>
    <dxf>
      <font>
        <color theme="0" tint="-0.34998626667073579"/>
      </font>
    </dxf>
    <dxf>
      <font>
        <color theme="0" tint="-0.34998626667073579"/>
      </font>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alignment horizontal="general" vertical="bottom" textRotation="0" wrapText="1" indent="0" justifyLastLine="0" shrinkToFit="0" readingOrder="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00B050"/>
        <name val="Aptos Narrow"/>
        <family val="2"/>
        <scheme val="minor"/>
      </font>
      <numFmt numFmtId="2" formatCode="0.00"/>
      <alignment horizontal="general" vertical="bottom" textRotation="0" wrapText="1" indent="0" justifyLastLine="0" shrinkToFit="0" readingOrder="0"/>
    </dxf>
    <dxf>
      <font>
        <b val="0"/>
        <i val="0"/>
        <strike val="0"/>
        <condense val="0"/>
        <extend val="0"/>
        <outline val="0"/>
        <shadow val="0"/>
        <u val="none"/>
        <vertAlign val="baseline"/>
        <sz val="10"/>
        <color rgb="FFFF0000"/>
        <name val="Aptos Narrow"/>
        <family val="2"/>
        <scheme val="minor"/>
      </font>
      <alignment horizontal="left" vertical="bottom" textRotation="0" wrapText="1" indent="0" justifyLastLine="0" shrinkToFit="0" readingOrder="0"/>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protection locked="0" hidden="0"/>
    </dxf>
    <dxf>
      <font>
        <b val="0"/>
        <i val="0"/>
        <strike val="0"/>
        <condense val="0"/>
        <extend val="0"/>
        <outline val="0"/>
        <shadow val="0"/>
        <u val="none"/>
        <vertAlign val="baseline"/>
        <sz val="10"/>
        <color rgb="FF00B050"/>
        <name val="Aptos Narrow"/>
        <family val="2"/>
        <scheme val="minor"/>
      </font>
      <alignment horizontal="general" vertical="bottom" textRotation="0" wrapText="1" indent="0" justifyLastLine="0" shrinkToFit="0" readingOrder="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2" formatCode="0.00"/>
      <fill>
        <patternFill patternType="none">
          <fgColor indexed="64"/>
          <bgColor indexed="65"/>
        </patternFill>
      </fill>
      <protection locked="0" hidden="0"/>
    </dxf>
    <dxf>
      <font>
        <strike val="0"/>
        <outline val="0"/>
        <shadow val="0"/>
        <vertAlign val="baseline"/>
        <sz val="10"/>
        <name val="Aptos Narrow"/>
        <family val="2"/>
        <scheme val="minor"/>
      </font>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indexed="64"/>
          <bgColor theme="0" tint="-4.9989318521683403E-2"/>
        </patternFill>
      </fill>
      <protection locked="0" hidden="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protection locked="0" hidden="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protection locked="0" hidden="0"/>
    </dxf>
    <dxf>
      <border outline="0">
        <bottom style="thin">
          <color indexed="64"/>
        </bottom>
      </border>
    </dxf>
    <dxf>
      <font>
        <b val="0"/>
        <i val="0"/>
        <strike val="0"/>
        <condense val="0"/>
        <extend val="0"/>
        <outline val="0"/>
        <shadow val="0"/>
        <u val="none"/>
        <vertAlign val="baseline"/>
        <sz val="9"/>
        <color rgb="FFFF0000"/>
        <name val="Aptos Narrow"/>
        <family val="2"/>
        <scheme val="minor"/>
      </font>
      <fill>
        <patternFill patternType="none">
          <fgColor indexed="64"/>
          <bgColor indexed="65"/>
        </patternFill>
      </fill>
      <protection locked="0" hidden="0"/>
    </dxf>
    <dxf>
      <border outline="0">
        <bottom style="thin">
          <color indexed="64"/>
        </bottom>
      </border>
    </dxf>
    <dxf>
      <font>
        <strike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2" formatCode="0.0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alignment horizontal="left" vertical="bottom" textRotation="0" wrapText="0" indent="0" justifyLastLine="0" shrinkToFit="0" readingOrder="0"/>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indexed="64"/>
          <bgColor theme="0" tint="-4.9989318521683403E-2"/>
        </patternFill>
      </fill>
      <protection locked="0" hidden="0"/>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protection locked="0" hidden="0"/>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protection locked="0" hidden="0"/>
    </dxf>
    <dxf>
      <border outline="0">
        <bottom style="thin">
          <color indexed="64"/>
        </bottom>
      </border>
    </dxf>
    <dxf>
      <font>
        <b val="0"/>
        <i val="0"/>
        <strike val="0"/>
        <condense val="0"/>
        <extend val="0"/>
        <outline val="0"/>
        <shadow val="0"/>
        <u val="none"/>
        <vertAlign val="baseline"/>
        <sz val="9"/>
        <color rgb="FF00B050"/>
        <name val="Aptos Narrow"/>
        <family val="2"/>
        <scheme val="minor"/>
      </font>
      <fill>
        <patternFill patternType="none">
          <fgColor indexed="64"/>
          <bgColor indexed="65"/>
        </patternFill>
      </fill>
      <protection locked="0" hidden="0"/>
    </dxf>
    <dxf>
      <border outline="0">
        <bottom style="thin">
          <color indexed="64"/>
        </bottom>
      </border>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FF000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FF0000"/>
        <name val="Aptos Narrow"/>
        <family val="2"/>
        <scheme val="minor"/>
      </font>
      <numFmt numFmtId="171" formatCode="#,##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FF0000"/>
        <name val="Aptos Narrow"/>
        <family val="2"/>
        <scheme val="minor"/>
      </font>
      <numFmt numFmtId="171" formatCode="#,##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FF000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rgb="FFFF0000"/>
        <name val="Aptos Narrow"/>
        <family val="2"/>
        <scheme val="minor"/>
      </font>
      <numFmt numFmtId="171" formatCode="#,##0.0"/>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font>
        <b val="0"/>
        <i val="0"/>
        <strike val="0"/>
        <condense val="0"/>
        <extend val="0"/>
        <outline val="0"/>
        <shadow val="0"/>
        <u val="none"/>
        <vertAlign val="baseline"/>
        <sz val="10"/>
        <color rgb="FFFF0000"/>
        <name val="Aptos Narrow"/>
        <family val="2"/>
        <scheme val="minor"/>
      </font>
      <fill>
        <patternFill patternType="solid">
          <fgColor theme="4" tint="0.79998168889431442"/>
          <bgColor theme="4" tint="0.79998168889431442"/>
        </patternFill>
      </fill>
    </dxf>
    <dxf>
      <border outline="0">
        <bottom style="thin">
          <color indexed="64"/>
        </bottom>
      </border>
    </dxf>
    <dxf>
      <font>
        <strike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171" formatCode="#,##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rgb="FF00B050"/>
        <name val="Aptos Narrow"/>
        <family val="2"/>
        <scheme val="minor"/>
      </font>
      <numFmt numFmtId="0" formatCode="General"/>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B050"/>
        <name val="Aptos Narrow"/>
        <family val="2"/>
        <scheme val="minor"/>
      </font>
      <numFmt numFmtId="0" formatCode="General"/>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B050"/>
        <name val="Aptos Narrow"/>
        <family val="2"/>
        <scheme val="minor"/>
      </font>
      <numFmt numFmtId="171" formatCode="#,##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B050"/>
        <name val="Aptos Narrow"/>
        <family val="2"/>
        <scheme val="minor"/>
      </font>
      <numFmt numFmtId="171" formatCode="#,##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B050"/>
        <name val="Aptos Narrow"/>
        <family val="2"/>
        <scheme val="minor"/>
      </font>
      <numFmt numFmtId="171" formatCode="#,##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rgb="FF00B050"/>
        <name val="Aptos Narrow"/>
        <family val="2"/>
        <scheme val="minor"/>
      </font>
      <numFmt numFmtId="171" formatCode="#,##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font>
        <b val="0"/>
        <i val="0"/>
        <strike val="0"/>
        <condense val="0"/>
        <extend val="0"/>
        <outline val="0"/>
        <shadow val="0"/>
        <u val="none"/>
        <vertAlign val="baseline"/>
        <sz val="10"/>
        <color rgb="FF00B050"/>
        <name val="Aptos Narrow"/>
        <family val="2"/>
        <scheme val="minor"/>
      </font>
      <fill>
        <patternFill patternType="solid">
          <fgColor theme="4" tint="0.79998168889431442"/>
          <bgColor theme="4" tint="0.79998168889431442"/>
        </patternFill>
      </fill>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b val="0"/>
        <i val="0"/>
        <strike val="0"/>
        <condense val="0"/>
        <extend val="0"/>
        <outline val="0"/>
        <shadow val="0"/>
        <u val="none"/>
        <vertAlign val="baseline"/>
        <sz val="10"/>
        <color rgb="FFFF0000"/>
        <name val="Aptos Narrow"/>
        <family val="2"/>
        <scheme val="minor"/>
      </font>
      <numFmt numFmtId="3" formatCode="#,##0"/>
    </dxf>
    <dxf>
      <font>
        <strike val="0"/>
        <outline val="0"/>
        <shadow val="0"/>
        <u val="none"/>
        <vertAlign val="baseline"/>
        <sz val="10"/>
        <name val="Aptos Narrow"/>
        <family val="2"/>
        <scheme val="minor"/>
      </font>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alignment horizontal="general" vertical="bottom" textRotation="0" wrapText="1" indent="0" justifyLastLine="0" shrinkToFit="0" readingOrder="0"/>
    </dxf>
    <dxf>
      <font>
        <b val="0"/>
        <i val="0"/>
        <strike val="0"/>
        <condense val="0"/>
        <extend val="0"/>
        <outline val="0"/>
        <shadow val="0"/>
        <u val="none"/>
        <vertAlign val="baseline"/>
        <sz val="11"/>
        <color rgb="FFFF000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FF0000"/>
        <name val="Aptos Narrow"/>
        <family val="2"/>
        <scheme val="minor"/>
      </font>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b val="0"/>
        <i val="0"/>
        <strike val="0"/>
        <condense val="0"/>
        <extend val="0"/>
        <outline val="0"/>
        <shadow val="0"/>
        <u val="none"/>
        <vertAlign val="baseline"/>
        <sz val="10"/>
        <color rgb="FF00B050"/>
        <name val="Aptos Narrow"/>
        <family val="2"/>
        <scheme val="minor"/>
      </font>
      <numFmt numFmtId="3" formatCode="#,##0"/>
    </dxf>
    <dxf>
      <font>
        <strike val="0"/>
        <outline val="0"/>
        <shadow val="0"/>
        <u val="none"/>
        <vertAlign val="baseline"/>
        <sz val="10"/>
        <name val="Aptos Narrow"/>
        <family val="2"/>
        <scheme val="minor"/>
      </font>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dxf>
    <dxf>
      <font>
        <strike val="0"/>
        <outline val="0"/>
        <shadow val="0"/>
        <u val="none"/>
        <vertAlign val="baseline"/>
        <sz val="11"/>
        <color rgb="FF00B050"/>
        <name val="Aptos Narrow"/>
        <family val="2"/>
        <scheme val="minor"/>
      </font>
      <fill>
        <patternFill patternType="solid">
          <fgColor indexed="64"/>
          <bgColor theme="0" tint="-4.9989318521683403E-2"/>
        </patternFill>
      </fill>
    </dxf>
    <dxf>
      <font>
        <b val="0"/>
        <i val="0"/>
        <strike val="0"/>
        <condense val="0"/>
        <extend val="0"/>
        <outline val="0"/>
        <shadow val="0"/>
        <u val="none"/>
        <vertAlign val="baseline"/>
        <sz val="11"/>
        <color rgb="FF00B050"/>
        <name val="Aptos Narrow"/>
        <family val="2"/>
        <scheme val="minor"/>
      </font>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FF000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10"/>
        <color rgb="FFFF0000"/>
        <name val="Aptos Narrow"/>
        <family val="2"/>
        <scheme val="minor"/>
      </font>
      <numFmt numFmtId="0" formatCode="Genera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FF0000"/>
        <name val="Aptos Narrow"/>
        <family val="2"/>
        <scheme val="minor"/>
      </font>
      <numFmt numFmtId="0" formatCode="General"/>
      <protection locked="0" hidden="0"/>
    </dxf>
    <dxf>
      <font>
        <b val="0"/>
        <i val="0"/>
        <strike val="0"/>
        <condense val="0"/>
        <extend val="0"/>
        <outline val="0"/>
        <shadow val="0"/>
        <u val="none"/>
        <vertAlign val="baseline"/>
        <sz val="11"/>
        <color rgb="FFFF0000"/>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1"/>
        <color rgb="FFFF0000"/>
        <name val="Aptos"/>
        <family val="2"/>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FF0000"/>
        <name val="Aptos Narrow"/>
        <family val="2"/>
        <scheme val="minor"/>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font>
        <b val="0"/>
        <i val="0"/>
        <strike val="0"/>
        <condense val="0"/>
        <extend val="0"/>
        <outline val="0"/>
        <shadow val="0"/>
        <u val="none"/>
        <vertAlign val="baseline"/>
        <sz val="9"/>
        <color rgb="FF00B050"/>
        <name val="Aptos Narrow"/>
        <family val="2"/>
        <scheme val="minor"/>
      </font>
      <numFmt numFmtId="3" formatCode="#,##0"/>
      <fill>
        <patternFill patternType="none">
          <fgColor indexed="64"/>
          <bgColor indexed="65"/>
        </patternFill>
      </fill>
      <alignment horizontal="general" vertical="center" textRotation="0" wrapText="0" indent="0" justifyLastLine="0" shrinkToFit="0" readingOrder="0"/>
      <protection locked="0" hidden="0"/>
    </dxf>
    <dxf>
      <numFmt numFmtId="0" formatCode="General"/>
      <alignment horizontal="left" vertical="center" textRotation="0" wrapText="0" indent="0" justifyLastLine="0" shrinkToFit="0" readingOrder="0"/>
      <protection locked="0" hidden="0"/>
    </dxf>
    <dxf>
      <font>
        <b val="0"/>
        <i val="0"/>
        <strike val="0"/>
        <condense val="0"/>
        <extend val="0"/>
        <outline val="0"/>
        <shadow val="0"/>
        <u val="none"/>
        <vertAlign val="baseline"/>
        <sz val="11"/>
        <color rgb="FF00B050"/>
        <name val="Aptos Narrow"/>
        <family val="2"/>
        <scheme val="minor"/>
      </font>
      <numFmt numFmtId="0" formatCode="General"/>
      <protection locked="0" hidden="0"/>
    </dxf>
    <dxf>
      <font>
        <b val="0"/>
        <i val="0"/>
        <strike val="0"/>
        <condense val="0"/>
        <extend val="0"/>
        <outline val="0"/>
        <shadow val="0"/>
        <u val="none"/>
        <vertAlign val="baseline"/>
        <sz val="11"/>
        <color rgb="FF00B050"/>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1"/>
        <color rgb="FF00B050"/>
        <name val="Aptos"/>
        <family val="2"/>
        <scheme val="none"/>
      </font>
      <alignment horizontal="left" vertical="center" textRotation="0" wrapText="0" indent="0" justifyLastLine="0" shrinkToFit="0" readingOrder="0"/>
    </dxf>
    <dxf>
      <font>
        <b val="0"/>
        <i val="0"/>
        <strike val="0"/>
        <condense val="0"/>
        <extend val="0"/>
        <outline val="0"/>
        <shadow val="0"/>
        <u val="none"/>
        <vertAlign val="baseline"/>
        <sz val="9"/>
        <color rgb="FF00B050"/>
        <name val="Aptos Narrow"/>
        <family val="2"/>
        <scheme val="minor"/>
      </font>
      <fill>
        <patternFill patternType="none">
          <fgColor indexed="64"/>
          <bgColor indexed="65"/>
        </patternFill>
      </fill>
      <alignment horizontal="general" vertical="center" textRotation="0" wrapText="0" indent="0" justifyLastLine="0" shrinkToFit="0" readingOrder="0"/>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FF0000"/>
        <name val="Aptos Narrow"/>
        <family val="2"/>
        <scheme val="minor"/>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FF0000"/>
        <name val="Aptos Narrow"/>
        <family val="2"/>
        <scheme val="minor"/>
      </font>
      <numFmt numFmtId="0" formatCode="General"/>
    </dxf>
    <dxf>
      <font>
        <b val="0"/>
        <i val="0"/>
        <strike val="0"/>
        <condense val="0"/>
        <extend val="0"/>
        <outline val="0"/>
        <shadow val="0"/>
        <u val="none"/>
        <vertAlign val="baseline"/>
        <sz val="11"/>
        <color rgb="FFFF0000"/>
        <name val="Aptos Narrow"/>
        <family val="2"/>
        <scheme val="minor"/>
      </font>
      <fill>
        <patternFill patternType="none">
          <fgColor indexed="64"/>
          <bgColor auto="1"/>
        </patternFill>
      </fill>
    </dxf>
    <dxf>
      <font>
        <b val="0"/>
        <i val="0"/>
        <strike val="0"/>
        <condense val="0"/>
        <extend val="0"/>
        <outline val="0"/>
        <shadow val="0"/>
        <u val="none"/>
        <vertAlign val="baseline"/>
        <sz val="11"/>
        <color rgb="FFFF0000"/>
        <name val="Aptos Narrow"/>
        <family val="2"/>
        <scheme val="minor"/>
      </font>
      <fill>
        <patternFill patternType="none">
          <fgColor indexed="64"/>
          <bgColor auto="1"/>
        </patternFill>
      </fill>
      <protection locked="0" hidden="0"/>
    </dxf>
    <dxf>
      <border outline="0">
        <bottom style="thin">
          <color indexed="64"/>
        </bottom>
      </border>
    </dxf>
    <dxf>
      <font>
        <b val="0"/>
        <i val="0"/>
        <strike val="0"/>
        <condense val="0"/>
        <extend val="0"/>
        <outline val="0"/>
        <shadow val="0"/>
        <u val="none"/>
        <vertAlign val="baseline"/>
        <sz val="9"/>
        <color rgb="FFFF0000"/>
        <name val="Aptos Narrow"/>
        <family val="2"/>
        <scheme val="minor"/>
      </font>
      <fill>
        <patternFill patternType="solid">
          <fgColor indexed="64"/>
          <bgColor theme="0" tint="-4.9989318521683403E-2"/>
        </patternFill>
      </fill>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auto="1"/>
        </patternFill>
      </fill>
      <protection locked="0" hidden="0"/>
    </dxf>
    <dxf>
      <font>
        <strike val="0"/>
        <outline val="0"/>
        <shadow val="0"/>
        <u val="none"/>
        <vertAlign val="baseline"/>
        <sz val="10"/>
        <color theme="1"/>
        <name val="Aptos Narrow"/>
        <family val="2"/>
        <scheme val="minor"/>
      </font>
      <numFmt numFmtId="0" formatCode="General"/>
      <fill>
        <patternFill patternType="none">
          <fgColor indexed="64"/>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00B050"/>
        <name val="Aptos Narrow"/>
        <family val="2"/>
        <scheme val="minor"/>
      </font>
      <numFmt numFmtId="0" formatCode="General"/>
    </dxf>
    <dxf>
      <font>
        <b val="0"/>
        <i val="0"/>
        <strike val="0"/>
        <condense val="0"/>
        <extend val="0"/>
        <outline val="0"/>
        <shadow val="0"/>
        <u val="none"/>
        <vertAlign val="baseline"/>
        <sz val="11"/>
        <color rgb="FF00B050"/>
        <name val="Aptos Narrow"/>
        <family val="2"/>
        <scheme val="minor"/>
      </font>
      <fill>
        <patternFill patternType="none">
          <fgColor indexed="64"/>
          <bgColor auto="1"/>
        </patternFill>
      </fill>
    </dxf>
    <dxf>
      <font>
        <b val="0"/>
        <i val="0"/>
        <strike val="0"/>
        <condense val="0"/>
        <extend val="0"/>
        <outline val="0"/>
        <shadow val="0"/>
        <u val="none"/>
        <vertAlign val="baseline"/>
        <sz val="11"/>
        <color rgb="FF00B050"/>
        <name val="Aptos Narrow"/>
        <family val="2"/>
        <scheme val="minor"/>
      </font>
      <fill>
        <patternFill patternType="none">
          <fgColor indexed="64"/>
          <bgColor auto="1"/>
        </patternFill>
      </fill>
      <protection locked="0" hidden="0"/>
    </dxf>
    <dxf>
      <border outline="0">
        <bottom style="thin">
          <color indexed="64"/>
        </bottom>
      </border>
    </dxf>
    <dxf>
      <font>
        <b val="0"/>
        <i val="0"/>
        <strike val="0"/>
        <condense val="0"/>
        <extend val="0"/>
        <outline val="0"/>
        <shadow val="0"/>
        <u val="none"/>
        <vertAlign val="baseline"/>
        <sz val="9"/>
        <color rgb="FF00B050"/>
        <name val="Aptos Narrow"/>
        <family val="2"/>
        <scheme val="minor"/>
      </font>
      <fill>
        <patternFill patternType="none">
          <fgColor indexed="64"/>
          <bgColor auto="1"/>
        </patternFill>
      </fill>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11"/>
        <color rgb="FFFF0000"/>
        <name val="Aptos Narrow"/>
        <family val="2"/>
        <scheme val="minor"/>
      </font>
      <numFmt numFmtId="0" formatCode="Genera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FF0000"/>
        <name val="Aptos Narrow"/>
        <family val="2"/>
        <scheme val="minor"/>
      </font>
      <numFmt numFmtId="0" formatCode="General"/>
      <fill>
        <patternFill patternType="solid">
          <fgColor indexed="64"/>
          <bgColor theme="0" tint="-4.9989318521683403E-2"/>
        </patternFill>
      </fill>
      <protection locked="0" hidden="0"/>
    </dxf>
    <dxf>
      <font>
        <b val="0"/>
        <i val="0"/>
        <strike val="0"/>
        <condense val="0"/>
        <extend val="0"/>
        <outline val="0"/>
        <shadow val="0"/>
        <u val="none"/>
        <vertAlign val="baseline"/>
        <sz val="11"/>
        <color rgb="FFFF0000"/>
        <name val="Aptos Narrow"/>
        <family val="2"/>
        <scheme val="minor"/>
      </font>
      <numFmt numFmtId="0" formatCode="General"/>
      <protection locked="0" hidden="0"/>
    </dxf>
    <dxf>
      <font>
        <b val="0"/>
        <i val="0"/>
        <strike val="0"/>
        <condense val="0"/>
        <extend val="0"/>
        <outline val="0"/>
        <shadow val="0"/>
        <u val="none"/>
        <vertAlign val="baseline"/>
        <sz val="9"/>
        <color rgb="FFFF0000"/>
        <name val="Aptos Narrow"/>
        <family val="2"/>
        <scheme val="minor"/>
      </font>
      <fill>
        <patternFill patternType="none">
          <fgColor indexed="64"/>
          <bgColor indexed="65"/>
        </patternFill>
      </fill>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b val="0"/>
        <i val="0"/>
        <strike val="0"/>
        <condense val="0"/>
        <extend val="0"/>
        <outline val="0"/>
        <shadow val="0"/>
        <u val="none"/>
        <vertAlign val="baseline"/>
        <sz val="9"/>
        <color rgb="FF00B050"/>
        <name val="Aptos Narrow"/>
        <family val="2"/>
        <scheme val="minor"/>
      </font>
      <numFmt numFmtId="171" formatCode="#,##0.0"/>
      <fill>
        <patternFill patternType="none">
          <fgColor indexed="64"/>
          <bgColor indexed="65"/>
        </patternFill>
      </fill>
      <protection locked="0" hidden="0"/>
    </dxf>
    <dxf>
      <font>
        <strike val="0"/>
        <outline val="0"/>
        <shadow val="0"/>
        <u val="none"/>
        <vertAlign val="baseline"/>
        <sz val="10"/>
        <color rgb="FF00B050"/>
        <name val="Aptos Narrow"/>
        <family val="2"/>
        <scheme val="minor"/>
      </font>
      <numFmt numFmtId="0" formatCode="General"/>
      <fill>
        <patternFill patternType="none">
          <fgColor indexed="64"/>
          <bgColor indexed="65"/>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00B050"/>
        <name val="Aptos Narrow"/>
        <family val="2"/>
        <scheme val="minor"/>
      </font>
      <fill>
        <patternFill patternType="solid">
          <fgColor indexed="64"/>
          <bgColor theme="0" tint="-4.9989318521683403E-2"/>
        </patternFill>
      </fill>
      <protection locked="0" hidden="0"/>
    </dxf>
    <dxf>
      <font>
        <b val="0"/>
        <i val="0"/>
        <strike val="0"/>
        <condense val="0"/>
        <extend val="0"/>
        <outline val="0"/>
        <shadow val="0"/>
        <u val="none"/>
        <vertAlign val="baseline"/>
        <sz val="11"/>
        <color rgb="FF00B050"/>
        <name val="Aptos Narrow"/>
        <family val="2"/>
        <scheme val="minor"/>
      </font>
      <protection locked="0" hidden="0"/>
    </dxf>
    <dxf>
      <font>
        <b val="0"/>
        <i val="0"/>
        <strike val="0"/>
        <condense val="0"/>
        <extend val="0"/>
        <outline val="0"/>
        <shadow val="0"/>
        <u val="none"/>
        <vertAlign val="baseline"/>
        <sz val="9"/>
        <color rgb="FF00B050"/>
        <name val="Aptos Narrow"/>
        <family val="2"/>
        <scheme val="minor"/>
      </font>
      <fill>
        <patternFill patternType="none">
          <fgColor indexed="64"/>
          <bgColor indexed="65"/>
        </patternFill>
      </fill>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FF0000"/>
        <name val="Aptos Narrow"/>
        <family val="2"/>
        <scheme val="minor"/>
      </font>
      <numFmt numFmtId="3" formatCode="#,##0"/>
      <fill>
        <patternFill patternType="solid">
          <fgColor indexed="64"/>
          <bgColor theme="0" tint="-4.9989318521683403E-2"/>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FF0000"/>
        <name val="Aptos Narrow"/>
        <family val="2"/>
        <scheme val="minor"/>
      </font>
      <numFmt numFmtId="0" formatCode="General"/>
      <protection locked="0" hidden="0"/>
    </dxf>
    <dxf>
      <font>
        <b val="0"/>
        <i val="0"/>
        <strike val="0"/>
        <condense val="0"/>
        <extend val="0"/>
        <outline val="0"/>
        <shadow val="0"/>
        <u val="none"/>
        <vertAlign val="baseline"/>
        <sz val="11"/>
        <color rgb="FFFF0000"/>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1"/>
        <color rgb="FFFF0000"/>
        <name val="Aptos"/>
        <family val="2"/>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FF0000"/>
        <name val="Aptos Narrow"/>
        <family val="2"/>
        <scheme val="minor"/>
      </font>
      <fill>
        <patternFill patternType="none">
          <fgColor indexed="64"/>
          <bgColor indexed="65"/>
        </patternFill>
      </fill>
      <protection locked="0" hidden="0"/>
    </dxf>
    <dxf>
      <border outline="0">
        <bottom style="thin">
          <color indexed="64"/>
        </bottom>
      </border>
    </dxf>
    <dxf>
      <fill>
        <patternFill patternType="solid">
          <fgColor indexed="64"/>
          <bgColor theme="0" tint="-4.9989318521683403E-2"/>
        </patternFill>
      </fill>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b val="0"/>
        <i val="0"/>
        <strike val="0"/>
        <condense val="0"/>
        <extend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strike val="0"/>
        <outline val="0"/>
        <shadow val="0"/>
        <u val="none"/>
        <vertAlign val="baseline"/>
        <sz val="10"/>
        <color rgb="FF00B050"/>
        <name val="Aptos Narrow"/>
        <family val="2"/>
        <scheme val="minor"/>
      </font>
      <numFmt numFmtId="3" formatCode="#,##0"/>
      <fill>
        <patternFill patternType="none">
          <fgColor indexed="64"/>
          <bgColor indexed="65"/>
        </patternFill>
      </fill>
      <protection locked="0" hidden="0"/>
    </dxf>
    <dxf>
      <font>
        <strike val="0"/>
        <outline val="0"/>
        <shadow val="0"/>
        <u val="none"/>
        <vertAlign val="baseline"/>
        <sz val="10"/>
        <color rgb="FF00B050"/>
        <name val="Aptos Narrow"/>
        <family val="2"/>
        <scheme val="minor"/>
      </font>
      <numFmt numFmtId="0" formatCode="General"/>
      <fill>
        <patternFill patternType="solid">
          <fgColor indexed="64"/>
          <bgColor theme="0" tint="-4.9989318521683403E-2"/>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rgb="FF00B050"/>
        <name val="Aptos Narrow"/>
        <family val="2"/>
        <scheme val="minor"/>
      </font>
      <numFmt numFmtId="0" formatCode="General"/>
      <protection locked="0" hidden="0"/>
    </dxf>
    <dxf>
      <font>
        <b val="0"/>
        <i val="0"/>
        <strike val="0"/>
        <condense val="0"/>
        <extend val="0"/>
        <outline val="0"/>
        <shadow val="0"/>
        <u val="none"/>
        <vertAlign val="baseline"/>
        <sz val="11"/>
        <color rgb="FF00B050"/>
        <name val="Aptos Narrow"/>
        <family val="2"/>
        <scheme val="minor"/>
      </font>
      <fill>
        <patternFill patternType="none">
          <fgColor indexed="64"/>
          <bgColor auto="1"/>
        </patternFill>
      </fill>
      <protection locked="0" hidden="0"/>
    </dxf>
    <dxf>
      <font>
        <b val="0"/>
        <i val="0"/>
        <strike val="0"/>
        <condense val="0"/>
        <extend val="0"/>
        <outline val="0"/>
        <shadow val="0"/>
        <u val="none"/>
        <vertAlign val="baseline"/>
        <sz val="11"/>
        <color rgb="FF00B050"/>
        <name val="Aptos"/>
        <family val="2"/>
        <scheme val="none"/>
      </font>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rgb="FF00B050"/>
        <name val="Aptos Narrow"/>
        <family val="2"/>
        <scheme val="minor"/>
      </font>
      <fill>
        <patternFill patternType="none">
          <fgColor indexed="64"/>
          <bgColor indexed="65"/>
        </patternFill>
      </fill>
      <protection locked="0" hidden="0"/>
    </dxf>
    <dxf>
      <border outline="0">
        <bottom style="thin">
          <color indexed="64"/>
        </bottom>
      </border>
    </dxf>
    <dxf>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4"/>
        <name val="Aptos Narrow"/>
        <family val="2"/>
        <scheme val="minor"/>
      </font>
      <numFmt numFmtId="13" formatCode="0%"/>
      <fill>
        <patternFill patternType="none">
          <fgColor indexed="64"/>
          <bgColor indexed="65"/>
        </patternFill>
      </fill>
      <alignment horizontal="left" vertical="center" textRotation="0" wrapText="0" indent="0" justifyLastLine="0" shrinkToFit="0" readingOrder="0"/>
      <protection locked="0" hidden="0"/>
    </dxf>
    <dxf>
      <font>
        <b val="0"/>
        <i val="0"/>
        <strike val="0"/>
        <condense val="0"/>
        <extend val="0"/>
        <outline val="0"/>
        <shadow val="0"/>
        <u val="none"/>
        <vertAlign val="baseline"/>
        <sz val="11"/>
        <color auto="1"/>
        <name val="Aptos Narrow"/>
        <family val="2"/>
        <scheme val="minor"/>
      </font>
      <fill>
        <patternFill patternType="solid">
          <fgColor indexed="64"/>
          <bgColor theme="0" tint="-4.9989318521683403E-2"/>
        </patternFill>
      </fill>
    </dxf>
    <dxf>
      <font>
        <b/>
        <i val="0"/>
        <strike val="0"/>
        <condense val="0"/>
        <extend val="0"/>
        <outline val="0"/>
        <shadow val="0"/>
        <u val="none"/>
        <vertAlign val="baseline"/>
        <sz val="11"/>
        <color auto="1"/>
        <name val="Aptos Narrow"/>
        <family val="2"/>
        <scheme val="minor"/>
      </font>
      <fill>
        <patternFill patternType="solid">
          <fgColor indexed="64"/>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person displayName="CCG722" id="{8F510751-4C33-41B4-AFD4-28C15096B2E7}" userId="CCG722" providerId="None"/>
  <person displayName="Oliver Hefford" id="{8C79FAAD-2002-4A18-B979-1BF78C048A67}" userId="S::Oliver.Hefford@eeca.govt.nz::3d05032a-4528-42fa-9f5f-1379fc50dbe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7F2D625-47A4-4802-AC8B-537E4518ADBB}" name="ProjectDetails" displayName="ProjectDetails" ref="A3:C29" totalsRowShown="0" headerRowDxfId="864">
  <autoFilter ref="A3:C29" xr:uid="{C7F2D625-47A4-4802-AC8B-537E4518ADBB}"/>
  <tableColumns count="3">
    <tableColumn id="1" xr3:uid="{521749F4-658B-46B1-A2B5-1882CDDBC6F8}" name="Field" dataDxfId="863"/>
    <tableColumn id="2" xr3:uid="{0E354E99-793A-49E4-A797-193C6A5F1B11}" name="Value" dataDxfId="862" dataCellStyle="Comma"/>
    <tableColumn id="3" xr3:uid="{5FF0E0FC-E87E-43D2-A76B-D3B5FD544B51}" name="Notes" dataDxfId="86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BA763B-BC97-48B7-AB44-D19049FC8D34}" name="Opex_NonFuel_PP" displayName="Opex_NonFuel_PP" ref="D31:AZ38" totalsRowShown="0" headerRowDxfId="860" dataDxfId="858" headerRowBorderDxfId="859" tableBorderDxfId="857" dataCellStyle="Comma">
  <autoFilter ref="D31:AZ38" xr:uid="{DCBA763B-BC97-48B7-AB44-D19049FC8D34}"/>
  <tableColumns count="49">
    <tableColumn id="1" xr3:uid="{FF2BCFF7-435B-43C5-BDD6-2A6A5B5D6852}" name="Opex item" dataDxfId="856"/>
    <tableColumn id="2" xr3:uid="{5E4624ED-2C59-4078-B78B-B3ED1432EF82}" name="Value basis" dataDxfId="855">
      <calculatedColumnFormula>$E$30</calculatedColumnFormula>
    </tableColumn>
    <tableColumn id="49" xr3:uid="{ADCF57BC-53AF-4B56-A515-AF4365531E9F}" name="Base year" dataDxfId="854">
      <calculatedColumnFormula>Analysis_year</calculatedColumnFormula>
    </tableColumn>
    <tableColumn id="3" xr3:uid="{66F22EEA-54D3-4C78-9A35-B013FCFE5BA9}" name="Applicant comment" dataDxfId="853">
      <calculatedColumnFormula>Inputs!G41</calculatedColumnFormula>
    </tableColumn>
    <tableColumn id="4" xr3:uid="{5F563F8B-D77B-4AB2-BDA1-D3ED33015B19}" name="2026" dataDxfId="852" dataCellStyle="Comma">
      <calculatedColumnFormula>Inputs!H41*IF(Inputs!$E41="Real",1,H$5)</calculatedColumnFormula>
    </tableColumn>
    <tableColumn id="5" xr3:uid="{D40105B8-23F5-47AF-826F-18DBA0DC00ED}" name="2027" dataDxfId="851" dataCellStyle="Comma">
      <calculatedColumnFormula>Inputs!I41*IF(Inputs!$E41="Real",1,I$5)</calculatedColumnFormula>
    </tableColumn>
    <tableColumn id="6" xr3:uid="{30B1F46B-A209-4A7D-A881-5AE11C66A9ED}" name="2028" dataDxfId="850" dataCellStyle="Comma">
      <calculatedColumnFormula>Inputs!J41*IF(Inputs!$E41="Real",1,J$5)</calculatedColumnFormula>
    </tableColumn>
    <tableColumn id="7" xr3:uid="{84CD853D-52C4-4E83-9DBA-CB5B5E702A0C}" name="2029" dataDxfId="849" dataCellStyle="Comma">
      <calculatedColumnFormula>Inputs!K41*IF(Inputs!$E41="Real",1,K$5)</calculatedColumnFormula>
    </tableColumn>
    <tableColumn id="8" xr3:uid="{F3F1BDEA-77BB-4AB9-85DE-79D01297C2B0}" name="2030" dataDxfId="848" dataCellStyle="Comma">
      <calculatedColumnFormula>Inputs!L41*IF(Inputs!$E41="Real",1,L$5)</calculatedColumnFormula>
    </tableColumn>
    <tableColumn id="9" xr3:uid="{AA8AF096-CB72-4971-927A-5F3D751CEAE0}" name="2031" dataDxfId="847" dataCellStyle="Comma">
      <calculatedColumnFormula>Inputs!M41*IF(Inputs!$E41="Real",1,M$5)</calculatedColumnFormula>
    </tableColumn>
    <tableColumn id="10" xr3:uid="{86C4D2AF-1A07-4DFA-B8CE-F825452259A5}" name="2032" dataDxfId="846" dataCellStyle="Comma">
      <calculatedColumnFormula>Inputs!N41*IF(Inputs!$E41="Real",1,N$5)</calculatedColumnFormula>
    </tableColumn>
    <tableColumn id="11" xr3:uid="{610F7395-B102-47F7-97FE-BDD08E489C43}" name="2033" dataDxfId="845" dataCellStyle="Comma">
      <calculatedColumnFormula>Inputs!O41*IF(Inputs!$E41="Real",1,O$5)</calculatedColumnFormula>
    </tableColumn>
    <tableColumn id="12" xr3:uid="{FB8DFBE2-671D-470A-92CB-D479498F0116}" name="2034" dataDxfId="844" dataCellStyle="Comma">
      <calculatedColumnFormula>Inputs!P41*IF(Inputs!$E41="Real",1,P$5)</calculatedColumnFormula>
    </tableColumn>
    <tableColumn id="13" xr3:uid="{042AA362-02D2-4C52-92DD-AD7B2012F9EC}" name="2035" dataDxfId="843" dataCellStyle="Comma">
      <calculatedColumnFormula>Inputs!Q41*IF(Inputs!$E41="Real",1,Q$5)</calculatedColumnFormula>
    </tableColumn>
    <tableColumn id="14" xr3:uid="{C477AFE8-1C5A-4D8D-9E60-29BFB1A54997}" name="2036" dataDxfId="842" dataCellStyle="Comma">
      <calculatedColumnFormula>Inputs!R41*IF(Inputs!$E41="Real",1,R$5)</calculatedColumnFormula>
    </tableColumn>
    <tableColumn id="15" xr3:uid="{51606FEA-B127-4960-B362-9FF6678B915D}" name="2037" dataDxfId="841" dataCellStyle="Comma">
      <calculatedColumnFormula>Inputs!S41*IF(Inputs!$E41="Real",1,S$5)</calculatedColumnFormula>
    </tableColumn>
    <tableColumn id="16" xr3:uid="{676BB306-DB81-4162-8D67-A2F63BD92799}" name="2038" dataDxfId="840" dataCellStyle="Comma">
      <calculatedColumnFormula>Inputs!T41*IF(Inputs!$E41="Real",1,T$5)</calculatedColumnFormula>
    </tableColumn>
    <tableColumn id="17" xr3:uid="{E378E245-F973-4BCD-9B3D-439DEC1B59F1}" name="2039" dataDxfId="839" dataCellStyle="Comma">
      <calculatedColumnFormula>Inputs!U41*IF(Inputs!$E41="Real",1,U$5)</calculatedColumnFormula>
    </tableColumn>
    <tableColumn id="18" xr3:uid="{2C60AD30-438E-4A97-85A7-393CC8D130F8}" name="2040" dataDxfId="838" dataCellStyle="Comma">
      <calculatedColumnFormula>Inputs!V41*IF(Inputs!$E41="Real",1,V$5)</calculatedColumnFormula>
    </tableColumn>
    <tableColumn id="19" xr3:uid="{A842056C-9F8C-4C0A-8523-109E28AB3C09}" name="2041" dataDxfId="837" dataCellStyle="Comma">
      <calculatedColumnFormula>Inputs!W41*IF(Inputs!$E41="Real",1,W$5)</calculatedColumnFormula>
    </tableColumn>
    <tableColumn id="20" xr3:uid="{68E980F3-CEBF-48C5-92BD-91110119CE76}" name="2042" dataDxfId="836" dataCellStyle="Comma">
      <calculatedColumnFormula>Inputs!X41*IF(Inputs!$E41="Real",1,X$5)</calculatedColumnFormula>
    </tableColumn>
    <tableColumn id="21" xr3:uid="{71C6B6D8-273D-45EF-AAE0-609BEB89C9A7}" name="2043" dataDxfId="835" dataCellStyle="Comma">
      <calculatedColumnFormula>Inputs!Y41*IF(Inputs!$E41="Real",1,Y$5)</calculatedColumnFormula>
    </tableColumn>
    <tableColumn id="22" xr3:uid="{AC57BC27-6FD6-4B8E-8869-16D9293BBDFC}" name="2044" dataDxfId="834" dataCellStyle="Comma">
      <calculatedColumnFormula>Inputs!Z41*IF(Inputs!$E41="Real",1,Z$5)</calculatedColumnFormula>
    </tableColumn>
    <tableColumn id="23" xr3:uid="{C8D52E5C-769F-487A-9068-7BA099D5014B}" name="2045" dataDxfId="833" dataCellStyle="Comma">
      <calculatedColumnFormula>Inputs!AA41*IF(Inputs!$E41="Real",1,AA$5)</calculatedColumnFormula>
    </tableColumn>
    <tableColumn id="24" xr3:uid="{99B4F885-6050-496D-B345-09C971887BA3}" name="2046" dataDxfId="832" dataCellStyle="Comma">
      <calculatedColumnFormula>Inputs!AB41*IF(Inputs!$E41="Real",1,AB$5)</calculatedColumnFormula>
    </tableColumn>
    <tableColumn id="25" xr3:uid="{F80CA407-FBC1-4A74-886B-22B960236704}" name="2047" dataDxfId="831" dataCellStyle="Comma">
      <calculatedColumnFormula>Inputs!AC41*IF(Inputs!$E41="Real",1,AC$5)</calculatedColumnFormula>
    </tableColumn>
    <tableColumn id="26" xr3:uid="{835C8FAC-6EB5-4C3E-9A21-30CDC7E260EF}" name="2048" dataDxfId="830" dataCellStyle="Comma">
      <calculatedColumnFormula>Inputs!AD41*IF(Inputs!$E41="Real",1,AD$5)</calculatedColumnFormula>
    </tableColumn>
    <tableColumn id="27" xr3:uid="{A41A12C5-1867-49B5-AEFC-C18D4A058F66}" name="2049" dataDxfId="829" dataCellStyle="Comma">
      <calculatedColumnFormula>Inputs!AE41*IF(Inputs!$E41="Real",1,AE$5)</calculatedColumnFormula>
    </tableColumn>
    <tableColumn id="28" xr3:uid="{37BDBF72-EC09-40AF-AE3A-83D9AA1814DE}" name="2050" dataDxfId="828" dataCellStyle="Comma">
      <calculatedColumnFormula>Inputs!AF41*IF(Inputs!$E41="Real",1,AF$5)</calculatedColumnFormula>
    </tableColumn>
    <tableColumn id="29" xr3:uid="{A0CB4780-8D24-40AA-8508-EDF29F310E6D}" name="2051" dataDxfId="827" dataCellStyle="Comma">
      <calculatedColumnFormula>Inputs!AG41*IF(Inputs!$E41="Real",1,AG$5)</calculatedColumnFormula>
    </tableColumn>
    <tableColumn id="30" xr3:uid="{FFE877F9-43FA-4E2C-B634-498C936E7161}" name="2052" dataDxfId="826" dataCellStyle="Comma">
      <calculatedColumnFormula>Inputs!AH41*IF(Inputs!$E41="Real",1,AH$5)</calculatedColumnFormula>
    </tableColumn>
    <tableColumn id="31" xr3:uid="{C58AF6F0-5703-435B-ABBB-179BF9AE23C4}" name="2053" dataDxfId="825" dataCellStyle="Comma">
      <calculatedColumnFormula>Inputs!AI41*IF(Inputs!$E41="Real",1,AI$5)</calculatedColumnFormula>
    </tableColumn>
    <tableColumn id="32" xr3:uid="{F2672A89-1B7A-4383-8DDE-E28877392345}" name="2054" dataDxfId="824" dataCellStyle="Comma">
      <calculatedColumnFormula>Inputs!AJ41*IF(Inputs!$E41="Real",1,AJ$5)</calculatedColumnFormula>
    </tableColumn>
    <tableColumn id="33" xr3:uid="{B3DF902F-9982-4FFE-B6C9-326B51EC41DD}" name="2055" dataDxfId="823" dataCellStyle="Comma">
      <calculatedColumnFormula>Inputs!AK41*IF(Inputs!$E41="Real",1,AK$5)</calculatedColumnFormula>
    </tableColumn>
    <tableColumn id="34" xr3:uid="{A25636EB-A9AF-44D5-A779-BF1F04FDF880}" name="2056" dataDxfId="822" dataCellStyle="Comma">
      <calculatedColumnFormula>Inputs!AL41*IF(Inputs!$E41="Real",1,AL$5)</calculatedColumnFormula>
    </tableColumn>
    <tableColumn id="35" xr3:uid="{9F468A64-6AEC-48B2-BF8B-CACFC47B6E07}" name="2057" dataDxfId="821" dataCellStyle="Comma">
      <calculatedColumnFormula>Inputs!AM41*IF(Inputs!$E41="Real",1,AM$5)</calculatedColumnFormula>
    </tableColumn>
    <tableColumn id="36" xr3:uid="{E00C007D-0847-4690-BAC3-5D3C7609A5B9}" name="2058" dataDxfId="820" dataCellStyle="Comma">
      <calculatedColumnFormula>Inputs!AN41*IF(Inputs!$E41="Real",1,AN$5)</calculatedColumnFormula>
    </tableColumn>
    <tableColumn id="37" xr3:uid="{2F9D1E14-E921-4851-89E6-08825D73C164}" name="2059" dataDxfId="819" dataCellStyle="Comma">
      <calculatedColumnFormula>Inputs!AO41*IF(Inputs!$E41="Real",1,AO$5)</calculatedColumnFormula>
    </tableColumn>
    <tableColumn id="38" xr3:uid="{D8D909E9-3BAB-4D69-9ABE-573BB486EA0E}" name="2060" dataDxfId="818" dataCellStyle="Comma">
      <calculatedColumnFormula>Inputs!AP41*IF(Inputs!$E41="Real",1,AP$5)</calculatedColumnFormula>
    </tableColumn>
    <tableColumn id="39" xr3:uid="{EAD210C7-D97A-4063-9508-D0BEEC573E96}" name="2061" dataDxfId="817" dataCellStyle="Comma">
      <calculatedColumnFormula>Inputs!AQ41*IF(Inputs!$E41="Real",1,AQ$5)</calculatedColumnFormula>
    </tableColumn>
    <tableColumn id="40" xr3:uid="{6117F69D-35B4-42D1-8E45-40BE9D4DBE2E}" name="2062" dataDxfId="816" dataCellStyle="Comma">
      <calculatedColumnFormula>Inputs!AR41*IF(Inputs!$E41="Real",1,AR$5)</calculatedColumnFormula>
    </tableColumn>
    <tableColumn id="41" xr3:uid="{CED60DC3-B4E4-47CA-93E4-68BD022819D8}" name="2063" dataDxfId="815" dataCellStyle="Comma">
      <calculatedColumnFormula>Inputs!AS41*IF(Inputs!$E41="Real",1,AS$5)</calculatedColumnFormula>
    </tableColumn>
    <tableColumn id="42" xr3:uid="{3703913F-4D8D-4B10-9353-20958D78CEFC}" name="2064" dataDxfId="814" dataCellStyle="Comma">
      <calculatedColumnFormula>Inputs!AT41*IF(Inputs!$E41="Real",1,AT$5)</calculatedColumnFormula>
    </tableColumn>
    <tableColumn id="43" xr3:uid="{A3BDD93A-3532-48C7-80E7-0537A4F97F3A}" name="2065" dataDxfId="813" dataCellStyle="Comma">
      <calculatedColumnFormula>Inputs!AU41*IF(Inputs!$E41="Real",1,AU$5)</calculatedColumnFormula>
    </tableColumn>
    <tableColumn id="44" xr3:uid="{AB4925D4-0400-4A59-A531-4F1D709DCDFB}" name="2066" dataDxfId="812" dataCellStyle="Comma">
      <calculatedColumnFormula>Inputs!AV41*IF(Inputs!$E41="Real",1,AV$5)</calculatedColumnFormula>
    </tableColumn>
    <tableColumn id="45" xr3:uid="{DE61BEF5-0AEF-4EED-A71D-CA601E9F330F}" name="2067" dataDxfId="811" dataCellStyle="Comma">
      <calculatedColumnFormula>Inputs!AW41*IF(Inputs!$E41="Real",1,AW$5)</calculatedColumnFormula>
    </tableColumn>
    <tableColumn id="46" xr3:uid="{45826F04-93A9-4848-A327-D0474DC969D8}" name="2068" dataDxfId="810" dataCellStyle="Comma">
      <calculatedColumnFormula>Inputs!AX41*IF(Inputs!$E41="Real",1,AX$5)</calculatedColumnFormula>
    </tableColumn>
    <tableColumn id="47" xr3:uid="{961B6A1A-3382-4F07-AB44-BBE8A0C06994}" name="2069" dataDxfId="809" dataCellStyle="Comma">
      <calculatedColumnFormula>Inputs!AY41*IF(Inputs!$E41="Real",1,AY$5)</calculatedColumnFormula>
    </tableColumn>
    <tableColumn id="48" xr3:uid="{E5E475AA-6CDF-4958-BC77-78BE39622840}" name="2070" dataDxfId="808" dataCellStyle="Comma">
      <calculatedColumnFormula>Inputs!AZ41*IF(Inputs!$E41="Real",1,AZ$5)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8A9FE14-6830-4A3D-B8A2-95697B6AEAB3}" name="Opex_NonFuel_BC" displayName="Opex_NonFuel_BC" ref="D41:AZ48" totalsRowShown="0" headerRowDxfId="807" dataDxfId="805" headerRowBorderDxfId="806" tableBorderDxfId="804" dataCellStyle="Comma">
  <autoFilter ref="D41:AZ48" xr:uid="{98A9FE14-6830-4A3D-B8A2-95697B6AEAB3}"/>
  <tableColumns count="49">
    <tableColumn id="1" xr3:uid="{AF088AD2-1400-499F-B71C-EEC630BC18B5}" name="Opex item" dataDxfId="803"/>
    <tableColumn id="2" xr3:uid="{662EA7CC-5F05-43C9-A5D4-A7EB6652B0BC}" name="Value basis" dataDxfId="802">
      <calculatedColumnFormula>#REF!</calculatedColumnFormula>
    </tableColumn>
    <tableColumn id="49" xr3:uid="{BCEDE1A2-D45D-476A-99DD-54995521EA37}" name="Base year" dataDxfId="801">
      <calculatedColumnFormula>Analysis_year</calculatedColumnFormula>
    </tableColumn>
    <tableColumn id="3" xr3:uid="{7B823CEC-54CF-4CB1-8FE9-A5EDC3B6848B}" name="Applicant comment" dataDxfId="800">
      <calculatedColumnFormula>Inputs!G53</calculatedColumnFormula>
    </tableColumn>
    <tableColumn id="4" xr3:uid="{62195BCD-C6B8-4558-831A-E1739DA6C1DD}" name="2026" dataDxfId="799" dataCellStyle="Comma">
      <calculatedColumnFormula>Inputs!H53*IF(Inputs!$E53="Real",1,H$5)</calculatedColumnFormula>
    </tableColumn>
    <tableColumn id="5" xr3:uid="{3A06DD01-3309-4599-8785-416F3958A1F2}" name="2027" dataDxfId="798" dataCellStyle="Comma">
      <calculatedColumnFormula>Inputs!I53*IF(Inputs!$E53="Real",1,I$5)</calculatedColumnFormula>
    </tableColumn>
    <tableColumn id="6" xr3:uid="{4A0B6F7C-A63F-4F81-B01E-8060504F26BB}" name="2028" dataDxfId="797" dataCellStyle="Comma">
      <calculatedColumnFormula>Inputs!J53*IF(Inputs!$E53="Real",1,J$5)</calculatedColumnFormula>
    </tableColumn>
    <tableColumn id="7" xr3:uid="{38878751-E976-43FD-82C0-626CBD449240}" name="2029" dataDxfId="796" dataCellStyle="Comma">
      <calculatedColumnFormula>Inputs!K53*IF(Inputs!$E53="Real",1,K$5)</calculatedColumnFormula>
    </tableColumn>
    <tableColumn id="8" xr3:uid="{86D11743-9641-44BA-8B18-033551AF9812}" name="2030" dataDxfId="795" dataCellStyle="Comma">
      <calculatedColumnFormula>Inputs!L53*IF(Inputs!$E53="Real",1,L$5)</calculatedColumnFormula>
    </tableColumn>
    <tableColumn id="9" xr3:uid="{6D030369-13FC-44FD-9151-45C63048FA23}" name="2031" dataDxfId="794" dataCellStyle="Comma">
      <calculatedColumnFormula>Inputs!M53*IF(Inputs!$E53="Real",1,M$5)</calculatedColumnFormula>
    </tableColumn>
    <tableColumn id="10" xr3:uid="{93889962-9E49-4DB6-A876-EC186037099D}" name="2032" dataDxfId="793" dataCellStyle="Comma">
      <calculatedColumnFormula>Inputs!N53*IF(Inputs!$E53="Real",1,N$5)</calculatedColumnFormula>
    </tableColumn>
    <tableColumn id="11" xr3:uid="{273F9B5A-2555-4A76-90D0-115AC27BE7C5}" name="2033" dataDxfId="792" dataCellStyle="Comma">
      <calculatedColumnFormula>Inputs!O53*IF(Inputs!$E53="Real",1,O$5)</calculatedColumnFormula>
    </tableColumn>
    <tableColumn id="12" xr3:uid="{4B1991EE-8AA8-42EE-907F-0440BADBCB49}" name="2034" dataDxfId="791" dataCellStyle="Comma">
      <calculatedColumnFormula>Inputs!P53*IF(Inputs!$E53="Real",1,P$5)</calculatedColumnFormula>
    </tableColumn>
    <tableColumn id="13" xr3:uid="{2356B7CC-5D11-4833-9A42-9D570436E848}" name="2035" dataDxfId="790" dataCellStyle="Comma">
      <calculatedColumnFormula>Inputs!Q53*IF(Inputs!$E53="Real",1,Q$5)</calculatedColumnFormula>
    </tableColumn>
    <tableColumn id="14" xr3:uid="{32150E26-7C67-4A38-89E5-5105AFE9F4EF}" name="2036" dataDxfId="789" dataCellStyle="Comma">
      <calculatedColumnFormula>Inputs!R53*IF(Inputs!$E53="Real",1,R$5)</calculatedColumnFormula>
    </tableColumn>
    <tableColumn id="15" xr3:uid="{90E9F4A4-664C-490F-A685-F67BB3B133D4}" name="2037" dataDxfId="788" dataCellStyle="Comma">
      <calculatedColumnFormula>Inputs!S53*IF(Inputs!$E53="Real",1,S$5)</calculatedColumnFormula>
    </tableColumn>
    <tableColumn id="16" xr3:uid="{B00D05DA-7E65-4546-9559-75DED5310297}" name="2038" dataDxfId="787" dataCellStyle="Comma">
      <calculatedColumnFormula>Inputs!T53*IF(Inputs!$E53="Real",1,T$5)</calculatedColumnFormula>
    </tableColumn>
    <tableColumn id="17" xr3:uid="{ECC74AD7-49D8-47D7-9FA1-F652DAB8FDF7}" name="2039" dataDxfId="786" dataCellStyle="Comma">
      <calculatedColumnFormula>Inputs!U53*IF(Inputs!$E53="Real",1,U$5)</calculatedColumnFormula>
    </tableColumn>
    <tableColumn id="18" xr3:uid="{2E5BDC61-74D2-4496-8D20-A758F555AE4E}" name="2040" dataDxfId="785" dataCellStyle="Comma">
      <calculatedColumnFormula>Inputs!V53*IF(Inputs!$E53="Real",1,V$5)</calculatedColumnFormula>
    </tableColumn>
    <tableColumn id="19" xr3:uid="{5C7B1225-0FF2-4041-A70B-7AC005C9484A}" name="2041" dataDxfId="784" dataCellStyle="Comma">
      <calculatedColumnFormula>Inputs!W53*IF(Inputs!$E53="Real",1,W$5)</calculatedColumnFormula>
    </tableColumn>
    <tableColumn id="20" xr3:uid="{28E865AB-29A6-49DA-94EF-BAFEF709817D}" name="2042" dataDxfId="783" dataCellStyle="Comma">
      <calculatedColumnFormula>Inputs!X53*IF(Inputs!$E53="Real",1,X$5)</calculatedColumnFormula>
    </tableColumn>
    <tableColumn id="21" xr3:uid="{CBF31AAE-DCA2-4C6D-9A58-2B9C5289CD6A}" name="2043" dataDxfId="782" dataCellStyle="Comma">
      <calculatedColumnFormula>Inputs!Y53*IF(Inputs!$E53="Real",1,Y$5)</calculatedColumnFormula>
    </tableColumn>
    <tableColumn id="22" xr3:uid="{7CAF08DD-50F9-4555-BE2F-263E3FF4C035}" name="2044" dataDxfId="781" dataCellStyle="Comma">
      <calculatedColumnFormula>Inputs!Z53*IF(Inputs!$E53="Real",1,Z$5)</calculatedColumnFormula>
    </tableColumn>
    <tableColumn id="23" xr3:uid="{EB87A00C-F49E-4326-BA2B-98CF191DC6F0}" name="2045" dataDxfId="780" dataCellStyle="Comma">
      <calculatedColumnFormula>Inputs!AA53*IF(Inputs!$E53="Real",1,AA$5)</calculatedColumnFormula>
    </tableColumn>
    <tableColumn id="24" xr3:uid="{9B402A15-4303-4D07-B4E0-EE05CD4D7F25}" name="2046" dataDxfId="779" dataCellStyle="Comma">
      <calculatedColumnFormula>Inputs!AB53*IF(Inputs!$E53="Real",1,AB$5)</calculatedColumnFormula>
    </tableColumn>
    <tableColumn id="25" xr3:uid="{2CC00C60-9AF8-4CEC-B084-B84B01595DA7}" name="2047" dataDxfId="778" dataCellStyle="Comma">
      <calculatedColumnFormula>Inputs!AC53*IF(Inputs!$E53="Real",1,AC$5)</calculatedColumnFormula>
    </tableColumn>
    <tableColumn id="26" xr3:uid="{3C345563-8577-419D-AD98-C185D94C1A14}" name="2048" dataDxfId="777" dataCellStyle="Comma">
      <calculatedColumnFormula>Inputs!AD53*IF(Inputs!$E53="Real",1,AD$5)</calculatedColumnFormula>
    </tableColumn>
    <tableColumn id="27" xr3:uid="{608D6B2D-5F08-4904-AF7C-DA73942E19B9}" name="2049" dataDxfId="776" dataCellStyle="Comma">
      <calculatedColumnFormula>Inputs!AE53*IF(Inputs!$E53="Real",1,AE$5)</calculatedColumnFormula>
    </tableColumn>
    <tableColumn id="28" xr3:uid="{ABEEF675-7B03-4FC5-A9CB-129BE8AAF3BA}" name="2050" dataDxfId="775" dataCellStyle="Comma">
      <calculatedColumnFormula>Inputs!AF53*IF(Inputs!$E53="Real",1,AF$5)</calculatedColumnFormula>
    </tableColumn>
    <tableColumn id="29" xr3:uid="{F4DF4295-FD25-4352-89F0-8C55308CACDA}" name="2051" dataDxfId="774" dataCellStyle="Comma">
      <calculatedColumnFormula>Inputs!AG53*IF(Inputs!$E53="Real",1,AG$5)</calculatedColumnFormula>
    </tableColumn>
    <tableColumn id="30" xr3:uid="{2945C244-0EF3-4618-822A-89015653EE4E}" name="2052" dataDxfId="773" dataCellStyle="Comma">
      <calculatedColumnFormula>Inputs!AH53*IF(Inputs!$E53="Real",1,AH$5)</calculatedColumnFormula>
    </tableColumn>
    <tableColumn id="31" xr3:uid="{CB6A926A-4DA6-4524-BB28-ECB9439D6DAD}" name="2053" dataDxfId="772" dataCellStyle="Comma">
      <calculatedColumnFormula>Inputs!AI53*IF(Inputs!$E53="Real",1,AI$5)</calculatedColumnFormula>
    </tableColumn>
    <tableColumn id="32" xr3:uid="{1468D668-6461-440A-B650-231D72B10931}" name="2054" dataDxfId="771" dataCellStyle="Comma">
      <calculatedColumnFormula>Inputs!AJ53*IF(Inputs!$E53="Real",1,AJ$5)</calculatedColumnFormula>
    </tableColumn>
    <tableColumn id="33" xr3:uid="{09E414BF-B109-47E1-93D4-F6E64FDCEDD9}" name="2055" dataDxfId="770" dataCellStyle="Comma">
      <calculatedColumnFormula>Inputs!AK53*IF(Inputs!$E53="Real",1,AK$5)</calculatedColumnFormula>
    </tableColumn>
    <tableColumn id="34" xr3:uid="{674E8085-BF16-4B9E-9001-5530D2F12BF9}" name="2056" dataDxfId="769" dataCellStyle="Comma">
      <calculatedColumnFormula>Inputs!AL53*IF(Inputs!$E53="Real",1,AL$5)</calculatedColumnFormula>
    </tableColumn>
    <tableColumn id="35" xr3:uid="{E298A1CE-A22A-4B7F-8F81-EA9D56945766}" name="2057" dataDxfId="768" dataCellStyle="Comma">
      <calculatedColumnFormula>Inputs!AM53*IF(Inputs!$E53="Real",1,AM$5)</calculatedColumnFormula>
    </tableColumn>
    <tableColumn id="36" xr3:uid="{986499C0-33F5-4A93-9E85-C4CD3F14C949}" name="2058" dataDxfId="767" dataCellStyle="Comma">
      <calculatedColumnFormula>Inputs!AN53*IF(Inputs!$E53="Real",1,AN$5)</calculatedColumnFormula>
    </tableColumn>
    <tableColumn id="37" xr3:uid="{6B6AAA24-F738-4DC9-9F41-13EF19871F75}" name="2059" dataDxfId="766" dataCellStyle="Comma">
      <calculatedColumnFormula>Inputs!AO53*IF(Inputs!$E53="Real",1,AO$5)</calculatedColumnFormula>
    </tableColumn>
    <tableColumn id="38" xr3:uid="{C4FB6D8A-78CA-4B01-93F3-4C1EF2A247B6}" name="2060" dataDxfId="765" dataCellStyle="Comma">
      <calculatedColumnFormula>Inputs!AP53*IF(Inputs!$E53="Real",1,AP$5)</calculatedColumnFormula>
    </tableColumn>
    <tableColumn id="39" xr3:uid="{C29BBAA8-4217-419C-B9A9-C08638CEEFA2}" name="2061" dataDxfId="764" dataCellStyle="Comma">
      <calculatedColumnFormula>Inputs!AQ53*IF(Inputs!$E53="Real",1,AQ$5)</calculatedColumnFormula>
    </tableColumn>
    <tableColumn id="40" xr3:uid="{898F51C5-AB4E-4D78-BCA1-8BCAA35F1559}" name="2062" dataDxfId="763" dataCellStyle="Comma">
      <calculatedColumnFormula>Inputs!AR53*IF(Inputs!$E53="Real",1,AR$5)</calculatedColumnFormula>
    </tableColumn>
    <tableColumn id="41" xr3:uid="{0F9F1110-C023-4D30-AF58-B81275BFA047}" name="2063" dataDxfId="762" dataCellStyle="Comma">
      <calculatedColumnFormula>Inputs!AS53*IF(Inputs!$E53="Real",1,AS$5)</calculatedColumnFormula>
    </tableColumn>
    <tableColumn id="42" xr3:uid="{5902CE09-2C73-4ADF-9DE7-AA9E7EB16337}" name="2064" dataDxfId="761" dataCellStyle="Comma">
      <calculatedColumnFormula>Inputs!AT53*IF(Inputs!$E53="Real",1,AT$5)</calculatedColumnFormula>
    </tableColumn>
    <tableColumn id="43" xr3:uid="{39B08E73-217F-4CBA-A189-4C6BC753EF93}" name="2065" dataDxfId="760" dataCellStyle="Comma">
      <calculatedColumnFormula>Inputs!AU53*IF(Inputs!$E53="Real",1,AU$5)</calculatedColumnFormula>
    </tableColumn>
    <tableColumn id="44" xr3:uid="{73C6B59B-D228-4E9D-B5D9-16FFC47186C1}" name="2066" dataDxfId="759" dataCellStyle="Comma">
      <calculatedColumnFormula>Inputs!AV53*IF(Inputs!$E53="Real",1,AV$5)</calculatedColumnFormula>
    </tableColumn>
    <tableColumn id="45" xr3:uid="{D13A633C-4D37-4F1A-B1DF-7C6D96D5807D}" name="2067" dataDxfId="758" dataCellStyle="Comma">
      <calculatedColumnFormula>Inputs!AW53*IF(Inputs!$E53="Real",1,AW$5)</calculatedColumnFormula>
    </tableColumn>
    <tableColumn id="46" xr3:uid="{090D75ED-BF22-4C4C-8540-9B7ED837A21F}" name="2068" dataDxfId="757" dataCellStyle="Comma">
      <calculatedColumnFormula>Inputs!AX53*IF(Inputs!$E53="Real",1,AX$5)</calculatedColumnFormula>
    </tableColumn>
    <tableColumn id="47" xr3:uid="{E4C517EE-3915-4F1C-A13F-AAC5341F4213}" name="2069" dataDxfId="756" dataCellStyle="Comma">
      <calculatedColumnFormula>Inputs!AY53*IF(Inputs!$E53="Real",1,AY$5)</calculatedColumnFormula>
    </tableColumn>
    <tableColumn id="48" xr3:uid="{33FAA29F-5884-444E-966F-6A3B464CC916}" name="2070" dataDxfId="755" dataCellStyle="Comma">
      <calculatedColumnFormula>Inputs!AZ53*IF(Inputs!$E53="Real",1,AZ$5)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FB8A67E-58B1-40C3-A8C4-5DF66A542CCD}" name="FuelUse_PP" displayName="FuelUse_PP" ref="E52:AZ63" totalsRowShown="0" headerRowDxfId="754" dataDxfId="752" headerRowBorderDxfId="753" dataCellStyle="Comma">
  <autoFilter ref="E52:AZ63" xr:uid="{AFB8A67E-58B1-40C3-A8C4-5DF66A542CCD}"/>
  <tableColumns count="48">
    <tableColumn id="1" xr3:uid="{D27950F1-8EDA-4840-8FF1-80A748DD9671}" name="Fuel type" dataDxfId="751">
      <calculatedColumnFormula>Inputs!D65</calculatedColumnFormula>
    </tableColumn>
    <tableColumn id="2" xr3:uid="{40AF0C45-C51C-4278-B887-EC98E9781C62}" name="Units" dataDxfId="750"/>
    <tableColumn id="3" xr3:uid="{CF519CBF-3E4F-4D8B-99DB-A549ABA9F400}" name="Applicant comment" dataDxfId="749" dataCellStyle="Comma"/>
    <tableColumn id="4" xr3:uid="{7ECF2481-B484-4522-B8EB-04C17660F771}" name="2026" dataDxfId="748" dataCellStyle="Comma">
      <calculatedColumnFormula>Inputs!H65*Data!$F3</calculatedColumnFormula>
    </tableColumn>
    <tableColumn id="5" xr3:uid="{A713B101-5447-4BC3-850D-C2D2543AD53E}" name="2027" dataDxfId="747" dataCellStyle="Comma">
      <calculatedColumnFormula>Inputs!I65*Data!$F3</calculatedColumnFormula>
    </tableColumn>
    <tableColumn id="6" xr3:uid="{2D1186FA-D5AA-47B8-A12B-CD5BC5A4FED9}" name="2028" dataDxfId="746" dataCellStyle="Comma">
      <calculatedColumnFormula>Inputs!J65*Data!$F3</calculatedColumnFormula>
    </tableColumn>
    <tableColumn id="7" xr3:uid="{3CB9B2B1-C0F2-475F-B55E-2D15A2CABDBB}" name="2029" dataDxfId="745" dataCellStyle="Comma">
      <calculatedColumnFormula>Inputs!K65*Data!$F3</calculatedColumnFormula>
    </tableColumn>
    <tableColumn id="8" xr3:uid="{91FF2A8B-F98D-4DCA-9203-C8EF2FB85037}" name="2030" dataDxfId="744" dataCellStyle="Comma">
      <calculatedColumnFormula>Inputs!L65*Data!$F3</calculatedColumnFormula>
    </tableColumn>
    <tableColumn id="9" xr3:uid="{4CB71A1B-B299-453B-B44D-A5B5858A8053}" name="2031" dataDxfId="743" dataCellStyle="Comma">
      <calculatedColumnFormula>Inputs!M65*Data!$F3</calculatedColumnFormula>
    </tableColumn>
    <tableColumn id="10" xr3:uid="{B38B665C-2FF2-43CC-B968-F2329F484686}" name="2032" dataDxfId="742" dataCellStyle="Comma">
      <calculatedColumnFormula>Inputs!N65*Data!$F3</calculatedColumnFormula>
    </tableColumn>
    <tableColumn id="11" xr3:uid="{D0E8B7E5-60EE-47AF-B8F6-B50904808132}" name="2033" dataDxfId="741" dataCellStyle="Comma">
      <calculatedColumnFormula>Inputs!O65*Data!$F3</calculatedColumnFormula>
    </tableColumn>
    <tableColumn id="12" xr3:uid="{92E6C2AA-0A22-4239-8CCB-1D3600DDF292}" name="2034" dataDxfId="740" dataCellStyle="Comma">
      <calculatedColumnFormula>Inputs!P65*Data!$F3</calculatedColumnFormula>
    </tableColumn>
    <tableColumn id="13" xr3:uid="{63CE3AC6-CD7E-4BB3-AAE0-BFD79BE34D35}" name="2035" dataDxfId="739" dataCellStyle="Comma">
      <calculatedColumnFormula>Inputs!Q65*Data!$F3</calculatedColumnFormula>
    </tableColumn>
    <tableColumn id="14" xr3:uid="{2F734FA7-D80E-439B-95A6-A287F4E71764}" name="2036" dataDxfId="738" dataCellStyle="Comma">
      <calculatedColumnFormula>Inputs!R65*Data!$F3</calculatedColumnFormula>
    </tableColumn>
    <tableColumn id="15" xr3:uid="{038713E6-D88F-44C2-8191-AAD6C3EFB978}" name="2037" dataDxfId="737" dataCellStyle="Comma">
      <calculatedColumnFormula>Inputs!S65*Data!$F3</calculatedColumnFormula>
    </tableColumn>
    <tableColumn id="16" xr3:uid="{E0C42D5D-0BF1-44CA-863F-1597EDF90273}" name="2038" dataDxfId="736" dataCellStyle="Comma">
      <calculatedColumnFormula>Inputs!T65*Data!$F3</calculatedColumnFormula>
    </tableColumn>
    <tableColumn id="17" xr3:uid="{EC7D58E6-E043-4D94-9198-35254B2A5EB6}" name="2039" dataDxfId="735" dataCellStyle="Comma">
      <calculatedColumnFormula>Inputs!U65*Data!$F3</calculatedColumnFormula>
    </tableColumn>
    <tableColumn id="18" xr3:uid="{C316E58B-D475-4CA2-968C-58E5DC369A8A}" name="2040" dataDxfId="734" dataCellStyle="Comma">
      <calculatedColumnFormula>Inputs!V65*Data!$F3</calculatedColumnFormula>
    </tableColumn>
    <tableColumn id="19" xr3:uid="{07D4848D-B6B7-4905-BA98-2D7AE485727F}" name="2041" dataDxfId="733" dataCellStyle="Comma">
      <calculatedColumnFormula>Inputs!W65*Data!$F3</calculatedColumnFormula>
    </tableColumn>
    <tableColumn id="20" xr3:uid="{55D7AC37-4549-4731-B7F8-BD8EAE795A4A}" name="2042" dataDxfId="732" dataCellStyle="Comma">
      <calculatedColumnFormula>Inputs!X65*Data!$F3</calculatedColumnFormula>
    </tableColumn>
    <tableColumn id="21" xr3:uid="{6EEF076C-5C8C-4040-8DD9-F11F83298339}" name="2043" dataDxfId="731" dataCellStyle="Comma">
      <calculatedColumnFormula>Inputs!Y65*Data!$F3</calculatedColumnFormula>
    </tableColumn>
    <tableColumn id="22" xr3:uid="{735CB56B-FC16-4B56-B28D-F4ED28B1ABAB}" name="2044" dataDxfId="730" dataCellStyle="Comma">
      <calculatedColumnFormula>Inputs!Z65*Data!$F3</calculatedColumnFormula>
    </tableColumn>
    <tableColumn id="23" xr3:uid="{931D25FF-294B-4683-9149-B43B4C148424}" name="2045" dataDxfId="729" dataCellStyle="Comma">
      <calculatedColumnFormula>Inputs!AA65*Data!$F3</calculatedColumnFormula>
    </tableColumn>
    <tableColumn id="24" xr3:uid="{472A137A-708D-4BEB-A3AC-A1DC572432A8}" name="2046" dataDxfId="728" dataCellStyle="Comma">
      <calculatedColumnFormula>Inputs!AB65*Data!$F3</calculatedColumnFormula>
    </tableColumn>
    <tableColumn id="25" xr3:uid="{A67C4A00-203E-4CCA-A747-B8E55344F2F3}" name="2047" dataDxfId="727" dataCellStyle="Comma">
      <calculatedColumnFormula>Inputs!AC65*Data!$F3</calculatedColumnFormula>
    </tableColumn>
    <tableColumn id="26" xr3:uid="{EC94F2D1-36C5-4818-83A4-FD197D2A435E}" name="2048" dataDxfId="726" dataCellStyle="Comma">
      <calculatedColumnFormula>Inputs!AD65*Data!$F3</calculatedColumnFormula>
    </tableColumn>
    <tableColumn id="27" xr3:uid="{5B2CD7DB-FA6F-4E68-BE6E-DE1FD8409F85}" name="2049" dataDxfId="725" dataCellStyle="Comma">
      <calculatedColumnFormula>Inputs!AE65*Data!$F3</calculatedColumnFormula>
    </tableColumn>
    <tableColumn id="28" xr3:uid="{6488769D-4879-4E46-A8EF-E5C04EFFC052}" name="2050" dataDxfId="724" dataCellStyle="Comma">
      <calculatedColumnFormula>Inputs!AF65*Data!$F3</calculatedColumnFormula>
    </tableColumn>
    <tableColumn id="29" xr3:uid="{29EB6BD2-2F0B-4844-A6F8-3D895ADA15AB}" name="2051" dataDxfId="723" dataCellStyle="Comma">
      <calculatedColumnFormula>Inputs!AG65*Data!$F3</calculatedColumnFormula>
    </tableColumn>
    <tableColumn id="30" xr3:uid="{880356D0-021B-4169-A640-232346A07ED5}" name="2052" dataDxfId="722" dataCellStyle="Comma">
      <calculatedColumnFormula>Inputs!AH65*Data!$F3</calculatedColumnFormula>
    </tableColumn>
    <tableColumn id="31" xr3:uid="{B38D27FC-E09D-4950-ABF8-343086C89753}" name="2053" dataDxfId="721" dataCellStyle="Comma">
      <calculatedColumnFormula>Inputs!AI65*Data!$F3</calculatedColumnFormula>
    </tableColumn>
    <tableColumn id="32" xr3:uid="{7A254147-2E9D-4DD0-A728-2EF3F1F956A1}" name="2054" dataDxfId="720" dataCellStyle="Comma">
      <calculatedColumnFormula>Inputs!AJ65*Data!$F3</calculatedColumnFormula>
    </tableColumn>
    <tableColumn id="33" xr3:uid="{44F3A834-5688-48F7-A4DC-CD882D78C0E5}" name="2055" dataDxfId="719" dataCellStyle="Comma">
      <calculatedColumnFormula>Inputs!AK65*Data!$F3</calculatedColumnFormula>
    </tableColumn>
    <tableColumn id="34" xr3:uid="{07C9C062-1B5D-411D-9B2C-22894D784A1F}" name="2056" dataDxfId="718" dataCellStyle="Comma">
      <calculatedColumnFormula>Inputs!AL65*Data!$F3</calculatedColumnFormula>
    </tableColumn>
    <tableColumn id="35" xr3:uid="{A83906FA-B837-46C0-B602-BB22778843CA}" name="2057" dataDxfId="717" dataCellStyle="Comma">
      <calculatedColumnFormula>Inputs!AM65*Data!$F3</calculatedColumnFormula>
    </tableColumn>
    <tableColumn id="36" xr3:uid="{279A4F91-D81D-4315-8285-58115396DE57}" name="2058" dataDxfId="716" dataCellStyle="Comma">
      <calculatedColumnFormula>Inputs!AN65*Data!$F3</calculatedColumnFormula>
    </tableColumn>
    <tableColumn id="37" xr3:uid="{AEB010FC-6075-4234-BDA4-5364694EFB2B}" name="2059" dataDxfId="715" dataCellStyle="Comma">
      <calculatedColumnFormula>Inputs!AO65*Data!$F3</calculatedColumnFormula>
    </tableColumn>
    <tableColumn id="38" xr3:uid="{7A965521-B773-4BE9-881E-35E9495AB0C4}" name="2060" dataDxfId="714" dataCellStyle="Comma">
      <calculatedColumnFormula>Inputs!AP65*Data!$F3</calculatedColumnFormula>
    </tableColumn>
    <tableColumn id="39" xr3:uid="{0E230C92-A1A6-4771-BCBA-E87979484A08}" name="2061" dataDxfId="713" dataCellStyle="Comma">
      <calculatedColumnFormula>Inputs!AQ65*Data!$F3</calculatedColumnFormula>
    </tableColumn>
    <tableColumn id="40" xr3:uid="{EEE41DF1-923B-498E-B7A7-3D8B2262A257}" name="2062" dataDxfId="712" dataCellStyle="Comma">
      <calculatedColumnFormula>Inputs!AR65*Data!$F3</calculatedColumnFormula>
    </tableColumn>
    <tableColumn id="41" xr3:uid="{1643BA83-7E14-48FD-9A31-0571A3F62B9D}" name="2063" dataDxfId="711" dataCellStyle="Comma">
      <calculatedColumnFormula>Inputs!AS65*Data!$F3</calculatedColumnFormula>
    </tableColumn>
    <tableColumn id="42" xr3:uid="{0478B496-BD0E-4DED-B708-4FF5B0907C6A}" name="2064" dataDxfId="710" dataCellStyle="Comma">
      <calculatedColumnFormula>Inputs!AT65*Data!$F3</calculatedColumnFormula>
    </tableColumn>
    <tableColumn id="43" xr3:uid="{AED25128-E990-4A8A-B03B-29B6D1578F1A}" name="2065" dataDxfId="709" dataCellStyle="Comma">
      <calculatedColumnFormula>Inputs!AU65*Data!$F3</calculatedColumnFormula>
    </tableColumn>
    <tableColumn id="44" xr3:uid="{F2CE45C9-695A-4279-9D9B-1FA9FEAD35C1}" name="2066" dataDxfId="708" dataCellStyle="Comma">
      <calculatedColumnFormula>Inputs!AV65*Data!$F3</calculatedColumnFormula>
    </tableColumn>
    <tableColumn id="45" xr3:uid="{939C3531-8B12-4866-849F-AF3DA7ABB3DF}" name="2067" dataDxfId="707" dataCellStyle="Comma">
      <calculatedColumnFormula>Inputs!AW65*Data!$F3</calculatedColumnFormula>
    </tableColumn>
    <tableColumn id="46" xr3:uid="{C63059BE-FCCB-418A-9248-6D143D831233}" name="2068" dataDxfId="706" dataCellStyle="Comma">
      <calculatedColumnFormula>Inputs!AX65*Data!$F3</calculatedColumnFormula>
    </tableColumn>
    <tableColumn id="47" xr3:uid="{D93673C6-08BE-4364-9565-8E1FFC05B526}" name="2069" dataDxfId="705" dataCellStyle="Comma">
      <calculatedColumnFormula>Inputs!AY65*Data!$F3</calculatedColumnFormula>
    </tableColumn>
    <tableColumn id="48" xr3:uid="{FC0057C8-6BEA-427A-B943-3BB635A97C32}" name="2070" dataDxfId="704" dataCellStyle="Comma">
      <calculatedColumnFormula>Inputs!AZ65*Data!$F3</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02EA841-3540-4D74-9CAF-7CDFEB96F512}" name="FuelUse_BC" displayName="FuelUse_BC" ref="E65:AZ76" totalsRowShown="0" headerRowDxfId="703" dataDxfId="701" headerRowBorderDxfId="702" dataCellStyle="Comma">
  <autoFilter ref="E65:AZ76" xr:uid="{A02EA841-3540-4D74-9CAF-7CDFEB96F512}"/>
  <tableColumns count="48">
    <tableColumn id="1" xr3:uid="{1270384F-F96C-4C9F-9F98-A15A9DA7DA1A}" name="Fuel type" dataDxfId="700">
      <calculatedColumnFormula>Inputs!D78</calculatedColumnFormula>
    </tableColumn>
    <tableColumn id="2" xr3:uid="{3C8FC275-A141-45BB-9335-D8580EB34803}" name="Units" dataDxfId="699"/>
    <tableColumn id="3" xr3:uid="{BE887A9C-32F6-499A-B6FE-999868A7E6A3}" name="Applicant comment" dataDxfId="698">
      <calculatedColumnFormula>Inputs!G78</calculatedColumnFormula>
    </tableColumn>
    <tableColumn id="4" xr3:uid="{271632E6-6DF1-4BD0-8989-CBBFA361282D}" name="2026" dataDxfId="697" dataCellStyle="Comma">
      <calculatedColumnFormula>Inputs!H78*Data!$F3</calculatedColumnFormula>
    </tableColumn>
    <tableColumn id="5" xr3:uid="{BCA36674-D4B9-464E-BC9B-13CA4C9E8664}" name="2027" dataDxfId="696" dataCellStyle="Comma">
      <calculatedColumnFormula>Inputs!I78*Data!$F3</calculatedColumnFormula>
    </tableColumn>
    <tableColumn id="6" xr3:uid="{0428959E-2448-480E-87F8-5E370EAF4E84}" name="2028" dataDxfId="695" dataCellStyle="Comma">
      <calculatedColumnFormula>Inputs!J78*Data!$F3</calculatedColumnFormula>
    </tableColumn>
    <tableColumn id="7" xr3:uid="{5C037783-28E3-493B-80FA-9AA37E9FCAB9}" name="2029" dataDxfId="694" dataCellStyle="Comma">
      <calculatedColumnFormula>Inputs!K78*Data!$F3</calculatedColumnFormula>
    </tableColumn>
    <tableColumn id="8" xr3:uid="{B5B41033-3D7A-4040-88F7-ECF72E75C8A6}" name="2030" dataDxfId="693" dataCellStyle="Comma">
      <calculatedColumnFormula>Inputs!L78*Data!$F3</calculatedColumnFormula>
    </tableColumn>
    <tableColumn id="9" xr3:uid="{FDF6B288-72BD-479A-8676-9C393B5A75C4}" name="2031" dataDxfId="692" dataCellStyle="Comma">
      <calculatedColumnFormula>Inputs!M78*Data!$F3</calculatedColumnFormula>
    </tableColumn>
    <tableColumn id="10" xr3:uid="{91450F10-8DF4-4D7F-A933-252533C7F905}" name="2032" dataDxfId="691" dataCellStyle="Comma">
      <calculatedColumnFormula>Inputs!N78*Data!$F3</calculatedColumnFormula>
    </tableColumn>
    <tableColumn id="11" xr3:uid="{2FB86AFF-086F-4EEA-89B2-86F86DBBB709}" name="2033" dataDxfId="690" dataCellStyle="Comma">
      <calculatedColumnFormula>Inputs!O78*Data!$F3</calculatedColumnFormula>
    </tableColumn>
    <tableColumn id="12" xr3:uid="{F1198ADB-8250-4A12-90E9-F62ACD28FD03}" name="2034" dataDxfId="689" dataCellStyle="Comma">
      <calculatedColumnFormula>Inputs!P78*Data!$F3</calculatedColumnFormula>
    </tableColumn>
    <tableColumn id="13" xr3:uid="{017CEFA2-4218-4510-8D7F-AB0855629C6C}" name="2035" dataDxfId="688" dataCellStyle="Comma">
      <calculatedColumnFormula>Inputs!Q78*Data!$F3</calculatedColumnFormula>
    </tableColumn>
    <tableColumn id="14" xr3:uid="{24628384-79EF-4554-9EB4-4F05FEC306C4}" name="2036" dataDxfId="687" dataCellStyle="Comma">
      <calculatedColumnFormula>Inputs!R78*Data!$F3</calculatedColumnFormula>
    </tableColumn>
    <tableColumn id="15" xr3:uid="{2CC00B05-943B-4E05-B7B5-D2B1693E543E}" name="2037" dataDxfId="686" dataCellStyle="Comma">
      <calculatedColumnFormula>Inputs!S78*Data!$F3</calculatedColumnFormula>
    </tableColumn>
    <tableColumn id="16" xr3:uid="{4743A4BE-8A73-4DD7-A8B6-C87A22796C31}" name="2038" dataDxfId="685" dataCellStyle="Comma">
      <calculatedColumnFormula>Inputs!T78*Data!$F3</calculatedColumnFormula>
    </tableColumn>
    <tableColumn id="17" xr3:uid="{2752870C-B33F-440E-8E28-3D311D891D1E}" name="2039" dataDxfId="684" dataCellStyle="Comma">
      <calculatedColumnFormula>Inputs!U78*Data!$F3</calculatedColumnFormula>
    </tableColumn>
    <tableColumn id="18" xr3:uid="{D48F6059-3230-4DD3-945D-E65F03F36D13}" name="2040" dataDxfId="683" dataCellStyle="Comma">
      <calculatedColumnFormula>Inputs!V78*Data!$F3</calculatedColumnFormula>
    </tableColumn>
    <tableColumn id="19" xr3:uid="{F3D2BAE2-B377-418F-87BC-9746338699DC}" name="2041" dataDxfId="682" dataCellStyle="Comma">
      <calculatedColumnFormula>Inputs!W78*Data!$F3</calculatedColumnFormula>
    </tableColumn>
    <tableColumn id="20" xr3:uid="{2EA76C3C-73FB-43E9-B4B7-4ED62FFBF7EB}" name="2042" dataDxfId="681" dataCellStyle="Comma">
      <calculatedColumnFormula>Inputs!X78*Data!$F3</calculatedColumnFormula>
    </tableColumn>
    <tableColumn id="21" xr3:uid="{D12CB50A-03DF-4011-8768-7A67B0BDA462}" name="2043" dataDxfId="680" dataCellStyle="Comma">
      <calculatedColumnFormula>Inputs!Y78*Data!$F3</calculatedColumnFormula>
    </tableColumn>
    <tableColumn id="22" xr3:uid="{7914CBD1-2020-40B8-B96C-CC6FD319399D}" name="2044" dataDxfId="679" dataCellStyle="Comma">
      <calculatedColumnFormula>Inputs!Z78*Data!$F3</calculatedColumnFormula>
    </tableColumn>
    <tableColumn id="23" xr3:uid="{A8A8295A-1F9F-4776-BCD5-7589BD250BF7}" name="2045" dataDxfId="678" dataCellStyle="Comma">
      <calculatedColumnFormula>Inputs!AA78*Data!$F3</calculatedColumnFormula>
    </tableColumn>
    <tableColumn id="24" xr3:uid="{3B5B0DC4-16E9-4E36-96EF-FCE473F1E85E}" name="2046" dataDxfId="677" dataCellStyle="Comma">
      <calculatedColumnFormula>Inputs!AB78*Data!$F3</calculatedColumnFormula>
    </tableColumn>
    <tableColumn id="25" xr3:uid="{B08E17B5-6B4C-4479-A29C-28CE06BBF4AB}" name="2047" dataDxfId="676" dataCellStyle="Comma">
      <calculatedColumnFormula>Inputs!AC78*Data!$F3</calculatedColumnFormula>
    </tableColumn>
    <tableColumn id="26" xr3:uid="{55BE08E6-BCFB-406F-BBED-0599FED7E7C9}" name="2048" dataDxfId="675" dataCellStyle="Comma">
      <calculatedColumnFormula>Inputs!AD78*Data!$F3</calculatedColumnFormula>
    </tableColumn>
    <tableColumn id="27" xr3:uid="{2A09E995-504C-45BD-ADED-49773FE219A3}" name="2049" dataDxfId="674" dataCellStyle="Comma">
      <calculatedColumnFormula>Inputs!AE78*Data!$F3</calculatedColumnFormula>
    </tableColumn>
    <tableColumn id="28" xr3:uid="{2412D863-E0F0-4F94-8061-158EEB672ECC}" name="2050" dataDxfId="673" dataCellStyle="Comma">
      <calculatedColumnFormula>Inputs!AF78*Data!$F3</calculatedColumnFormula>
    </tableColumn>
    <tableColumn id="29" xr3:uid="{51A026B3-09C4-4BE3-A04A-109685CCCE11}" name="2051" dataDxfId="672" dataCellStyle="Comma">
      <calculatedColumnFormula>Inputs!AG78*Data!$F3</calculatedColumnFormula>
    </tableColumn>
    <tableColumn id="30" xr3:uid="{A399F7FB-3915-4225-BE24-1A0967AD0B25}" name="2052" dataDxfId="671" dataCellStyle="Comma">
      <calculatedColumnFormula>Inputs!AH78*Data!$F3</calculatedColumnFormula>
    </tableColumn>
    <tableColumn id="31" xr3:uid="{8E1F7819-BAE7-4816-AD05-E4A11636CC43}" name="2053" dataDxfId="670" dataCellStyle="Comma">
      <calculatedColumnFormula>Inputs!AI78*Data!$F3</calculatedColumnFormula>
    </tableColumn>
    <tableColumn id="32" xr3:uid="{7009F0E3-B211-4ED0-9C2F-B4EB083F3D65}" name="2054" dataDxfId="669" dataCellStyle="Comma">
      <calculatedColumnFormula>Inputs!AJ78*Data!$F3</calculatedColumnFormula>
    </tableColumn>
    <tableColumn id="33" xr3:uid="{9CE0A7BB-1DE6-4EF9-9219-5AF77C965D6F}" name="2055" dataDxfId="668" dataCellStyle="Comma">
      <calculatedColumnFormula>Inputs!AK78*Data!$F3</calculatedColumnFormula>
    </tableColumn>
    <tableColumn id="34" xr3:uid="{AB0953FF-CEF1-4930-88B6-120AB0393EDF}" name="2056" dataDxfId="667" dataCellStyle="Comma">
      <calculatedColumnFormula>Inputs!AL78*Data!$F3</calculatedColumnFormula>
    </tableColumn>
    <tableColumn id="35" xr3:uid="{4122A376-1CD7-4C18-8B9A-CF5B70340F1C}" name="2057" dataDxfId="666" dataCellStyle="Comma">
      <calculatedColumnFormula>Inputs!AM78*Data!$F3</calculatedColumnFormula>
    </tableColumn>
    <tableColumn id="36" xr3:uid="{A65DF0B5-1F4D-4C7E-87B6-F1D3A1B66265}" name="2058" dataDxfId="665" dataCellStyle="Comma">
      <calculatedColumnFormula>Inputs!AN78*Data!$F3</calculatedColumnFormula>
    </tableColumn>
    <tableColumn id="37" xr3:uid="{A43574D6-7188-4F2E-ABD6-1F72464C8E5A}" name="2059" dataDxfId="664" dataCellStyle="Comma">
      <calculatedColumnFormula>Inputs!AO78*Data!$F3</calculatedColumnFormula>
    </tableColumn>
    <tableColumn id="38" xr3:uid="{7F486B56-C027-41A0-B01C-80E549AFF61C}" name="2060" dataDxfId="663" dataCellStyle="Comma">
      <calculatedColumnFormula>Inputs!AP78*Data!$F3</calculatedColumnFormula>
    </tableColumn>
    <tableColumn id="39" xr3:uid="{38C357F1-299E-4062-BCA8-9C117E49DF97}" name="2061" dataDxfId="662" dataCellStyle="Comma">
      <calculatedColumnFormula>Inputs!AQ78*Data!$F3</calculatedColumnFormula>
    </tableColumn>
    <tableColumn id="40" xr3:uid="{B0C00F89-0437-467F-9618-F593B34A6CE9}" name="2062" dataDxfId="661" dataCellStyle="Comma">
      <calculatedColumnFormula>Inputs!AR78*Data!$F3</calculatedColumnFormula>
    </tableColumn>
    <tableColumn id="41" xr3:uid="{A9E826DE-26DC-45D2-B88C-8EA0C75A9346}" name="2063" dataDxfId="660" dataCellStyle="Comma">
      <calculatedColumnFormula>Inputs!AS78*Data!$F3</calculatedColumnFormula>
    </tableColumn>
    <tableColumn id="42" xr3:uid="{ED759928-A37A-4B37-97F2-577C22FE45DE}" name="2064" dataDxfId="659" dataCellStyle="Comma">
      <calculatedColumnFormula>Inputs!AT78*Data!$F3</calculatedColumnFormula>
    </tableColumn>
    <tableColumn id="43" xr3:uid="{2E1C35DD-49D7-4C58-9D91-85716C7489EF}" name="2065" dataDxfId="658" dataCellStyle="Comma">
      <calculatedColumnFormula>Inputs!AU78*Data!$F3</calculatedColumnFormula>
    </tableColumn>
    <tableColumn id="44" xr3:uid="{719045F3-3211-43FF-A0D2-B58F2EC8BEB5}" name="2066" dataDxfId="657" dataCellStyle="Comma">
      <calculatedColumnFormula>Inputs!AV78*Data!$F3</calculatedColumnFormula>
    </tableColumn>
    <tableColumn id="45" xr3:uid="{652EE346-87A4-4139-BDC5-74ED43017383}" name="2067" dataDxfId="656" dataCellStyle="Comma">
      <calculatedColumnFormula>Inputs!AW78*Data!$F3</calculatedColumnFormula>
    </tableColumn>
    <tableColumn id="46" xr3:uid="{24F0373B-D063-4539-82A6-70B21D8377EE}" name="2068" dataDxfId="655" dataCellStyle="Comma">
      <calculatedColumnFormula>Inputs!AX78*Data!$F3</calculatedColumnFormula>
    </tableColumn>
    <tableColumn id="47" xr3:uid="{158A7CBD-6D4B-462E-983C-48848FB4D940}" name="2069" dataDxfId="654" dataCellStyle="Comma">
      <calculatedColumnFormula>Inputs!AY78*Data!$F3</calculatedColumnFormula>
    </tableColumn>
    <tableColumn id="48" xr3:uid="{3C76778A-4978-4A84-BDF6-51E59943FEA6}" name="2070" dataDxfId="653" dataCellStyle="Comma">
      <calculatedColumnFormula>Inputs!AZ78*Data!$F3</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F57FF57-40B7-46C4-88C0-F7BB399D27EB}" name="Opex_Fuel_PP" displayName="Opex_Fuel_PP" ref="D106:AZ117" totalsRowShown="0" headerRowDxfId="652" dataDxfId="650" headerRowBorderDxfId="651" tableBorderDxfId="649" dataCellStyle="Comma">
  <autoFilter ref="D106:AZ117" xr:uid="{7F57FF57-40B7-46C4-88C0-F7BB399D27EB}"/>
  <tableColumns count="49">
    <tableColumn id="1" xr3:uid="{457C3F1B-9C52-4984-B0C8-07D8C02E4512}" name="Fuel type" dataDxfId="648">
      <calculatedColumnFormula>IF(E53="&lt;Select&gt;","",E53)</calculatedColumnFormula>
    </tableColumn>
    <tableColumn id="2" xr3:uid="{650FB334-3E85-4227-A95A-294542313A19}" name="Value basis" dataDxfId="647">
      <calculatedColumnFormula>E80</calculatedColumnFormula>
    </tableColumn>
    <tableColumn id="49" xr3:uid="{E762BD5C-F83A-4C8A-9369-9267C1B973E2}" name="Base year" dataDxfId="646">
      <calculatedColumnFormula>Analysis_year</calculatedColumnFormula>
    </tableColumn>
    <tableColumn id="3" xr3:uid="{81F14D20-B9FD-49E4-80B5-AD0458C6583D}" name="Applicant comment" dataDxfId="645">
      <calculatedColumnFormula>Inputs!G119</calculatedColumnFormula>
    </tableColumn>
    <tableColumn id="4" xr3:uid="{03CF4BB4-5305-4278-A1C5-EFA8FE14D586}" name="2026" dataDxfId="644" dataCellStyle="Comma">
      <calculatedColumnFormula>H53*H80</calculatedColumnFormula>
    </tableColumn>
    <tableColumn id="5" xr3:uid="{1F7666B7-5C65-4149-81AB-45992FD1D97F}" name="2027" dataDxfId="643" dataCellStyle="Comma">
      <calculatedColumnFormula>I53*I80</calculatedColumnFormula>
    </tableColumn>
    <tableColumn id="6" xr3:uid="{31657238-CFCB-43F0-961E-CC4E1EC78BF3}" name="2028" dataDxfId="642" dataCellStyle="Comma">
      <calculatedColumnFormula>J53*J80</calculatedColumnFormula>
    </tableColumn>
    <tableColumn id="7" xr3:uid="{B86A6DC5-492D-4435-8492-64F3668B3635}" name="2029" dataDxfId="641" dataCellStyle="Comma">
      <calculatedColumnFormula>K53*K80</calculatedColumnFormula>
    </tableColumn>
    <tableColumn id="8" xr3:uid="{78562099-6706-4316-BC48-437684AF3E7C}" name="2030" dataDxfId="640" dataCellStyle="Comma">
      <calculatedColumnFormula>L53*L80</calculatedColumnFormula>
    </tableColumn>
    <tableColumn id="9" xr3:uid="{D0CE2FA5-9EEA-4D7D-8FFA-F41A1A0C6C36}" name="2031" dataDxfId="639" dataCellStyle="Comma">
      <calculatedColumnFormula>M53*M80</calculatedColumnFormula>
    </tableColumn>
    <tableColumn id="10" xr3:uid="{3CAA35A5-824D-4079-9470-97413FF03424}" name="2032" dataDxfId="638" dataCellStyle="Comma">
      <calculatedColumnFormula>N53*N80</calculatedColumnFormula>
    </tableColumn>
    <tableColumn id="11" xr3:uid="{CF37D275-DE9C-4DC4-B227-72212C0E4ACE}" name="2033" dataDxfId="637" dataCellStyle="Comma">
      <calculatedColumnFormula>O53*O80</calculatedColumnFormula>
    </tableColumn>
    <tableColumn id="12" xr3:uid="{21A57541-6EA2-4939-8884-493DA8F6F0C4}" name="2034" dataDxfId="636" dataCellStyle="Comma">
      <calculatedColumnFormula>P53*P80</calculatedColumnFormula>
    </tableColumn>
    <tableColumn id="13" xr3:uid="{5ABB1D1A-F7E6-46A6-8B5D-3143E1D6D9C0}" name="2035" dataDxfId="635" dataCellStyle="Comma">
      <calculatedColumnFormula>Q53*Q80</calculatedColumnFormula>
    </tableColumn>
    <tableColumn id="14" xr3:uid="{FA1A4D8A-F13F-4333-8A9A-85CF8E8B8C70}" name="2036" dataDxfId="634" dataCellStyle="Comma">
      <calculatedColumnFormula>R53*R80</calculatedColumnFormula>
    </tableColumn>
    <tableColumn id="15" xr3:uid="{486C1BB0-7D53-4675-AB49-BF26C0C87255}" name="2037" dataDxfId="633" dataCellStyle="Comma">
      <calculatedColumnFormula>S53*S80</calculatedColumnFormula>
    </tableColumn>
    <tableColumn id="16" xr3:uid="{08C8DAA3-2F89-4EB1-981D-FB57E9665386}" name="2038" dataDxfId="632" dataCellStyle="Comma">
      <calculatedColumnFormula>T53*T80</calculatedColumnFormula>
    </tableColumn>
    <tableColumn id="17" xr3:uid="{EA0F3C27-9E58-4A51-AA7E-2CF2002C8454}" name="2039" dataDxfId="631" dataCellStyle="Comma">
      <calculatedColumnFormula>U53*U80</calculatedColumnFormula>
    </tableColumn>
    <tableColumn id="18" xr3:uid="{6306CC8F-5501-4308-86A6-988677380413}" name="2040" dataDxfId="630" dataCellStyle="Comma">
      <calculatedColumnFormula>V53*V80</calculatedColumnFormula>
    </tableColumn>
    <tableColumn id="19" xr3:uid="{76AC0B52-5F24-471A-9471-89E36F1BE4A2}" name="2041" dataDxfId="629" dataCellStyle="Comma">
      <calculatedColumnFormula>W53*W80</calculatedColumnFormula>
    </tableColumn>
    <tableColumn id="20" xr3:uid="{A65E1679-D82B-49F2-813E-6597393FB8E1}" name="2042" dataDxfId="628" dataCellStyle="Comma">
      <calculatedColumnFormula>X53*X80</calculatedColumnFormula>
    </tableColumn>
    <tableColumn id="21" xr3:uid="{91785C70-60B4-4083-A7BC-7F65D1A5AEE2}" name="2043" dataDxfId="627" dataCellStyle="Comma">
      <calculatedColumnFormula>Y53*Y80</calculatedColumnFormula>
    </tableColumn>
    <tableColumn id="22" xr3:uid="{9A43DA79-861A-417E-8A7B-DA6AB950F6DE}" name="2044" dataDxfId="626" dataCellStyle="Comma">
      <calculatedColumnFormula>Z53*Z80</calculatedColumnFormula>
    </tableColumn>
    <tableColumn id="23" xr3:uid="{1E056BBD-B7F8-4B15-B361-0EB9D7522D5F}" name="2045" dataDxfId="625" dataCellStyle="Comma">
      <calculatedColumnFormula>AA53*AA80</calculatedColumnFormula>
    </tableColumn>
    <tableColumn id="24" xr3:uid="{969B98FA-1AF8-48B4-9BF7-67C9E693F34D}" name="2046" dataDxfId="624" dataCellStyle="Comma">
      <calculatedColumnFormula>AB53*AB80</calculatedColumnFormula>
    </tableColumn>
    <tableColumn id="25" xr3:uid="{AB9432EB-9DF2-4533-859B-BDC6ADB28B76}" name="2047" dataDxfId="623" dataCellStyle="Comma">
      <calculatedColumnFormula>AC53*AC80</calculatedColumnFormula>
    </tableColumn>
    <tableColumn id="26" xr3:uid="{342B91F5-AE62-423F-B84C-EBB6EA9819B8}" name="2048" dataDxfId="622" dataCellStyle="Comma">
      <calculatedColumnFormula>AD53*AD80</calculatedColumnFormula>
    </tableColumn>
    <tableColumn id="27" xr3:uid="{C5CB0AAA-D3C0-43C1-8773-A4221903997A}" name="2049" dataDxfId="621" dataCellStyle="Comma">
      <calculatedColumnFormula>AE53*AE80</calculatedColumnFormula>
    </tableColumn>
    <tableColumn id="28" xr3:uid="{BC3A3846-F79B-47E4-9922-0AA3803967BD}" name="2050" dataDxfId="620" dataCellStyle="Comma">
      <calculatedColumnFormula>AF53*AF80</calculatedColumnFormula>
    </tableColumn>
    <tableColumn id="29" xr3:uid="{9BFA43D0-44B7-4871-B38A-539290E28079}" name="2051" dataDxfId="619" dataCellStyle="Comma">
      <calculatedColumnFormula>AG53*AG80</calculatedColumnFormula>
    </tableColumn>
    <tableColumn id="30" xr3:uid="{5C09BE81-A73B-4F75-B007-64B1A8994B0A}" name="2052" dataDxfId="618" dataCellStyle="Comma">
      <calculatedColumnFormula>AH53*AH80</calculatedColumnFormula>
    </tableColumn>
    <tableColumn id="31" xr3:uid="{99D6B898-9CB8-4325-BF66-7B4666C3E03B}" name="2053" dataDxfId="617" dataCellStyle="Comma">
      <calculatedColumnFormula>AI53*AI80</calculatedColumnFormula>
    </tableColumn>
    <tableColumn id="32" xr3:uid="{AEC0AB43-869D-47D7-B4CE-57883DF7C487}" name="2054" dataDxfId="616" dataCellStyle="Comma">
      <calculatedColumnFormula>AJ53*AJ80</calculatedColumnFormula>
    </tableColumn>
    <tableColumn id="33" xr3:uid="{5A760C9D-0727-4495-A2C2-FCA6D798EFFE}" name="2055" dataDxfId="615" dataCellStyle="Comma">
      <calculatedColumnFormula>AK53*AK80</calculatedColumnFormula>
    </tableColumn>
    <tableColumn id="34" xr3:uid="{249BF5FC-0A9F-40FF-A9D7-7FFDE5A153CB}" name="2056" dataDxfId="614" dataCellStyle="Comma">
      <calculatedColumnFormula>AL53*AL80</calculatedColumnFormula>
    </tableColumn>
    <tableColumn id="35" xr3:uid="{E444688B-5727-492B-9506-D43FC301D415}" name="2057" dataDxfId="613" dataCellStyle="Comma">
      <calculatedColumnFormula>AM53*AM80</calculatedColumnFormula>
    </tableColumn>
    <tableColumn id="36" xr3:uid="{ADD0E9DC-C3D9-4DBE-B4A9-DD29E30DB0E3}" name="2058" dataDxfId="612" dataCellStyle="Comma">
      <calculatedColumnFormula>AN53*AN80</calculatedColumnFormula>
    </tableColumn>
    <tableColumn id="37" xr3:uid="{5955EFF2-5ACB-429F-BBC9-5E63FED97BAA}" name="2059" dataDxfId="611" dataCellStyle="Comma">
      <calculatedColumnFormula>AO53*AO80</calculatedColumnFormula>
    </tableColumn>
    <tableColumn id="38" xr3:uid="{F26697F9-38C3-4F08-86DC-3FDD2D8EA651}" name="2060" dataDxfId="610" dataCellStyle="Comma">
      <calculatedColumnFormula>AP53*AP80</calculatedColumnFormula>
    </tableColumn>
    <tableColumn id="39" xr3:uid="{AE07AF7E-10E8-448D-A1B4-1A5A1A36921F}" name="2061" dataDxfId="609" dataCellStyle="Comma">
      <calculatedColumnFormula>AQ53*AQ80</calculatedColumnFormula>
    </tableColumn>
    <tableColumn id="40" xr3:uid="{B8F546A6-C7C9-480E-94C6-CA9F434FB624}" name="2062" dataDxfId="608" dataCellStyle="Comma">
      <calculatedColumnFormula>AR53*AR80</calculatedColumnFormula>
    </tableColumn>
    <tableColumn id="41" xr3:uid="{0D63E13A-8A58-430D-A2C7-7EEADB1FD25D}" name="2063" dataDxfId="607" dataCellStyle="Comma">
      <calculatedColumnFormula>AS53*AS80</calculatedColumnFormula>
    </tableColumn>
    <tableColumn id="42" xr3:uid="{1A651945-5EF2-4983-98EE-3F98EEF13585}" name="2064" dataDxfId="606" dataCellStyle="Comma">
      <calculatedColumnFormula>AT53*AT80</calculatedColumnFormula>
    </tableColumn>
    <tableColumn id="43" xr3:uid="{0EAD736C-D3F1-4F10-BFA9-EED5C60C6E4A}" name="2065" dataDxfId="605" dataCellStyle="Comma">
      <calculatedColumnFormula>AU53*AU80</calculatedColumnFormula>
    </tableColumn>
    <tableColumn id="44" xr3:uid="{EC09FF61-2B95-4B43-9D46-9AA5AC09932E}" name="2066" dataDxfId="604" dataCellStyle="Comma">
      <calculatedColumnFormula>AV53*AV80</calculatedColumnFormula>
    </tableColumn>
    <tableColumn id="45" xr3:uid="{96D32ECC-435C-4FEA-BAB4-B39A984A2184}" name="2067" dataDxfId="603" dataCellStyle="Comma">
      <calculatedColumnFormula>AW53*AW80</calculatedColumnFormula>
    </tableColumn>
    <tableColumn id="46" xr3:uid="{EB1BE8D7-3A9F-4DCA-84DE-A2EE92D35F5A}" name="2068" dataDxfId="602" dataCellStyle="Comma">
      <calculatedColumnFormula>AX53*AX80</calculatedColumnFormula>
    </tableColumn>
    <tableColumn id="47" xr3:uid="{50228051-769C-48B0-9CC9-CE6910B44973}" name="2069" dataDxfId="601" dataCellStyle="Comma">
      <calculatedColumnFormula>AY53*AY80</calculatedColumnFormula>
    </tableColumn>
    <tableColumn id="48" xr3:uid="{F8B51534-4089-46DB-A467-8A26CD5193FD}" name="2070" dataDxfId="600" dataCellStyle="Comma">
      <calculatedColumnFormula>AZ53*AZ80</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CB7673E-FE94-4943-9BE5-0F4D0796F0DB}" name="Opex_Fuel_BC" displayName="Opex_Fuel_BC" ref="D120:AZ131" totalsRowShown="0" headerRowDxfId="599" dataDxfId="597" headerRowBorderDxfId="598" tableBorderDxfId="596" dataCellStyle="Comma">
  <autoFilter ref="D120:AZ131" xr:uid="{ECB7673E-FE94-4943-9BE5-0F4D0796F0DB}"/>
  <tableColumns count="49">
    <tableColumn id="1" xr3:uid="{69A758F7-040C-408F-852E-33876890D782}" name="Fuel type" dataDxfId="595">
      <calculatedColumnFormula>IF(E66="&lt;Select&gt;","",E66)</calculatedColumnFormula>
    </tableColumn>
    <tableColumn id="2" xr3:uid="{A96142B6-B211-4634-9ACE-C6A815DB88D6}" name="Value basis" dataDxfId="594">
      <calculatedColumnFormula>E93</calculatedColumnFormula>
    </tableColumn>
    <tableColumn id="49" xr3:uid="{28E61BA9-50EF-4F1A-A6D4-A7BEB7E29C58}" name="Base year" dataDxfId="593">
      <calculatedColumnFormula>Analysis_year</calculatedColumnFormula>
    </tableColumn>
    <tableColumn id="3" xr3:uid="{E473E054-910B-4C97-9706-C20C27FC347E}" name="Applicant comment" dataDxfId="592">
      <calculatedColumnFormula>Inputs!G134</calculatedColumnFormula>
    </tableColumn>
    <tableColumn id="4" xr3:uid="{C82E51B2-0B4B-422E-953D-7AF9D04C42A3}" name="2026" dataDxfId="591" dataCellStyle="Comma">
      <calculatedColumnFormula>H66*H93</calculatedColumnFormula>
    </tableColumn>
    <tableColumn id="5" xr3:uid="{5BA74257-04C3-4E89-8378-3B97234B694E}" name="2027" dataDxfId="590" dataCellStyle="Comma">
      <calculatedColumnFormula>I66*I93</calculatedColumnFormula>
    </tableColumn>
    <tableColumn id="6" xr3:uid="{7502371F-7A54-4E85-B20B-40DD420D6FED}" name="2028" dataDxfId="589" dataCellStyle="Comma">
      <calculatedColumnFormula>J66*J93</calculatedColumnFormula>
    </tableColumn>
    <tableColumn id="7" xr3:uid="{D4DE6E65-D667-4225-AA75-DDA078CF84EF}" name="2029" dataDxfId="588" dataCellStyle="Comma">
      <calculatedColumnFormula>K66*K93</calculatedColumnFormula>
    </tableColumn>
    <tableColumn id="8" xr3:uid="{3F0BE79D-6943-40A6-BCDD-4AE66F49B3D4}" name="2030" dataDxfId="587" dataCellStyle="Comma">
      <calculatedColumnFormula>L66*L93</calculatedColumnFormula>
    </tableColumn>
    <tableColumn id="9" xr3:uid="{8B056DDA-7CB7-4B41-A3FE-32068DA54644}" name="2031" dataDxfId="586" dataCellStyle="Comma">
      <calculatedColumnFormula>M66*M93</calculatedColumnFormula>
    </tableColumn>
    <tableColumn id="10" xr3:uid="{80E6A41D-5D48-45F9-BBF5-61872036CD48}" name="2032" dataDxfId="585" dataCellStyle="Comma">
      <calculatedColumnFormula>N66*N93</calculatedColumnFormula>
    </tableColumn>
    <tableColumn id="11" xr3:uid="{F1F2EE68-7B02-4D6D-AFF5-CE2501071CB9}" name="2033" dataDxfId="584" dataCellStyle="Comma">
      <calculatedColumnFormula>O66*O93</calculatedColumnFormula>
    </tableColumn>
    <tableColumn id="12" xr3:uid="{B6D565CD-4D9E-49DC-A29F-5D50A1CF0AEE}" name="2034" dataDxfId="583" dataCellStyle="Comma">
      <calculatedColumnFormula>P66*P93</calculatedColumnFormula>
    </tableColumn>
    <tableColumn id="13" xr3:uid="{3CCA25D2-CFD2-40CE-92D8-EF9ED6F169F5}" name="2035" dataDxfId="582" dataCellStyle="Comma">
      <calculatedColumnFormula>Q66*Q93</calculatedColumnFormula>
    </tableColumn>
    <tableColumn id="14" xr3:uid="{6D7B32D9-AD40-4B75-AB66-43FC331E6AB4}" name="2036" dataDxfId="581" dataCellStyle="Comma">
      <calculatedColumnFormula>R66*R93</calculatedColumnFormula>
    </tableColumn>
    <tableColumn id="15" xr3:uid="{A9E8FB16-F317-42B4-9FA5-9F2CA6FF6E1E}" name="2037" dataDxfId="580" dataCellStyle="Comma">
      <calculatedColumnFormula>S66*S93</calculatedColumnFormula>
    </tableColumn>
    <tableColumn id="16" xr3:uid="{FEC99DF0-BCFD-4395-8C95-7BEC26DB54FA}" name="2038" dataDxfId="579" dataCellStyle="Comma">
      <calculatedColumnFormula>T66*T93</calculatedColumnFormula>
    </tableColumn>
    <tableColumn id="17" xr3:uid="{4EAD9810-7EB0-4235-8ED3-2C05E9FAACCD}" name="2039" dataDxfId="578" dataCellStyle="Comma">
      <calculatedColumnFormula>U66*U93</calculatedColumnFormula>
    </tableColumn>
    <tableColumn id="18" xr3:uid="{AB351BDF-A084-4925-BFF9-A5747E29786E}" name="2040" dataDxfId="577" dataCellStyle="Comma">
      <calculatedColumnFormula>V66*V93</calculatedColumnFormula>
    </tableColumn>
    <tableColumn id="19" xr3:uid="{76F7E2D3-DE7E-4AE5-888D-BC8D6191CC4A}" name="2041" dataDxfId="576" dataCellStyle="Comma">
      <calculatedColumnFormula>W66*W93</calculatedColumnFormula>
    </tableColumn>
    <tableColumn id="20" xr3:uid="{CAD0B8BB-C263-4DF1-8477-B5DB6DF7325A}" name="2042" dataDxfId="575" dataCellStyle="Comma">
      <calculatedColumnFormula>X66*X93</calculatedColumnFormula>
    </tableColumn>
    <tableColumn id="21" xr3:uid="{19C62421-35EE-4CE5-B51B-E7CF7955EAFF}" name="2043" dataDxfId="574" dataCellStyle="Comma">
      <calculatedColumnFormula>Y66*Y93</calculatedColumnFormula>
    </tableColumn>
    <tableColumn id="22" xr3:uid="{47C3CAEA-C7D6-4D22-BCCA-1EEE474A392B}" name="2044" dataDxfId="573" dataCellStyle="Comma">
      <calculatedColumnFormula>Z66*Z93</calculatedColumnFormula>
    </tableColumn>
    <tableColumn id="23" xr3:uid="{FA503D47-92A7-475C-9EF6-44552AFAF7F3}" name="2045" dataDxfId="572" dataCellStyle="Comma">
      <calculatedColumnFormula>AA66*AA93</calculatedColumnFormula>
    </tableColumn>
    <tableColumn id="24" xr3:uid="{A936EE3B-26B8-48B2-B160-23640DA13D14}" name="2046" dataDxfId="571" dataCellStyle="Comma">
      <calculatedColumnFormula>AB66*AB93</calculatedColumnFormula>
    </tableColumn>
    <tableColumn id="25" xr3:uid="{73D3C76C-866A-41E7-8625-B52324BAFD8C}" name="2047" dataDxfId="570" dataCellStyle="Comma">
      <calculatedColumnFormula>AC66*AC93</calculatedColumnFormula>
    </tableColumn>
    <tableColumn id="26" xr3:uid="{45051CB4-3FCB-4659-B08F-1D00DA427850}" name="2048" dataDxfId="569" dataCellStyle="Comma">
      <calculatedColumnFormula>AD66*AD93</calculatedColumnFormula>
    </tableColumn>
    <tableColumn id="27" xr3:uid="{FC8A87B6-59FC-43AF-9C56-88728019F384}" name="2049" dataDxfId="568" dataCellStyle="Comma">
      <calculatedColumnFormula>AE66*AE93</calculatedColumnFormula>
    </tableColumn>
    <tableColumn id="28" xr3:uid="{E9C269EF-01B1-47DC-A42C-6F268982B199}" name="2050" dataDxfId="567" dataCellStyle="Comma">
      <calculatedColumnFormula>AF66*AF93</calculatedColumnFormula>
    </tableColumn>
    <tableColumn id="29" xr3:uid="{52BE4A39-FF7C-4523-A9B8-851A7BF50DA5}" name="2051" dataDxfId="566" dataCellStyle="Comma">
      <calculatedColumnFormula>AG66*AG93</calculatedColumnFormula>
    </tableColumn>
    <tableColumn id="30" xr3:uid="{2F72824B-3A44-4383-9E08-E2B3E45C8273}" name="2052" dataDxfId="565" dataCellStyle="Comma">
      <calculatedColumnFormula>AH66*AH93</calculatedColumnFormula>
    </tableColumn>
    <tableColumn id="31" xr3:uid="{01A1D6C4-6B26-4108-AF3E-EAAD982D9DCB}" name="2053" dataDxfId="564" dataCellStyle="Comma">
      <calculatedColumnFormula>AI66*AI93</calculatedColumnFormula>
    </tableColumn>
    <tableColumn id="32" xr3:uid="{0326A74F-D306-40B6-A9CB-57595D8BC03D}" name="2054" dataDxfId="563" dataCellStyle="Comma">
      <calculatedColumnFormula>AJ66*AJ93</calculatedColumnFormula>
    </tableColumn>
    <tableColumn id="33" xr3:uid="{1777F2B5-5DC4-453D-9698-EEFD52AF3F77}" name="2055" dataDxfId="562" dataCellStyle="Comma">
      <calculatedColumnFormula>AK66*AK93</calculatedColumnFormula>
    </tableColumn>
    <tableColumn id="34" xr3:uid="{434D4375-58FE-49D4-897C-B68CB4AAF55C}" name="2056" dataDxfId="561" dataCellStyle="Comma">
      <calculatedColumnFormula>AL66*AL93</calculatedColumnFormula>
    </tableColumn>
    <tableColumn id="35" xr3:uid="{C573BE31-6181-4360-9FF3-998325DBE78B}" name="2057" dataDxfId="560" dataCellStyle="Comma">
      <calculatedColumnFormula>AM66*AM93</calculatedColumnFormula>
    </tableColumn>
    <tableColumn id="36" xr3:uid="{C0088874-C2A0-456A-9689-5F37860D2DFE}" name="2058" dataDxfId="559" dataCellStyle="Comma">
      <calculatedColumnFormula>AN66*AN93</calculatedColumnFormula>
    </tableColumn>
    <tableColumn id="37" xr3:uid="{40F1350F-241D-431A-95DA-7E55C352B9F7}" name="2059" dataDxfId="558" dataCellStyle="Comma">
      <calculatedColumnFormula>AO66*AO93</calculatedColumnFormula>
    </tableColumn>
    <tableColumn id="38" xr3:uid="{73E6C43B-C48B-4CB7-A897-9D2E2DA8183E}" name="2060" dataDxfId="557" dataCellStyle="Comma">
      <calculatedColumnFormula>AP66*AP93</calculatedColumnFormula>
    </tableColumn>
    <tableColumn id="39" xr3:uid="{15B9A983-7D6E-4951-8BBA-1F49D7402CA7}" name="2061" dataDxfId="556" dataCellStyle="Comma">
      <calculatedColumnFormula>AQ66*AQ93</calculatedColumnFormula>
    </tableColumn>
    <tableColumn id="40" xr3:uid="{C43F13EB-008D-4442-A8F8-9719169E9AC5}" name="2062" dataDxfId="555" dataCellStyle="Comma">
      <calculatedColumnFormula>AR66*AR93</calculatedColumnFormula>
    </tableColumn>
    <tableColumn id="41" xr3:uid="{91CE0533-3970-4D42-9173-259FCDC28EBA}" name="2063" dataDxfId="554" dataCellStyle="Comma">
      <calculatedColumnFormula>AS66*AS93</calculatedColumnFormula>
    </tableColumn>
    <tableColumn id="42" xr3:uid="{3A838B1A-114F-45BC-BC29-F1528A19A2DB}" name="2064" dataDxfId="553" dataCellStyle="Comma">
      <calculatedColumnFormula>AT66*AT93</calculatedColumnFormula>
    </tableColumn>
    <tableColumn id="43" xr3:uid="{4FFE8A4C-8DFB-4D91-81E4-73DAE57AC36A}" name="2065" dataDxfId="552" dataCellStyle="Comma">
      <calculatedColumnFormula>AU66*AU93</calculatedColumnFormula>
    </tableColumn>
    <tableColumn id="44" xr3:uid="{7EE2D54A-E233-4D19-8CC9-919E11120C61}" name="2066" dataDxfId="551" dataCellStyle="Comma">
      <calculatedColumnFormula>AV66*AV93</calculatedColumnFormula>
    </tableColumn>
    <tableColumn id="45" xr3:uid="{091C6C2D-D093-4202-BDE1-D898A416BC22}" name="2067" dataDxfId="550" dataCellStyle="Comma">
      <calculatedColumnFormula>AW66*AW93</calculatedColumnFormula>
    </tableColumn>
    <tableColumn id="46" xr3:uid="{56264D65-96F4-4A3C-8DFB-8C1D49E95281}" name="2068" dataDxfId="549" dataCellStyle="Comma">
      <calculatedColumnFormula>AX66*AX93</calculatedColumnFormula>
    </tableColumn>
    <tableColumn id="47" xr3:uid="{CE9BF582-8CA3-4E13-B39F-A39186185E65}" name="2069" dataDxfId="548" dataCellStyle="Comma">
      <calculatedColumnFormula>AY66*AY93</calculatedColumnFormula>
    </tableColumn>
    <tableColumn id="48" xr3:uid="{B3CEECE1-F64A-4877-A764-5E6A738A407B}" name="2070" dataDxfId="547" dataCellStyle="Comma">
      <calculatedColumnFormula>AZ66*AZ93</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B91A6A6-BB99-4155-86F8-BD9374E79829}" name="Capex_PP" displayName="Capex_PP" ref="D9:AZ16" totalsRowShown="0" headerRowDxfId="546" dataDxfId="544" headerRowBorderDxfId="545" dataCellStyle="Comma">
  <autoFilter ref="D9:AZ16" xr:uid="{2B91A6A6-BB99-4155-86F8-BD9374E79829}"/>
  <tableColumns count="49">
    <tableColumn id="1" xr3:uid="{D2A95D11-8936-4ACF-9CD3-C5AA082D8F0B}" name="Capex item" dataDxfId="543"/>
    <tableColumn id="2" xr3:uid="{71F39844-3F9F-4CAB-A9ED-A0B5B86D3E34}" name="Value basis" dataDxfId="542">
      <calculatedColumnFormula>E$8</calculatedColumnFormula>
    </tableColumn>
    <tableColumn id="50" xr3:uid="{CDE23968-97B8-4E1E-84E7-AC8F1E773A04}" name="Base year" dataDxfId="541">
      <calculatedColumnFormula>Analysis_year</calculatedColumnFormula>
    </tableColumn>
    <tableColumn id="3" xr3:uid="{25DDE71B-A88E-4EA0-870B-EB19F839A95D}" name="Applicant comment" dataDxfId="540">
      <calculatedColumnFormula>Inputs!G15</calculatedColumnFormula>
    </tableColumn>
    <tableColumn id="4" xr3:uid="{14F95422-D37A-446A-99E4-5D1AE4D990F5}" name="2026" dataDxfId="539" dataCellStyle="Comma">
      <calculatedColumnFormula>Inputs!H15*IF(Inputs!$E15="Real",1,H$5)</calculatedColumnFormula>
    </tableColumn>
    <tableColumn id="5" xr3:uid="{9B236FAF-E7D4-487D-B2F9-39D1DFD630F7}" name="2027" dataDxfId="538" dataCellStyle="Comma">
      <calculatedColumnFormula>Inputs!I15*IF(Inputs!$E15="Real",1,I$5)</calculatedColumnFormula>
    </tableColumn>
    <tableColumn id="6" xr3:uid="{80721C3A-1CFA-4D59-ABB7-73685BBA9720}" name="2028" dataDxfId="537" dataCellStyle="Comma">
      <calculatedColumnFormula>Inputs!J15*IF(Inputs!$E15="Real",1,J$5)</calculatedColumnFormula>
    </tableColumn>
    <tableColumn id="7" xr3:uid="{3DA39704-8F18-4355-8230-A9F0E2666E31}" name="2029" dataDxfId="536" dataCellStyle="Comma">
      <calculatedColumnFormula>Inputs!K15*IF(Inputs!$E15="Real",1,K$5)</calculatedColumnFormula>
    </tableColumn>
    <tableColumn id="8" xr3:uid="{898DFF02-51CA-4B13-A6FE-3EEB0683B19B}" name="2030" dataDxfId="535" dataCellStyle="Comma">
      <calculatedColumnFormula>Inputs!L15*IF(Inputs!$E15="Real",1,L$5)</calculatedColumnFormula>
    </tableColumn>
    <tableColumn id="9" xr3:uid="{83918693-E0EA-4FF9-87B1-F833A13D87CB}" name="2031" dataDxfId="534" dataCellStyle="Comma">
      <calculatedColumnFormula>Inputs!M15*IF(Inputs!$E15="Real",1,M$5)</calculatedColumnFormula>
    </tableColumn>
    <tableColumn id="10" xr3:uid="{710C424B-D4B3-48F1-BF1A-1287EA61476F}" name="2032" dataDxfId="533" dataCellStyle="Comma">
      <calculatedColumnFormula>Inputs!N15*IF(Inputs!$E15="Real",1,N$5)</calculatedColumnFormula>
    </tableColumn>
    <tableColumn id="11" xr3:uid="{C776DBE3-6308-4C74-8F5A-91C7FF114F46}" name="2033" dataDxfId="532" dataCellStyle="Comma">
      <calculatedColumnFormula>Inputs!O15*IF(Inputs!$E15="Real",1,O$5)</calculatedColumnFormula>
    </tableColumn>
    <tableColumn id="12" xr3:uid="{8CE49C9C-96EA-42A8-AE64-8605376F53CF}" name="2034" dataDxfId="531" dataCellStyle="Comma">
      <calculatedColumnFormula>Inputs!P15*IF(Inputs!$E15="Real",1,P$5)</calculatedColumnFormula>
    </tableColumn>
    <tableColumn id="13" xr3:uid="{52D9C238-8C4E-4869-BCE3-497CF56EAF10}" name="2035" dataDxfId="530" dataCellStyle="Comma">
      <calculatedColumnFormula>Inputs!Q15*IF(Inputs!$E15="Real",1,Q$5)</calculatedColumnFormula>
    </tableColumn>
    <tableColumn id="14" xr3:uid="{F204FF3C-D00C-46D8-95D3-45F78429CBB2}" name="2036" dataDxfId="529" dataCellStyle="Comma">
      <calculatedColumnFormula>Inputs!R15*IF(Inputs!$E15="Real",1,R$5)</calculatedColumnFormula>
    </tableColumn>
    <tableColumn id="15" xr3:uid="{8C6F4D0C-E32C-45E6-B43C-BFC8FFF39DA7}" name="2037" dataDxfId="528" dataCellStyle="Comma">
      <calculatedColumnFormula>Inputs!S15*IF(Inputs!$E15="Real",1,S$5)</calculatedColumnFormula>
    </tableColumn>
    <tableColumn id="16" xr3:uid="{9C3832B0-4A83-41A6-84C1-98C117EB59E3}" name="2038" dataDxfId="527" dataCellStyle="Comma">
      <calculatedColumnFormula>Inputs!T15*IF(Inputs!$E15="Real",1,T$5)</calculatedColumnFormula>
    </tableColumn>
    <tableColumn id="17" xr3:uid="{ADBB351F-C008-45D8-A05C-0E96391AB2AF}" name="2039" dataDxfId="526" dataCellStyle="Comma">
      <calculatedColumnFormula>Inputs!U15*IF(Inputs!$E15="Real",1,U$5)</calculatedColumnFormula>
    </tableColumn>
    <tableColumn id="18" xr3:uid="{C25450B2-B731-4B36-96CC-B30C6BE366C9}" name="2040" dataDxfId="525" dataCellStyle="Comma">
      <calculatedColumnFormula>Inputs!V15*IF(Inputs!$E15="Real",1,V$5)</calculatedColumnFormula>
    </tableColumn>
    <tableColumn id="19" xr3:uid="{8288EF76-5F96-4050-A15F-E3261C7B99BE}" name="2041" dataDxfId="524" dataCellStyle="Comma">
      <calculatedColumnFormula>Inputs!W15*IF(Inputs!$E15="Real",1,W$5)</calculatedColumnFormula>
    </tableColumn>
    <tableColumn id="20" xr3:uid="{D8B87188-EFE5-421E-9163-A3B0606DBA1D}" name="2042" dataDxfId="523" dataCellStyle="Comma">
      <calculatedColumnFormula>Inputs!X15*IF(Inputs!$E15="Real",1,X$5)</calculatedColumnFormula>
    </tableColumn>
    <tableColumn id="21" xr3:uid="{D71D71E7-6485-45C7-B87E-AD8E79396972}" name="2043" dataDxfId="522" dataCellStyle="Comma">
      <calculatedColumnFormula>Inputs!Y15*IF(Inputs!$E15="Real",1,Y$5)</calculatedColumnFormula>
    </tableColumn>
    <tableColumn id="22" xr3:uid="{C716659F-4226-419B-994E-D472A73EEE30}" name="2044" dataDxfId="521" dataCellStyle="Comma">
      <calculatedColumnFormula>Inputs!Z15*IF(Inputs!$E15="Real",1,Z$5)</calculatedColumnFormula>
    </tableColumn>
    <tableColumn id="23" xr3:uid="{18633948-CB8E-450D-B614-604C89BA17FF}" name="2045" dataDxfId="520" dataCellStyle="Comma">
      <calculatedColumnFormula>Inputs!AA15*IF(Inputs!$E15="Real",1,AA$5)</calculatedColumnFormula>
    </tableColumn>
    <tableColumn id="24" xr3:uid="{B3394D97-551F-4767-BCBC-16AD158E9339}" name="2046" dataDxfId="519" dataCellStyle="Comma">
      <calculatedColumnFormula>Inputs!AB15*IF(Inputs!$E15="Real",1,AB$5)</calculatedColumnFormula>
    </tableColumn>
    <tableColumn id="25" xr3:uid="{683C3FF7-CD6C-464C-84BA-146B17B84974}" name="2047" dataDxfId="518" dataCellStyle="Comma">
      <calculatedColumnFormula>Inputs!AC15*IF(Inputs!$E15="Real",1,AC$5)</calculatedColumnFormula>
    </tableColumn>
    <tableColumn id="26" xr3:uid="{523BF468-74A7-4C7A-8743-495CCBED9ADA}" name="2048" dataDxfId="517" dataCellStyle="Comma">
      <calculatedColumnFormula>Inputs!AD15*IF(Inputs!$E15="Real",1,AD$5)</calculatedColumnFormula>
    </tableColumn>
    <tableColumn id="27" xr3:uid="{50D687D3-1183-4405-94F9-EA7BFA262F8A}" name="2049" dataDxfId="516" dataCellStyle="Comma">
      <calculatedColumnFormula>Inputs!AE15*IF(Inputs!$E15="Real",1,AE$5)</calculatedColumnFormula>
    </tableColumn>
    <tableColumn id="28" xr3:uid="{1EBB2F8C-715E-4F71-9AFB-D81995F3E20E}" name="2050" dataDxfId="515" dataCellStyle="Comma">
      <calculatedColumnFormula>Inputs!AF15*IF(Inputs!$E15="Real",1,AF$5)</calculatedColumnFormula>
    </tableColumn>
    <tableColumn id="29" xr3:uid="{B533E2FA-24D1-48F0-884A-9CE94B56CC33}" name="2051" dataDxfId="514" dataCellStyle="Comma">
      <calculatedColumnFormula>Inputs!AG15*IF(Inputs!$E15="Real",1,AG$5)</calculatedColumnFormula>
    </tableColumn>
    <tableColumn id="30" xr3:uid="{AFCAB650-9A09-4669-8173-B3F18D15FDCB}" name="2052" dataDxfId="513" dataCellStyle="Comma">
      <calculatedColumnFormula>Inputs!AH15*IF(Inputs!$E15="Real",1,AH$5)</calculatedColumnFormula>
    </tableColumn>
    <tableColumn id="31" xr3:uid="{9A7EF43E-3506-4A8C-9ADA-79A93C038B2E}" name="2053" dataDxfId="512" dataCellStyle="Comma">
      <calculatedColumnFormula>Inputs!AI15*IF(Inputs!$E15="Real",1,AI$5)</calculatedColumnFormula>
    </tableColumn>
    <tableColumn id="32" xr3:uid="{2C8D1E8B-3911-4A1B-96BC-6C27BDD4700B}" name="2054" dataDxfId="511" dataCellStyle="Comma">
      <calculatedColumnFormula>Inputs!AJ15*IF(Inputs!$E15="Real",1,AJ$5)</calculatedColumnFormula>
    </tableColumn>
    <tableColumn id="33" xr3:uid="{AF85C768-138D-43EA-BDBA-E7EDE9A1E838}" name="2055" dataDxfId="510" dataCellStyle="Comma">
      <calculatedColumnFormula>Inputs!AK15*IF(Inputs!$E15="Real",1,AK$5)</calculatedColumnFormula>
    </tableColumn>
    <tableColumn id="34" xr3:uid="{5D4BADD0-AC1F-49AA-8DC3-E4DFEC2CCAC9}" name="2056" dataDxfId="509" dataCellStyle="Comma">
      <calculatedColumnFormula>Inputs!AL15*IF(Inputs!$E15="Real",1,AL$5)</calculatedColumnFormula>
    </tableColumn>
    <tableColumn id="35" xr3:uid="{7B117944-FB10-4B83-9D7C-50B82A7BA047}" name="2057" dataDxfId="508" dataCellStyle="Comma">
      <calculatedColumnFormula>Inputs!AM15*IF(Inputs!$E15="Real",1,AM$5)</calculatedColumnFormula>
    </tableColumn>
    <tableColumn id="36" xr3:uid="{F5A902EC-F7AB-4FD0-BBC6-CF4DA3FDD74B}" name="2058" dataDxfId="507" dataCellStyle="Comma">
      <calculatedColumnFormula>Inputs!AN15*IF(Inputs!$E15="Real",1,AN$5)</calculatedColumnFormula>
    </tableColumn>
    <tableColumn id="37" xr3:uid="{0DF9FBF0-B78B-4311-AD06-FC6457EC876E}" name="2059" dataDxfId="506" dataCellStyle="Comma">
      <calculatedColumnFormula>Inputs!AO15*IF(Inputs!$E15="Real",1,AO$5)</calculatedColumnFormula>
    </tableColumn>
    <tableColumn id="38" xr3:uid="{529DFC34-FAB3-4971-9895-8E8AA549D568}" name="2060" dataDxfId="505" dataCellStyle="Comma">
      <calculatedColumnFormula>Inputs!AP15*IF(Inputs!$E15="Real",1,AP$5)</calculatedColumnFormula>
    </tableColumn>
    <tableColumn id="39" xr3:uid="{AA1CFA94-FDD6-443F-A5A7-59435DFBF70C}" name="2061" dataDxfId="504" dataCellStyle="Comma">
      <calculatedColumnFormula>Inputs!AQ15*IF(Inputs!$E15="Real",1,AQ$5)</calculatedColumnFormula>
    </tableColumn>
    <tableColumn id="40" xr3:uid="{86E8EF6E-ED1F-480F-B5B1-63059AC42E95}" name="2062" dataDxfId="503" dataCellStyle="Comma">
      <calculatedColumnFormula>Inputs!AR15*IF(Inputs!$E15="Real",1,AR$5)</calculatedColumnFormula>
    </tableColumn>
    <tableColumn id="41" xr3:uid="{F4E33BD9-048A-45A8-B605-66FD45C24165}" name="2063" dataDxfId="502" dataCellStyle="Comma">
      <calculatedColumnFormula>Inputs!AS15*IF(Inputs!$E15="Real",1,AS$5)</calculatedColumnFormula>
    </tableColumn>
    <tableColumn id="42" xr3:uid="{394D3AD5-77D2-4AFD-8F18-889A2A0070DF}" name="2064" dataDxfId="501" dataCellStyle="Comma">
      <calculatedColumnFormula>Inputs!AT15*IF(Inputs!$E15="Real",1,AT$5)</calculatedColumnFormula>
    </tableColumn>
    <tableColumn id="43" xr3:uid="{BDB463CE-CF34-47F0-9924-13C5ED994485}" name="2065" dataDxfId="500" dataCellStyle="Comma">
      <calculatedColumnFormula>Inputs!AU15*IF(Inputs!$E15="Real",1,AU$5)</calculatedColumnFormula>
    </tableColumn>
    <tableColumn id="44" xr3:uid="{6554E551-3561-443F-8166-CDEA7F21FDAB}" name="2066" dataDxfId="499" dataCellStyle="Comma">
      <calculatedColumnFormula>Inputs!AV15*IF(Inputs!$E15="Real",1,AV$5)</calculatedColumnFormula>
    </tableColumn>
    <tableColumn id="45" xr3:uid="{8A2596FD-EBA8-4D80-B222-7170DD10EE13}" name="2067" dataDxfId="498" dataCellStyle="Comma">
      <calculatedColumnFormula>Inputs!AW15*IF(Inputs!$E15="Real",1,AW$5)</calculatedColumnFormula>
    </tableColumn>
    <tableColumn id="46" xr3:uid="{E49822B4-006A-4125-BD6D-79C54BBD01AE}" name="2068" dataDxfId="497" dataCellStyle="Comma">
      <calculatedColumnFormula>Inputs!AX15*IF(Inputs!$E15="Real",1,AX$5)</calculatedColumnFormula>
    </tableColumn>
    <tableColumn id="47" xr3:uid="{8EFA6177-8092-4656-9A66-47A634F37719}" name="2069" dataDxfId="496" dataCellStyle="Comma">
      <calculatedColumnFormula>Inputs!AY15*IF(Inputs!$E15="Real",1,AY$5)</calculatedColumnFormula>
    </tableColumn>
    <tableColumn id="48" xr3:uid="{6D8E1376-EB09-4800-8DFE-768856834185}" name="2070" dataDxfId="495" dataCellStyle="Comma">
      <calculatedColumnFormula>Inputs!AZ15*IF(Inputs!$E15="Real",1,AZ$5)</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1C2A333-6ED0-4811-B6AA-C41A371A668C}" name="Capex_BC" displayName="Capex_BC" ref="D19:AZ26" totalsRowShown="0" headerRowDxfId="494" dataDxfId="492" headerRowBorderDxfId="493" tableBorderDxfId="491" dataCellStyle="Comma">
  <autoFilter ref="D19:AZ26" xr:uid="{41C2A333-6ED0-4811-B6AA-C41A371A668C}"/>
  <tableColumns count="49">
    <tableColumn id="1" xr3:uid="{31863F39-1CC0-45D8-9C1E-E06392C391C5}" name="Capex item" dataDxfId="490"/>
    <tableColumn id="2" xr3:uid="{31D5DC3D-1C72-4DC1-8E93-AA0AFB511CE2}" name="Value basis" dataDxfId="489">
      <calculatedColumnFormula>#REF!</calculatedColumnFormula>
    </tableColumn>
    <tableColumn id="50" xr3:uid="{D03D79CB-988A-4F4E-B12B-765B88E16DEB}" name="Base year" dataDxfId="488">
      <calculatedColumnFormula>Analysis_year</calculatedColumnFormula>
    </tableColumn>
    <tableColumn id="3" xr3:uid="{F498E1F4-076B-4EB3-8565-F34CA0CF3212}" name="Applicant comment" dataDxfId="487">
      <calculatedColumnFormula>Inputs!G27</calculatedColumnFormula>
    </tableColumn>
    <tableColumn id="4" xr3:uid="{5E643D60-38F4-4056-B670-C54723BE9DB4}" name="2026" dataDxfId="486" dataCellStyle="Comma">
      <calculatedColumnFormula>Inputs!H27*IF(Inputs!$E27="Real",1,H$5)</calculatedColumnFormula>
    </tableColumn>
    <tableColumn id="5" xr3:uid="{9F6EBE2D-94F4-436F-9276-750863E28D3A}" name="2027" dataDxfId="485" dataCellStyle="Comma">
      <calculatedColumnFormula>Inputs!I27*IF(Inputs!$E27="Real",1,I$5)</calculatedColumnFormula>
    </tableColumn>
    <tableColumn id="6" xr3:uid="{409296B8-EA11-4935-BE13-E94E76115C95}" name="2028" dataDxfId="484" dataCellStyle="Comma">
      <calculatedColumnFormula>Inputs!J27*IF(Inputs!$E27="Real",1,J$5)</calculatedColumnFormula>
    </tableColumn>
    <tableColumn id="7" xr3:uid="{902DB13C-6E90-4D8C-AF1E-D600F18C7158}" name="2029" dataDxfId="483" dataCellStyle="Comma">
      <calculatedColumnFormula>Inputs!K27*IF(Inputs!$E27="Real",1,K$5)</calculatedColumnFormula>
    </tableColumn>
    <tableColumn id="8" xr3:uid="{6622EA06-DC5F-4A2F-8133-4B6FAE3CA6E7}" name="2030" dataDxfId="482" dataCellStyle="Comma">
      <calculatedColumnFormula>Inputs!L27*IF(Inputs!$E27="Real",1,L$5)</calculatedColumnFormula>
    </tableColumn>
    <tableColumn id="9" xr3:uid="{55B0B8AF-9E11-4ACF-93F1-D7C54E811BA2}" name="2031" dataDxfId="481" dataCellStyle="Comma">
      <calculatedColumnFormula>Inputs!M27*IF(Inputs!$E27="Real",1,M$5)</calculatedColumnFormula>
    </tableColumn>
    <tableColumn id="10" xr3:uid="{EB1634C8-A61F-47A4-9A9C-7CE7672090F3}" name="2032" dataDxfId="480" dataCellStyle="Comma">
      <calculatedColumnFormula>Inputs!N27*IF(Inputs!$E27="Real",1,N$5)</calculatedColumnFormula>
    </tableColumn>
    <tableColumn id="11" xr3:uid="{F2A06BA8-5953-47FE-B875-C0BA9DA44275}" name="2033" dataDxfId="479" dataCellStyle="Comma">
      <calculatedColumnFormula>Inputs!O27*IF(Inputs!$E27="Real",1,O$5)</calculatedColumnFormula>
    </tableColumn>
    <tableColumn id="12" xr3:uid="{4B6EC6CE-C38A-4499-B386-8962E097D558}" name="2034" dataDxfId="478" dataCellStyle="Comma">
      <calculatedColumnFormula>Inputs!P27*IF(Inputs!$E27="Real",1,P$5)</calculatedColumnFormula>
    </tableColumn>
    <tableColumn id="13" xr3:uid="{B3F98FD8-090A-407E-AA92-6BEA1CF90273}" name="2035" dataDxfId="477" dataCellStyle="Comma">
      <calculatedColumnFormula>Inputs!Q27*IF(Inputs!$E27="Real",1,Q$5)</calculatedColumnFormula>
    </tableColumn>
    <tableColumn id="14" xr3:uid="{7186E30D-FA60-426E-98AC-DA24EB08756A}" name="2036" dataDxfId="476" dataCellStyle="Comma">
      <calculatedColumnFormula>Inputs!R27*IF(Inputs!$E27="Real",1,R$5)</calculatedColumnFormula>
    </tableColumn>
    <tableColumn id="15" xr3:uid="{F2FEB53F-62B2-4FD4-A40E-99F6C829524F}" name="2037" dataDxfId="475" dataCellStyle="Comma">
      <calculatedColumnFormula>Inputs!S27*IF(Inputs!$E27="Real",1,S$5)</calculatedColumnFormula>
    </tableColumn>
    <tableColumn id="16" xr3:uid="{1744E1F0-0BCF-46BF-8337-F5B815555C56}" name="2038" dataDxfId="474" dataCellStyle="Comma">
      <calculatedColumnFormula>Inputs!T27*IF(Inputs!$E27="Real",1,T$5)</calculatedColumnFormula>
    </tableColumn>
    <tableColumn id="17" xr3:uid="{D21EFD62-891E-4E46-A7EA-4B47387B292F}" name="2039" dataDxfId="473" dataCellStyle="Comma">
      <calculatedColumnFormula>Inputs!U27*IF(Inputs!$E27="Real",1,U$5)</calculatedColumnFormula>
    </tableColumn>
    <tableColumn id="18" xr3:uid="{6CF8A403-20B7-4DC8-9D93-6A697E126A1D}" name="2040" dataDxfId="472" dataCellStyle="Comma">
      <calculatedColumnFormula>Inputs!V27*IF(Inputs!$E27="Real",1,V$5)</calculatedColumnFormula>
    </tableColumn>
    <tableColumn id="19" xr3:uid="{4B2B2080-0D33-4F11-851A-18A5431C0D8E}" name="2041" dataDxfId="471" dataCellStyle="Comma">
      <calculatedColumnFormula>Inputs!W27*IF(Inputs!$E27="Real",1,W$5)</calculatedColumnFormula>
    </tableColumn>
    <tableColumn id="20" xr3:uid="{11E707DC-3F09-480A-BD3D-E301F2D160E8}" name="2042" dataDxfId="470" dataCellStyle="Comma">
      <calculatedColumnFormula>Inputs!X27*IF(Inputs!$E27="Real",1,X$5)</calculatedColumnFormula>
    </tableColumn>
    <tableColumn id="21" xr3:uid="{F9B96A59-69B0-4F4B-A293-386253D5B183}" name="2043" dataDxfId="469" dataCellStyle="Comma">
      <calculatedColumnFormula>Inputs!Y27*IF(Inputs!$E27="Real",1,Y$5)</calculatedColumnFormula>
    </tableColumn>
    <tableColumn id="22" xr3:uid="{22B21484-98B2-4B7F-A3B8-AC644E725F6A}" name="2044" dataDxfId="468" dataCellStyle="Comma">
      <calculatedColumnFormula>Inputs!Z27*IF(Inputs!$E27="Real",1,Z$5)</calculatedColumnFormula>
    </tableColumn>
    <tableColumn id="23" xr3:uid="{73F49149-8885-41C5-A7A2-6C7C85A0950C}" name="2045" dataDxfId="467" dataCellStyle="Comma">
      <calculatedColumnFormula>Inputs!AA27*IF(Inputs!$E27="Real",1,AA$5)</calculatedColumnFormula>
    </tableColumn>
    <tableColumn id="24" xr3:uid="{66E87420-2C00-4487-8E99-801091B3DF3A}" name="2046" dataDxfId="466" dataCellStyle="Comma">
      <calculatedColumnFormula>Inputs!AB27*IF(Inputs!$E27="Real",1,AB$5)</calculatedColumnFormula>
    </tableColumn>
    <tableColumn id="25" xr3:uid="{4572FADB-E4AF-47F0-B84E-DD802DEBC0F0}" name="2047" dataDxfId="465" dataCellStyle="Comma">
      <calculatedColumnFormula>Inputs!AC27*IF(Inputs!$E27="Real",1,AC$5)</calculatedColumnFormula>
    </tableColumn>
    <tableColumn id="26" xr3:uid="{B60F1C1D-5C70-41AA-A665-65A04D6743E1}" name="2048" dataDxfId="464" dataCellStyle="Comma">
      <calculatedColumnFormula>Inputs!AD27*IF(Inputs!$E27="Real",1,AD$5)</calculatedColumnFormula>
    </tableColumn>
    <tableColumn id="27" xr3:uid="{5EFD436E-A786-4707-A37F-3002DB64F84A}" name="2049" dataDxfId="463" dataCellStyle="Comma">
      <calculatedColumnFormula>Inputs!AE27*IF(Inputs!$E27="Real",1,AE$5)</calculatedColumnFormula>
    </tableColumn>
    <tableColumn id="28" xr3:uid="{66F6D927-F6DB-44E8-B21E-57242B6B107C}" name="2050" dataDxfId="462" dataCellStyle="Comma">
      <calculatedColumnFormula>Inputs!AF27*IF(Inputs!$E27="Real",1,AF$5)</calculatedColumnFormula>
    </tableColumn>
    <tableColumn id="29" xr3:uid="{C36F89A4-FDFE-4F04-8CC7-BF1B799B7056}" name="2051" dataDxfId="461" dataCellStyle="Comma">
      <calculatedColumnFormula>Inputs!AG27*IF(Inputs!$E27="Real",1,AG$5)</calculatedColumnFormula>
    </tableColumn>
    <tableColumn id="30" xr3:uid="{9814CF35-A284-4282-B1A2-D8DBB133FA7B}" name="2052" dataDxfId="460" dataCellStyle="Comma">
      <calculatedColumnFormula>Inputs!AH27*IF(Inputs!$E27="Real",1,AH$5)</calculatedColumnFormula>
    </tableColumn>
    <tableColumn id="31" xr3:uid="{207374E3-A09D-4BBE-9D8E-6CD8D560A53D}" name="2053" dataDxfId="459" dataCellStyle="Comma">
      <calculatedColumnFormula>Inputs!AI27*IF(Inputs!$E27="Real",1,AI$5)</calculatedColumnFormula>
    </tableColumn>
    <tableColumn id="32" xr3:uid="{7A5CA3B4-954D-4CF2-8BFC-72FC6BCE6961}" name="2054" dataDxfId="458" dataCellStyle="Comma">
      <calculatedColumnFormula>Inputs!AJ27*IF(Inputs!$E27="Real",1,AJ$5)</calculatedColumnFormula>
    </tableColumn>
    <tableColumn id="33" xr3:uid="{9AD924B3-0F3C-44B6-A4CF-B46E426BE9B2}" name="2055" dataDxfId="457" dataCellStyle="Comma">
      <calculatedColumnFormula>Inputs!AK27*IF(Inputs!$E27="Real",1,AK$5)</calculatedColumnFormula>
    </tableColumn>
    <tableColumn id="34" xr3:uid="{37B2D94C-7846-4B3A-A479-E9D125761DE3}" name="2056" dataDxfId="456" dataCellStyle="Comma">
      <calculatedColumnFormula>Inputs!AL27*IF(Inputs!$E27="Real",1,AL$5)</calculatedColumnFormula>
    </tableColumn>
    <tableColumn id="35" xr3:uid="{8CBBAE2E-A589-456F-A61D-52B4E98EB671}" name="2057" dataDxfId="455" dataCellStyle="Comma">
      <calculatedColumnFormula>Inputs!AM27*IF(Inputs!$E27="Real",1,AM$5)</calculatedColumnFormula>
    </tableColumn>
    <tableColumn id="36" xr3:uid="{E9A2CBA4-61F8-453C-A316-C4228F8A4DE6}" name="2058" dataDxfId="454" dataCellStyle="Comma">
      <calculatedColumnFormula>Inputs!AN27*IF(Inputs!$E27="Real",1,AN$5)</calculatedColumnFormula>
    </tableColumn>
    <tableColumn id="37" xr3:uid="{48B25809-C0FD-4D7C-B37F-809C7F8447DA}" name="2059" dataDxfId="453" dataCellStyle="Comma">
      <calculatedColumnFormula>Inputs!AO27*IF(Inputs!$E27="Real",1,AO$5)</calculatedColumnFormula>
    </tableColumn>
    <tableColumn id="38" xr3:uid="{6DF4EA66-DF0D-459B-B2FF-9B677C5AEDEC}" name="2060" dataDxfId="452" dataCellStyle="Comma">
      <calculatedColumnFormula>Inputs!AP27*IF(Inputs!$E27="Real",1,AP$5)</calculatedColumnFormula>
    </tableColumn>
    <tableColumn id="39" xr3:uid="{D0B2F434-5EA2-44D6-B65B-E0E2F3443DBE}" name="2061" dataDxfId="451" dataCellStyle="Comma">
      <calculatedColumnFormula>Inputs!AQ27*IF(Inputs!$E27="Real",1,AQ$5)</calculatedColumnFormula>
    </tableColumn>
    <tableColumn id="40" xr3:uid="{C1129EF9-9CEB-4310-8D4E-BE3C256ECAAA}" name="2062" dataDxfId="450" dataCellStyle="Comma">
      <calculatedColumnFormula>Inputs!AR27*IF(Inputs!$E27="Real",1,AR$5)</calculatedColumnFormula>
    </tableColumn>
    <tableColumn id="41" xr3:uid="{9185B059-498C-4F57-9B7B-BD88AFA38739}" name="2063" dataDxfId="449" dataCellStyle="Comma">
      <calculatedColumnFormula>Inputs!AS27*IF(Inputs!$E27="Real",1,AS$5)</calculatedColumnFormula>
    </tableColumn>
    <tableColumn id="42" xr3:uid="{2BF535B3-BF66-44F3-BB79-8C8A5817C01B}" name="2064" dataDxfId="448" dataCellStyle="Comma">
      <calculatedColumnFormula>Inputs!AT27*IF(Inputs!$E27="Real",1,AT$5)</calculatedColumnFormula>
    </tableColumn>
    <tableColumn id="43" xr3:uid="{D34FD4F9-6ED3-46E2-A67C-AED295B62352}" name="2065" dataDxfId="447" dataCellStyle="Comma">
      <calculatedColumnFormula>Inputs!AU27*IF(Inputs!$E27="Real",1,AU$5)</calculatedColumnFormula>
    </tableColumn>
    <tableColumn id="44" xr3:uid="{D3297B53-4D36-4DE0-8A74-2FE6091A9BA1}" name="2066" dataDxfId="446" dataCellStyle="Comma">
      <calculatedColumnFormula>Inputs!AV27*IF(Inputs!$E27="Real",1,AV$5)</calculatedColumnFormula>
    </tableColumn>
    <tableColumn id="45" xr3:uid="{BFF401BC-675F-47F2-8533-FD7091D31867}" name="2067" dataDxfId="445" dataCellStyle="Comma">
      <calculatedColumnFormula>Inputs!AW27*IF(Inputs!$E27="Real",1,AW$5)</calculatedColumnFormula>
    </tableColumn>
    <tableColumn id="46" xr3:uid="{EC890525-2FB1-4139-B1FB-562FAA629201}" name="2068" dataDxfId="444" dataCellStyle="Comma">
      <calculatedColumnFormula>Inputs!AX27*IF(Inputs!$E27="Real",1,AX$5)</calculatedColumnFormula>
    </tableColumn>
    <tableColumn id="47" xr3:uid="{AD585C7D-3C62-48D8-B89F-6F2F05339C69}" name="2069" dataDxfId="443" dataCellStyle="Comma">
      <calculatedColumnFormula>Inputs!AY27*IF(Inputs!$E27="Real",1,AY$5)</calculatedColumnFormula>
    </tableColumn>
    <tableColumn id="48" xr3:uid="{FC5E8B2B-8A90-4640-BD48-3F230DEDB8B3}" name="2070" dataDxfId="442" dataCellStyle="Comma">
      <calculatedColumnFormula>Inputs!AZ27*IF(Inputs!$E27="Real",1,AZ$5)</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B0A54D1-243A-4E13-8967-AAA6B5EDC764}" name="Revenue_PP" displayName="Revenue_PP" ref="D160:AZ161" totalsRowShown="0" headerRowDxfId="441" dataDxfId="439" headerRowBorderDxfId="440">
  <autoFilter ref="D160:AZ161" xr:uid="{4B0A54D1-243A-4E13-8967-AAA6B5EDC764}"/>
  <tableColumns count="49">
    <tableColumn id="2" xr3:uid="{9E0727D9-8E92-4D9B-B8F2-216E6AFCE5E1}" name="Revenue" dataDxfId="438"/>
    <tableColumn id="3" xr3:uid="{F7426A1A-5687-4370-AADC-4F9FBEFB2FC4}" name="Value basis" dataDxfId="437"/>
    <tableColumn id="1" xr3:uid="{5D3E304E-FA49-4979-8B2E-DCF673B52D03}" name="Base year" dataDxfId="436">
      <calculatedColumnFormula>Analysis_year</calculatedColumnFormula>
    </tableColumn>
    <tableColumn id="4" xr3:uid="{D82A1E78-CC8F-48DB-8202-7E05F24941DF}" name="Applicant comment" dataDxfId="435"/>
    <tableColumn id="5" xr3:uid="{F89393F8-5A7B-4581-BC8F-C61E8C5C4485}" name="2026" dataDxfId="434">
      <calculatedColumnFormula>Inputs!H175*IF(Inputs!$E175="Real",1,H$5)</calculatedColumnFormula>
    </tableColumn>
    <tableColumn id="6" xr3:uid="{18C96193-034A-4E2A-86CD-A451BC2FE601}" name="2027" dataDxfId="433">
      <calculatedColumnFormula>Inputs!I175*IF(Inputs!$E175="Real",1,I$5)</calculatedColumnFormula>
    </tableColumn>
    <tableColumn id="7" xr3:uid="{52E2EEE5-DC1D-4E95-9599-BB8964267309}" name="2028" dataDxfId="432">
      <calculatedColumnFormula>Inputs!J175*IF(Inputs!$E175="Real",1,J$5)</calculatedColumnFormula>
    </tableColumn>
    <tableColumn id="8" xr3:uid="{31C23091-7C44-433B-81EC-06E9850AA9BA}" name="2029" dataDxfId="431">
      <calculatedColumnFormula>Inputs!K175*IF(Inputs!$E175="Real",1,K$5)</calculatedColumnFormula>
    </tableColumn>
    <tableColumn id="9" xr3:uid="{564D1B96-A931-498C-81E7-C7DE48163350}" name="2030" dataDxfId="430">
      <calculatedColumnFormula>Inputs!L175*IF(Inputs!$E175="Real",1,L$5)</calculatedColumnFormula>
    </tableColumn>
    <tableColumn id="10" xr3:uid="{1128E9E3-2841-4D92-9C83-78AFE349DD8C}" name="2031" dataDxfId="429">
      <calculatedColumnFormula>Inputs!M175*IF(Inputs!$E175="Real",1,M$5)</calculatedColumnFormula>
    </tableColumn>
    <tableColumn id="11" xr3:uid="{5CB4E0AF-E274-4485-8EE9-88D20E9A2B2D}" name="2032" dataDxfId="428">
      <calculatedColumnFormula>Inputs!N175*IF(Inputs!$E175="Real",1,N$5)</calculatedColumnFormula>
    </tableColumn>
    <tableColumn id="12" xr3:uid="{C6B5F9C7-7603-46DD-8822-45934821AF8F}" name="2033" dataDxfId="427">
      <calculatedColumnFormula>Inputs!O175*IF(Inputs!$E175="Real",1,O$5)</calculatedColumnFormula>
    </tableColumn>
    <tableColumn id="13" xr3:uid="{06B8B500-A24F-410A-BCE7-589B3B259AA7}" name="2034" dataDxfId="426">
      <calculatedColumnFormula>Inputs!P175*IF(Inputs!$E175="Real",1,P$5)</calculatedColumnFormula>
    </tableColumn>
    <tableColumn id="14" xr3:uid="{B1D61B5E-FE33-4638-B774-A94DAA6D33F3}" name="2035" dataDxfId="425">
      <calculatedColumnFormula>Inputs!Q175*IF(Inputs!$E175="Real",1,Q$5)</calculatedColumnFormula>
    </tableColumn>
    <tableColumn id="15" xr3:uid="{835F9884-CF05-4CD9-8E1D-69BD52D40C7A}" name="2036" dataDxfId="424">
      <calculatedColumnFormula>Inputs!R175*IF(Inputs!$E175="Real",1,R$5)</calculatedColumnFormula>
    </tableColumn>
    <tableColumn id="16" xr3:uid="{BA9F2FCC-B7B7-431C-B0A2-6E613FE5F8A5}" name="2037" dataDxfId="423">
      <calculatedColumnFormula>Inputs!S175*IF(Inputs!$E175="Real",1,S$5)</calculatedColumnFormula>
    </tableColumn>
    <tableColumn id="17" xr3:uid="{CACA5F18-6618-45DA-9F59-E173ED733EEB}" name="2038" dataDxfId="422">
      <calculatedColumnFormula>Inputs!T175*IF(Inputs!$E175="Real",1,T$5)</calculatedColumnFormula>
    </tableColumn>
    <tableColumn id="18" xr3:uid="{3DEBFC6E-9BD4-4D05-AB4A-84374814B43C}" name="2039" dataDxfId="421">
      <calculatedColumnFormula>Inputs!U175*IF(Inputs!$E175="Real",1,U$5)</calculatedColumnFormula>
    </tableColumn>
    <tableColumn id="19" xr3:uid="{5FFA32F2-A091-4155-9688-BE4F7A7930C6}" name="2040" dataDxfId="420">
      <calculatedColumnFormula>Inputs!V175*IF(Inputs!$E175="Real",1,V$5)</calculatedColumnFormula>
    </tableColumn>
    <tableColumn id="20" xr3:uid="{B82D7C8D-3FCD-420A-8B08-7A347D02354A}" name="2041" dataDxfId="419">
      <calculatedColumnFormula>Inputs!W175*IF(Inputs!$E175="Real",1,W$5)</calculatedColumnFormula>
    </tableColumn>
    <tableColumn id="21" xr3:uid="{D750C8A6-0927-40C2-BCE7-25E1806CB8A2}" name="2042" dataDxfId="418">
      <calculatedColumnFormula>Inputs!X175*IF(Inputs!$E175="Real",1,X$5)</calculatedColumnFormula>
    </tableColumn>
    <tableColumn id="22" xr3:uid="{31820D69-A9B1-4FC0-9E68-FFC680E6D1AB}" name="2043" dataDxfId="417">
      <calculatedColumnFormula>Inputs!Y175*IF(Inputs!$E175="Real",1,Y$5)</calculatedColumnFormula>
    </tableColumn>
    <tableColumn id="23" xr3:uid="{927CDE1B-8FA4-48D8-9C91-9FA50F2B886A}" name="2044" dataDxfId="416">
      <calculatedColumnFormula>Inputs!Z175*IF(Inputs!$E175="Real",1,Z$5)</calculatedColumnFormula>
    </tableColumn>
    <tableColumn id="24" xr3:uid="{C1A16092-19BC-4A9E-AEF5-B6C508B7F527}" name="2045" dataDxfId="415">
      <calculatedColumnFormula>Inputs!AA175*IF(Inputs!$E175="Real",1,AA$5)</calculatedColumnFormula>
    </tableColumn>
    <tableColumn id="25" xr3:uid="{D372C195-4C69-4ACC-A0F4-B3522A308C00}" name="2046" dataDxfId="414">
      <calculatedColumnFormula>Inputs!AB175*IF(Inputs!$E175="Real",1,AB$5)</calculatedColumnFormula>
    </tableColumn>
    <tableColumn id="26" xr3:uid="{4892DA9C-7AA3-4068-9B17-5DCE4D7103B7}" name="2047" dataDxfId="413">
      <calculatedColumnFormula>Inputs!AC175*IF(Inputs!$E175="Real",1,AC$5)</calculatedColumnFormula>
    </tableColumn>
    <tableColumn id="27" xr3:uid="{6D49A41E-57C7-491F-9BB8-5CC4D0CEB041}" name="2048" dataDxfId="412">
      <calculatedColumnFormula>Inputs!AD175*IF(Inputs!$E175="Real",1,AD$5)</calculatedColumnFormula>
    </tableColumn>
    <tableColumn id="28" xr3:uid="{436B5A43-7270-4867-B284-E41C181CBD8C}" name="2049" dataDxfId="411">
      <calculatedColumnFormula>Inputs!AE175*IF(Inputs!$E175="Real",1,AE$5)</calculatedColumnFormula>
    </tableColumn>
    <tableColumn id="29" xr3:uid="{90EC9FBD-BC1F-4E50-B706-76694C61539A}" name="2050" dataDxfId="410">
      <calculatedColumnFormula>Inputs!AF175*IF(Inputs!$E175="Real",1,AF$5)</calculatedColumnFormula>
    </tableColumn>
    <tableColumn id="30" xr3:uid="{5CADE0D3-6859-4A33-9080-2576F6A89ADC}" name="2051" dataDxfId="409">
      <calculatedColumnFormula>Inputs!AG175*IF(Inputs!$E175="Real",1,AG$5)</calculatedColumnFormula>
    </tableColumn>
    <tableColumn id="31" xr3:uid="{F2E393FD-A70D-4E87-A361-8A309BCA7F0B}" name="2052" dataDxfId="408">
      <calculatedColumnFormula>Inputs!AH175*IF(Inputs!$E175="Real",1,AH$5)</calculatedColumnFormula>
    </tableColumn>
    <tableColumn id="32" xr3:uid="{FF1A2B0B-06B9-42E5-A4A0-7C312319877B}" name="2053" dataDxfId="407">
      <calculatedColumnFormula>Inputs!AI175*IF(Inputs!$E175="Real",1,AI$5)</calculatedColumnFormula>
    </tableColumn>
    <tableColumn id="33" xr3:uid="{E02FF55D-DEF0-4214-96EB-DBEA0F38B632}" name="2054" dataDxfId="406">
      <calculatedColumnFormula>Inputs!AJ175*IF(Inputs!$E175="Real",1,AJ$5)</calculatedColumnFormula>
    </tableColumn>
    <tableColumn id="34" xr3:uid="{B962E550-CF71-4C0A-96FA-5D0F9869A309}" name="2055" dataDxfId="405">
      <calculatedColumnFormula>Inputs!AK175*IF(Inputs!$E175="Real",1,AK$5)</calculatedColumnFormula>
    </tableColumn>
    <tableColumn id="35" xr3:uid="{3D955D45-5D90-4070-A5C4-AA30E94AF637}" name="2056" dataDxfId="404">
      <calculatedColumnFormula>Inputs!AL175*IF(Inputs!$E175="Real",1,AL$5)</calculatedColumnFormula>
    </tableColumn>
    <tableColumn id="36" xr3:uid="{8AF9FFA2-1700-4156-94AD-42CFA821948C}" name="2057" dataDxfId="403">
      <calculatedColumnFormula>Inputs!AM175*IF(Inputs!$E175="Real",1,AM$5)</calculatedColumnFormula>
    </tableColumn>
    <tableColumn id="37" xr3:uid="{2140F8D0-E70E-4CCE-BA28-13E85B2F98D4}" name="2058" dataDxfId="402">
      <calculatedColumnFormula>Inputs!AN175*IF(Inputs!$E175="Real",1,AN$5)</calculatedColumnFormula>
    </tableColumn>
    <tableColumn id="38" xr3:uid="{12DE742D-4D10-4CBA-A29C-183A79F10E6F}" name="2059" dataDxfId="401">
      <calculatedColumnFormula>Inputs!AO175*IF(Inputs!$E175="Real",1,AO$5)</calculatedColumnFormula>
    </tableColumn>
    <tableColumn id="39" xr3:uid="{70269D87-8E61-423A-97AF-25F99FDEFFE0}" name="2060" dataDxfId="400">
      <calculatedColumnFormula>Inputs!AP175*IF(Inputs!$E175="Real",1,AP$5)</calculatedColumnFormula>
    </tableColumn>
    <tableColumn id="40" xr3:uid="{735B23F2-0816-48E5-8903-63E5235B342E}" name="2061" dataDxfId="399">
      <calculatedColumnFormula>Inputs!AQ175*IF(Inputs!$E175="Real",1,AQ$5)</calculatedColumnFormula>
    </tableColumn>
    <tableColumn id="41" xr3:uid="{2CF80C15-E365-4743-93B4-1352CB32A220}" name="2062" dataDxfId="398">
      <calculatedColumnFormula>Inputs!AR175*IF(Inputs!$E175="Real",1,AR$5)</calculatedColumnFormula>
    </tableColumn>
    <tableColumn id="42" xr3:uid="{05F8EED9-223C-494F-9ECA-CB430C2821C6}" name="2063" dataDxfId="397">
      <calculatedColumnFormula>Inputs!AS175*IF(Inputs!$E175="Real",1,AS$5)</calculatedColumnFormula>
    </tableColumn>
    <tableColumn id="43" xr3:uid="{F8949970-9E53-4775-B750-F35DE12D460A}" name="2064" dataDxfId="396">
      <calculatedColumnFormula>Inputs!AT175*IF(Inputs!$E175="Real",1,AT$5)</calculatedColumnFormula>
    </tableColumn>
    <tableColumn id="44" xr3:uid="{4BC601B0-77E2-414C-9BC0-8508163D71D9}" name="2065" dataDxfId="395">
      <calculatedColumnFormula>Inputs!AU175*IF(Inputs!$E175="Real",1,AU$5)</calculatedColumnFormula>
    </tableColumn>
    <tableColumn id="45" xr3:uid="{3B172755-B903-4287-8B56-6DE6A4D93190}" name="2066" dataDxfId="394">
      <calculatedColumnFormula>Inputs!AV175*IF(Inputs!$E175="Real",1,AV$5)</calculatedColumnFormula>
    </tableColumn>
    <tableColumn id="46" xr3:uid="{AB187C37-91AB-468A-BB31-79A2F3E66CBC}" name="2067" dataDxfId="393">
      <calculatedColumnFormula>Inputs!AW175*IF(Inputs!$E175="Real",1,AW$5)</calculatedColumnFormula>
    </tableColumn>
    <tableColumn id="47" xr3:uid="{3B92E411-B666-4E9C-9A25-B9208FAFA8FF}" name="2068" dataDxfId="392">
      <calculatedColumnFormula>Inputs!AX175*IF(Inputs!$E175="Real",1,AX$5)</calculatedColumnFormula>
    </tableColumn>
    <tableColumn id="48" xr3:uid="{E590593D-2E6E-4158-A745-126BDF1784BE}" name="2069" dataDxfId="391">
      <calculatedColumnFormula>Inputs!AY175*IF(Inputs!$E175="Real",1,AY$5)</calculatedColumnFormula>
    </tableColumn>
    <tableColumn id="49" xr3:uid="{68B5D011-D51C-40B5-A626-9353DA8A446D}" name="2070" dataDxfId="390">
      <calculatedColumnFormula>Inputs!AZ175*IF(Inputs!$E175="Real",1,AZ$5)</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BCBF6C9-9DCF-4D05-81AC-E9FCC87EEA08}" name="Revenue_BC" displayName="Revenue_BC" ref="D163:AZ164" totalsRowShown="0" headerRowDxfId="389" dataDxfId="387" headerRowBorderDxfId="388">
  <autoFilter ref="D163:AZ164" xr:uid="{7BCBF6C9-9DCF-4D05-81AC-E9FCC87EEA08}"/>
  <tableColumns count="49">
    <tableColumn id="1" xr3:uid="{A9A79D01-98D3-4683-91A5-0E88F6503546}" name="Revenue" dataDxfId="386"/>
    <tableColumn id="2" xr3:uid="{A306AB04-9B3A-48EE-8B4C-3F7DB3EE3840}" name="Value basis" dataDxfId="385"/>
    <tableColumn id="49" xr3:uid="{6612E7C9-0660-4354-BFB2-A5EAC5A88FF8}" name="Base year" dataDxfId="384">
      <calculatedColumnFormula>Analysis_year</calculatedColumnFormula>
    </tableColumn>
    <tableColumn id="3" xr3:uid="{0E6AEC58-5D77-48D1-A37A-30A28DB97A8E}" name="Applicant comment" dataDxfId="383"/>
    <tableColumn id="4" xr3:uid="{08154FA9-40ED-4699-9594-61057AD10421}" name="2026" dataDxfId="382">
      <calculatedColumnFormula>Inputs!H178*IF(Inputs!$E178="Real",1,H$5)</calculatedColumnFormula>
    </tableColumn>
    <tableColumn id="5" xr3:uid="{91BF8376-346C-4750-A762-D55C47F5E677}" name="2027" dataDxfId="381">
      <calculatedColumnFormula>Inputs!I178*IF(Inputs!$E178="Real",1,I$5)</calculatedColumnFormula>
    </tableColumn>
    <tableColumn id="6" xr3:uid="{3EAA3D51-22B3-46EC-83AA-4270358A8B78}" name="2028" dataDxfId="380">
      <calculatedColumnFormula>Inputs!J178*IF(Inputs!$E178="Real",1,J$5)</calculatedColumnFormula>
    </tableColumn>
    <tableColumn id="7" xr3:uid="{76EEA13A-0FA2-4A6A-BC12-F5D196E460C0}" name="2029" dataDxfId="379">
      <calculatedColumnFormula>Inputs!K178*IF(Inputs!$E178="Real",1,K$5)</calculatedColumnFormula>
    </tableColumn>
    <tableColumn id="8" xr3:uid="{A9743D40-2A45-4828-8037-C95616481507}" name="2030" dataDxfId="378">
      <calculatedColumnFormula>Inputs!L178*IF(Inputs!$E178="Real",1,L$5)</calculatedColumnFormula>
    </tableColumn>
    <tableColumn id="9" xr3:uid="{1D06BC39-BB69-46BB-9419-EF495544FCC6}" name="2031" dataDxfId="377">
      <calculatedColumnFormula>Inputs!M178*IF(Inputs!$E178="Real",1,M$5)</calculatedColumnFormula>
    </tableColumn>
    <tableColumn id="10" xr3:uid="{CF27FD36-7BBD-4253-8116-D299C3BF8EEE}" name="2032" dataDxfId="376">
      <calculatedColumnFormula>Inputs!N178*IF(Inputs!$E178="Real",1,N$5)</calculatedColumnFormula>
    </tableColumn>
    <tableColumn id="11" xr3:uid="{364FFD1E-B368-4C93-BC9A-863D5E8B3E19}" name="2033" dataDxfId="375">
      <calculatedColumnFormula>Inputs!O178*IF(Inputs!$E178="Real",1,O$5)</calculatedColumnFormula>
    </tableColumn>
    <tableColumn id="12" xr3:uid="{DAE4D41B-E12B-4425-9588-9B1DBFB5E273}" name="2034" dataDxfId="374">
      <calculatedColumnFormula>Inputs!P178*IF(Inputs!$E178="Real",1,P$5)</calculatedColumnFormula>
    </tableColumn>
    <tableColumn id="13" xr3:uid="{E6B33C43-4561-4233-BE44-5F9840D7C69E}" name="2035" dataDxfId="373">
      <calculatedColumnFormula>Inputs!Q178*IF(Inputs!$E178="Real",1,Q$5)</calculatedColumnFormula>
    </tableColumn>
    <tableColumn id="14" xr3:uid="{EBAAFAB5-18AC-4329-92A9-1D3C579A06AB}" name="2036" dataDxfId="372">
      <calculatedColumnFormula>Inputs!R178*IF(Inputs!$E178="Real",1,R$5)</calculatedColumnFormula>
    </tableColumn>
    <tableColumn id="15" xr3:uid="{42898A4C-A711-4873-ACDA-5A7BB37D96F4}" name="2037" dataDxfId="371">
      <calculatedColumnFormula>Inputs!S178*IF(Inputs!$E178="Real",1,S$5)</calculatedColumnFormula>
    </tableColumn>
    <tableColumn id="16" xr3:uid="{6CB3FE6E-7433-482C-A4CD-18125288C74D}" name="2038" dataDxfId="370">
      <calculatedColumnFormula>Inputs!T178*IF(Inputs!$E178="Real",1,T$5)</calculatedColumnFormula>
    </tableColumn>
    <tableColumn id="17" xr3:uid="{4B5024FB-EA08-4A80-B033-ED0DC648C69D}" name="2039" dataDxfId="369">
      <calculatedColumnFormula>Inputs!U178*IF(Inputs!$E178="Real",1,U$5)</calculatedColumnFormula>
    </tableColumn>
    <tableColumn id="18" xr3:uid="{1C0D368B-AFB3-4ED8-8273-F58B265B5719}" name="2040" dataDxfId="368">
      <calculatedColumnFormula>Inputs!V178*IF(Inputs!$E178="Real",1,V$5)</calculatedColumnFormula>
    </tableColumn>
    <tableColumn id="19" xr3:uid="{967C87D8-6B7B-4A99-9465-098192E061D4}" name="2041" dataDxfId="367">
      <calculatedColumnFormula>Inputs!W178*IF(Inputs!$E178="Real",1,W$5)</calculatedColumnFormula>
    </tableColumn>
    <tableColumn id="20" xr3:uid="{E8E68C85-1469-4E6D-8C7C-A6374C7A8D23}" name="2042" dataDxfId="366">
      <calculatedColumnFormula>Inputs!X178*IF(Inputs!$E178="Real",1,X$5)</calculatedColumnFormula>
    </tableColumn>
    <tableColumn id="21" xr3:uid="{F2375EE8-807C-4ADF-A579-52879898F7E9}" name="2043" dataDxfId="365">
      <calculatedColumnFormula>Inputs!Y178*IF(Inputs!$E178="Real",1,Y$5)</calculatedColumnFormula>
    </tableColumn>
    <tableColumn id="22" xr3:uid="{3D62CDF2-91E4-4C58-BC83-5D32C33FB1D5}" name="2044" dataDxfId="364">
      <calculatedColumnFormula>Inputs!Z178*IF(Inputs!$E178="Real",1,Z$5)</calculatedColumnFormula>
    </tableColumn>
    <tableColumn id="23" xr3:uid="{0A3A6F16-E275-4ECB-BDDD-A1DE467BE55F}" name="2045" dataDxfId="363">
      <calculatedColumnFormula>Inputs!AA178*IF(Inputs!$E178="Real",1,AA$5)</calculatedColumnFormula>
    </tableColumn>
    <tableColumn id="24" xr3:uid="{03861CBE-D969-4EC4-A64B-F69042CC6BED}" name="2046" dataDxfId="362">
      <calculatedColumnFormula>Inputs!AB178*IF(Inputs!$E178="Real",1,AB$5)</calculatedColumnFormula>
    </tableColumn>
    <tableColumn id="25" xr3:uid="{4EC39E29-F7F3-409C-9BDB-B78E702C9E98}" name="2047" dataDxfId="361">
      <calculatedColumnFormula>Inputs!AC178*IF(Inputs!$E178="Real",1,AC$5)</calculatedColumnFormula>
    </tableColumn>
    <tableColumn id="26" xr3:uid="{2830CE8B-3524-4FAB-8C3F-A177B3A561C3}" name="2048" dataDxfId="360">
      <calculatedColumnFormula>Inputs!AD178*IF(Inputs!$E178="Real",1,AD$5)</calculatedColumnFormula>
    </tableColumn>
    <tableColumn id="27" xr3:uid="{5E8E7894-833D-4C67-AAD4-26EB79CCE258}" name="2049" dataDxfId="359">
      <calculatedColumnFormula>Inputs!AE178*IF(Inputs!$E178="Real",1,AE$5)</calculatedColumnFormula>
    </tableColumn>
    <tableColumn id="28" xr3:uid="{B1E55A01-36C9-4016-99D6-DDB56D0AFB42}" name="2050" dataDxfId="358">
      <calculatedColumnFormula>Inputs!AF178*IF(Inputs!$E178="Real",1,AF$5)</calculatedColumnFormula>
    </tableColumn>
    <tableColumn id="29" xr3:uid="{7E3E9E55-F933-41EE-9B17-CA149D6107B3}" name="2051" dataDxfId="357">
      <calculatedColumnFormula>Inputs!AG178*IF(Inputs!$E178="Real",1,AG$5)</calculatedColumnFormula>
    </tableColumn>
    <tableColumn id="30" xr3:uid="{7F5196E1-660D-4BE9-8BDD-8DBBF17761A1}" name="2052" dataDxfId="356">
      <calculatedColumnFormula>Inputs!AH178*IF(Inputs!$E178="Real",1,AH$5)</calculatedColumnFormula>
    </tableColumn>
    <tableColumn id="31" xr3:uid="{2C358243-9E77-4389-8EB6-5B4BE15C641B}" name="2053" dataDxfId="355">
      <calculatedColumnFormula>Inputs!AI178*IF(Inputs!$E178="Real",1,AI$5)</calculatedColumnFormula>
    </tableColumn>
    <tableColumn id="32" xr3:uid="{74AC134A-295B-426A-9D96-3F2EE7781DDE}" name="2054" dataDxfId="354">
      <calculatedColumnFormula>Inputs!AJ178*IF(Inputs!$E178="Real",1,AJ$5)</calculatedColumnFormula>
    </tableColumn>
    <tableColumn id="33" xr3:uid="{02CBC538-30C8-44D3-A6D3-5312FDE2AD9A}" name="2055" dataDxfId="353">
      <calculatedColumnFormula>Inputs!AK178*IF(Inputs!$E178="Real",1,AK$5)</calculatedColumnFormula>
    </tableColumn>
    <tableColumn id="34" xr3:uid="{0939F9BE-82F2-4A46-9E9C-77C8C0886CF3}" name="2056" dataDxfId="352">
      <calculatedColumnFormula>Inputs!AL178*IF(Inputs!$E178="Real",1,AL$5)</calculatedColumnFormula>
    </tableColumn>
    <tableColumn id="35" xr3:uid="{AE251AF8-1237-40D4-A9A5-224769A19A00}" name="2057" dataDxfId="351">
      <calculatedColumnFormula>Inputs!AM178*IF(Inputs!$E178="Real",1,AM$5)</calculatedColumnFormula>
    </tableColumn>
    <tableColumn id="36" xr3:uid="{1A6F4F7F-FB4C-43CA-9173-0970987BC073}" name="2058" dataDxfId="350">
      <calculatedColumnFormula>Inputs!AN178*IF(Inputs!$E178="Real",1,AN$5)</calculatedColumnFormula>
    </tableColumn>
    <tableColumn id="37" xr3:uid="{86D4BDB6-1630-43EA-A103-627E83972556}" name="2059" dataDxfId="349">
      <calculatedColumnFormula>Inputs!AO178*IF(Inputs!$E178="Real",1,AO$5)</calculatedColumnFormula>
    </tableColumn>
    <tableColumn id="38" xr3:uid="{79EDAD3A-1D70-49DE-91BC-F0F25606F0FE}" name="2060" dataDxfId="348">
      <calculatedColumnFormula>Inputs!AP178*IF(Inputs!$E178="Real",1,AP$5)</calculatedColumnFormula>
    </tableColumn>
    <tableColumn id="39" xr3:uid="{D1B585E6-F0CB-4772-9F58-F41E5F05658F}" name="2061" dataDxfId="347">
      <calculatedColumnFormula>Inputs!AQ178*IF(Inputs!$E178="Real",1,AQ$5)</calculatedColumnFormula>
    </tableColumn>
    <tableColumn id="40" xr3:uid="{1F5E0882-ABD0-4E85-A904-049398B179C9}" name="2062" dataDxfId="346">
      <calculatedColumnFormula>Inputs!AR178*IF(Inputs!$E178="Real",1,AR$5)</calculatedColumnFormula>
    </tableColumn>
    <tableColumn id="41" xr3:uid="{E1A6F8BE-D35A-4A3C-8265-D7DC00522BA5}" name="2063" dataDxfId="345">
      <calculatedColumnFormula>Inputs!AS178*IF(Inputs!$E178="Real",1,AS$5)</calculatedColumnFormula>
    </tableColumn>
    <tableColumn id="42" xr3:uid="{88530986-F851-4342-B05C-EFD3E7B127B0}" name="2064" dataDxfId="344">
      <calculatedColumnFormula>Inputs!AT178*IF(Inputs!$E178="Real",1,AT$5)</calculatedColumnFormula>
    </tableColumn>
    <tableColumn id="43" xr3:uid="{1E806B4C-1E8B-440A-AD12-540A04EC64AB}" name="2065" dataDxfId="343">
      <calculatedColumnFormula>Inputs!AU178*IF(Inputs!$E178="Real",1,AU$5)</calculatedColumnFormula>
    </tableColumn>
    <tableColumn id="44" xr3:uid="{99C33231-1C9F-4907-9242-F39CC683C119}" name="2066" dataDxfId="342">
      <calculatedColumnFormula>Inputs!AV178*IF(Inputs!$E178="Real",1,AV$5)</calculatedColumnFormula>
    </tableColumn>
    <tableColumn id="45" xr3:uid="{557491F0-075A-4619-A881-3B51232B8413}" name="2067" dataDxfId="341">
      <calculatedColumnFormula>Inputs!AW178*IF(Inputs!$E178="Real",1,AW$5)</calculatedColumnFormula>
    </tableColumn>
    <tableColumn id="46" xr3:uid="{7787B7F3-529C-4D60-A3BF-014604DC0975}" name="2068" dataDxfId="340">
      <calculatedColumnFormula>Inputs!AX178*IF(Inputs!$E178="Real",1,AX$5)</calculatedColumnFormula>
    </tableColumn>
    <tableColumn id="47" xr3:uid="{1DD9EE6B-354A-4FEE-8754-A8065D65AA07}" name="2069" dataDxfId="339">
      <calculatedColumnFormula>Inputs!AY178*IF(Inputs!$E178="Real",1,AY$5)</calculatedColumnFormula>
    </tableColumn>
    <tableColumn id="48" xr3:uid="{7A102A1E-B51A-4FDF-BD62-7E792FBAC384}" name="2070" dataDxfId="338">
      <calculatedColumnFormula>Inputs!AZ178*IF(Inputs!$E178="Real",1,AZ$5)</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5B74EFA-6248-4C6D-91B4-803631FF4224}" name="FuelPrice_PP" displayName="FuelPrice_PP" ref="B79:AZ90" totalsRowShown="0" headerRowDxfId="337" dataDxfId="335" headerRowBorderDxfId="336" tableBorderDxfId="334" totalsRowBorderDxfId="333" dataCellStyle="Comma">
  <autoFilter ref="B79:AZ90" xr:uid="{F5B74EFA-6248-4C6D-91B4-803631FF4224}"/>
  <tableColumns count="51">
    <tableColumn id="1" xr3:uid="{8F46196D-3914-4404-9B80-9D6AAFFCD2F5}" name="Fuel type" dataDxfId="332" dataCellStyle="Comma">
      <calculatedColumnFormula>Inputs!B92</calculatedColumnFormula>
    </tableColumn>
    <tableColumn id="2" xr3:uid="{C65D1D80-F9ED-42AB-8572-D47DAB6D670C}" name="Units" dataDxfId="331" dataCellStyle="Comma">
      <calculatedColumnFormula>Inputs!C92</calculatedColumnFormula>
    </tableColumn>
    <tableColumn id="3" xr3:uid="{FD7E5A85-0139-4E12-9D9A-E91A09956BC8}" name="ETS cost included?" dataDxfId="330" dataCellStyle="Comma">
      <calculatedColumnFormula>Inputs!D92</calculatedColumnFormula>
    </tableColumn>
    <tableColumn id="4" xr3:uid="{0D59CAD0-76AD-42F9-A09E-062E35086E28}" name="Value basis" dataDxfId="329" dataCellStyle="Comma"/>
    <tableColumn id="51" xr3:uid="{A439DA0E-C8B4-4B43-B813-883F3BF0EA8D}" name="Base year" dataDxfId="328" dataCellStyle="Comma">
      <calculatedColumnFormula>Analysis_year</calculatedColumnFormula>
    </tableColumn>
    <tableColumn id="5" xr3:uid="{B5052126-DEEF-45A1-90A5-DD58113D6000}" name="Applicant comment" dataDxfId="327" dataCellStyle="Comma">
      <calculatedColumnFormula>Inputs!G92</calculatedColumnFormula>
    </tableColumn>
    <tableColumn id="6" xr3:uid="{B17A7E68-0510-4C11-B0CD-E82A4A6D8A81}" name="2026" dataDxfId="326" dataCellStyle="Comma">
      <calculatedColumnFormula>Inputs!H92*IF(Inputs!$E92="Real",1,H$5)</calculatedColumnFormula>
    </tableColumn>
    <tableColumn id="7" xr3:uid="{1068102B-1C19-4F73-B0CB-66082FE26B7B}" name="2027" dataDxfId="325" dataCellStyle="Comma"/>
    <tableColumn id="8" xr3:uid="{95D45874-ADD9-4CA3-AEE1-9E3889493CFC}" name="2028" dataDxfId="324" dataCellStyle="Comma"/>
    <tableColumn id="9" xr3:uid="{89CC8B15-7F0B-448C-A820-22B80205CDD7}" name="2029" dataDxfId="323" dataCellStyle="Comma"/>
    <tableColumn id="10" xr3:uid="{0B1AD1AC-D8BE-48EA-818D-F5E68E937B82}" name="2030" dataDxfId="322" dataCellStyle="Comma"/>
    <tableColumn id="11" xr3:uid="{3FDBE3FC-89F8-4CBD-BB15-2336218851A7}" name="2031" dataDxfId="321" dataCellStyle="Comma"/>
    <tableColumn id="12" xr3:uid="{136F4FBB-B6B0-437A-BA72-33FD41B633AB}" name="2032" dataDxfId="320" dataCellStyle="Comma"/>
    <tableColumn id="13" xr3:uid="{563A3BD2-4FAD-4531-B2B0-A0B074F9A688}" name="2033" dataDxfId="319" dataCellStyle="Comma"/>
    <tableColumn id="14" xr3:uid="{27FB4610-29B9-4213-BBC4-8029417317B2}" name="2034" dataDxfId="318" dataCellStyle="Comma"/>
    <tableColumn id="15" xr3:uid="{25D5CFC9-6D78-4286-A4CD-8A9430E4DAAA}" name="2035" dataDxfId="317" dataCellStyle="Comma"/>
    <tableColumn id="16" xr3:uid="{31D807DF-A7F3-4AEA-967B-2F726302CDE8}" name="2036" dataDxfId="316" dataCellStyle="Comma"/>
    <tableColumn id="17" xr3:uid="{31B39CE0-E6B3-4C01-93CB-A918EFD11C27}" name="2037" dataDxfId="315" dataCellStyle="Comma"/>
    <tableColumn id="18" xr3:uid="{EADD8E09-3C88-480F-8DE8-0C7700EE0C8D}" name="2038" dataDxfId="314" dataCellStyle="Comma"/>
    <tableColumn id="19" xr3:uid="{AF2613E0-591D-4518-BA82-85B00B21CBD8}" name="2039" dataDxfId="313" dataCellStyle="Comma"/>
    <tableColumn id="20" xr3:uid="{45E9EB47-D152-4CE8-9111-C62BA1AC1AA4}" name="2040" dataDxfId="312" dataCellStyle="Comma"/>
    <tableColumn id="21" xr3:uid="{925AD212-E3DE-424D-9859-9193F0C2EB1C}" name="2041" dataDxfId="311" dataCellStyle="Comma"/>
    <tableColumn id="22" xr3:uid="{DCA91B97-6138-44A4-8F89-97D388C54F78}" name="2042" dataDxfId="310" dataCellStyle="Comma"/>
    <tableColumn id="23" xr3:uid="{14E22FFF-577D-4A42-A80B-0F636B08890E}" name="2043" dataDxfId="309" dataCellStyle="Comma"/>
    <tableColumn id="24" xr3:uid="{C82EB8BA-D637-4CDF-ADA7-51A6E03A9934}" name="2044" dataDxfId="308" dataCellStyle="Comma"/>
    <tableColumn id="25" xr3:uid="{E18DC3A3-2D8F-4CC8-93C0-225125C8E060}" name="2045" dataDxfId="307" dataCellStyle="Comma"/>
    <tableColumn id="26" xr3:uid="{4935AE4D-659B-40DE-B41D-F9935AFFCBBB}" name="2046" dataDxfId="306" dataCellStyle="Comma"/>
    <tableColumn id="27" xr3:uid="{B4C1864C-0845-4C79-AFA1-4C120EB2DAFA}" name="2047" dataDxfId="305" dataCellStyle="Comma"/>
    <tableColumn id="28" xr3:uid="{44DCBCD0-6E85-4319-94FA-DF26AEF826F9}" name="2048" dataDxfId="304" dataCellStyle="Comma"/>
    <tableColumn id="29" xr3:uid="{AAA3EC88-83C1-48C5-B9DB-02486ED13E7B}" name="2049" dataDxfId="303" dataCellStyle="Comma"/>
    <tableColumn id="30" xr3:uid="{7E88CC32-C64A-40AE-A125-6096E6DDF52C}" name="2050" dataDxfId="302" dataCellStyle="Comma"/>
    <tableColumn id="31" xr3:uid="{372243EE-6708-46CF-ADF3-988A5A56DF72}" name="2051" dataDxfId="301" dataCellStyle="Comma"/>
    <tableColumn id="32" xr3:uid="{4734A10E-6C45-4EC8-AF8C-B1069390E857}" name="2052" dataDxfId="300" dataCellStyle="Comma"/>
    <tableColumn id="33" xr3:uid="{0FF7D64D-8AD5-4597-A47F-B71728475410}" name="2053" dataDxfId="299" dataCellStyle="Comma"/>
    <tableColumn id="34" xr3:uid="{CED12451-742B-4002-B725-149E9EF831AB}" name="2054" dataDxfId="298" dataCellStyle="Comma"/>
    <tableColumn id="35" xr3:uid="{B48CE41C-9283-449F-85A8-F4CEEDA6D4B2}" name="2055" dataDxfId="297" dataCellStyle="Comma"/>
    <tableColumn id="36" xr3:uid="{EEB20124-EDC8-4B81-B699-F1970BD68C34}" name="2056" dataDxfId="296" dataCellStyle="Comma"/>
    <tableColumn id="37" xr3:uid="{EB9E0104-9572-4AAC-83E6-D7623517077D}" name="2057" dataDxfId="295" dataCellStyle="Comma"/>
    <tableColumn id="38" xr3:uid="{2FA07933-5306-42C6-BE69-6B3C39DD1610}" name="2058" dataDxfId="294" dataCellStyle="Comma"/>
    <tableColumn id="39" xr3:uid="{D94982BF-514C-4D7D-9F33-366720A54320}" name="2059" dataDxfId="293" dataCellStyle="Comma"/>
    <tableColumn id="40" xr3:uid="{88E08AC9-C044-4328-B0F7-E46A20A8D4B1}" name="2060" dataDxfId="292" dataCellStyle="Comma"/>
    <tableColumn id="41" xr3:uid="{9F97683A-C5C0-4A35-A73A-9E169F07EBBC}" name="2061" dataDxfId="291" dataCellStyle="Comma"/>
    <tableColumn id="42" xr3:uid="{ED131DDD-9999-424B-BE94-333EB9A11950}" name="2062" dataDxfId="290" dataCellStyle="Comma"/>
    <tableColumn id="43" xr3:uid="{D73AE447-0504-43D5-BE43-8F893656BB76}" name="2063" dataDxfId="289" dataCellStyle="Comma"/>
    <tableColumn id="44" xr3:uid="{A3E4703F-DE93-4ABC-9B91-222984A4581F}" name="2064" dataDxfId="288" dataCellStyle="Comma"/>
    <tableColumn id="45" xr3:uid="{04B50DC9-CEBC-411A-9585-DB3AB2639FAF}" name="2065" dataDxfId="287" dataCellStyle="Comma"/>
    <tableColumn id="46" xr3:uid="{D67303E0-7A7A-4494-8987-98026F29CE9E}" name="2066" dataDxfId="286" dataCellStyle="Comma"/>
    <tableColumn id="47" xr3:uid="{05588FAE-A3E1-4E57-9ED4-0F076DE85D01}" name="2067" dataDxfId="285" dataCellStyle="Comma"/>
    <tableColumn id="48" xr3:uid="{1456BDF6-8AA0-47AC-A1EB-4C2E763DE9BD}" name="2068" dataDxfId="284" dataCellStyle="Comma"/>
    <tableColumn id="49" xr3:uid="{A517DF27-A94F-45E6-8CA1-72FF9248EE6B}" name="2069" dataDxfId="283" dataCellStyle="Comma"/>
    <tableColumn id="50" xr3:uid="{0F6A2ABB-084C-47B9-AD34-45AC5693C8FA}" name="2070" dataDxfId="282" dataCellStyle="Comm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1E849785-9D97-4021-BF14-706CA336CAB3}" name="FuelPrice_BC" displayName="FuelPrice_BC" ref="B92:AZ103" totalsRowShown="0" headerRowDxfId="281" dataDxfId="279" headerRowBorderDxfId="280" tableBorderDxfId="278" totalsRowBorderDxfId="277" dataCellStyle="Comma">
  <autoFilter ref="B92:AZ103" xr:uid="{1E849785-9D97-4021-BF14-706CA336CAB3}"/>
  <tableColumns count="51">
    <tableColumn id="1" xr3:uid="{CD815A60-F8E1-49F7-9C28-E7E23E618555}" name="Fuel type" dataDxfId="276" dataCellStyle="Comma">
      <calculatedColumnFormula>Inputs!B105</calculatedColumnFormula>
    </tableColumn>
    <tableColumn id="2" xr3:uid="{F35153B3-D49F-4969-A42E-4D36379A6F2A}" name="Units" dataDxfId="275" dataCellStyle="Comma">
      <calculatedColumnFormula>Inputs!C105</calculatedColumnFormula>
    </tableColumn>
    <tableColumn id="3" xr3:uid="{97D48B73-4DE6-4BC7-A585-7B50B430583D}" name="ETS cost included?" dataDxfId="274" dataCellStyle="Comma">
      <calculatedColumnFormula>Inputs!D105</calculatedColumnFormula>
    </tableColumn>
    <tableColumn id="4" xr3:uid="{11AC7623-5D83-4950-B442-2FFD9992A787}" name="Value basis" dataDxfId="273" dataCellStyle="Comma"/>
    <tableColumn id="51" xr3:uid="{2ADB1EC7-6C21-4B0B-B1B3-EF29BAFB04DD}" name="Base year" dataDxfId="272" dataCellStyle="Comma">
      <calculatedColumnFormula>Analysis_year</calculatedColumnFormula>
    </tableColumn>
    <tableColumn id="5" xr3:uid="{8781A6F7-5B12-40DF-AFB6-21813C251F36}" name="Applicant comment" dataDxfId="271" dataCellStyle="Comma">
      <calculatedColumnFormula>Inputs!G105</calculatedColumnFormula>
    </tableColumn>
    <tableColumn id="6" xr3:uid="{F4CDFF1B-8D62-4896-9537-BD8CE44EAE1F}" name="2026" dataDxfId="270" dataCellStyle="Comma">
      <calculatedColumnFormula>Inputs!H105*IF(Inputs!$E105="Real",1,H$5)</calculatedColumnFormula>
    </tableColumn>
    <tableColumn id="7" xr3:uid="{D78A15CC-F75C-42F6-AD28-B63E92A884F4}" name="2027" dataDxfId="269" dataCellStyle="Comma"/>
    <tableColumn id="8" xr3:uid="{BA03EDC0-850C-48A1-A0AB-92FA6637F1CB}" name="2028" dataDxfId="268" dataCellStyle="Comma"/>
    <tableColumn id="9" xr3:uid="{1954A85C-12C5-4B87-9FF3-6E4895249BA2}" name="2029" dataDxfId="267" dataCellStyle="Comma"/>
    <tableColumn id="10" xr3:uid="{570CA2C0-5294-4BEE-BFA1-F743145A2C6A}" name="2030" dataDxfId="266" dataCellStyle="Comma"/>
    <tableColumn id="11" xr3:uid="{AA8F8F3B-8F96-42BB-B725-2D1C5DF8585E}" name="2031" dataDxfId="265" dataCellStyle="Comma"/>
    <tableColumn id="12" xr3:uid="{ED0748A6-2EDE-4481-B503-50B7E8B59886}" name="2032" dataDxfId="264" dataCellStyle="Comma"/>
    <tableColumn id="13" xr3:uid="{1023F08B-9539-4790-9912-5156E5151B70}" name="2033" dataDxfId="263" dataCellStyle="Comma"/>
    <tableColumn id="14" xr3:uid="{782F8778-BD84-464A-82FE-21B4BAFF2D31}" name="2034" dataDxfId="262" dataCellStyle="Comma"/>
    <tableColumn id="15" xr3:uid="{49D2FC14-94FD-439E-9562-B8C79389A0C1}" name="2035" dataDxfId="261" dataCellStyle="Comma"/>
    <tableColumn id="16" xr3:uid="{1EAB1945-94CA-470A-9453-3FE59CAAF2A4}" name="2036" dataDxfId="260" dataCellStyle="Comma"/>
    <tableColumn id="17" xr3:uid="{9E83C2DA-6043-4784-996B-5EEFE176FE68}" name="2037" dataDxfId="259" dataCellStyle="Comma"/>
    <tableColumn id="18" xr3:uid="{F7BB9CE9-9CEC-47D3-B153-21562CB55B56}" name="2038" dataDxfId="258" dataCellStyle="Comma"/>
    <tableColumn id="19" xr3:uid="{FD26870D-9C6D-4A08-9474-FEE09C84A506}" name="2039" dataDxfId="257" dataCellStyle="Comma"/>
    <tableColumn id="20" xr3:uid="{A120FADD-77A1-4D85-9487-F7256C4BF33E}" name="2040" dataDxfId="256" dataCellStyle="Comma"/>
    <tableColumn id="21" xr3:uid="{9C57D696-ADCD-445C-9240-AD1A113500CA}" name="2041" dataDxfId="255" dataCellStyle="Comma"/>
    <tableColumn id="22" xr3:uid="{5D18CE22-A2A0-42D6-91BC-0C54D18D9034}" name="2042" dataDxfId="254" dataCellStyle="Comma"/>
    <tableColumn id="23" xr3:uid="{2559D0F9-4707-4AA9-9090-C75BD0BAC86B}" name="2043" dataDxfId="253" dataCellStyle="Comma"/>
    <tableColumn id="24" xr3:uid="{834AFF86-8D8A-4F28-9F3E-71F14CAE8798}" name="2044" dataDxfId="252" dataCellStyle="Comma"/>
    <tableColumn id="25" xr3:uid="{08864B0E-B38C-4770-ACE6-CB17F2A1608D}" name="2045" dataDxfId="251" dataCellStyle="Comma"/>
    <tableColumn id="26" xr3:uid="{8105D9BB-8432-4006-B919-FFFF5B73542C}" name="2046" dataDxfId="250" dataCellStyle="Comma"/>
    <tableColumn id="27" xr3:uid="{BDC9E897-5AAB-4D1A-8341-5653D29093FB}" name="2047" dataDxfId="249" dataCellStyle="Comma"/>
    <tableColumn id="28" xr3:uid="{E4223861-35A4-4F24-9032-BB3B312B5020}" name="2048" dataDxfId="248" dataCellStyle="Comma"/>
    <tableColumn id="29" xr3:uid="{D893DABD-8BAE-4D58-A5B1-5645794E2521}" name="2049" dataDxfId="247" dataCellStyle="Comma"/>
    <tableColumn id="30" xr3:uid="{1BA94FF2-E997-4263-AB7E-0DB93A512FC9}" name="2050" dataDxfId="246" dataCellStyle="Comma"/>
    <tableColumn id="31" xr3:uid="{348678D3-DF55-4447-B787-39F2F365DA9A}" name="2051" dataDxfId="245" dataCellStyle="Comma"/>
    <tableColumn id="32" xr3:uid="{D6F2EDF7-D6D7-447F-8546-EDD2A606ABE9}" name="2052" dataDxfId="244" dataCellStyle="Comma"/>
    <tableColumn id="33" xr3:uid="{C7D47399-109A-4F6A-98BB-DCA49B0E0DB5}" name="2053" dataDxfId="243" dataCellStyle="Comma"/>
    <tableColumn id="34" xr3:uid="{5666DE3A-61A2-4DFD-B8F8-8C2239EC64A8}" name="2054" dataDxfId="242" dataCellStyle="Comma"/>
    <tableColumn id="35" xr3:uid="{122DC719-49F2-462F-9A91-67459E491DC0}" name="2055" dataDxfId="241" dataCellStyle="Comma"/>
    <tableColumn id="36" xr3:uid="{5273114C-70B1-49D6-A7BD-8C2C943FAE67}" name="2056" dataDxfId="240" dataCellStyle="Comma"/>
    <tableColumn id="37" xr3:uid="{B8279073-4D28-4F7E-AA6E-E830ACE3C020}" name="2057" dataDxfId="239" dataCellStyle="Comma"/>
    <tableColumn id="38" xr3:uid="{B9F0F801-3D0D-48B2-A6B2-E495572DE4F4}" name="2058" dataDxfId="238" dataCellStyle="Comma"/>
    <tableColumn id="39" xr3:uid="{B64F4809-97BF-40F1-8FDA-5F3F57577546}" name="2059" dataDxfId="237" dataCellStyle="Comma"/>
    <tableColumn id="40" xr3:uid="{6576068C-A338-4530-B5CD-DCC150B6739D}" name="2060" dataDxfId="236" dataCellStyle="Comma"/>
    <tableColumn id="41" xr3:uid="{DD6B6B3C-D68C-44C3-8731-27670023BB48}" name="2061" dataDxfId="235" dataCellStyle="Comma"/>
    <tableColumn id="42" xr3:uid="{7A9878B4-05AC-4CE4-96FE-EB30D203FCC3}" name="2062" dataDxfId="234" dataCellStyle="Comma"/>
    <tableColumn id="43" xr3:uid="{B32251D4-CC7C-4185-9D2F-4AADC77CA2B6}" name="2063" dataDxfId="233" dataCellStyle="Comma"/>
    <tableColumn id="44" xr3:uid="{859B0ADB-C5CC-443C-A420-51E57CFED99B}" name="2064" dataDxfId="232" dataCellStyle="Comma"/>
    <tableColumn id="45" xr3:uid="{DEB8E32E-AB1C-43CC-8BEA-6A37C0A2F055}" name="2065" dataDxfId="231" dataCellStyle="Comma"/>
    <tableColumn id="46" xr3:uid="{D52DE799-A82B-46B7-BAFB-911584E69F5F}" name="2066" dataDxfId="230" dataCellStyle="Comma"/>
    <tableColumn id="47" xr3:uid="{E45DF227-39B1-44CF-B7F1-E1BA5403E349}" name="2067" dataDxfId="229" dataCellStyle="Comma"/>
    <tableColumn id="48" xr3:uid="{4BF1215A-9F8D-4969-B1F0-1C22DC78A032}" name="2068" dataDxfId="228" dataCellStyle="Comma"/>
    <tableColumn id="49" xr3:uid="{CA496EE2-A2C0-4A0E-90C3-7DCD5C02EB84}" name="2069" dataDxfId="227" dataCellStyle="Comma"/>
    <tableColumn id="50" xr3:uid="{F1FB8AE6-3F74-4FE3-9AE7-6339574C69AD}" name="2070" dataDxfId="226" dataCellStyle="Comm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EDD8BF0-F7CC-4D4A-ADD4-E5D72E2BE307}" name="FinanCosts_PP" displayName="FinanCosts_PP" ref="D135:AZ141" totalsRowShown="0" headerRowDxfId="225" dataDxfId="223" headerRowBorderDxfId="224" tableBorderDxfId="222" dataCellStyle="Comma">
  <autoFilter ref="D135:AZ141" xr:uid="{CEDD8BF0-F7CC-4D4A-ADD4-E5D72E2BE307}"/>
  <tableColumns count="49">
    <tableColumn id="1" xr3:uid="{717A7A8F-6EC2-4717-BE1B-7B37BA493A80}" name="Category" dataDxfId="221"/>
    <tableColumn id="2" xr3:uid="{639893AD-B653-4FCD-9313-D0286DBA0D8A}" name="Value basis" dataDxfId="220"/>
    <tableColumn id="49" xr3:uid="{AAD461A7-4A7E-4149-8F1E-2C34A0F3B72A}" name="Base year" dataDxfId="219">
      <calculatedColumnFormula>Analysis_year</calculatedColumnFormula>
    </tableColumn>
    <tableColumn id="3" xr3:uid="{6AFF7F4E-F3C9-43E8-82F6-59512A773D55}" name="Applicant comment" dataDxfId="218"/>
    <tableColumn id="4" xr3:uid="{0B3D6CAD-C913-46FC-A8E2-FD4B35B10C81}" name="2026" dataDxfId="217" dataCellStyle="Comma"/>
    <tableColumn id="5" xr3:uid="{F9C25243-376F-47CA-8929-0BE07BDDF35E}" name="2027" dataDxfId="216" dataCellStyle="Comma"/>
    <tableColumn id="6" xr3:uid="{C9D615E7-627F-48B5-82D5-24C917097610}" name="2028" dataDxfId="215" dataCellStyle="Comma"/>
    <tableColumn id="7" xr3:uid="{E3E7B46F-BD1B-4711-92DA-638161AEF8CF}" name="2029" dataDxfId="214" dataCellStyle="Comma"/>
    <tableColumn id="8" xr3:uid="{6145D95B-9707-4EAB-82EE-E81955CAC52D}" name="2030" dataDxfId="213" dataCellStyle="Comma"/>
    <tableColumn id="9" xr3:uid="{0754E8BB-19FB-4E7F-BDBE-15660FD32FA3}" name="2031" dataDxfId="212" dataCellStyle="Comma"/>
    <tableColumn id="10" xr3:uid="{240DE842-E2CF-49B4-876F-CC706874BAC3}" name="2032" dataDxfId="211" dataCellStyle="Comma"/>
    <tableColumn id="11" xr3:uid="{0677F4E0-CE49-450D-95F7-E3FEDA2EB5CF}" name="2033" dataDxfId="210" dataCellStyle="Comma"/>
    <tableColumn id="12" xr3:uid="{036A480E-1750-446E-BB16-44BCB6E0377A}" name="2034" dataDxfId="209" dataCellStyle="Comma"/>
    <tableColumn id="13" xr3:uid="{AF8E8C96-6F62-47B8-B906-CB8784C648B7}" name="2035" dataDxfId="208" dataCellStyle="Comma"/>
    <tableColumn id="14" xr3:uid="{67CBBDDD-74C2-4D6E-BD4C-1CD8CF94C85B}" name="2036" dataDxfId="207" dataCellStyle="Comma"/>
    <tableColumn id="15" xr3:uid="{51EC1FA9-3B9C-4C02-B417-BC326A5BAA48}" name="2037" dataDxfId="206" dataCellStyle="Comma"/>
    <tableColumn id="16" xr3:uid="{39196947-CE28-4D8D-855D-51D8CC25653F}" name="2038" dataDxfId="205" dataCellStyle="Comma"/>
    <tableColumn id="17" xr3:uid="{386D8317-F39A-41E5-9007-8CA0CD3159F6}" name="2039" dataDxfId="204" dataCellStyle="Comma"/>
    <tableColumn id="18" xr3:uid="{EDDAA91A-4F89-4515-8190-C8453A5B8A2E}" name="2040" dataDxfId="203" dataCellStyle="Comma"/>
    <tableColumn id="19" xr3:uid="{84890CC2-3CD5-41ED-9E57-4661B5ABF148}" name="2041" dataDxfId="202" dataCellStyle="Comma"/>
    <tableColumn id="20" xr3:uid="{6265F0EC-2C3A-4BD2-8018-D5405068349B}" name="2042" dataDxfId="201" dataCellStyle="Comma"/>
    <tableColumn id="21" xr3:uid="{F513772C-5148-4D4D-837E-DBE62D5CE2E5}" name="2043" dataDxfId="200" dataCellStyle="Comma"/>
    <tableColumn id="22" xr3:uid="{5C8CF445-652F-4481-904D-04265DECB49B}" name="2044" dataDxfId="199" dataCellStyle="Comma"/>
    <tableColumn id="23" xr3:uid="{3AE0E62B-CBE5-49FA-BBCC-CE9EF3ECFA73}" name="2045" dataDxfId="198" dataCellStyle="Comma"/>
    <tableColumn id="24" xr3:uid="{90B78C08-2AF9-47CA-850E-DCACB21BB09A}" name="2046" dataDxfId="197" dataCellStyle="Comma"/>
    <tableColumn id="25" xr3:uid="{AE29276C-9C04-4479-8083-087DA39B26A2}" name="2047" dataDxfId="196" dataCellStyle="Comma"/>
    <tableColumn id="26" xr3:uid="{C59E1CCB-E531-4FE2-A8C9-3195C7545138}" name="2048" dataDxfId="195" dataCellStyle="Comma"/>
    <tableColumn id="27" xr3:uid="{B308B35E-3CFD-4A0C-85FD-DB7C76E93350}" name="2049" dataDxfId="194" dataCellStyle="Comma"/>
    <tableColumn id="28" xr3:uid="{BDA8167B-8D1F-4AA4-B2C1-2BC04ACF5837}" name="2050" dataDxfId="193" dataCellStyle="Comma"/>
    <tableColumn id="29" xr3:uid="{ED431BB6-FABF-433C-A648-7B3D540FEF9B}" name="2051" dataDxfId="192" dataCellStyle="Comma"/>
    <tableColumn id="30" xr3:uid="{40E6AE14-5950-4B23-937A-9C28D990FAAF}" name="2052" dataDxfId="191" dataCellStyle="Comma"/>
    <tableColumn id="31" xr3:uid="{DE992995-7290-4A62-819B-8076D51AE696}" name="2053" dataDxfId="190" dataCellStyle="Comma"/>
    <tableColumn id="32" xr3:uid="{A9FDC8E2-254C-4638-B56D-61A8CC1D2571}" name="2054" dataDxfId="189" dataCellStyle="Comma"/>
    <tableColumn id="33" xr3:uid="{5A8465FD-B6BB-4CFD-96CC-23A669AD3DED}" name="2055" dataDxfId="188" dataCellStyle="Comma"/>
    <tableColumn id="34" xr3:uid="{FF8703A4-DE8F-4111-B555-AC8644EC5E5C}" name="2056" dataDxfId="187" dataCellStyle="Comma"/>
    <tableColumn id="35" xr3:uid="{7119CAD3-DB5E-4339-B102-562197888826}" name="2057" dataDxfId="186" dataCellStyle="Comma"/>
    <tableColumn id="36" xr3:uid="{D28834E2-8C00-460F-B299-5071357AB714}" name="2058" dataDxfId="185" dataCellStyle="Comma"/>
    <tableColumn id="37" xr3:uid="{AD60FCA5-073B-4862-8A27-D0F1C4A35FB5}" name="2059" dataDxfId="184" dataCellStyle="Comma"/>
    <tableColumn id="38" xr3:uid="{757601F2-AF24-4BF0-9016-126A6D4AD704}" name="2060" dataDxfId="183" dataCellStyle="Comma"/>
    <tableColumn id="39" xr3:uid="{2AB3151E-4595-446A-9966-945C84A082C6}" name="2061" dataDxfId="182" dataCellStyle="Comma"/>
    <tableColumn id="40" xr3:uid="{712906AE-4C82-4345-87BA-3F0DCFA1687C}" name="2062" dataDxfId="181" dataCellStyle="Comma"/>
    <tableColumn id="41" xr3:uid="{793C773E-678A-41B8-B8B1-11BB18591CC3}" name="2063" dataDxfId="180" dataCellStyle="Comma"/>
    <tableColumn id="42" xr3:uid="{DDE85523-09D5-48ED-B1F9-F161C8E4983F}" name="2064" dataDxfId="179" dataCellStyle="Comma"/>
    <tableColumn id="43" xr3:uid="{FCAE10EB-DB5A-414E-B651-5A3AA853A9A2}" name="2065" dataDxfId="178" dataCellStyle="Comma"/>
    <tableColumn id="44" xr3:uid="{D1915F3E-FBFE-45DA-8C26-158B480947D4}" name="2066" dataDxfId="177" dataCellStyle="Comma"/>
    <tableColumn id="45" xr3:uid="{52DA8145-1506-47F8-832A-6ACA2B5AEB70}" name="2067" dataDxfId="176" dataCellStyle="Comma"/>
    <tableColumn id="46" xr3:uid="{5FD1448A-1535-4294-AC2D-05D47330AA82}" name="2068" dataDxfId="175" dataCellStyle="Comma"/>
    <tableColumn id="47" xr3:uid="{AC357442-2795-431B-A29A-EB31C67F077B}" name="2069" dataDxfId="174" dataCellStyle="Comma"/>
    <tableColumn id="48" xr3:uid="{E2AE8E04-C063-4F8B-8B84-EE6CFB3B4096}" name="2070" dataDxfId="173" dataCellStyle="Comma"/>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C82F45E-3263-409D-AE16-E410E2D9DDF0}" name="FinanCosts_BC" displayName="FinanCosts_BC" ref="D146:AZ150" totalsRowShown="0" headerRowDxfId="172" dataDxfId="170" headerRowBorderDxfId="171" tableBorderDxfId="169" dataCellStyle="Comma">
  <autoFilter ref="D146:AZ150" xr:uid="{4C82F45E-3263-409D-AE16-E410E2D9DDF0}"/>
  <tableColumns count="49">
    <tableColumn id="1" xr3:uid="{E6577582-D038-4C07-9FA3-3476A86F9800}" name="Category" dataDxfId="168"/>
    <tableColumn id="2" xr3:uid="{3CC8EA7F-088E-4CDA-AD4F-755AEC518A5C}" name="Value basis" dataDxfId="167"/>
    <tableColumn id="49" xr3:uid="{3D171773-9201-4193-9AFD-D8B613D66439}" name="Base year" dataDxfId="166">
      <calculatedColumnFormula>Analysis_year</calculatedColumnFormula>
    </tableColumn>
    <tableColumn id="3" xr3:uid="{5F8421F0-5CA2-4931-924E-745DE5D2B56F}" name="Applicant comment" dataDxfId="165"/>
    <tableColumn id="4" xr3:uid="{F13D8FBD-83E1-40E5-92FC-CF7E910B34F5}" name="2026" dataDxfId="164" dataCellStyle="Comma"/>
    <tableColumn id="5" xr3:uid="{4279BD07-3122-42DE-8559-F19C4A8775B1}" name="2027" dataDxfId="163" dataCellStyle="Comma"/>
    <tableColumn id="6" xr3:uid="{210ACBCC-A897-4A57-BDBF-A69D54E35247}" name="2028" dataDxfId="162" dataCellStyle="Comma"/>
    <tableColumn id="7" xr3:uid="{9CA6A726-BFD6-4753-9FC7-A7B7730AE65F}" name="2029" dataDxfId="161" dataCellStyle="Comma"/>
    <tableColumn id="8" xr3:uid="{E73BB242-B0BF-4247-A1D4-26ECD9ACC126}" name="2030" dataDxfId="160" dataCellStyle="Comma"/>
    <tableColumn id="9" xr3:uid="{FCCDA743-C183-472D-B6F7-DF9097F647D3}" name="2031" dataDxfId="159" dataCellStyle="Comma"/>
    <tableColumn id="10" xr3:uid="{87D44CCD-5D48-402F-ADD4-4A70242FF139}" name="2032" dataDxfId="158" dataCellStyle="Comma"/>
    <tableColumn id="11" xr3:uid="{82BBBAE8-24E3-4DE3-AE24-4C43B0CE21CB}" name="2033" dataDxfId="157" dataCellStyle="Comma"/>
    <tableColumn id="12" xr3:uid="{D02C8E5E-C4A2-4924-9174-3B91A9952B0B}" name="2034" dataDxfId="156" dataCellStyle="Comma"/>
    <tableColumn id="13" xr3:uid="{CA64902D-E465-427F-8216-6898CF677751}" name="2035" dataDxfId="155" dataCellStyle="Comma"/>
    <tableColumn id="14" xr3:uid="{E2D7656C-7D7D-4FEE-921A-C752130413FB}" name="2036" dataDxfId="154" dataCellStyle="Comma"/>
    <tableColumn id="15" xr3:uid="{BFFEB9E4-5CA6-483B-856E-0DE7B7CCC461}" name="2037" dataDxfId="153" dataCellStyle="Comma"/>
    <tableColumn id="16" xr3:uid="{3FA8E626-CFED-4645-A114-10146F1CE3CA}" name="2038" dataDxfId="152" dataCellStyle="Comma"/>
    <tableColumn id="17" xr3:uid="{EE8EFEA5-2542-42B8-9E06-BF88EDF3A891}" name="2039" dataDxfId="151" dataCellStyle="Comma"/>
    <tableColumn id="18" xr3:uid="{276DAE21-BA5C-40BB-9960-EF51C9C487FF}" name="2040" dataDxfId="150" dataCellStyle="Comma"/>
    <tableColumn id="19" xr3:uid="{D4E65308-2D32-475E-BB62-94A6E0E9AA7E}" name="2041" dataDxfId="149" dataCellStyle="Comma"/>
    <tableColumn id="20" xr3:uid="{71E30F94-ABBB-4430-8BB8-5C295A6C2123}" name="2042" dataDxfId="148" dataCellStyle="Comma"/>
    <tableColumn id="21" xr3:uid="{2B222921-87C8-4222-9D90-0DA6F8A0E734}" name="2043" dataDxfId="147" dataCellStyle="Comma"/>
    <tableColumn id="22" xr3:uid="{19E2EA4C-16EC-495A-A747-BEEE69A32D3F}" name="2044" dataDxfId="146" dataCellStyle="Comma"/>
    <tableColumn id="23" xr3:uid="{03B39F9A-D84D-4BF8-A17B-69085D97F7E6}" name="2045" dataDxfId="145" dataCellStyle="Comma"/>
    <tableColumn id="24" xr3:uid="{866FA20F-24F8-41FD-A90E-5C3BA329A341}" name="2046" dataDxfId="144" dataCellStyle="Comma"/>
    <tableColumn id="25" xr3:uid="{6F79FEEE-F13C-4A71-A4AB-2703142B253B}" name="2047" dataDxfId="143" dataCellStyle="Comma"/>
    <tableColumn id="26" xr3:uid="{EB939202-7DB5-4C78-99AF-CB5A0F6D1835}" name="2048" dataDxfId="142" dataCellStyle="Comma"/>
    <tableColumn id="27" xr3:uid="{C0071C95-7989-4F4E-ABB0-320CAA18B264}" name="2049" dataDxfId="141" dataCellStyle="Comma"/>
    <tableColumn id="28" xr3:uid="{048FCCF6-2DF9-4DB6-A97C-1BA513836E90}" name="2050" dataDxfId="140" dataCellStyle="Comma"/>
    <tableColumn id="29" xr3:uid="{39560858-8955-4656-929F-70F53315B962}" name="2051" dataDxfId="139" dataCellStyle="Comma"/>
    <tableColumn id="30" xr3:uid="{DBBAAB62-170D-4DE1-95C5-B83E49843B4D}" name="2052" dataDxfId="138" dataCellStyle="Comma"/>
    <tableColumn id="31" xr3:uid="{BE74745F-42E1-49E4-BA91-4025A9A0978B}" name="2053" dataDxfId="137" dataCellStyle="Comma"/>
    <tableColumn id="32" xr3:uid="{6659F44A-136C-4F06-A0DD-944EFC8E0063}" name="2054" dataDxfId="136" dataCellStyle="Comma"/>
    <tableColumn id="33" xr3:uid="{21A7C776-830E-48BC-A1EC-EB6B4F292196}" name="2055" dataDxfId="135" dataCellStyle="Comma"/>
    <tableColumn id="34" xr3:uid="{2C5AE04E-0657-44BA-9A0F-809CE838A535}" name="2056" dataDxfId="134" dataCellStyle="Comma"/>
    <tableColumn id="35" xr3:uid="{AA4D6AAC-98F3-4B2F-8F0A-BB0DDD7D824D}" name="2057" dataDxfId="133" dataCellStyle="Comma"/>
    <tableColumn id="36" xr3:uid="{6DB15B52-187E-4BFC-A81C-AD96AE5C45B7}" name="2058" dataDxfId="132" dataCellStyle="Comma"/>
    <tableColumn id="37" xr3:uid="{417202D8-4251-4361-A424-3ABE2514C9AB}" name="2059" dataDxfId="131" dataCellStyle="Comma"/>
    <tableColumn id="38" xr3:uid="{4642DDEC-1669-4D65-ACEC-2A90A607B3B2}" name="2060" dataDxfId="130" dataCellStyle="Comma"/>
    <tableColumn id="39" xr3:uid="{BACFCD58-B45F-47BC-9837-4E4588C94BBD}" name="2061" dataDxfId="129" dataCellStyle="Comma"/>
    <tableColumn id="40" xr3:uid="{255A794D-777E-47A5-8372-CCAFFBA3D992}" name="2062" dataDxfId="128" dataCellStyle="Comma"/>
    <tableColumn id="41" xr3:uid="{32A79694-11FD-4745-9888-E20F42900E0C}" name="2063" dataDxfId="127" dataCellStyle="Comma"/>
    <tableColumn id="42" xr3:uid="{FFF70A06-BBD1-44D6-885A-A58B45B6CD79}" name="2064" dataDxfId="126" dataCellStyle="Comma"/>
    <tableColumn id="43" xr3:uid="{4A12907A-4005-4817-B452-1AAB43670469}" name="2065" dataDxfId="125" dataCellStyle="Comma"/>
    <tableColumn id="44" xr3:uid="{15656C31-9534-404F-A340-4BF948A7E8FE}" name="2066" dataDxfId="124" dataCellStyle="Comma"/>
    <tableColumn id="45" xr3:uid="{2E38A2D0-A233-408C-8ADD-C6EAE6456526}" name="2067" dataDxfId="123" dataCellStyle="Comma"/>
    <tableColumn id="46" xr3:uid="{2101F04F-984C-42F2-A2E9-50A0F4156593}" name="2068" dataDxfId="122" dataCellStyle="Comma"/>
    <tableColumn id="47" xr3:uid="{BA882566-6DC5-4B05-951E-0B45425CB38E}" name="2069" dataDxfId="121" dataCellStyle="Comma"/>
    <tableColumn id="48" xr3:uid="{7DE26281-B4D3-49E0-8A66-354EBD8AC19F}" name="2070" dataDxfId="120" dataCellStyle="Comma"/>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03BDCB-FC3C-41EE-B4FB-7E372476170C}" name="Tax_PP" displayName="Tax_PP" ref="D167:AZ168" totalsRowShown="0" headerRowDxfId="119" dataDxfId="117" headerRowBorderDxfId="118">
  <autoFilter ref="D167:AZ168" xr:uid="{AD03BDCB-FC3C-41EE-B4FB-7E372476170C}"/>
  <tableColumns count="49">
    <tableColumn id="1" xr3:uid="{09ED7A01-647F-4BF6-BE79-27C8810420D5}" name="Tax" dataDxfId="116"/>
    <tableColumn id="2" xr3:uid="{F38F06C2-8F04-4A02-8DCB-5A97DC42F6DE}" name="Value basis" dataDxfId="115"/>
    <tableColumn id="49" xr3:uid="{160C5BA7-C3B6-44D5-A616-72D0AF08C436}" name="Base year" dataDxfId="114"/>
    <tableColumn id="3" xr3:uid="{ADAC18B2-1B13-47C0-B6B6-CC698372DD77}" name="Applicant comment" dataDxfId="113">
      <calculatedColumnFormula>Inputs!G182</calculatedColumnFormula>
    </tableColumn>
    <tableColumn id="4" xr3:uid="{D364A24E-73D4-43A0-98BB-B6586346B75C}" name="2026" dataDxfId="112">
      <calculatedColumnFormula>Inputs!H182*H$5</calculatedColumnFormula>
    </tableColumn>
    <tableColumn id="5" xr3:uid="{B496610A-BFF8-43EB-9FC8-141193CD27AB}" name="2027" dataDxfId="111">
      <calculatedColumnFormula>Inputs!I182*I$5</calculatedColumnFormula>
    </tableColumn>
    <tableColumn id="6" xr3:uid="{275AB3AB-752A-4917-AFAA-12C0C0C8A315}" name="2028" dataDxfId="110">
      <calculatedColumnFormula>Inputs!J182*J$5</calculatedColumnFormula>
    </tableColumn>
    <tableColumn id="7" xr3:uid="{D8BEDBDA-A83D-4D9F-9988-CEC4F9944CD8}" name="2029" dataDxfId="109">
      <calculatedColumnFormula>Inputs!K182*K$5</calculatedColumnFormula>
    </tableColumn>
    <tableColumn id="8" xr3:uid="{AE21FF39-C7B2-4793-8BE8-6FAF658483E7}" name="2030" dataDxfId="108">
      <calculatedColumnFormula>Inputs!L182*L$5</calculatedColumnFormula>
    </tableColumn>
    <tableColumn id="9" xr3:uid="{69460F1E-329E-4A0F-8363-B6EA3C30E580}" name="2031" dataDxfId="107">
      <calculatedColumnFormula>Inputs!M182*M$5</calculatedColumnFormula>
    </tableColumn>
    <tableColumn id="10" xr3:uid="{041496C9-245D-4C0A-867D-9B8677254DBB}" name="2032" dataDxfId="106">
      <calculatedColumnFormula>Inputs!N182*N$5</calculatedColumnFormula>
    </tableColumn>
    <tableColumn id="11" xr3:uid="{DA805155-3EAE-454A-BEC9-0A4A324767AA}" name="2033" dataDxfId="105">
      <calculatedColumnFormula>Inputs!O182*O$5</calculatedColumnFormula>
    </tableColumn>
    <tableColumn id="12" xr3:uid="{4033810E-E54F-4EEE-9B58-4BF0558BE2A1}" name="2034" dataDxfId="104">
      <calculatedColumnFormula>Inputs!P182*P$5</calculatedColumnFormula>
    </tableColumn>
    <tableColumn id="13" xr3:uid="{10109C95-DE3D-4F32-BD67-4DCE7FBED85C}" name="2035" dataDxfId="103">
      <calculatedColumnFormula>Inputs!Q182*Q$5</calculatedColumnFormula>
    </tableColumn>
    <tableColumn id="14" xr3:uid="{A9A1422C-0E97-4F44-8B53-E8644519708C}" name="2036" dataDxfId="102">
      <calculatedColumnFormula>Inputs!R182*R$5</calculatedColumnFormula>
    </tableColumn>
    <tableColumn id="15" xr3:uid="{A66F8E67-2ED5-46B4-B8B4-CD98F3522297}" name="2037" dataDxfId="101">
      <calculatedColumnFormula>Inputs!S182*S$5</calculatedColumnFormula>
    </tableColumn>
    <tableColumn id="16" xr3:uid="{B70FB55F-7329-4E70-8EAB-EE64F3059015}" name="2038" dataDxfId="100">
      <calculatedColumnFormula>Inputs!T182*T$5</calculatedColumnFormula>
    </tableColumn>
    <tableColumn id="17" xr3:uid="{49D67F68-552A-440B-97E0-771DBE797D4E}" name="2039" dataDxfId="99">
      <calculatedColumnFormula>Inputs!U182*U$5</calculatedColumnFormula>
    </tableColumn>
    <tableColumn id="18" xr3:uid="{4ADBF7AC-E280-4963-A924-8B7FD5F978BC}" name="2040" dataDxfId="98">
      <calculatedColumnFormula>Inputs!V182*V$5</calculatedColumnFormula>
    </tableColumn>
    <tableColumn id="19" xr3:uid="{2F7388F2-BEC8-4859-893A-13918C0CA160}" name="2041" dataDxfId="97">
      <calculatedColumnFormula>Inputs!W182*W$5</calculatedColumnFormula>
    </tableColumn>
    <tableColumn id="20" xr3:uid="{8F30DCEA-A042-4518-95BB-7AFDEA21A1F1}" name="2042" dataDxfId="96">
      <calculatedColumnFormula>Inputs!X182*X$5</calculatedColumnFormula>
    </tableColumn>
    <tableColumn id="21" xr3:uid="{C2089FEA-DAF1-4CD6-8395-4A7D51B33868}" name="2043" dataDxfId="95">
      <calculatedColumnFormula>Inputs!Y182*Y$5</calculatedColumnFormula>
    </tableColumn>
    <tableColumn id="22" xr3:uid="{E282D344-9803-48A4-B99A-804BEB792BE9}" name="2044" dataDxfId="94">
      <calculatedColumnFormula>Inputs!Z182*Z$5</calculatedColumnFormula>
    </tableColumn>
    <tableColumn id="23" xr3:uid="{A10AAE09-323F-43E6-8459-D1DBF37258F9}" name="2045" dataDxfId="93">
      <calculatedColumnFormula>Inputs!AA182*AA$5</calculatedColumnFormula>
    </tableColumn>
    <tableColumn id="24" xr3:uid="{20E22BA1-6734-4FB0-B6D6-7220EBF0F7B6}" name="2046" dataDxfId="92">
      <calculatedColumnFormula>Inputs!AB182*AB$5</calculatedColumnFormula>
    </tableColumn>
    <tableColumn id="25" xr3:uid="{505431E3-4919-4671-AB1E-AA41F362247E}" name="2047" dataDxfId="91">
      <calculatedColumnFormula>Inputs!AC182*AC$5</calculatedColumnFormula>
    </tableColumn>
    <tableColumn id="26" xr3:uid="{BA13CD4D-7925-448D-840E-715CF805F217}" name="2048" dataDxfId="90">
      <calculatedColumnFormula>Inputs!AD182*AD$5</calculatedColumnFormula>
    </tableColumn>
    <tableColumn id="27" xr3:uid="{A4445146-58CE-4B89-9C36-417031CD2BCC}" name="2049" dataDxfId="89">
      <calculatedColumnFormula>Inputs!AE182*AE$5</calculatedColumnFormula>
    </tableColumn>
    <tableColumn id="28" xr3:uid="{CAFF378A-6FD2-43CA-9029-64195040EAB3}" name="2050" dataDxfId="88">
      <calculatedColumnFormula>Inputs!AF182*AF$5</calculatedColumnFormula>
    </tableColumn>
    <tableColumn id="29" xr3:uid="{ADB20BF2-E475-4526-A04C-2D0AA327E0A2}" name="2051" dataDxfId="87">
      <calculatedColumnFormula>Inputs!AG182*AG$5</calculatedColumnFormula>
    </tableColumn>
    <tableColumn id="30" xr3:uid="{475A5EF5-0809-4889-B70B-5C9144D6B1F6}" name="2052" dataDxfId="86">
      <calculatedColumnFormula>Inputs!AH182*AH$5</calculatedColumnFormula>
    </tableColumn>
    <tableColumn id="31" xr3:uid="{BD14AD79-636E-414E-B3EF-C48866792C8E}" name="2053" dataDxfId="85">
      <calculatedColumnFormula>Inputs!AI182*AI$5</calculatedColumnFormula>
    </tableColumn>
    <tableColumn id="32" xr3:uid="{39C771B6-AE4C-4D24-ACA3-0AE48B22E320}" name="2054" dataDxfId="84">
      <calculatedColumnFormula>Inputs!AJ182*AJ$5</calculatedColumnFormula>
    </tableColumn>
    <tableColumn id="33" xr3:uid="{73BFA996-55A5-4603-A680-24EC7EE23290}" name="2055" dataDxfId="83">
      <calculatedColumnFormula>Inputs!AK182*AK$5</calculatedColumnFormula>
    </tableColumn>
    <tableColumn id="34" xr3:uid="{CDBB2657-900D-49CF-B05F-12144A1AF5A4}" name="2056" dataDxfId="82">
      <calculatedColumnFormula>Inputs!AL182*AL$5</calculatedColumnFormula>
    </tableColumn>
    <tableColumn id="35" xr3:uid="{875DEB3D-4393-4718-98C1-B6B864E879AB}" name="2057" dataDxfId="81">
      <calculatedColumnFormula>Inputs!AM182*AM$5</calculatedColumnFormula>
    </tableColumn>
    <tableColumn id="36" xr3:uid="{66CAA2B7-D743-43A0-8F02-D3F74E9E6C09}" name="2058" dataDxfId="80">
      <calculatedColumnFormula>Inputs!AN182*AN$5</calculatedColumnFormula>
    </tableColumn>
    <tableColumn id="37" xr3:uid="{D2F5EE6B-E682-4390-B906-BDB451D21AAE}" name="2059" dataDxfId="79">
      <calculatedColumnFormula>Inputs!AO182*AO$5</calculatedColumnFormula>
    </tableColumn>
    <tableColumn id="38" xr3:uid="{8C66D654-A88C-48C4-8E16-86F2266C57A9}" name="2060" dataDxfId="78">
      <calculatedColumnFormula>Inputs!AP182*AP$5</calculatedColumnFormula>
    </tableColumn>
    <tableColumn id="39" xr3:uid="{1CD3A3C8-0A39-4605-9744-B5AE70708F10}" name="2061" dataDxfId="77">
      <calculatedColumnFormula>Inputs!AQ182*AQ$5</calculatedColumnFormula>
    </tableColumn>
    <tableColumn id="40" xr3:uid="{90DB90E1-5DB7-4F54-A7D7-BF08EF0014E9}" name="2062" dataDxfId="76">
      <calculatedColumnFormula>Inputs!AR182*AR$5</calculatedColumnFormula>
    </tableColumn>
    <tableColumn id="41" xr3:uid="{C70E9623-7962-4792-9157-987A9CC260EC}" name="2063" dataDxfId="75">
      <calculatedColumnFormula>Inputs!AS182*AS$5</calculatedColumnFormula>
    </tableColumn>
    <tableColumn id="42" xr3:uid="{8BF1DCB7-7483-4145-98C3-A01F01A0912A}" name="2064" dataDxfId="74">
      <calculatedColumnFormula>Inputs!AT182*AT$5</calculatedColumnFormula>
    </tableColumn>
    <tableColumn id="43" xr3:uid="{4D8F2510-59F9-42E1-863F-963F8BFC67E5}" name="2065" dataDxfId="73">
      <calculatedColumnFormula>Inputs!AU182*AU$5</calculatedColumnFormula>
    </tableColumn>
    <tableColumn id="44" xr3:uid="{552FD1B2-5240-4DBA-868D-7D91BFE5BECB}" name="2066" dataDxfId="72">
      <calculatedColumnFormula>Inputs!AV182*AV$5</calculatedColumnFormula>
    </tableColumn>
    <tableColumn id="45" xr3:uid="{2A3D80E9-8280-465A-94EC-979A5392DDF1}" name="2067" dataDxfId="71">
      <calculatedColumnFormula>Inputs!AW182*AW$5</calculatedColumnFormula>
    </tableColumn>
    <tableColumn id="46" xr3:uid="{1B10A137-B57A-4300-B2C1-7FA47C0D5C27}" name="2068" dataDxfId="70">
      <calculatedColumnFormula>Inputs!AX182*AX$5</calculatedColumnFormula>
    </tableColumn>
    <tableColumn id="47" xr3:uid="{BFD74794-F0A5-4A74-B5C0-BDE6601FA42B}" name="2069" dataDxfId="69">
      <calculatedColumnFormula>Inputs!AY182*AY$5</calculatedColumnFormula>
    </tableColumn>
    <tableColumn id="48" xr3:uid="{216F604D-FB26-4B37-B1C4-DB2AD0BE94CF}" name="2070" dataDxfId="68">
      <calculatedColumnFormula>Inputs!AZ182*AZ$5</calculatedColumnFormula>
    </tableColumn>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8E3A58-C9F8-4F22-AA99-E1CB39C4F51F}" name="Tax_BC" displayName="Tax_BC" ref="D170:AZ171" totalsRowShown="0" headerRowDxfId="67" dataDxfId="65" headerRowBorderDxfId="66">
  <autoFilter ref="D170:AZ171" xr:uid="{0A8E3A58-C9F8-4F22-AA99-E1CB39C4F51F}"/>
  <tableColumns count="49">
    <tableColumn id="1" xr3:uid="{5D29479D-A64F-49B0-864C-1FE12C78CFED}" name="Tax" dataDxfId="64"/>
    <tableColumn id="2" xr3:uid="{03D91E86-DCEA-48E8-AA95-08C4DFC31F7B}" name="Value basis" dataDxfId="63"/>
    <tableColumn id="49" xr3:uid="{099FAC0C-5AD0-4075-8EDD-F725663326E7}" name="Base year" dataDxfId="62"/>
    <tableColumn id="3" xr3:uid="{623E7367-D258-4101-9D83-BA3F4C1575F7}" name="Applicant comment" dataDxfId="61">
      <calculatedColumnFormula>Inputs!G185</calculatedColumnFormula>
    </tableColumn>
    <tableColumn id="4" xr3:uid="{91D723F6-2001-4010-9377-88AE95F7EDB0}" name="2026" dataDxfId="60">
      <calculatedColumnFormula>Inputs!H185*H$5</calculatedColumnFormula>
    </tableColumn>
    <tableColumn id="5" xr3:uid="{5355D43F-B62F-4F59-855B-30BCC57AA541}" name="2027" dataDxfId="59">
      <calculatedColumnFormula>Inputs!I185*I$5</calculatedColumnFormula>
    </tableColumn>
    <tableColumn id="6" xr3:uid="{AFC7CC9F-208E-4032-9D9D-DD11E166FF6F}" name="2028" dataDxfId="58">
      <calculatedColumnFormula>Inputs!J185*J$5</calculatedColumnFormula>
    </tableColumn>
    <tableColumn id="7" xr3:uid="{F1BC65CC-DC8C-4D9B-B051-44B144F2C8A0}" name="2029" dataDxfId="57">
      <calculatedColumnFormula>Inputs!K185*K$5</calculatedColumnFormula>
    </tableColumn>
    <tableColumn id="8" xr3:uid="{0EBAFB18-9466-4FD6-8749-C69C765A2549}" name="2030" dataDxfId="56">
      <calculatedColumnFormula>Inputs!L185*L$5</calculatedColumnFormula>
    </tableColumn>
    <tableColumn id="9" xr3:uid="{7E023568-2008-4E9B-B0C0-88DE30CDBC8D}" name="2031" dataDxfId="55">
      <calculatedColumnFormula>Inputs!M185*M$5</calculatedColumnFormula>
    </tableColumn>
    <tableColumn id="10" xr3:uid="{2E50A080-8B93-4C64-AE5C-CB1C9BCD1803}" name="2032" dataDxfId="54">
      <calculatedColumnFormula>Inputs!N185*N$5</calculatedColumnFormula>
    </tableColumn>
    <tableColumn id="11" xr3:uid="{F2F95044-FFF1-474D-940B-B2BC160F7A01}" name="2033" dataDxfId="53">
      <calculatedColumnFormula>Inputs!O185*O$5</calculatedColumnFormula>
    </tableColumn>
    <tableColumn id="12" xr3:uid="{02BCE0FF-D8E7-4D9D-9CB1-8D2B3D5A63A9}" name="2034" dataDxfId="52">
      <calculatedColumnFormula>Inputs!P185*P$5</calculatedColumnFormula>
    </tableColumn>
    <tableColumn id="13" xr3:uid="{B7B17E39-A92A-4169-80DB-834CAF030080}" name="2035" dataDxfId="51">
      <calculatedColumnFormula>Inputs!Q185*Q$5</calculatedColumnFormula>
    </tableColumn>
    <tableColumn id="14" xr3:uid="{1E22F39E-7B3F-49FD-8DDD-7ED7DE0610FA}" name="2036" dataDxfId="50">
      <calculatedColumnFormula>Inputs!R185*R$5</calculatedColumnFormula>
    </tableColumn>
    <tableColumn id="15" xr3:uid="{AB4E2F6C-50CB-4A70-9388-3F3F31164611}" name="2037" dataDxfId="49">
      <calculatedColumnFormula>Inputs!S185*S$5</calculatedColumnFormula>
    </tableColumn>
    <tableColumn id="16" xr3:uid="{10C431BA-1CB5-4A97-ABD2-38BEF3001244}" name="2038" dataDxfId="48">
      <calculatedColumnFormula>Inputs!T185*T$5</calculatedColumnFormula>
    </tableColumn>
    <tableColumn id="17" xr3:uid="{9C808990-7390-43F0-85EC-965F39887491}" name="2039" dataDxfId="47">
      <calculatedColumnFormula>Inputs!U185*U$5</calculatedColumnFormula>
    </tableColumn>
    <tableColumn id="18" xr3:uid="{9A50B2CB-0979-4516-9F24-B3120C296E83}" name="2040" dataDxfId="46">
      <calculatedColumnFormula>Inputs!V185*V$5</calculatedColumnFormula>
    </tableColumn>
    <tableColumn id="19" xr3:uid="{E5FB71D3-7FAD-4AD7-AEF7-EE60AB4B019D}" name="2041" dataDxfId="45">
      <calculatedColumnFormula>Inputs!W185*W$5</calculatedColumnFormula>
    </tableColumn>
    <tableColumn id="20" xr3:uid="{DE2B163F-D37E-42DD-AE15-721E2DF63E47}" name="2042" dataDxfId="44">
      <calculatedColumnFormula>Inputs!X185*X$5</calculatedColumnFormula>
    </tableColumn>
    <tableColumn id="21" xr3:uid="{B3ED7667-8C4D-4084-A6D3-E099953A3115}" name="2043" dataDxfId="43">
      <calculatedColumnFormula>Inputs!Y185*Y$5</calculatedColumnFormula>
    </tableColumn>
    <tableColumn id="22" xr3:uid="{E75C5B0C-7F65-4C72-B571-FF5AE4DAF2BB}" name="2044" dataDxfId="42">
      <calculatedColumnFormula>Inputs!Z185*Z$5</calculatedColumnFormula>
    </tableColumn>
    <tableColumn id="23" xr3:uid="{77743ADF-CA76-4BFC-BC7D-0B10DB9795CB}" name="2045" dataDxfId="41">
      <calculatedColumnFormula>Inputs!AA185*AA$5</calculatedColumnFormula>
    </tableColumn>
    <tableColumn id="24" xr3:uid="{17BDF3CF-974A-4D96-AAC8-75E1219C485C}" name="2046" dataDxfId="40">
      <calculatedColumnFormula>Inputs!AB185*AB$5</calculatedColumnFormula>
    </tableColumn>
    <tableColumn id="25" xr3:uid="{5650DE08-6B25-4361-9815-D12B431BEC16}" name="2047" dataDxfId="39">
      <calculatedColumnFormula>Inputs!AC185*AC$5</calculatedColumnFormula>
    </tableColumn>
    <tableColumn id="26" xr3:uid="{E96F3D78-BDA1-4CE4-8A37-37AEEF2AE79A}" name="2048" dataDxfId="38">
      <calculatedColumnFormula>Inputs!AD185*AD$5</calculatedColumnFormula>
    </tableColumn>
    <tableColumn id="27" xr3:uid="{1B8D0258-5BBB-4607-8A96-05476C0CC873}" name="2049" dataDxfId="37">
      <calculatedColumnFormula>Inputs!AE185*AE$5</calculatedColumnFormula>
    </tableColumn>
    <tableColumn id="28" xr3:uid="{71D68318-88C1-4626-B3C3-4D7D4C0BE874}" name="2050" dataDxfId="36">
      <calculatedColumnFormula>Inputs!AF185*AF$5</calculatedColumnFormula>
    </tableColumn>
    <tableColumn id="29" xr3:uid="{E2860454-9D9E-427A-88BF-7C843A94B85F}" name="2051" dataDxfId="35">
      <calculatedColumnFormula>Inputs!AG185*AG$5</calculatedColumnFormula>
    </tableColumn>
    <tableColumn id="30" xr3:uid="{6A3CEE39-D62D-4E3B-BCCD-25CDCD32784E}" name="2052" dataDxfId="34">
      <calculatedColumnFormula>Inputs!AH185*AH$5</calculatedColumnFormula>
    </tableColumn>
    <tableColumn id="31" xr3:uid="{0573988D-BD1D-4103-8EAF-7F5177629C51}" name="2053" dataDxfId="33">
      <calculatedColumnFormula>Inputs!AI185*AI$5</calculatedColumnFormula>
    </tableColumn>
    <tableColumn id="32" xr3:uid="{11ACC20E-B201-4796-B0C0-D202C6D17C44}" name="2054" dataDxfId="32">
      <calculatedColumnFormula>Inputs!AJ185*AJ$5</calculatedColumnFormula>
    </tableColumn>
    <tableColumn id="33" xr3:uid="{505B1B09-2D02-4906-A511-FD972C4E63BA}" name="2055" dataDxfId="31">
      <calculatedColumnFormula>Inputs!AK185*AK$5</calculatedColumnFormula>
    </tableColumn>
    <tableColumn id="34" xr3:uid="{1888E5A5-0A2E-46EA-9612-E7EFA4C86216}" name="2056" dataDxfId="30">
      <calculatedColumnFormula>Inputs!AL185*AL$5</calculatedColumnFormula>
    </tableColumn>
    <tableColumn id="35" xr3:uid="{5FD54073-0AC6-4CE3-90EA-9D83BC24A49C}" name="2057" dataDxfId="29">
      <calculatedColumnFormula>Inputs!AM185*AM$5</calculatedColumnFormula>
    </tableColumn>
    <tableColumn id="36" xr3:uid="{1E58A775-B7DF-440E-9EE6-A8C006F857FB}" name="2058" dataDxfId="28">
      <calculatedColumnFormula>Inputs!AN185*AN$5</calculatedColumnFormula>
    </tableColumn>
    <tableColumn id="37" xr3:uid="{A0E7D872-CAA2-4629-A8E4-55ABBD33F2D6}" name="2059" dataDxfId="27">
      <calculatedColumnFormula>Inputs!AO185*AO$5</calculatedColumnFormula>
    </tableColumn>
    <tableColumn id="38" xr3:uid="{945DF75E-26F0-4A69-A02C-C1898E44C1A1}" name="2060" dataDxfId="26">
      <calculatedColumnFormula>Inputs!AP185*AP$5</calculatedColumnFormula>
    </tableColumn>
    <tableColumn id="39" xr3:uid="{F574B399-CC26-4A94-B24F-4CFD8B0149CD}" name="2061" dataDxfId="25">
      <calculatedColumnFormula>Inputs!AQ185*AQ$5</calculatedColumnFormula>
    </tableColumn>
    <tableColumn id="40" xr3:uid="{B0BB2DC2-3F91-494A-BD6D-8A4528F8BBE1}" name="2062" dataDxfId="24">
      <calculatedColumnFormula>Inputs!AR185*AR$5</calculatedColumnFormula>
    </tableColumn>
    <tableColumn id="41" xr3:uid="{CF74ECF7-6170-4C03-9697-6633AD90E86D}" name="2063" dataDxfId="23">
      <calculatedColumnFormula>Inputs!AS185*AS$5</calculatedColumnFormula>
    </tableColumn>
    <tableColumn id="42" xr3:uid="{1E3AB4FA-91D1-49C6-8DC6-D60E7F9DDB2C}" name="2064" dataDxfId="22">
      <calculatedColumnFormula>Inputs!AT185*AT$5</calculatedColumnFormula>
    </tableColumn>
    <tableColumn id="43" xr3:uid="{A217C4A7-2D2D-4401-AD9E-383AA3A3C2EC}" name="2065" dataDxfId="21">
      <calculatedColumnFormula>Inputs!AU185*AU$5</calculatedColumnFormula>
    </tableColumn>
    <tableColumn id="44" xr3:uid="{1EFB7808-9864-4839-85EC-C65288BF10B0}" name="2066" dataDxfId="20">
      <calculatedColumnFormula>Inputs!AV185*AV$5</calculatedColumnFormula>
    </tableColumn>
    <tableColumn id="45" xr3:uid="{3D3238A6-5A8A-4E1F-AABC-E08BC946F412}" name="2067" dataDxfId="19">
      <calculatedColumnFormula>Inputs!AW185*AW$5</calculatedColumnFormula>
    </tableColumn>
    <tableColumn id="46" xr3:uid="{290D02EA-82F8-4852-9C08-ED8C6255145E}" name="2068" dataDxfId="18">
      <calculatedColumnFormula>Inputs!AX185*AX$5</calculatedColumnFormula>
    </tableColumn>
    <tableColumn id="47" xr3:uid="{68981A9C-56BF-45F0-8FA4-760FABC0FE77}" name="2069" dataDxfId="17">
      <calculatedColumnFormula>Inputs!AY185*AY$5</calculatedColumnFormula>
    </tableColumn>
    <tableColumn id="48" xr3:uid="{310AF3B9-C0BB-4354-9E15-8AA5EB9C8C6F}" name="2070" dataDxfId="16">
      <calculatedColumnFormula>Inputs!AZ185*AZ$5</calculatedColumnFormula>
    </tableColumn>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D9D739-C4F6-4AD9-9E43-818728E22458}" name="NationalPerspective" displayName="NationalPerspective" ref="A2:C5" totalsRowShown="0" headerRowBorderDxfId="3" tableBorderDxfId="4" totalsRowBorderDxfId="2">
  <autoFilter ref="A2:C5" xr:uid="{EAD9D739-C4F6-4AD9-9E43-818728E22458}"/>
  <tableColumns count="3">
    <tableColumn id="1" xr3:uid="{537402C4-30EB-41A1-9935-F282C16AF915}" name="NPV" dataDxfId="1"/>
    <tableColumn id="2" xr3:uid="{1A8BAC23-213B-4CE1-92BA-81471C04B606}" name="2%"/>
    <tableColumn id="3" xr3:uid="{C969BAED-364B-494D-891C-C7B1E93F6DE6}" name="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AB4C6F-8544-4BC7-B268-C96A5C6EC5C3}" name="PrivatePerspective" displayName="PrivatePerspective" ref="A9:C13" totalsRowShown="0" tableBorderDxfId="0">
  <autoFilter ref="A9:C13" xr:uid="{F8AB4C6F-8544-4BC7-B268-C96A5C6EC5C3}"/>
  <tableColumns count="3">
    <tableColumn id="1" xr3:uid="{E476D2F3-EAFA-4AD5-B869-5A1948589649}" name="Private Returns"/>
    <tableColumn id="2" xr3:uid="{E1E799D6-B317-401E-AD86-DDB008AE0B1C}" name="Pre-tax Nominal"/>
    <tableColumn id="3" xr3:uid="{6164B5CF-A6B8-4565-BAD3-018C28507308}"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2-06-05T20:05:43.99" personId="{8F510751-4C33-41B4-AFD4-28C15096B2E7}" id="{A7D28B31-006B-4DD7-B3B8-D6DEE14F717E}">
    <text>Which regional council or unitary authority, using definitions as per https://www.lgnz.co.nz/regionals/</text>
  </threadedComment>
  <threadedComment ref="A9" dT="2022-06-05T20:05:43.99" personId="{8F510751-4C33-41B4-AFD4-28C15096B2E7}" id="{00785D79-8C39-4750-B93A-43689D21D5E2}">
    <text>The date of submission of the application - together with the expected commissioning date, this is used to calculate the speed of implementation score.</text>
  </threadedComment>
  <threadedComment ref="A10" dT="2022-05-26T20:56:08.98" personId="{8F510751-4C33-41B4-AFD4-28C15096B2E7}" id="{BC8A5110-8E44-4051-B634-1E6F001E07AF}">
    <text>This is the calendar year during which the first expenditure on the Preferred Project occurs.</text>
  </threadedComment>
  <threadedComment ref="A11" dT="2022-05-26T20:56:49.22" personId="{8F510751-4C33-41B4-AFD4-28C15096B2E7}" id="{975BF996-6160-458C-9D3E-874E9928F5F2}">
    <text>This is the date when the project will become operational.</text>
  </threadedComment>
  <threadedComment ref="A19" dT="2022-05-12T22:52:11.20" personId="{8F510751-4C33-41B4-AFD4-28C15096B2E7}" id="{47576FD6-7A28-4D90-B987-2CC838C583DF}">
    <text>Commercial Buildings: please respond with “No”. Commercial space heating is not governed by the RMA rules for industrial process heat.
Industrial: if your project reduces coal consumption, please note that the use of coal to provide industrial process heat is subject to the Resource Management (National Environmental Standards for Greenhouse Gas Emissions from Industrial Process Heat) Regulations 2023 (SL 2023/165) – New Zealand Legislation.</text>
    <extLst>
      <x:ext xmlns:xltc2="http://schemas.microsoft.com/office/spreadsheetml/2020/threadedcomments2" uri="{F7C98A9C-CBB3-438F-8F68-D28B6AF4A901}">
        <xltc2:checksum>3314694119</xltc2:checksum>
        <xltc2:hyperlink startIndex="276" length="169" url="https://www.legislation.govt.nz/regulation/public/2023/0165/latest/whole.html#LMS607159"/>
      </x:ext>
    </extLst>
  </threadedComment>
  <threadedComment ref="A20" dT="2022-05-12T22:52:11.20" personId="{8F510751-4C33-41B4-AFD4-28C15096B2E7}" id="{3FD8E67A-959B-46C4-8DCC-4440936DFF75}">
    <text>With reference to Resource Management (National Environmental Standards for Greenhouse Gas Emissions from Industrial Process Heat) Regulations 2023 (SL 2023/165) – New Zealand Legislation, the only valid project would be one that brought forward the timing of the requirement to phase-out the use of coal for industrial process heat from the start of 2037.</text>
    <extLst>
      <x:ext xmlns:xltc2="http://schemas.microsoft.com/office/spreadsheetml/2020/threadedcomments2" uri="{F7C98A9C-CBB3-438F-8F68-D28B6AF4A901}">
        <xltc2:checksum>2298268634</xltc2:checksum>
        <xltc2:hyperlink startIndex="18" length="169" url="https://www.legislation.govt.nz/regulation/public/2023/0165/latest/whole.html#LMS607159"/>
      </x:ext>
    </extLst>
  </threadedComment>
  <threadedComment ref="B20" dT="2025-02-13T21:54:28.46" personId="{8C79FAAD-2002-4A18-B979-1BF78C048A67}" id="{2E84DEE2-49F1-4CF8-A9F1-A3235642C85B}">
    <text xml:space="preserve">Can this gray out if they select no. </text>
  </threadedComment>
  <threadedComment ref="B20" dT="2025-02-13T21:55:05.14" personId="{8C79FAAD-2002-4A18-B979-1BF78C048A67}" id="{6D9EDA8A-897B-4CFB-91A6-2918949D2182}" parentId="{2E84DEE2-49F1-4CF8-A9F1-A3235642C85B}">
    <text>As in B12</text>
  </threadedComment>
  <threadedComment ref="A21" dT="2022-05-12T22:52:11.20" personId="{8F510751-4C33-41B4-AFD4-28C15096B2E7}" id="{6D05732E-8BB9-4A0B-A27E-553E3E378C3F}">
    <text>Note that high temperature heat pump projects will be evaluated over a maximum lifetime of 20 years. Other projects will be evaluated over a maximum lifetime of up to 25 years.</text>
  </threadedComment>
</ThreadedComments>
</file>

<file path=xl/threadedComments/threadedComment2.xml><?xml version="1.0" encoding="utf-8"?>
<ThreadedComments xmlns="http://schemas.microsoft.com/office/spreadsheetml/2018/threadedcomments" xmlns:x="http://schemas.openxmlformats.org/spreadsheetml/2006/main">
  <threadedComment ref="G14" dT="2022-05-12T23:12:13.77" personId="{8F510751-4C33-41B4-AFD4-28C15096B2E7}" id="{9801518E-64FF-4CBE-A1DC-F0245DB133AB}">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26" dT="2022-05-12T23:12:13.77" personId="{8F510751-4C33-41B4-AFD4-28C15096B2E7}" id="{D68D2717-F572-44A4-807D-0C2863A29A3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39" dT="2022-05-11T21:34:41.57" personId="{8F510751-4C33-41B4-AFD4-28C15096B2E7}" id="{B9AE5672-E3D0-4E52-A06F-CBEAA5CB69E0}">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G40" dT="2022-05-12T23:12:13.77" personId="{8F510751-4C33-41B4-AFD4-28C15096B2E7}" id="{B187C689-E4F0-478E-AA93-20DBE15D78D4}">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52" dT="2022-05-12T23:12:13.77" personId="{8F510751-4C33-41B4-AFD4-28C15096B2E7}" id="{7B034D84-D197-4CCD-BC48-C2660418A64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64" dT="2022-05-12T23:12:13.77" personId="{8F510751-4C33-41B4-AFD4-28C15096B2E7}" id="{29CA0E7A-113A-49AC-A5B9-2A7C94F1B96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77" dT="2022-05-12T23:12:13.77" personId="{8F510751-4C33-41B4-AFD4-28C15096B2E7}" id="{4B95563D-A0EB-4FD6-B7FA-A0073CE9EAE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91" dT="2022-05-12T23:12:13.77" personId="{8F510751-4C33-41B4-AFD4-28C15096B2E7}" id="{6B3DF73A-A7E2-437D-BBF5-EFD2E905AA1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04" dT="2022-05-12T23:12:13.77" personId="{8F510751-4C33-41B4-AFD4-28C15096B2E7}" id="{134AB500-7A13-40D1-AE9F-230168DCBB1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117" dT="2022-05-11T21:33:56.57" personId="{8F510751-4C33-41B4-AFD4-28C15096B2E7}" id="{08B30D32-1AC9-4474-B627-2EB6E21F3DEB}">
    <text>'Fuel'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ext>
  </threadedComment>
  <threadedComment ref="G118" dT="2022-05-12T23:12:13.77" personId="{8F510751-4C33-41B4-AFD4-28C15096B2E7}" id="{B15D0C86-357E-43F5-AAE5-92B41466818E}">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33" dT="2022-05-12T23:12:13.77" personId="{8F510751-4C33-41B4-AFD4-28C15096B2E7}" id="{4715A132-1AAA-4372-9223-24B49E0D5CC8}">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50" dT="2022-05-12T23:12:13.77" personId="{8F510751-4C33-41B4-AFD4-28C15096B2E7}" id="{C625AEBE-BE42-4779-BD2B-F047E6F0DB1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61" dT="2022-05-12T23:12:13.77" personId="{8F510751-4C33-41B4-AFD4-28C15096B2E7}" id="{C4B8366A-7E67-4793-BBDC-7885AFBB0637}">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4" dT="2022-05-12T23:12:13.77" personId="{8F510751-4C33-41B4-AFD4-28C15096B2E7}" id="{39CF5F88-0E0B-4F53-9D76-70B56744FEA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7" dT="2022-05-12T23:12:13.77" personId="{8F510751-4C33-41B4-AFD4-28C15096B2E7}" id="{702DB999-FAF0-48F0-BAE3-0CF46FC0427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81" dT="2022-05-12T23:12:13.77" personId="{8F510751-4C33-41B4-AFD4-28C15096B2E7}" id="{2DF3B7A8-F7FE-42E2-B8EC-E0673788F5D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84" dT="2022-05-12T23:12:13.77" personId="{8F510751-4C33-41B4-AFD4-28C15096B2E7}" id="{AEBE9C18-2C3A-4F51-BA5E-E72A1E8953DD}">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threadedComments/threadedComment3.xml><?xml version="1.0" encoding="utf-8"?>
<ThreadedComments xmlns="http://schemas.microsoft.com/office/spreadsheetml/2018/threadedcomments" xmlns:x="http://schemas.openxmlformats.org/spreadsheetml/2006/main">
  <threadedComment ref="G9" dT="2022-05-12T23:12:13.77" personId="{8F510751-4C33-41B4-AFD4-28C15096B2E7}" id="{EF2D52A9-30B0-43CF-B6B3-6646816A32A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9" dT="2022-05-12T23:12:13.77" personId="{8F510751-4C33-41B4-AFD4-28C15096B2E7}" id="{6A5321F3-4999-464F-899E-ACF57A8D7CA3}">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30" dT="2022-05-11T21:34:41.57" personId="{8F510751-4C33-41B4-AFD4-28C15096B2E7}" id="{FA4950CF-66C2-4222-B0A5-08C273CBBD28}">
    <text>Labour, maintenance, etc.
Do not include any costs associated with the supply of fuel (gas, electricity, coal, etc).  Fuel costs are to be entered in section 2b) below. 
Also do not include financing costs such as interest on loans, tax, or depreciation.  All cashflows should be before interest, tax, and depreciation.</text>
  </threadedComment>
  <threadedComment ref="G31" dT="2022-05-12T23:12:13.77" personId="{8F510751-4C33-41B4-AFD4-28C15096B2E7}" id="{5C5E1B04-8194-4DAF-B213-3E2C5C26BFC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41" dT="2022-05-12T23:12:13.77" personId="{8F510751-4C33-41B4-AFD4-28C15096B2E7}" id="{AF63B22B-EF48-4D4C-81E6-7E5BF669E035}">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E52" dT="2022-06-08T01:53:01.17" personId="{8F510751-4C33-41B4-AFD4-28C15096B2E7}" id="{03546D28-FB51-4264-9912-D4CB2EEDB03C}">
    <text>Use the drop-down menu to specify the type of fuel. Eg, Natural gas, LPG, etc.
Do not type different values, and do not leave a cell blank - i.e. leave as '&lt;Select&gt;' if there is no entry to make</text>
  </threadedComment>
  <threadedComment ref="F52" dT="2022-05-12T00:05:12.84" personId="{8F510751-4C33-41B4-AFD4-28C15096B2E7}" id="{550820E7-1CAA-4EED-AD07-350B2BE7F63C}">
    <text>Use the drop-down menu to specify the units of the fuel projection. Eg, GJ, kg, kWh, litre.
Do not type different values, and do not leave a cell blank - i.e. leave as '&lt;Select&gt;' if there is no entry to make</text>
  </threadedComment>
  <threadedComment ref="G52" dT="2022-05-12T23:12:13.77" personId="{8F510751-4C33-41B4-AFD4-28C15096B2E7}" id="{7C9CACC5-489A-45B8-A1A0-4D5A4A450086}">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65" dT="2022-05-12T23:12:13.77" personId="{8F510751-4C33-41B4-AFD4-28C15096B2E7}" id="{14FCC550-1EC7-4EBC-B59C-8CFA9BBFAD2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79" dT="2022-05-12T23:12:13.77" personId="{8F510751-4C33-41B4-AFD4-28C15096B2E7}" id="{9003105A-0263-4C11-902C-580A729D970A}">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92" dT="2022-05-12T23:12:13.77" personId="{8F510751-4C33-41B4-AFD4-28C15096B2E7}" id="{56DFB85B-75CB-4DAC-AD91-7161B6BD1C88}">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A105" dT="2022-05-11T21:33:56.57" personId="{8F510751-4C33-41B4-AFD4-28C15096B2E7}" id="{6A92E070-CA19-4ED2-B31F-0165B5D508F6}">
    <text>'Fuel' includes any electricity supply costs (energy and network)
Do not include the expected increased cost of fuel due to the price of carbon in the ETS.  This will be calculated automatically based on the quantity of fuel consumed you project in section 3), combined with your expectations of future ETS carbon prices you input in section C) in the In_Out sheet.
Use the drop-down menu to specify the type of fuel cost. Eg, 'LPG', 'Electricity - Network only', etc.
Do not type different values, and do not leave a cell blank - i.e. leave as '&lt;Select&gt;' if there is no entry to make</text>
  </threadedComment>
  <threadedComment ref="G106" dT="2022-05-12T23:12:13.77" personId="{8F510751-4C33-41B4-AFD4-28C15096B2E7}" id="{A8D9480C-8D67-459B-9031-3518A56FBF5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20" dT="2022-05-12T23:12:13.77" personId="{8F510751-4C33-41B4-AFD4-28C15096B2E7}" id="{5BF1CD45-FA60-47B3-AB3D-6DE4909A103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35" dT="2022-05-12T23:12:13.77" personId="{8F510751-4C33-41B4-AFD4-28C15096B2E7}" id="{CC565FF2-799D-4A86-A78E-71BD9C4F0009}">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46" dT="2022-05-12T23:12:13.77" personId="{8F510751-4C33-41B4-AFD4-28C15096B2E7}" id="{F6EB6B97-1FB0-4248-90E6-486303D69EC2}">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60" dT="2022-05-12T23:12:13.77" personId="{8F510751-4C33-41B4-AFD4-28C15096B2E7}" id="{DDA9CE3A-F1B6-4335-9655-5EB84717868E}">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63" dT="2022-05-12T23:12:13.77" personId="{8F510751-4C33-41B4-AFD4-28C15096B2E7}" id="{5E130C58-3E68-4EFA-A534-4713BD9DBD81}">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67" dT="2022-05-12T23:12:13.77" personId="{8F510751-4C33-41B4-AFD4-28C15096B2E7}" id="{CECF92D3-3F1C-479D-851D-4C58C04F442F}">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 ref="G170" dT="2022-05-12T23:12:13.77" personId="{8F510751-4C33-41B4-AFD4-28C15096B2E7}" id="{45475DB8-697E-4417-8771-0D409F7F79DC}">
    <text>Use the cells in this column to enter any notes relating to a particular line item you think may be useful for EECA's evaluation team.  It is perfectly acceptable for these note cells to be left blank if you feel that no explanation is required.</text>
  </threadedComment>
</ThreadedComments>
</file>

<file path=xl/threadedComments/threadedComment4.xml><?xml version="1.0" encoding="utf-8"?>
<ThreadedComments xmlns="http://schemas.microsoft.com/office/spreadsheetml/2018/threadedcomments" xmlns:x="http://schemas.openxmlformats.org/spreadsheetml/2006/main">
  <threadedComment ref="Y38" dT="2022-05-11T22:54:56.70" personId="{8F510751-4C33-41B4-AFD4-28C15096B2E7}" id="{86C3538E-1EEF-4C67-A42D-874D9E6E3158}">
    <text>This is the heat energy of any geothermal fluid supplied for heating purposes</text>
  </threadedComment>
  <threadedComment ref="L39" dT="2022-05-11T22:15:59.51" personId="{8F510751-4C33-41B4-AFD4-28C15096B2E7}" id="{6531E5A3-D977-4342-9AA3-A69A17E80FB6}">
    <text>Except where specified in individual comments, source is https://environment.govt.nz/assets/Publications/Files/Measuring-Emissions-Detailed-Guide-2020.pdf</text>
  </threadedComment>
  <threadedComment ref="M39" dT="2022-05-20T01:44:02.05" personId="{8F510751-4C33-41B4-AFD4-28C15096B2E7}" id="{B4A32415-5764-45EB-AD5C-97B1BEE7D236}">
    <text>Source: https://ccc-production-media.s3.ap-southeast-2.amazonaws.com/public/Inaia-tonu-nei-a-low-emissions-future-for-Aotearoa/Modelling-files/Scenarios-dataset-2021-final-advice.xlsx 
plus 8.7% (p38 of main ref)</text>
  </threadedComment>
  <threadedComment ref="N39" dT="2022-05-20T01:56:07.88" personId="{8F510751-4C33-41B4-AFD4-28C15096B2E7}" id="{167B9849-D009-4A78-8991-B073CE0FEEFB}">
    <text>P25 of main reference, plus calculation of diesel emissions from transporting fuel an assumed 40 km</text>
  </threadedComment>
  <threadedComment ref="O39" dT="2022-05-20T01:56:07.88" personId="{8F510751-4C33-41B4-AFD4-28C15096B2E7}" id="{CFB8BE23-95AE-4FF2-9F3F-50709409408B}">
    <text>P25 of main reference, plus calculation of diesel emissions from transporting fuel an assumed 40 km</text>
  </threadedComment>
  <threadedComment ref="P39" dT="2022-05-20T01:56:07.88" personId="{8F510751-4C33-41B4-AFD4-28C15096B2E7}" id="{EF65AA4A-3671-42FD-A434-E2B630FD6C77}">
    <text>P25 of main reference, plus calculation of diesel emissions from transporting fuel an assumed 40 km</text>
  </threadedComment>
  <threadedComment ref="Q39" dT="2022-05-20T01:56:07.88" personId="{8F510751-4C33-41B4-AFD4-28C15096B2E7}" id="{1A888713-7C0C-4F24-8555-599B24BC82CC}">
    <text>P21 of main reference, plus calculation of diesel emissions from transporting fuel an assumed 40 km</text>
  </threadedComment>
  <threadedComment ref="R39" dT="2022-05-20T01:56:07.88" personId="{8F510751-4C33-41B4-AFD4-28C15096B2E7}" id="{5D74B269-0E75-460E-811D-2577B109223E}">
    <text>P21 of main reference, plus calculation of diesel emissions from transporting fuel an assumed 40 km</text>
  </threadedComment>
  <threadedComment ref="S39" dT="2022-05-20T01:56:07.88" personId="{8F510751-4C33-41B4-AFD4-28C15096B2E7}" id="{B828C2D3-542D-4F0E-AF03-44D1898FFD34}">
    <text>P21 of main reference, plus calculation of diesel emissions from transporting fuel an assumed 40 km</text>
  </threadedComment>
  <threadedComment ref="T39" dT="2022-05-20T01:56:07.88" personId="{8F510751-4C33-41B4-AFD4-28C15096B2E7}" id="{DC26CC8D-6736-447F-A054-D03E25CB5569}">
    <text>P21 of main reference</text>
  </threadedComment>
  <threadedComment ref="U39" dT="2022-05-20T01:56:07.88" personId="{8F510751-4C33-41B4-AFD4-28C15096B2E7}" id="{CD8F07B3-2A6F-4731-B781-48EB2A0F870B}">
    <text>P21 of main reference</text>
  </threadedComment>
  <threadedComment ref="V39" dT="2022-05-20T01:56:07.88" personId="{8F510751-4C33-41B4-AFD4-28C15096B2E7}" id="{900A7E29-2CFF-4E71-AE2A-723182E96062}">
    <text>P21 of main reference</text>
  </threadedComment>
  <threadedComment ref="W39" dT="2022-05-20T01:56:07.88" personId="{8F510751-4C33-41B4-AFD4-28C15096B2E7}" id="{D5E705CF-C5ED-411B-8D0B-A9F9D61ED095}">
    <text>P21 of main reference</text>
  </threadedComment>
  <threadedComment ref="X39" dT="2022-05-20T01:56:07.88" personId="{8F510751-4C33-41B4-AFD4-28C15096B2E7}" id="{8EF197ED-9D51-40C6-ABB0-8A9F948F7151}">
    <text>P21 and P27 of main reference</text>
  </threadedComment>
  <threadedComment ref="Y39" dT="2022-05-20T01:58:03.31" personId="{8F510751-4C33-41B4-AFD4-28C15096B2E7}" id="{DA7CA15B-8342-45B6-A5F7-31FAAA2E2CB8}">
    <text>Source: https://www.nzgeothermal.org.nz/geothermal-in-nz/what-is-geothermal/#:~:text=The%20IPCC%20life%2Dcycle%20(LCA,)%2FkWh%20from%20operation%20only.</text>
  </threadedComment>
  <threadedComment ref="L40" dT="2022-05-11T22:17:57.61" personId="{8F510751-4C33-41B4-AFD4-28C15096B2E7}" id="{AFA38859-378E-4A64-9C12-3B734D70E71C}">
    <text>Coal from different mines can have differing CO2 emissions, as can geothermal fluid from different fields.  Likewise, depending on distance from source and nature of supply, wood can have different emissions factors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comments" Target="../comments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vmlDrawing" Target="../drawings/vmlDrawing3.v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19" Type="http://schemas.microsoft.com/office/2017/10/relationships/threadedComment" Target="../threadedComments/threadedComment3.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57B42-159F-4E48-A092-7BB3F687B955}">
  <dimension ref="A1:W25"/>
  <sheetViews>
    <sheetView workbookViewId="0"/>
  </sheetViews>
  <sheetFormatPr defaultRowHeight="15" x14ac:dyDescent="0.25"/>
  <sheetData>
    <row r="1" spans="1:23" x14ac:dyDescent="0.25">
      <c r="A1" s="202"/>
      <c r="B1" s="202"/>
      <c r="C1" s="202"/>
      <c r="D1" s="202"/>
      <c r="E1" s="202"/>
      <c r="F1" s="202"/>
      <c r="G1" s="202"/>
      <c r="H1" s="202"/>
      <c r="I1" s="202"/>
      <c r="J1" s="202"/>
      <c r="K1" s="202"/>
      <c r="L1" s="202"/>
      <c r="M1" s="202"/>
      <c r="N1" s="202"/>
      <c r="O1" s="202"/>
      <c r="P1" s="202"/>
      <c r="Q1" s="202"/>
      <c r="R1" s="202"/>
      <c r="S1" s="202"/>
      <c r="T1" s="202"/>
      <c r="U1" s="202"/>
      <c r="V1" s="202"/>
      <c r="W1" s="202"/>
    </row>
    <row r="2" spans="1:23" x14ac:dyDescent="0.25">
      <c r="A2" s="202" t="s">
        <v>0</v>
      </c>
      <c r="B2" s="202"/>
      <c r="C2" s="202"/>
      <c r="D2" s="202"/>
      <c r="E2" s="202"/>
      <c r="F2" s="202"/>
      <c r="G2" s="202"/>
      <c r="H2" s="202"/>
      <c r="I2" s="202"/>
      <c r="J2" s="202"/>
      <c r="K2" s="202"/>
      <c r="L2" s="202"/>
      <c r="M2" s="202"/>
      <c r="N2" s="202"/>
      <c r="O2" s="202"/>
      <c r="P2" s="202"/>
      <c r="Q2" s="202"/>
      <c r="R2" s="202"/>
      <c r="S2" s="202"/>
      <c r="T2" s="202"/>
      <c r="U2" s="202"/>
      <c r="V2" s="202"/>
      <c r="W2" s="202"/>
    </row>
    <row r="3" spans="1:23" x14ac:dyDescent="0.25">
      <c r="A3" s="221" t="s">
        <v>1</v>
      </c>
      <c r="B3" s="202"/>
      <c r="C3" s="202"/>
      <c r="D3" s="202"/>
      <c r="E3" s="202"/>
      <c r="F3" s="202"/>
      <c r="G3" s="202"/>
      <c r="H3" s="202"/>
      <c r="I3" s="202"/>
      <c r="J3" s="202"/>
      <c r="K3" s="202"/>
      <c r="L3" s="202"/>
      <c r="M3" s="202"/>
      <c r="N3" s="202"/>
      <c r="O3" s="202"/>
      <c r="P3" s="202"/>
      <c r="Q3" s="202"/>
      <c r="R3" s="202"/>
      <c r="S3" s="202"/>
      <c r="T3" s="202"/>
      <c r="U3" s="202"/>
      <c r="V3" s="202"/>
      <c r="W3" s="202"/>
    </row>
    <row r="4" spans="1:23" x14ac:dyDescent="0.25">
      <c r="A4" s="221"/>
      <c r="B4" s="202"/>
      <c r="C4" s="202"/>
      <c r="D4" s="202"/>
      <c r="E4" s="202"/>
      <c r="F4" s="202"/>
      <c r="G4" s="202"/>
      <c r="H4" s="202"/>
      <c r="I4" s="202"/>
      <c r="J4" s="202"/>
      <c r="K4" s="202"/>
      <c r="L4" s="202"/>
      <c r="M4" s="202"/>
      <c r="N4" s="202"/>
      <c r="O4" s="202"/>
      <c r="P4" s="202"/>
      <c r="Q4" s="202"/>
      <c r="R4" s="202"/>
      <c r="S4" s="202"/>
      <c r="T4" s="202"/>
      <c r="U4" s="202"/>
      <c r="V4" s="202"/>
      <c r="W4" s="202"/>
    </row>
    <row r="5" spans="1:23" x14ac:dyDescent="0.25">
      <c r="A5" s="202" t="s">
        <v>2</v>
      </c>
      <c r="B5" s="202"/>
      <c r="C5" s="202"/>
      <c r="D5" s="202"/>
      <c r="E5" s="202"/>
      <c r="F5" s="202"/>
      <c r="G5" s="202"/>
      <c r="H5" s="202"/>
      <c r="I5" s="202"/>
      <c r="J5" s="202"/>
      <c r="K5" s="202"/>
      <c r="L5" s="202"/>
      <c r="M5" s="202"/>
      <c r="N5" s="202"/>
      <c r="O5" s="202"/>
      <c r="P5" s="202"/>
      <c r="Q5" s="202"/>
      <c r="R5" s="202"/>
      <c r="S5" s="202"/>
      <c r="T5" s="202"/>
      <c r="U5" s="202"/>
      <c r="V5" s="202"/>
      <c r="W5" s="202"/>
    </row>
    <row r="6" spans="1:23" x14ac:dyDescent="0.25">
      <c r="A6" s="223" t="s">
        <v>3</v>
      </c>
      <c r="B6" s="202"/>
      <c r="C6" s="202"/>
      <c r="D6" s="202"/>
      <c r="E6" s="202"/>
      <c r="F6" s="202"/>
      <c r="G6" s="202"/>
      <c r="H6" s="202"/>
      <c r="I6" s="202"/>
      <c r="J6" s="202"/>
      <c r="K6" s="202"/>
      <c r="L6" s="202"/>
      <c r="M6" s="202"/>
      <c r="N6" s="202"/>
      <c r="O6" s="202"/>
      <c r="P6" s="202"/>
      <c r="Q6" s="202"/>
      <c r="R6" s="202"/>
      <c r="S6" s="202"/>
      <c r="T6" s="202"/>
      <c r="U6" s="202"/>
      <c r="V6" s="202"/>
      <c r="W6" s="202"/>
    </row>
    <row r="7" spans="1:23" x14ac:dyDescent="0.25">
      <c r="A7" s="202"/>
      <c r="B7" s="202"/>
      <c r="C7" s="202"/>
      <c r="D7" s="202"/>
      <c r="E7" s="202"/>
      <c r="F7" s="202"/>
      <c r="G7" s="202"/>
      <c r="H7" s="202"/>
      <c r="I7" s="202"/>
      <c r="J7" s="202"/>
      <c r="K7" s="202"/>
      <c r="L7" s="202"/>
      <c r="M7" s="202"/>
      <c r="N7" s="202"/>
      <c r="O7" s="202"/>
      <c r="P7" s="202"/>
      <c r="Q7" s="202"/>
      <c r="R7" s="202"/>
      <c r="S7" s="202"/>
      <c r="T7" s="202"/>
      <c r="U7" s="202"/>
      <c r="V7" s="202"/>
      <c r="W7" s="202"/>
    </row>
    <row r="8" spans="1:23" x14ac:dyDescent="0.25">
      <c r="A8" s="222" t="s">
        <v>4</v>
      </c>
      <c r="B8" s="202"/>
      <c r="C8" s="202"/>
      <c r="D8" s="202"/>
      <c r="E8" s="202"/>
      <c r="F8" s="202"/>
      <c r="G8" s="202"/>
      <c r="H8" s="202"/>
      <c r="I8" s="202"/>
      <c r="J8" s="202"/>
      <c r="K8" s="202"/>
      <c r="L8" s="202"/>
      <c r="M8" s="202"/>
      <c r="N8" s="202"/>
      <c r="O8" s="202"/>
      <c r="P8" s="202"/>
      <c r="Q8" s="202"/>
      <c r="R8" s="202"/>
      <c r="S8" s="202"/>
      <c r="T8" s="202"/>
      <c r="U8" s="202"/>
      <c r="V8" s="202"/>
      <c r="W8" s="202"/>
    </row>
    <row r="9" spans="1:23" x14ac:dyDescent="0.25">
      <c r="A9" s="222" t="s">
        <v>5</v>
      </c>
      <c r="B9" s="202"/>
      <c r="C9" s="202"/>
      <c r="D9" s="202"/>
      <c r="E9" s="202"/>
      <c r="F9" s="202"/>
      <c r="G9" s="202"/>
      <c r="H9" s="202"/>
      <c r="I9" s="202"/>
      <c r="J9" s="202"/>
      <c r="K9" s="202"/>
      <c r="L9" s="202"/>
      <c r="M9" s="202"/>
      <c r="N9" s="202"/>
      <c r="O9" s="202"/>
      <c r="P9" s="202"/>
      <c r="Q9" s="202"/>
      <c r="R9" s="202"/>
      <c r="S9" s="202"/>
      <c r="T9" s="202"/>
      <c r="U9" s="202"/>
      <c r="V9" s="202"/>
      <c r="W9" s="202"/>
    </row>
    <row r="10" spans="1:23" x14ac:dyDescent="0.25">
      <c r="A10" s="222" t="s">
        <v>6</v>
      </c>
      <c r="B10" s="202"/>
      <c r="C10" s="202"/>
      <c r="D10" s="202"/>
      <c r="E10" s="202"/>
      <c r="F10" s="202"/>
      <c r="G10" s="202"/>
      <c r="H10" s="202"/>
      <c r="I10" s="202"/>
      <c r="J10" s="202"/>
      <c r="K10" s="202"/>
      <c r="L10" s="202"/>
      <c r="M10" s="202"/>
      <c r="N10" s="202"/>
      <c r="O10" s="202"/>
      <c r="P10" s="202"/>
      <c r="Q10" s="202"/>
      <c r="R10" s="202"/>
      <c r="S10" s="202"/>
      <c r="T10" s="202"/>
      <c r="U10" s="202"/>
      <c r="V10" s="202"/>
      <c r="W10" s="202"/>
    </row>
    <row r="11" spans="1:23" x14ac:dyDescent="0.25">
      <c r="A11" s="202"/>
      <c r="B11" s="202"/>
      <c r="C11" s="202"/>
      <c r="D11" s="202"/>
      <c r="E11" s="202"/>
      <c r="F11" s="202"/>
      <c r="G11" s="202"/>
      <c r="H11" s="202"/>
      <c r="I11" s="202"/>
      <c r="J11" s="202"/>
      <c r="K11" s="202"/>
      <c r="L11" s="202"/>
      <c r="M11" s="202"/>
      <c r="N11" s="202"/>
      <c r="O11" s="202"/>
      <c r="P11" s="202"/>
      <c r="Q11" s="202"/>
      <c r="R11" s="202"/>
      <c r="S11" s="202"/>
      <c r="T11" s="202"/>
      <c r="U11" s="202"/>
      <c r="V11" s="202"/>
      <c r="W11" s="202"/>
    </row>
    <row r="12" spans="1:23" x14ac:dyDescent="0.25">
      <c r="A12" s="202"/>
      <c r="B12" s="202"/>
      <c r="C12" s="202"/>
      <c r="D12" s="202"/>
      <c r="E12" s="202"/>
      <c r="F12" s="202"/>
      <c r="G12" s="202"/>
      <c r="H12" s="202"/>
      <c r="I12" s="202"/>
      <c r="J12" s="202"/>
      <c r="K12" s="202"/>
      <c r="L12" s="202"/>
      <c r="M12" s="202"/>
      <c r="N12" s="202"/>
      <c r="O12" s="202"/>
      <c r="P12" s="202"/>
      <c r="Q12" s="202"/>
      <c r="R12" s="202"/>
      <c r="S12" s="202"/>
      <c r="T12" s="202"/>
      <c r="U12" s="202"/>
      <c r="V12" s="202"/>
      <c r="W12" s="202"/>
    </row>
    <row r="13" spans="1:23" x14ac:dyDescent="0.25">
      <c r="A13" s="202"/>
      <c r="B13" s="202"/>
      <c r="C13" s="202"/>
      <c r="D13" s="202"/>
      <c r="E13" s="202"/>
      <c r="F13" s="202"/>
      <c r="G13" s="202"/>
      <c r="H13" s="202"/>
      <c r="I13" s="202"/>
      <c r="J13" s="202"/>
      <c r="K13" s="202"/>
      <c r="L13" s="202"/>
      <c r="M13" s="202"/>
      <c r="N13" s="202"/>
      <c r="O13" s="202"/>
      <c r="P13" s="202"/>
      <c r="Q13" s="202"/>
      <c r="R13" s="202"/>
      <c r="S13" s="202"/>
      <c r="T13" s="202"/>
      <c r="U13" s="202"/>
      <c r="V13" s="202"/>
      <c r="W13" s="202"/>
    </row>
    <row r="14" spans="1:23" x14ac:dyDescent="0.25">
      <c r="A14" s="202"/>
      <c r="B14" s="202"/>
      <c r="C14" s="202"/>
      <c r="D14" s="202"/>
      <c r="E14" s="202"/>
      <c r="F14" s="202"/>
      <c r="G14" s="202"/>
      <c r="H14" s="202"/>
      <c r="I14" s="202"/>
      <c r="J14" s="202"/>
      <c r="K14" s="202"/>
      <c r="L14" s="202"/>
      <c r="M14" s="202"/>
      <c r="N14" s="202"/>
      <c r="O14" s="202"/>
      <c r="P14" s="202"/>
      <c r="Q14" s="202"/>
      <c r="R14" s="202"/>
      <c r="S14" s="202"/>
      <c r="T14" s="202"/>
      <c r="U14" s="202"/>
      <c r="V14" s="202"/>
      <c r="W14" s="202"/>
    </row>
    <row r="15" spans="1:23" x14ac:dyDescent="0.25">
      <c r="A15" s="202"/>
      <c r="B15" s="202"/>
      <c r="C15" s="202"/>
      <c r="D15" s="202"/>
      <c r="E15" s="202"/>
      <c r="F15" s="202"/>
      <c r="G15" s="202"/>
      <c r="H15" s="202"/>
      <c r="I15" s="202"/>
      <c r="J15" s="202"/>
      <c r="K15" s="202"/>
      <c r="L15" s="202"/>
      <c r="M15" s="202"/>
      <c r="N15" s="202"/>
      <c r="O15" s="202"/>
      <c r="P15" s="202"/>
      <c r="Q15" s="202"/>
      <c r="R15" s="202"/>
      <c r="S15" s="202"/>
      <c r="T15" s="202"/>
      <c r="U15" s="202"/>
      <c r="V15" s="202"/>
      <c r="W15" s="202"/>
    </row>
    <row r="16" spans="1:23" x14ac:dyDescent="0.25">
      <c r="A16" s="202"/>
      <c r="B16" s="202"/>
      <c r="C16" s="202"/>
      <c r="D16" s="202"/>
      <c r="E16" s="202"/>
      <c r="F16" s="202"/>
      <c r="G16" s="202"/>
      <c r="H16" s="202"/>
      <c r="I16" s="202"/>
      <c r="J16" s="202"/>
      <c r="K16" s="202"/>
      <c r="L16" s="202"/>
      <c r="M16" s="202"/>
      <c r="N16" s="202"/>
      <c r="O16" s="202"/>
      <c r="P16" s="202"/>
      <c r="Q16" s="202"/>
      <c r="R16" s="202"/>
      <c r="S16" s="202"/>
      <c r="T16" s="202"/>
      <c r="U16" s="202"/>
      <c r="V16" s="202"/>
      <c r="W16" s="202"/>
    </row>
    <row r="17" spans="1:23" x14ac:dyDescent="0.25">
      <c r="A17" s="202"/>
      <c r="B17" s="202"/>
      <c r="C17" s="202"/>
      <c r="D17" s="202"/>
      <c r="E17" s="202"/>
      <c r="F17" s="202"/>
      <c r="G17" s="202"/>
      <c r="H17" s="202"/>
      <c r="I17" s="202"/>
      <c r="J17" s="202"/>
      <c r="K17" s="202"/>
      <c r="L17" s="202"/>
      <c r="M17" s="202"/>
      <c r="N17" s="202"/>
      <c r="O17" s="202"/>
      <c r="P17" s="202"/>
      <c r="Q17" s="202"/>
      <c r="R17" s="202"/>
      <c r="S17" s="202"/>
      <c r="T17" s="202"/>
      <c r="U17" s="202"/>
      <c r="V17" s="202"/>
      <c r="W17" s="202"/>
    </row>
    <row r="18" spans="1:23" x14ac:dyDescent="0.25">
      <c r="A18" s="202"/>
      <c r="B18" s="202"/>
      <c r="C18" s="202"/>
      <c r="D18" s="202"/>
      <c r="E18" s="202"/>
      <c r="F18" s="202"/>
      <c r="G18" s="202"/>
      <c r="H18" s="202"/>
      <c r="I18" s="202"/>
      <c r="J18" s="202"/>
      <c r="K18" s="202"/>
      <c r="L18" s="202"/>
      <c r="M18" s="202"/>
      <c r="N18" s="202"/>
      <c r="O18" s="202"/>
      <c r="P18" s="202"/>
      <c r="Q18" s="202"/>
      <c r="R18" s="202"/>
      <c r="S18" s="202"/>
      <c r="T18" s="202"/>
      <c r="U18" s="202"/>
      <c r="V18" s="202"/>
      <c r="W18" s="202"/>
    </row>
    <row r="19" spans="1:23" x14ac:dyDescent="0.25">
      <c r="A19" s="202"/>
      <c r="B19" s="202"/>
      <c r="C19" s="202"/>
      <c r="D19" s="202"/>
      <c r="E19" s="202"/>
      <c r="F19" s="202"/>
      <c r="G19" s="202"/>
      <c r="H19" s="202"/>
      <c r="I19" s="202"/>
      <c r="J19" s="202"/>
      <c r="K19" s="202"/>
      <c r="L19" s="202"/>
      <c r="M19" s="202"/>
      <c r="N19" s="202"/>
      <c r="O19" s="202"/>
      <c r="P19" s="202"/>
      <c r="Q19" s="202"/>
      <c r="R19" s="202"/>
      <c r="S19" s="202"/>
      <c r="T19" s="202"/>
      <c r="U19" s="202"/>
      <c r="V19" s="202"/>
      <c r="W19" s="202"/>
    </row>
    <row r="20" spans="1:23" x14ac:dyDescent="0.25">
      <c r="A20" s="202"/>
      <c r="B20" s="202"/>
      <c r="C20" s="202"/>
      <c r="D20" s="202"/>
      <c r="E20" s="202"/>
      <c r="F20" s="202"/>
      <c r="G20" s="202"/>
      <c r="H20" s="202"/>
      <c r="I20" s="202"/>
      <c r="J20" s="202"/>
      <c r="K20" s="202"/>
      <c r="L20" s="202"/>
      <c r="M20" s="202"/>
      <c r="N20" s="202"/>
      <c r="O20" s="202"/>
      <c r="P20" s="202"/>
      <c r="Q20" s="202"/>
      <c r="R20" s="202"/>
      <c r="S20" s="202"/>
      <c r="T20" s="202"/>
      <c r="U20" s="202"/>
      <c r="V20" s="202"/>
      <c r="W20" s="202"/>
    </row>
    <row r="21" spans="1:23" x14ac:dyDescent="0.25">
      <c r="A21" s="202"/>
      <c r="B21" s="202"/>
      <c r="C21" s="202"/>
      <c r="D21" s="202"/>
      <c r="E21" s="202"/>
      <c r="F21" s="202"/>
      <c r="G21" s="202"/>
      <c r="H21" s="202"/>
      <c r="I21" s="202"/>
      <c r="J21" s="202"/>
      <c r="K21" s="202"/>
      <c r="L21" s="202"/>
      <c r="M21" s="202"/>
      <c r="N21" s="202"/>
      <c r="O21" s="202"/>
      <c r="P21" s="202"/>
      <c r="Q21" s="202"/>
      <c r="R21" s="202"/>
      <c r="S21" s="202"/>
      <c r="T21" s="202"/>
      <c r="U21" s="202"/>
      <c r="V21" s="202"/>
      <c r="W21" s="202"/>
    </row>
    <row r="22" spans="1:23" x14ac:dyDescent="0.25">
      <c r="A22" s="202"/>
      <c r="B22" s="202"/>
      <c r="C22" s="202"/>
      <c r="D22" s="202"/>
      <c r="E22" s="202"/>
      <c r="F22" s="202"/>
      <c r="G22" s="202"/>
      <c r="H22" s="202"/>
      <c r="I22" s="202"/>
      <c r="J22" s="202"/>
      <c r="K22" s="202"/>
      <c r="L22" s="202"/>
      <c r="M22" s="202"/>
      <c r="N22" s="202"/>
      <c r="O22" s="202"/>
      <c r="P22" s="202"/>
      <c r="Q22" s="202"/>
      <c r="R22" s="202"/>
      <c r="S22" s="202"/>
      <c r="T22" s="202"/>
      <c r="U22" s="202"/>
      <c r="V22" s="202"/>
      <c r="W22" s="202"/>
    </row>
    <row r="23" spans="1:23" x14ac:dyDescent="0.25">
      <c r="A23" s="202"/>
      <c r="B23" s="202"/>
      <c r="C23" s="202"/>
      <c r="D23" s="202"/>
      <c r="E23" s="202"/>
      <c r="F23" s="202"/>
      <c r="G23" s="202"/>
      <c r="H23" s="202"/>
      <c r="I23" s="202"/>
      <c r="J23" s="202"/>
      <c r="K23" s="202"/>
      <c r="L23" s="202"/>
      <c r="M23" s="202"/>
      <c r="N23" s="202"/>
      <c r="O23" s="202"/>
      <c r="P23" s="202"/>
      <c r="Q23" s="202"/>
      <c r="R23" s="202"/>
      <c r="S23" s="202"/>
      <c r="T23" s="202"/>
      <c r="U23" s="202"/>
      <c r="V23" s="202"/>
      <c r="W23" s="202"/>
    </row>
    <row r="24" spans="1:23" x14ac:dyDescent="0.25">
      <c r="A24" s="202"/>
      <c r="B24" s="202"/>
      <c r="C24" s="202"/>
      <c r="D24" s="202"/>
      <c r="E24" s="202"/>
      <c r="F24" s="202"/>
      <c r="G24" s="202"/>
      <c r="H24" s="202"/>
      <c r="I24" s="202"/>
      <c r="J24" s="202"/>
      <c r="K24" s="202"/>
      <c r="L24" s="202"/>
      <c r="M24" s="202"/>
      <c r="N24" s="202"/>
      <c r="O24" s="202"/>
      <c r="P24" s="202"/>
      <c r="Q24" s="202"/>
      <c r="R24" s="202"/>
      <c r="S24" s="202"/>
      <c r="T24" s="202"/>
      <c r="U24" s="202"/>
      <c r="V24" s="202"/>
      <c r="W24" s="202"/>
    </row>
    <row r="25" spans="1:23" x14ac:dyDescent="0.25">
      <c r="A25" s="202"/>
      <c r="B25" s="202"/>
      <c r="C25" s="202"/>
      <c r="D25" s="202"/>
      <c r="E25" s="202"/>
      <c r="F25" s="202"/>
      <c r="G25" s="202"/>
      <c r="H25" s="202"/>
      <c r="I25" s="202"/>
      <c r="J25" s="202"/>
      <c r="K25" s="202"/>
      <c r="L25" s="202"/>
      <c r="M25" s="202"/>
      <c r="N25" s="202"/>
      <c r="O25" s="202"/>
      <c r="P25" s="202"/>
      <c r="Q25" s="202"/>
      <c r="R25" s="202"/>
      <c r="S25" s="202"/>
      <c r="T25" s="202"/>
      <c r="U25" s="202"/>
      <c r="V25" s="202"/>
      <c r="W25" s="20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E49D-9CDE-4115-A66C-0112CA6723FB}">
  <sheetPr codeName="Sheet1">
    <tabColor theme="4"/>
  </sheetPr>
  <dimension ref="A1:AE30"/>
  <sheetViews>
    <sheetView workbookViewId="0">
      <selection activeCell="A27" sqref="A27"/>
    </sheetView>
  </sheetViews>
  <sheetFormatPr defaultRowHeight="15" x14ac:dyDescent="0.25"/>
  <cols>
    <col min="1" max="1" width="73.42578125" bestFit="1" customWidth="1"/>
    <col min="2" max="2" width="36.140625" customWidth="1"/>
    <col min="3" max="3" width="21.140625" bestFit="1" customWidth="1"/>
    <col min="4" max="4" width="10.42578125" bestFit="1" customWidth="1"/>
    <col min="5" max="5" width="55.42578125" bestFit="1" customWidth="1"/>
    <col min="6" max="6" width="28.5703125" bestFit="1" customWidth="1"/>
  </cols>
  <sheetData>
    <row r="1" spans="1:31" ht="18.75" x14ac:dyDescent="0.3">
      <c r="A1" s="1" t="s">
        <v>7</v>
      </c>
      <c r="B1" s="2"/>
      <c r="C1" s="2"/>
      <c r="D1" s="2"/>
      <c r="E1" s="4"/>
      <c r="F1" s="4"/>
      <c r="G1" s="4"/>
      <c r="H1" s="4"/>
      <c r="I1" s="4"/>
      <c r="J1" s="4"/>
      <c r="K1" s="4"/>
      <c r="L1" s="4"/>
      <c r="M1" s="4"/>
      <c r="N1" s="4"/>
      <c r="O1" s="4"/>
      <c r="P1" s="4"/>
      <c r="Q1" s="4"/>
      <c r="R1" s="4"/>
      <c r="S1" s="2"/>
      <c r="T1" s="2"/>
      <c r="U1" s="2"/>
      <c r="V1" s="2"/>
      <c r="W1" s="2"/>
      <c r="X1" s="2"/>
      <c r="Y1" s="2"/>
      <c r="Z1" s="2"/>
      <c r="AA1" s="2"/>
      <c r="AB1" s="2"/>
      <c r="AC1" s="2"/>
      <c r="AD1" s="2"/>
      <c r="AE1" s="2"/>
    </row>
    <row r="2" spans="1:31" x14ac:dyDescent="0.25">
      <c r="A2" s="3" t="s">
        <v>8</v>
      </c>
      <c r="B2" s="7" t="s">
        <v>9</v>
      </c>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28" t="s">
        <v>316</v>
      </c>
      <c r="B3" s="28" t="s">
        <v>317</v>
      </c>
      <c r="C3" s="28" t="s">
        <v>318</v>
      </c>
      <c r="D3" s="4"/>
      <c r="E3" s="4"/>
      <c r="F3" s="4"/>
      <c r="G3" s="4"/>
      <c r="H3" s="4"/>
      <c r="I3" s="4"/>
      <c r="J3" s="4"/>
      <c r="K3" s="4"/>
      <c r="L3" s="4"/>
      <c r="M3" s="4"/>
      <c r="N3" s="4"/>
      <c r="O3" s="4"/>
      <c r="P3" s="4"/>
      <c r="Q3" s="4"/>
      <c r="R3" s="4"/>
      <c r="S3" s="4"/>
      <c r="T3" s="4"/>
      <c r="U3" s="4"/>
      <c r="V3" s="4"/>
      <c r="W3" s="4"/>
      <c r="X3" s="4"/>
      <c r="Y3" s="4"/>
      <c r="Z3" s="4"/>
      <c r="AA3" s="4"/>
      <c r="AB3" s="4"/>
      <c r="AC3" s="4"/>
      <c r="AD3" s="4"/>
      <c r="AE3" s="4"/>
    </row>
    <row r="4" spans="1:31" x14ac:dyDescent="0.25">
      <c r="A4" s="6" t="s">
        <v>320</v>
      </c>
      <c r="B4" s="96" t="s">
        <v>321</v>
      </c>
      <c r="C4" s="28"/>
      <c r="D4" s="4"/>
      <c r="E4" s="4"/>
      <c r="F4" s="4"/>
      <c r="G4" s="4"/>
      <c r="H4" s="4"/>
      <c r="I4" s="4"/>
      <c r="J4" s="4"/>
      <c r="K4" s="4"/>
      <c r="L4" s="4"/>
      <c r="M4" s="4"/>
      <c r="N4" s="4"/>
      <c r="O4" s="4"/>
      <c r="P4" s="4"/>
      <c r="Q4" s="4"/>
      <c r="R4" s="4"/>
      <c r="S4" s="4"/>
      <c r="T4" s="4"/>
      <c r="U4" s="4"/>
      <c r="V4" s="4"/>
      <c r="W4" s="4"/>
      <c r="X4" s="4"/>
      <c r="Y4" s="4"/>
      <c r="Z4" s="4"/>
      <c r="AA4" s="4"/>
      <c r="AB4" s="4"/>
      <c r="AC4" s="4"/>
      <c r="AD4" s="4"/>
      <c r="AE4" s="4"/>
    </row>
    <row r="5" spans="1:31" x14ac:dyDescent="0.25">
      <c r="A5" s="4" t="s">
        <v>10</v>
      </c>
      <c r="B5" s="99" t="s">
        <v>11</v>
      </c>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1:31" x14ac:dyDescent="0.25">
      <c r="A6" s="4" t="s">
        <v>12</v>
      </c>
      <c r="B6" s="99" t="s">
        <v>13</v>
      </c>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x14ac:dyDescent="0.25">
      <c r="A7" s="4" t="s">
        <v>14</v>
      </c>
      <c r="B7" s="99" t="s">
        <v>15</v>
      </c>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x14ac:dyDescent="0.25">
      <c r="A8" s="4" t="s">
        <v>16</v>
      </c>
      <c r="B8" s="99" t="s">
        <v>17</v>
      </c>
      <c r="C8" s="4"/>
      <c r="D8" s="4"/>
      <c r="E8" s="4"/>
      <c r="F8" s="4"/>
      <c r="G8" s="4"/>
      <c r="H8" s="4"/>
      <c r="I8" s="4"/>
      <c r="J8" s="4"/>
      <c r="K8" s="4"/>
      <c r="L8" s="4"/>
      <c r="M8" s="4"/>
      <c r="N8" s="4"/>
      <c r="O8" s="4"/>
      <c r="P8" s="4"/>
      <c r="Q8" s="4"/>
      <c r="R8" s="4"/>
      <c r="S8" s="4"/>
      <c r="T8" s="4"/>
      <c r="U8" s="4"/>
      <c r="V8" s="4"/>
      <c r="W8" s="4"/>
      <c r="X8" s="4"/>
      <c r="Y8" s="4"/>
      <c r="Z8" s="4"/>
      <c r="AA8" s="4"/>
      <c r="AB8" s="4"/>
      <c r="AC8" s="4"/>
      <c r="AD8" s="4"/>
      <c r="AE8" s="4"/>
    </row>
    <row r="9" spans="1:31" x14ac:dyDescent="0.25">
      <c r="A9" s="4" t="s">
        <v>18</v>
      </c>
      <c r="B9" s="100">
        <v>45702</v>
      </c>
      <c r="C9" s="4"/>
      <c r="D9" s="4"/>
      <c r="E9" s="4"/>
      <c r="F9" s="4"/>
      <c r="G9" s="4"/>
      <c r="H9" s="4"/>
      <c r="I9" s="4"/>
      <c r="J9" s="4"/>
      <c r="K9" s="4"/>
      <c r="L9" s="4"/>
      <c r="M9" s="4"/>
      <c r="N9" s="4"/>
      <c r="O9" s="4"/>
      <c r="P9" s="4"/>
      <c r="Q9" s="4"/>
      <c r="R9" s="4"/>
      <c r="S9" s="4"/>
      <c r="T9" s="4"/>
      <c r="U9" s="4"/>
      <c r="V9" s="4"/>
      <c r="W9" s="4"/>
      <c r="X9" s="4"/>
      <c r="Y9" s="4"/>
      <c r="Z9" s="4"/>
      <c r="AA9" s="4"/>
      <c r="AB9" s="4"/>
      <c r="AC9" s="4"/>
      <c r="AD9" s="4"/>
      <c r="AE9" s="4"/>
    </row>
    <row r="10" spans="1:31" x14ac:dyDescent="0.25">
      <c r="A10" s="4" t="s">
        <v>19</v>
      </c>
      <c r="B10" s="97">
        <v>2026</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spans="1:31" x14ac:dyDescent="0.25">
      <c r="A11" s="6" t="s">
        <v>20</v>
      </c>
      <c r="B11" s="98">
        <v>46388</v>
      </c>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25">
      <c r="A12" s="6"/>
      <c r="B12" s="101"/>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1:31" x14ac:dyDescent="0.25">
      <c r="A13" s="4" t="s">
        <v>21</v>
      </c>
      <c r="B13" s="88" t="s">
        <v>22</v>
      </c>
      <c r="C13" s="7" t="str">
        <f>IF(B13="Retrofit of existing asset","Project assumed to last only as long as the life of the existing asset","")</f>
        <v/>
      </c>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31" x14ac:dyDescent="0.25">
      <c r="A14" s="4" t="str">
        <f>INDEX(Lists!$C$2:$C$5,MATCH(Lists!B6,Lists!$B$2:$B$5,0))</f>
        <v>Expected final year of operation/use of existing asset if not replaced early</v>
      </c>
      <c r="B14" s="88">
        <v>2035</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1:31" x14ac:dyDescent="0.25">
      <c r="A15" s="4" t="s">
        <v>23</v>
      </c>
      <c r="B15" s="88">
        <v>20</v>
      </c>
      <c r="C15" s="7" t="str">
        <f>"Final year = "&amp;FinalYear_PP</f>
        <v>Final year = 2047</v>
      </c>
      <c r="D15" s="4"/>
      <c r="E15" s="203"/>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31" x14ac:dyDescent="0.25">
      <c r="A16" s="4" t="str">
        <f>INDEX(Lists!E2:E5,MATCH(Lists!B6,Lists!$B$2:$B$5,0))</f>
        <v>Without the loan, what would the existing asset be replaced with at the end of its life?</v>
      </c>
      <c r="B16" s="88" t="s">
        <v>24</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1:31" x14ac:dyDescent="0.25">
      <c r="A17" s="4" t="str">
        <f>INDEX(Lists!F2:F5,MATCH(Lists!B6,Lists!$B$2:$B$5,0))</f>
        <v>What would be the expected life of the replacement asset in the base case (no loan)</v>
      </c>
      <c r="B17" s="88">
        <v>20</v>
      </c>
      <c r="C17" s="7" t="str">
        <f>"Final year = "&amp;FinalYear_BC</f>
        <v>Final year = 2047</v>
      </c>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1:31" x14ac:dyDescent="0.25">
      <c r="A18" s="6"/>
      <c r="B18" s="101"/>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1:31" x14ac:dyDescent="0.25">
      <c r="A19" s="6" t="s">
        <v>25</v>
      </c>
      <c r="B19" s="99" t="s">
        <v>26</v>
      </c>
      <c r="C19" s="7"/>
      <c r="D19" s="7"/>
      <c r="E19" s="7"/>
      <c r="F19" s="7"/>
      <c r="G19" s="4"/>
      <c r="H19" s="4"/>
      <c r="I19" s="4"/>
      <c r="J19" s="4"/>
      <c r="K19" s="4"/>
      <c r="L19" s="4"/>
      <c r="M19" s="4"/>
      <c r="N19" s="4"/>
      <c r="O19" s="4"/>
      <c r="P19" s="4"/>
      <c r="Q19" s="4"/>
      <c r="R19" s="4"/>
      <c r="S19" s="4"/>
      <c r="T19" s="4"/>
      <c r="U19" s="4"/>
      <c r="V19" s="4"/>
      <c r="W19" s="4"/>
      <c r="X19" s="4"/>
      <c r="Y19" s="4"/>
      <c r="Z19" s="4"/>
      <c r="AA19" s="4"/>
      <c r="AB19" s="4"/>
      <c r="AC19" s="4"/>
      <c r="AD19" s="4"/>
      <c r="AE19" s="4"/>
    </row>
    <row r="20" spans="1:31" ht="30" x14ac:dyDescent="0.25">
      <c r="A20" s="8" t="s">
        <v>27</v>
      </c>
      <c r="B20" s="99" t="s">
        <v>28</v>
      </c>
      <c r="C20" s="7" t="str">
        <f>IF(AND(B20="Yes",B19="Yes"),"The base case used for analysis should be that of just meeting the regulated coal phase-out date of 2037","")</f>
        <v/>
      </c>
      <c r="D20" s="7"/>
      <c r="E20" s="7"/>
      <c r="F20" s="7"/>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25">
      <c r="A21" s="6" t="s">
        <v>29</v>
      </c>
      <c r="B21" s="99" t="s">
        <v>28</v>
      </c>
      <c r="C21" s="7"/>
      <c r="D21" s="7"/>
      <c r="E21" s="7"/>
      <c r="F21" s="7"/>
      <c r="G21" s="4"/>
      <c r="H21" s="4"/>
      <c r="I21" s="4"/>
      <c r="J21" s="4"/>
      <c r="K21" s="4"/>
      <c r="L21" s="4"/>
      <c r="M21" s="4"/>
      <c r="N21" s="4"/>
      <c r="O21" s="4"/>
      <c r="P21" s="4"/>
      <c r="Q21" s="4"/>
      <c r="R21" s="4"/>
      <c r="S21" s="4"/>
      <c r="T21" s="4"/>
      <c r="U21" s="4"/>
      <c r="V21" s="4"/>
      <c r="W21" s="4"/>
      <c r="X21" s="4"/>
      <c r="Y21" s="4"/>
      <c r="Z21" s="4"/>
      <c r="AA21" s="4"/>
      <c r="AB21" s="4"/>
      <c r="AC21" s="4"/>
      <c r="AD21" s="4"/>
      <c r="AE21" s="4"/>
    </row>
    <row r="22" spans="1:31" x14ac:dyDescent="0.25">
      <c r="A22" s="8"/>
      <c r="B22" s="7"/>
      <c r="C22" s="7"/>
      <c r="D22" s="7"/>
      <c r="E22" s="7"/>
      <c r="F22" s="7"/>
      <c r="G22" s="4"/>
      <c r="H22" s="4"/>
      <c r="I22" s="4"/>
      <c r="J22" s="4"/>
      <c r="K22" s="4"/>
      <c r="L22" s="4"/>
      <c r="M22" s="4"/>
      <c r="N22" s="4"/>
      <c r="O22" s="4"/>
      <c r="P22" s="4"/>
      <c r="Q22" s="4"/>
      <c r="R22" s="4"/>
      <c r="S22" s="4"/>
      <c r="T22" s="4"/>
      <c r="U22" s="4"/>
      <c r="V22" s="4"/>
      <c r="W22" s="4"/>
      <c r="X22" s="4"/>
      <c r="Y22" s="4"/>
      <c r="Z22" s="4"/>
      <c r="AA22" s="4"/>
      <c r="AB22" s="4"/>
      <c r="AC22" s="4"/>
      <c r="AD22" s="4"/>
      <c r="AE22" s="4"/>
    </row>
    <row r="23" spans="1:31" x14ac:dyDescent="0.25">
      <c r="A23" s="6" t="s">
        <v>30</v>
      </c>
      <c r="B23" s="94">
        <v>950000</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x14ac:dyDescent="0.25">
      <c r="A24" s="6" t="s">
        <v>31</v>
      </c>
      <c r="B24" s="95">
        <v>45992</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25">
      <c r="A25" s="6" t="s">
        <v>32</v>
      </c>
      <c r="B25" s="102">
        <v>10</v>
      </c>
      <c r="C25" s="7" t="str">
        <f>"Full repayment by "&amp;Start_Yr+B25</f>
        <v>Full repayment by 2036</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x14ac:dyDescent="0.25">
      <c r="A26" s="6" t="s">
        <v>33</v>
      </c>
      <c r="B26" s="96">
        <v>0.2</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x14ac:dyDescent="0.25">
      <c r="A27" s="6" t="s">
        <v>34</v>
      </c>
      <c r="B27" s="96" t="s">
        <v>35</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31" x14ac:dyDescent="0.25">
      <c r="A28" s="6" t="s">
        <v>36</v>
      </c>
      <c r="B28" s="96" t="s">
        <v>37</v>
      </c>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1:31" x14ac:dyDescent="0.25">
      <c r="A29" s="6" t="s">
        <v>38</v>
      </c>
      <c r="B29" s="87">
        <f ca="1">YEAR(TODAY())</f>
        <v>2025</v>
      </c>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25">
      <c r="B30" s="5"/>
    </row>
  </sheetData>
  <conditionalFormatting sqref="B15">
    <cfRule type="expression" dxfId="12" priority="4">
      <formula>$B$13="Retrofit of existing asset"</formula>
    </cfRule>
  </conditionalFormatting>
  <dataValidations disablePrompts="1" count="6">
    <dataValidation type="date" operator="lessThanOrEqual" allowBlank="1" showInputMessage="1" showErrorMessage="1" errorTitle="Inconsistent dates" error="Date of application submission must be in format dd/mm/yy and should not be in the future" sqref="B9" xr:uid="{8E3406CE-582E-4AE7-A61A-D4F78F8575E5}">
      <formula1>TODAY()</formula1>
    </dataValidation>
    <dataValidation type="whole" operator="greaterThanOrEqual" allowBlank="1" showInputMessage="1" showErrorMessage="1" errorTitle="Inconsistent dates" error="First year of project cashflows must be in format yyyy and should not be before application submission" sqref="B10" xr:uid="{B43AAD24-59FE-45CA-949E-854FE5D1D4AB}">
      <formula1>YEAR($B$9)</formula1>
    </dataValidation>
    <dataValidation type="whole" allowBlank="1" showInputMessage="1" showErrorMessage="1" sqref="B14" xr:uid="{0A97D8A9-8CD2-4814-83AE-7DAB84B56993}">
      <formula1>2025</formula1>
      <formula2>2100</formula2>
    </dataValidation>
    <dataValidation type="date" operator="greaterThanOrEqual" allowBlank="1" showInputMessage="1" showErrorMessage="1" errorTitle="Inconsistent dates" error="Expected commissioning date must be a date in format dd/mm/yy and cannot be before application date or the first year of project cashflows" sqref="B11 B29" xr:uid="{0A1DA5EF-2D51-440F-9A31-8608B7CB251F}">
      <formula1>MAX(DATE($B$10,1,1),$B$9)</formula1>
    </dataValidation>
    <dataValidation type="list" allowBlank="1" showInputMessage="1" showErrorMessage="1" errorTitle="Boolean response required" error="This question needs a TRUE / FALSE answer." sqref="B19:B21" xr:uid="{72449895-856D-46C3-A785-A6F7072C4EAD}">
      <formula1>"&lt;Select&gt;,Yes,No"</formula1>
    </dataValidation>
    <dataValidation type="whole" operator="greaterThanOrEqual" allowBlank="1" showInputMessage="1" showErrorMessage="1" errorTitle="Inconsistent dates" error="Expected commissioning date must be a date in format dd/mm/yy and cannot be before application date or the first year of project cashflows" sqref="B17" xr:uid="{34E24F5E-65E8-47B3-AE84-4EF7A09B74FE}">
      <formula1>1</formula1>
    </dataValidation>
  </dataValidations>
  <pageMargins left="0.7" right="0.7" top="0.75" bottom="0.75" header="0.3" footer="0.3"/>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8" id="{483240B7-701F-4768-93AF-326DD8848922}">
            <xm:f>Lists!$B$6=2</xm:f>
            <x14:dxf>
              <font>
                <color theme="0" tint="-0.34998626667073579"/>
              </font>
            </x14:dxf>
          </x14:cfRule>
          <xm:sqref>A14</xm:sqref>
        </x14:conditionalFormatting>
        <x14:conditionalFormatting xmlns:xm="http://schemas.microsoft.com/office/excel/2006/main">
          <x14:cfRule type="expression" priority="2" id="{7A5D9C35-42EB-46D3-9F39-0CF6B296AF8E}">
            <xm:f>Lists!$B$6=1</xm:f>
            <x14:dxf>
              <font>
                <color theme="0" tint="-0.34998626667073579"/>
              </font>
            </x14:dxf>
          </x14:cfRule>
          <xm:sqref>A16:A17</xm:sqref>
        </x14:conditionalFormatting>
        <x14:conditionalFormatting xmlns:xm="http://schemas.microsoft.com/office/excel/2006/main">
          <x14:cfRule type="expression" priority="7" id="{C89D33F1-4045-438C-B0D8-DC3F4B454BAA}">
            <xm:f>Lists!$B$6=2</xm:f>
            <x14:dxf>
              <font>
                <color theme="2"/>
              </font>
            </x14:dxf>
          </x14:cfRule>
          <xm:sqref>B14</xm:sqref>
        </x14:conditionalFormatting>
        <x14:conditionalFormatting xmlns:xm="http://schemas.microsoft.com/office/excel/2006/main">
          <x14:cfRule type="expression" priority="1" id="{8DD2B55B-880C-4604-9A79-BEA0BE2B5F78}">
            <xm:f>Lists!$B$6=1</xm:f>
            <x14:dxf>
              <font>
                <color theme="2"/>
              </font>
            </x14:dxf>
          </x14:cfRule>
          <xm:sqref>B16:B17</xm:sqref>
        </x14:conditionalFormatting>
      </x14:conditionalFormattings>
    </ext>
    <ext xmlns:x14="http://schemas.microsoft.com/office/spreadsheetml/2009/9/main" uri="{CCE6A557-97BC-4b89-ADB6-D9C93CAAB3DF}">
      <x14:dataValidations xmlns:xm="http://schemas.microsoft.com/office/excel/2006/main" disablePrompts="1" count="6">
        <x14:dataValidation type="list" allowBlank="1" showInputMessage="1" showErrorMessage="1" xr:uid="{969487ED-38E2-4553-9C8A-011C706DAB01}">
          <x14:formula1>
            <xm:f>Data!$A$2:$A$14</xm:f>
          </x14:formula1>
          <xm:sqref>B6</xm:sqref>
        </x14:dataValidation>
        <x14:dataValidation type="list" allowBlank="1" showInputMessage="1" showErrorMessage="1" xr:uid="{111ACB8C-FB40-400F-A784-C210B862984F}">
          <x14:formula1>
            <xm:f>Data!$B$2:$B$17</xm:f>
          </x14:formula1>
          <xm:sqref>B7</xm:sqref>
        </x14:dataValidation>
        <x14:dataValidation type="list" allowBlank="1" showInputMessage="1" showErrorMessage="1" xr:uid="{60C92815-678B-41F9-B76B-F3848C4BBFE6}">
          <x14:formula1>
            <xm:f>Lists!$A$2:$A$5</xm:f>
          </x14:formula1>
          <xm:sqref>B13</xm:sqref>
        </x14:dataValidation>
        <x14:dataValidation type="list" operator="greaterThanOrEqual" allowBlank="1" showInputMessage="1" showErrorMessage="1" errorTitle="Inconsistent dates" error="Expected commissioning date must be a date in format dd/mm/yy and cannot be before application date or the first year of project cashflows" xr:uid="{7E1AAE4C-51ED-4879-8521-BC4422D409B4}">
          <x14:formula1>
            <xm:f>Lists!$E$8:$E$11</xm:f>
          </x14:formula1>
          <xm:sqref>B16</xm:sqref>
        </x14:dataValidation>
        <x14:dataValidation type="list" allowBlank="1" showInputMessage="1" showErrorMessage="1" xr:uid="{E7315EEA-B540-43A7-9B3B-E6E826BD1ACE}">
          <x14:formula1>
            <xm:f>Lists!$A$11:$A$15</xm:f>
          </x14:formula1>
          <xm:sqref>B27</xm:sqref>
        </x14:dataValidation>
        <x14:dataValidation type="list" allowBlank="1" showInputMessage="1" showErrorMessage="1" xr:uid="{8B7303F0-AF39-4BFE-8CB3-4CD1EDB75B0E}">
          <x14:formula1>
            <xm:f>Lists!$A$17:$A$19</xm:f>
          </x14:formula1>
          <xm:sqref>B28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55B-9660-4676-92A5-EB896BD87208}">
  <sheetPr codeName="Sheet2">
    <tabColor theme="4"/>
  </sheetPr>
  <dimension ref="A2:BA241"/>
  <sheetViews>
    <sheetView topLeftCell="A36" zoomScale="80" zoomScaleNormal="80" workbookViewId="0">
      <selection activeCell="E39" sqref="E39"/>
    </sheetView>
  </sheetViews>
  <sheetFormatPr defaultRowHeight="15" x14ac:dyDescent="0.25"/>
  <cols>
    <col min="1" max="1" width="89" customWidth="1"/>
    <col min="2" max="2" width="19.85546875" customWidth="1"/>
    <col min="3" max="3" width="12.140625" customWidth="1"/>
    <col min="4" max="4" width="21.5703125" customWidth="1"/>
    <col min="5" max="6" width="12.85546875" customWidth="1"/>
    <col min="7" max="7" width="19.85546875" customWidth="1"/>
    <col min="8" max="32" width="11.140625" bestFit="1" customWidth="1"/>
  </cols>
  <sheetData>
    <row r="2" spans="1:52" ht="18.75" x14ac:dyDescent="0.3">
      <c r="A2" s="18" t="s">
        <v>39</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x14ac:dyDescent="0.25">
      <c r="A3" s="28" t="s">
        <v>40</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row>
    <row r="4" spans="1:52" x14ac:dyDescent="0.25">
      <c r="A4" s="6" t="str">
        <f ca="1">"All values for the current year ("&amp;'Project description'!B29&amp;") should be in current dollar values"</f>
        <v>All values for the current year (2025) should be in current dollar values</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row>
    <row r="5" spans="1:52" x14ac:dyDescent="0.25">
      <c r="A5" s="4" t="s">
        <v>41</v>
      </c>
      <c r="B5" t="s">
        <v>26</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row>
    <row r="6" spans="1:52" x14ac:dyDescent="0.25">
      <c r="A6" s="69" t="s">
        <v>42</v>
      </c>
      <c r="B6" s="49"/>
      <c r="C6" s="49"/>
      <c r="D6" s="68"/>
      <c r="E6" s="68"/>
      <c r="F6" s="68"/>
      <c r="G6" s="49">
        <v>2025</v>
      </c>
      <c r="H6" s="49">
        <f>G6+1</f>
        <v>2026</v>
      </c>
      <c r="I6" s="49">
        <f t="shared" ref="I6:AF6" si="0">H6+1</f>
        <v>2027</v>
      </c>
      <c r="J6" s="49">
        <f t="shared" si="0"/>
        <v>2028</v>
      </c>
      <c r="K6" s="49">
        <f t="shared" si="0"/>
        <v>2029</v>
      </c>
      <c r="L6" s="49">
        <f t="shared" si="0"/>
        <v>2030</v>
      </c>
      <c r="M6" s="49">
        <f t="shared" si="0"/>
        <v>2031</v>
      </c>
      <c r="N6" s="49">
        <f t="shared" si="0"/>
        <v>2032</v>
      </c>
      <c r="O6" s="49">
        <f t="shared" si="0"/>
        <v>2033</v>
      </c>
      <c r="P6" s="49">
        <f t="shared" si="0"/>
        <v>2034</v>
      </c>
      <c r="Q6" s="49">
        <f t="shared" si="0"/>
        <v>2035</v>
      </c>
      <c r="R6" s="49">
        <f t="shared" si="0"/>
        <v>2036</v>
      </c>
      <c r="S6" s="49">
        <f t="shared" si="0"/>
        <v>2037</v>
      </c>
      <c r="T6" s="49">
        <f t="shared" si="0"/>
        <v>2038</v>
      </c>
      <c r="U6" s="49">
        <f t="shared" si="0"/>
        <v>2039</v>
      </c>
      <c r="V6" s="49">
        <f t="shared" si="0"/>
        <v>2040</v>
      </c>
      <c r="W6" s="49">
        <f t="shared" si="0"/>
        <v>2041</v>
      </c>
      <c r="X6" s="49">
        <f t="shared" si="0"/>
        <v>2042</v>
      </c>
      <c r="Y6" s="49">
        <f t="shared" si="0"/>
        <v>2043</v>
      </c>
      <c r="Z6" s="49">
        <f t="shared" si="0"/>
        <v>2044</v>
      </c>
      <c r="AA6" s="49">
        <f t="shared" si="0"/>
        <v>2045</v>
      </c>
      <c r="AB6" s="49">
        <f t="shared" si="0"/>
        <v>2046</v>
      </c>
      <c r="AC6" s="49">
        <f t="shared" si="0"/>
        <v>2047</v>
      </c>
      <c r="AD6" s="49">
        <f t="shared" si="0"/>
        <v>2048</v>
      </c>
      <c r="AE6" s="49">
        <f t="shared" si="0"/>
        <v>2049</v>
      </c>
      <c r="AF6" s="49">
        <f t="shared" si="0"/>
        <v>2050</v>
      </c>
      <c r="AG6" s="49">
        <f t="shared" ref="AG6:AZ6" si="1">AF6+1</f>
        <v>2051</v>
      </c>
      <c r="AH6" s="49">
        <f t="shared" si="1"/>
        <v>2052</v>
      </c>
      <c r="AI6" s="49">
        <f t="shared" si="1"/>
        <v>2053</v>
      </c>
      <c r="AJ6" s="49">
        <f t="shared" si="1"/>
        <v>2054</v>
      </c>
      <c r="AK6" s="49">
        <f t="shared" si="1"/>
        <v>2055</v>
      </c>
      <c r="AL6" s="49">
        <f t="shared" si="1"/>
        <v>2056</v>
      </c>
      <c r="AM6" s="49">
        <f t="shared" si="1"/>
        <v>2057</v>
      </c>
      <c r="AN6" s="49">
        <f t="shared" si="1"/>
        <v>2058</v>
      </c>
      <c r="AO6" s="49">
        <f t="shared" si="1"/>
        <v>2059</v>
      </c>
      <c r="AP6" s="49">
        <f t="shared" si="1"/>
        <v>2060</v>
      </c>
      <c r="AQ6" s="49">
        <f t="shared" si="1"/>
        <v>2061</v>
      </c>
      <c r="AR6" s="49">
        <f t="shared" si="1"/>
        <v>2062</v>
      </c>
      <c r="AS6" s="49">
        <f t="shared" si="1"/>
        <v>2063</v>
      </c>
      <c r="AT6" s="49">
        <f t="shared" si="1"/>
        <v>2064</v>
      </c>
      <c r="AU6" s="49">
        <f t="shared" si="1"/>
        <v>2065</v>
      </c>
      <c r="AV6" s="49">
        <f t="shared" si="1"/>
        <v>2066</v>
      </c>
      <c r="AW6" s="49">
        <f t="shared" si="1"/>
        <v>2067</v>
      </c>
      <c r="AX6" s="49">
        <f t="shared" si="1"/>
        <v>2068</v>
      </c>
      <c r="AY6" s="49">
        <f t="shared" si="1"/>
        <v>2069</v>
      </c>
      <c r="AZ6" s="49">
        <f t="shared" si="1"/>
        <v>2070</v>
      </c>
    </row>
    <row r="7" spans="1:52" x14ac:dyDescent="0.25">
      <c r="A7" s="6" t="s">
        <v>43</v>
      </c>
      <c r="B7" s="4"/>
      <c r="C7" s="4"/>
      <c r="D7" s="4"/>
      <c r="E7" s="4"/>
      <c r="F7" s="4"/>
      <c r="G7" s="126">
        <v>0.03</v>
      </c>
      <c r="H7" s="126">
        <v>0.02</v>
      </c>
      <c r="I7" s="126">
        <v>0.02</v>
      </c>
      <c r="J7" s="126">
        <v>0.02</v>
      </c>
      <c r="K7" s="126">
        <v>0.02</v>
      </c>
      <c r="L7" s="126">
        <v>0.02</v>
      </c>
      <c r="M7" s="126">
        <v>0.02</v>
      </c>
      <c r="N7" s="126">
        <v>0.02</v>
      </c>
      <c r="O7" s="126">
        <v>0.02</v>
      </c>
      <c r="P7" s="126">
        <v>0.02</v>
      </c>
      <c r="Q7" s="126">
        <v>0.02</v>
      </c>
      <c r="R7" s="126">
        <v>0.02</v>
      </c>
      <c r="S7" s="126">
        <v>0.02</v>
      </c>
      <c r="T7" s="126">
        <v>0.02</v>
      </c>
      <c r="U7" s="126">
        <v>0.02</v>
      </c>
      <c r="V7" s="126">
        <v>0.02</v>
      </c>
      <c r="W7" s="126">
        <v>0.02</v>
      </c>
      <c r="X7" s="126">
        <v>0.02</v>
      </c>
      <c r="Y7" s="126">
        <v>0.02</v>
      </c>
      <c r="Z7" s="126">
        <v>0.02</v>
      </c>
      <c r="AA7" s="126">
        <v>0.02</v>
      </c>
      <c r="AB7" s="126">
        <v>0.02</v>
      </c>
      <c r="AC7" s="126">
        <v>0.02</v>
      </c>
      <c r="AD7" s="126">
        <v>0.02</v>
      </c>
      <c r="AE7" s="126">
        <v>0.02</v>
      </c>
      <c r="AF7" s="126">
        <v>0.02</v>
      </c>
      <c r="AG7" s="126">
        <f>AF7</f>
        <v>0.02</v>
      </c>
      <c r="AH7" s="126">
        <f t="shared" ref="AH7:AZ7" si="2">AG7</f>
        <v>0.02</v>
      </c>
      <c r="AI7" s="126">
        <f t="shared" si="2"/>
        <v>0.02</v>
      </c>
      <c r="AJ7" s="126">
        <f t="shared" si="2"/>
        <v>0.02</v>
      </c>
      <c r="AK7" s="126">
        <f t="shared" si="2"/>
        <v>0.02</v>
      </c>
      <c r="AL7" s="126">
        <f t="shared" si="2"/>
        <v>0.02</v>
      </c>
      <c r="AM7" s="126">
        <f t="shared" si="2"/>
        <v>0.02</v>
      </c>
      <c r="AN7" s="126">
        <f t="shared" si="2"/>
        <v>0.02</v>
      </c>
      <c r="AO7" s="126">
        <f t="shared" si="2"/>
        <v>0.02</v>
      </c>
      <c r="AP7" s="126">
        <f t="shared" si="2"/>
        <v>0.02</v>
      </c>
      <c r="AQ7" s="126">
        <f t="shared" si="2"/>
        <v>0.02</v>
      </c>
      <c r="AR7" s="126">
        <f t="shared" si="2"/>
        <v>0.02</v>
      </c>
      <c r="AS7" s="126">
        <f t="shared" si="2"/>
        <v>0.02</v>
      </c>
      <c r="AT7" s="126">
        <f t="shared" si="2"/>
        <v>0.02</v>
      </c>
      <c r="AU7" s="126">
        <f t="shared" si="2"/>
        <v>0.02</v>
      </c>
      <c r="AV7" s="126">
        <f t="shared" si="2"/>
        <v>0.02</v>
      </c>
      <c r="AW7" s="126">
        <f t="shared" si="2"/>
        <v>0.02</v>
      </c>
      <c r="AX7" s="126">
        <f t="shared" si="2"/>
        <v>0.02</v>
      </c>
      <c r="AY7" s="126">
        <f t="shared" si="2"/>
        <v>0.02</v>
      </c>
      <c r="AZ7" s="126">
        <f t="shared" si="2"/>
        <v>0.02</v>
      </c>
    </row>
    <row r="8" spans="1:52" x14ac:dyDescent="0.25">
      <c r="A8" s="6" t="s">
        <v>44</v>
      </c>
      <c r="B8" s="4"/>
      <c r="C8" s="4"/>
      <c r="D8" s="4"/>
      <c r="E8" s="4"/>
      <c r="F8" s="4"/>
      <c r="G8" s="225">
        <f>Data!L33</f>
        <v>2.1999999999999999E-2</v>
      </c>
      <c r="H8" s="225">
        <f>Data!M33</f>
        <v>0.02</v>
      </c>
      <c r="I8" s="225">
        <f>Data!N33</f>
        <v>0.02</v>
      </c>
      <c r="J8" s="225">
        <f>Data!O33</f>
        <v>0.02</v>
      </c>
      <c r="K8" s="225">
        <f>Data!P33</f>
        <v>0.02</v>
      </c>
      <c r="L8" s="225">
        <f>Data!Q33</f>
        <v>0.02</v>
      </c>
      <c r="M8" s="225">
        <f>Data!R33</f>
        <v>0.02</v>
      </c>
      <c r="N8" s="225">
        <f>Data!S33</f>
        <v>0.02</v>
      </c>
      <c r="O8" s="225">
        <f>Data!T33</f>
        <v>0.02</v>
      </c>
      <c r="P8" s="225">
        <f>Data!U33</f>
        <v>0.02</v>
      </c>
      <c r="Q8" s="225">
        <f>Data!V33</f>
        <v>0.02</v>
      </c>
      <c r="R8" s="225">
        <f>Data!W33</f>
        <v>0.02</v>
      </c>
      <c r="S8" s="225">
        <f>Data!X33</f>
        <v>0.02</v>
      </c>
      <c r="T8" s="225">
        <f>Data!Y33</f>
        <v>0.02</v>
      </c>
      <c r="U8" s="225">
        <f>Data!Z33</f>
        <v>0.02</v>
      </c>
      <c r="V8" s="225">
        <f>Data!AA33</f>
        <v>0.02</v>
      </c>
      <c r="W8" s="225">
        <f>Data!AB33</f>
        <v>0.02</v>
      </c>
      <c r="X8" s="225">
        <f>Data!AC33</f>
        <v>0.02</v>
      </c>
      <c r="Y8" s="225">
        <f>Data!AD33</f>
        <v>0.02</v>
      </c>
      <c r="Z8" s="225">
        <f>Data!AE33</f>
        <v>0.02</v>
      </c>
      <c r="AA8" s="225">
        <f>Data!AF33</f>
        <v>0.02</v>
      </c>
      <c r="AB8" s="225">
        <f>Data!AG33</f>
        <v>0.02</v>
      </c>
      <c r="AC8" s="225">
        <f>Data!AH33</f>
        <v>0.02</v>
      </c>
      <c r="AD8" s="225">
        <f>Data!AI33</f>
        <v>0.02</v>
      </c>
      <c r="AE8" s="225">
        <f>Data!AJ33</f>
        <v>0.02</v>
      </c>
      <c r="AF8" s="225">
        <f>Data!AK33</f>
        <v>0.02</v>
      </c>
      <c r="AG8" s="225">
        <f>Data!AL33</f>
        <v>0.02</v>
      </c>
      <c r="AH8" s="225">
        <f>Data!AM33</f>
        <v>0.02</v>
      </c>
      <c r="AI8" s="225">
        <f>Data!AN33</f>
        <v>0.02</v>
      </c>
      <c r="AJ8" s="225">
        <f>Data!AO33</f>
        <v>0.02</v>
      </c>
      <c r="AK8" s="225">
        <f>Data!AP33</f>
        <v>0.02</v>
      </c>
      <c r="AL8" s="225">
        <f>Data!AQ33</f>
        <v>0.02</v>
      </c>
      <c r="AM8" s="225">
        <f>Data!AR33</f>
        <v>0.02</v>
      </c>
      <c r="AN8" s="225">
        <f>Data!AS33</f>
        <v>0.02</v>
      </c>
      <c r="AO8" s="225">
        <f>Data!AT33</f>
        <v>0.02</v>
      </c>
      <c r="AP8" s="225">
        <f>Data!AU33</f>
        <v>0.02</v>
      </c>
      <c r="AQ8" s="225">
        <f>Data!AV33</f>
        <v>0.02</v>
      </c>
      <c r="AR8" s="225">
        <f>Data!AW33</f>
        <v>0.02</v>
      </c>
      <c r="AS8" s="225">
        <f>Data!AX33</f>
        <v>0.02</v>
      </c>
      <c r="AT8" s="225">
        <f>Data!AY33</f>
        <v>0.02</v>
      </c>
      <c r="AU8" s="225">
        <f>Data!AZ33</f>
        <v>0.02</v>
      </c>
      <c r="AV8" s="225">
        <f>Data!BA33</f>
        <v>0.02</v>
      </c>
      <c r="AW8" s="225">
        <f>Data!BB33</f>
        <v>0.02</v>
      </c>
      <c r="AX8" s="225">
        <f>Data!BC33</f>
        <v>0.02</v>
      </c>
      <c r="AY8" s="225">
        <f>Data!BD33</f>
        <v>0.02</v>
      </c>
      <c r="AZ8" s="225">
        <f>Data!BE33</f>
        <v>0.02</v>
      </c>
    </row>
    <row r="9" spans="1:52" x14ac:dyDescent="0.25">
      <c r="A9" s="6" t="s">
        <v>45</v>
      </c>
      <c r="B9" s="4"/>
      <c r="C9" s="4"/>
      <c r="D9" s="4"/>
      <c r="E9" s="4"/>
      <c r="F9" s="4"/>
      <c r="G9" s="127">
        <v>1</v>
      </c>
      <c r="H9" s="128">
        <f>G9*IF($B$5="Yes",(1+G7/2)*(1+H7/2),(1+G8/2)*(1+H8/2))</f>
        <v>1.02111</v>
      </c>
      <c r="I9" s="128">
        <f t="shared" ref="I9:AZ9" si="3">H9*IF($B$5="Yes",(1+H7/2)*(1+I7/2),(1+H8/2)*(1+I8/2))</f>
        <v>1.0416343109999999</v>
      </c>
      <c r="J9" s="128">
        <f t="shared" si="3"/>
        <v>1.0625711606510999</v>
      </c>
      <c r="K9" s="128">
        <f t="shared" si="3"/>
        <v>1.083928840980187</v>
      </c>
      <c r="L9" s="128">
        <f t="shared" si="3"/>
        <v>1.1057158106838889</v>
      </c>
      <c r="M9" s="128">
        <f t="shared" si="3"/>
        <v>1.1279406984786351</v>
      </c>
      <c r="N9" s="128">
        <f t="shared" si="3"/>
        <v>1.1506123065180556</v>
      </c>
      <c r="O9" s="128">
        <f t="shared" si="3"/>
        <v>1.1737396138790686</v>
      </c>
      <c r="P9" s="128">
        <f t="shared" si="3"/>
        <v>1.1973317801180379</v>
      </c>
      <c r="Q9" s="128">
        <f t="shared" si="3"/>
        <v>1.2213981488984105</v>
      </c>
      <c r="R9" s="128">
        <f t="shared" si="3"/>
        <v>1.2459482516912685</v>
      </c>
      <c r="S9" s="128">
        <f t="shared" si="3"/>
        <v>1.270991811550263</v>
      </c>
      <c r="T9" s="128">
        <f t="shared" si="3"/>
        <v>1.2965387469624232</v>
      </c>
      <c r="U9" s="128">
        <f t="shared" si="3"/>
        <v>1.322599175776368</v>
      </c>
      <c r="V9" s="128">
        <f t="shared" si="3"/>
        <v>1.3491834192094729</v>
      </c>
      <c r="W9" s="128">
        <f t="shared" si="3"/>
        <v>1.3763020059355833</v>
      </c>
      <c r="X9" s="128">
        <f t="shared" si="3"/>
        <v>1.4039656762548884</v>
      </c>
      <c r="Y9" s="128">
        <f t="shared" si="3"/>
        <v>1.4321853863476117</v>
      </c>
      <c r="Z9" s="128">
        <f t="shared" si="3"/>
        <v>1.4609723126131988</v>
      </c>
      <c r="AA9" s="128">
        <f t="shared" si="3"/>
        <v>1.4903378560967242</v>
      </c>
      <c r="AB9" s="128">
        <f t="shared" si="3"/>
        <v>1.5202936470042683</v>
      </c>
      <c r="AC9" s="128">
        <f t="shared" si="3"/>
        <v>1.550851549309054</v>
      </c>
      <c r="AD9" s="128">
        <f t="shared" si="3"/>
        <v>1.582023665450166</v>
      </c>
      <c r="AE9" s="128">
        <f t="shared" si="3"/>
        <v>1.6138223411257144</v>
      </c>
      <c r="AF9" s="128">
        <f t="shared" si="3"/>
        <v>1.6462601701823414</v>
      </c>
      <c r="AG9" s="128">
        <f t="shared" si="3"/>
        <v>1.6793499996030063</v>
      </c>
      <c r="AH9" s="128">
        <f t="shared" si="3"/>
        <v>1.7131049345950269</v>
      </c>
      <c r="AI9" s="128">
        <f t="shared" si="3"/>
        <v>1.7475383437803869</v>
      </c>
      <c r="AJ9" s="128">
        <f t="shared" si="3"/>
        <v>1.7826638644903727</v>
      </c>
      <c r="AK9" s="128">
        <f t="shared" si="3"/>
        <v>1.8184954081666291</v>
      </c>
      <c r="AL9" s="128">
        <f t="shared" si="3"/>
        <v>1.8550471658707783</v>
      </c>
      <c r="AM9" s="128">
        <f t="shared" si="3"/>
        <v>1.8923336139047811</v>
      </c>
      <c r="AN9" s="128">
        <f t="shared" si="3"/>
        <v>1.9303695195442672</v>
      </c>
      <c r="AO9" s="128">
        <f t="shared" si="3"/>
        <v>1.9691699468871069</v>
      </c>
      <c r="AP9" s="128">
        <f t="shared" si="3"/>
        <v>2.0087502628195377</v>
      </c>
      <c r="AQ9" s="128">
        <f t="shared" si="3"/>
        <v>2.0491261431022103</v>
      </c>
      <c r="AR9" s="128">
        <f t="shared" si="3"/>
        <v>2.0903135785785647</v>
      </c>
      <c r="AS9" s="128">
        <f t="shared" si="3"/>
        <v>2.1323288815079939</v>
      </c>
      <c r="AT9" s="128">
        <f t="shared" si="3"/>
        <v>2.1751886920263046</v>
      </c>
      <c r="AU9" s="128">
        <f t="shared" si="3"/>
        <v>2.2189099847360332</v>
      </c>
      <c r="AV9" s="128">
        <f t="shared" si="3"/>
        <v>2.2635100754292274</v>
      </c>
      <c r="AW9" s="128">
        <f t="shared" si="3"/>
        <v>2.3090066279453549</v>
      </c>
      <c r="AX9" s="128">
        <f t="shared" si="3"/>
        <v>2.3554176611670568</v>
      </c>
      <c r="AY9" s="128">
        <f t="shared" si="3"/>
        <v>2.4027615561565145</v>
      </c>
      <c r="AZ9" s="128">
        <f t="shared" si="3"/>
        <v>2.4510570634352606</v>
      </c>
    </row>
    <row r="10" spans="1:52" x14ac:dyDescent="0.25">
      <c r="A10" s="6" t="s">
        <v>46</v>
      </c>
      <c r="B10" s="4"/>
      <c r="C10" s="4"/>
      <c r="D10" s="4"/>
      <c r="E10" s="4"/>
      <c r="F10" s="4"/>
      <c r="G10" s="127">
        <v>1</v>
      </c>
      <c r="H10" s="128">
        <f>1/((1/G10)*IF($B$5="Yes",(1+G7/2)*(1+H7/2),(1+G8/2)*(1+H8/2)))</f>
        <v>0.97932641928881314</v>
      </c>
      <c r="I10" s="128">
        <f t="shared" ref="I10:AZ10" si="4">1/((1/H10)*IF($B$5="Yes",(1+H7/2)*(1+I7/2),(1+H8/2)*(1+I8/2)))</f>
        <v>0.96002981990864933</v>
      </c>
      <c r="J10" s="128">
        <f t="shared" si="4"/>
        <v>0.94111343976928674</v>
      </c>
      <c r="K10" s="128">
        <f t="shared" si="4"/>
        <v>0.92256978704958992</v>
      </c>
      <c r="L10" s="128">
        <f t="shared" si="4"/>
        <v>0.90439151754689717</v>
      </c>
      <c r="M10" s="128">
        <f t="shared" si="4"/>
        <v>0.88657143176835329</v>
      </c>
      <c r="N10" s="128">
        <f t="shared" si="4"/>
        <v>0.86910247207955438</v>
      </c>
      <c r="O10" s="128">
        <f t="shared" si="4"/>
        <v>0.85197771990937587</v>
      </c>
      <c r="P10" s="128">
        <f t="shared" si="4"/>
        <v>0.8351903930098773</v>
      </c>
      <c r="Q10" s="128">
        <f t="shared" si="4"/>
        <v>0.81873384277019634</v>
      </c>
      <c r="R10" s="128">
        <f t="shared" si="4"/>
        <v>0.80260155158337054</v>
      </c>
      <c r="S10" s="128">
        <f t="shared" si="4"/>
        <v>0.78678713026504321</v>
      </c>
      <c r="T10" s="128">
        <f t="shared" si="4"/>
        <v>0.77128431552303034</v>
      </c>
      <c r="U10" s="128">
        <f t="shared" si="4"/>
        <v>0.75608696747674764</v>
      </c>
      <c r="V10" s="128">
        <f t="shared" si="4"/>
        <v>0.74118906722551481</v>
      </c>
      <c r="W10" s="128">
        <f t="shared" si="4"/>
        <v>0.72658471446477291</v>
      </c>
      <c r="X10" s="128">
        <f t="shared" si="4"/>
        <v>0.71226812514927262</v>
      </c>
      <c r="Y10" s="128">
        <f t="shared" si="4"/>
        <v>0.69823362920230625</v>
      </c>
      <c r="Z10" s="128">
        <f t="shared" si="4"/>
        <v>0.68447566827007766</v>
      </c>
      <c r="AA10" s="128">
        <f t="shared" si="4"/>
        <v>0.67098879352031926</v>
      </c>
      <c r="AB10" s="128">
        <f t="shared" si="4"/>
        <v>0.65776766348428517</v>
      </c>
      <c r="AC10" s="128">
        <f t="shared" si="4"/>
        <v>0.6448070419412657</v>
      </c>
      <c r="AD10" s="128">
        <f t="shared" si="4"/>
        <v>0.63210179584478554</v>
      </c>
      <c r="AE10" s="128">
        <f t="shared" si="4"/>
        <v>0.61964689328966327</v>
      </c>
      <c r="AF10" s="128">
        <f t="shared" si="4"/>
        <v>0.60743740151912873</v>
      </c>
      <c r="AG10" s="128">
        <f t="shared" si="4"/>
        <v>0.59546848497120752</v>
      </c>
      <c r="AH10" s="128">
        <f t="shared" si="4"/>
        <v>0.58373540336359908</v>
      </c>
      <c r="AI10" s="128">
        <f t="shared" si="4"/>
        <v>0.57223350981629162</v>
      </c>
      <c r="AJ10" s="128">
        <f t="shared" si="4"/>
        <v>0.56095824901116709</v>
      </c>
      <c r="AK10" s="128">
        <f t="shared" si="4"/>
        <v>0.54990515538787088</v>
      </c>
      <c r="AL10" s="128">
        <f t="shared" si="4"/>
        <v>0.53906985137522878</v>
      </c>
      <c r="AM10" s="128">
        <f t="shared" si="4"/>
        <v>0.5284480456575128</v>
      </c>
      <c r="AN10" s="128">
        <f t="shared" si="4"/>
        <v>0.51803553147486792</v>
      </c>
      <c r="AO10" s="128">
        <f t="shared" si="4"/>
        <v>0.5078281849572277</v>
      </c>
      <c r="AP10" s="128">
        <f t="shared" si="4"/>
        <v>0.49782196349105745</v>
      </c>
      <c r="AQ10" s="128">
        <f t="shared" si="4"/>
        <v>0.48801290411828008</v>
      </c>
      <c r="AR10" s="128">
        <f t="shared" si="4"/>
        <v>0.47839712196674844</v>
      </c>
      <c r="AS10" s="128">
        <f t="shared" si="4"/>
        <v>0.46897080871164437</v>
      </c>
      <c r="AT10" s="128">
        <f t="shared" si="4"/>
        <v>0.4597302310671938</v>
      </c>
      <c r="AU10" s="128">
        <f t="shared" si="4"/>
        <v>0.45067172930810095</v>
      </c>
      <c r="AV10" s="128">
        <f t="shared" si="4"/>
        <v>0.44179171582011662</v>
      </c>
      <c r="AW10" s="128">
        <f t="shared" si="4"/>
        <v>0.43308667367916542</v>
      </c>
      <c r="AX10" s="128">
        <f t="shared" si="4"/>
        <v>0.42455315525847009</v>
      </c>
      <c r="AY10" s="128">
        <f t="shared" si="4"/>
        <v>0.41618778086312136</v>
      </c>
      <c r="AZ10" s="128">
        <f t="shared" si="4"/>
        <v>0.40798723739155118</v>
      </c>
    </row>
    <row r="11" spans="1:52" x14ac:dyDescent="0.25">
      <c r="A11" s="4"/>
      <c r="B11" s="4"/>
      <c r="C11" s="4"/>
      <c r="D11" s="4"/>
      <c r="E11" s="4"/>
      <c r="F11" s="4"/>
      <c r="G11" s="4"/>
      <c r="H11" s="4"/>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row>
    <row r="12" spans="1:52" ht="18.75" x14ac:dyDescent="0.3">
      <c r="A12" s="18" t="s">
        <v>47</v>
      </c>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row>
    <row r="13" spans="1:52" ht="18.75" x14ac:dyDescent="0.3">
      <c r="A13" s="18"/>
      <c r="B13" s="4"/>
      <c r="C13" s="4"/>
      <c r="D13" s="19" t="s">
        <v>48</v>
      </c>
      <c r="E13" s="84" t="s">
        <v>49</v>
      </c>
      <c r="F13" s="21"/>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row>
    <row r="14" spans="1:52" x14ac:dyDescent="0.25">
      <c r="A14" s="52" t="s">
        <v>50</v>
      </c>
      <c r="B14" s="49"/>
      <c r="C14" s="49"/>
      <c r="D14" s="124" t="s">
        <v>51</v>
      </c>
      <c r="E14" s="124" t="s">
        <v>48</v>
      </c>
      <c r="F14" s="124"/>
      <c r="G14" s="124" t="s">
        <v>52</v>
      </c>
      <c r="H14" s="62">
        <v>2026</v>
      </c>
      <c r="I14" s="62">
        <v>2027</v>
      </c>
      <c r="J14" s="62">
        <v>2028</v>
      </c>
      <c r="K14" s="62">
        <v>2029</v>
      </c>
      <c r="L14" s="62">
        <v>2030</v>
      </c>
      <c r="M14" s="62">
        <v>2031</v>
      </c>
      <c r="N14" s="62">
        <v>2032</v>
      </c>
      <c r="O14" s="62">
        <v>2033</v>
      </c>
      <c r="P14" s="62">
        <v>2034</v>
      </c>
      <c r="Q14" s="62">
        <v>2035</v>
      </c>
      <c r="R14" s="62">
        <v>2036</v>
      </c>
      <c r="S14" s="62">
        <v>2037</v>
      </c>
      <c r="T14" s="62">
        <v>2038</v>
      </c>
      <c r="U14" s="62">
        <v>2039</v>
      </c>
      <c r="V14" s="62">
        <v>2040</v>
      </c>
      <c r="W14" s="62">
        <v>2041</v>
      </c>
      <c r="X14" s="62">
        <v>2042</v>
      </c>
      <c r="Y14" s="62">
        <v>2043</v>
      </c>
      <c r="Z14" s="62">
        <v>2044</v>
      </c>
      <c r="AA14" s="62">
        <v>2045</v>
      </c>
      <c r="AB14" s="62">
        <v>2046</v>
      </c>
      <c r="AC14" s="62">
        <v>2047</v>
      </c>
      <c r="AD14" s="62">
        <v>2048</v>
      </c>
      <c r="AE14" s="62">
        <v>2049</v>
      </c>
      <c r="AF14" s="62">
        <v>2050</v>
      </c>
      <c r="AG14" s="62">
        <v>2051</v>
      </c>
      <c r="AH14" s="62">
        <v>2052</v>
      </c>
      <c r="AI14" s="62">
        <v>2053</v>
      </c>
      <c r="AJ14" s="62">
        <v>2054</v>
      </c>
      <c r="AK14" s="62">
        <v>2055</v>
      </c>
      <c r="AL14" s="62">
        <v>2056</v>
      </c>
      <c r="AM14" s="62">
        <v>2057</v>
      </c>
      <c r="AN14" s="62">
        <v>2058</v>
      </c>
      <c r="AO14" s="62">
        <v>2059</v>
      </c>
      <c r="AP14" s="62">
        <v>2060</v>
      </c>
      <c r="AQ14" s="62">
        <v>2061</v>
      </c>
      <c r="AR14" s="62">
        <v>2062</v>
      </c>
      <c r="AS14" s="62">
        <v>2063</v>
      </c>
      <c r="AT14" s="62">
        <v>2064</v>
      </c>
      <c r="AU14" s="62">
        <v>2065</v>
      </c>
      <c r="AV14" s="62">
        <v>2066</v>
      </c>
      <c r="AW14" s="62">
        <v>2067</v>
      </c>
      <c r="AX14" s="62">
        <v>2068</v>
      </c>
      <c r="AY14" s="62">
        <v>2069</v>
      </c>
      <c r="AZ14" s="62">
        <v>2070</v>
      </c>
    </row>
    <row r="15" spans="1:52" x14ac:dyDescent="0.25">
      <c r="A15" s="25" t="str">
        <f>"Please provide data through to "&amp;FinalYear_PP</f>
        <v>Please provide data through to 2047</v>
      </c>
      <c r="B15" s="4"/>
      <c r="C15" s="4"/>
      <c r="D15" s="106" t="s">
        <v>53</v>
      </c>
      <c r="E15" s="55" t="str">
        <f t="shared" ref="E15:E21" si="5">E$13</f>
        <v>Nominal</v>
      </c>
      <c r="F15" s="55"/>
      <c r="G15" s="22"/>
      <c r="H15" s="129">
        <v>800000</v>
      </c>
      <c r="I15" s="129">
        <v>800000</v>
      </c>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c r="AH15" s="129"/>
      <c r="AI15" s="129"/>
      <c r="AJ15" s="129"/>
      <c r="AK15" s="129"/>
      <c r="AL15" s="129"/>
      <c r="AM15" s="129"/>
      <c r="AN15" s="129"/>
      <c r="AO15" s="129"/>
      <c r="AP15" s="129"/>
      <c r="AQ15" s="129"/>
      <c r="AR15" s="129"/>
      <c r="AS15" s="129"/>
      <c r="AT15" s="129"/>
      <c r="AU15" s="129"/>
      <c r="AV15" s="129"/>
      <c r="AW15" s="129"/>
      <c r="AX15" s="129"/>
      <c r="AY15" s="129"/>
      <c r="AZ15" s="129"/>
    </row>
    <row r="16" spans="1:52" x14ac:dyDescent="0.25">
      <c r="A16" s="25"/>
      <c r="B16" s="4"/>
      <c r="C16" s="4"/>
      <c r="D16" s="106" t="s">
        <v>54</v>
      </c>
      <c r="E16" s="55" t="str">
        <f t="shared" si="5"/>
        <v>Nominal</v>
      </c>
      <c r="F16" s="55"/>
      <c r="G16" s="22"/>
      <c r="H16" s="129">
        <v>80000</v>
      </c>
      <c r="I16" s="129"/>
      <c r="J16" s="129"/>
      <c r="K16" s="129"/>
      <c r="L16" s="129"/>
      <c r="M16" s="129"/>
      <c r="N16" s="129"/>
      <c r="O16" s="129"/>
      <c r="P16" s="129"/>
      <c r="Q16" s="129"/>
      <c r="R16" s="129"/>
      <c r="S16" s="129"/>
      <c r="T16" s="129"/>
      <c r="U16" s="129"/>
      <c r="V16" s="129"/>
      <c r="W16" s="129"/>
      <c r="X16" s="129"/>
      <c r="Y16" s="129"/>
      <c r="Z16" s="129"/>
      <c r="AA16" s="129"/>
      <c r="AB16" s="129"/>
      <c r="AC16" s="129"/>
      <c r="AD16" s="129"/>
      <c r="AE16" s="129"/>
      <c r="AF16" s="129"/>
      <c r="AG16" s="129"/>
      <c r="AH16" s="129"/>
      <c r="AI16" s="129"/>
      <c r="AJ16" s="129"/>
      <c r="AK16" s="129"/>
      <c r="AL16" s="129"/>
      <c r="AM16" s="129"/>
      <c r="AN16" s="129"/>
      <c r="AO16" s="129"/>
      <c r="AP16" s="129"/>
      <c r="AQ16" s="129"/>
      <c r="AR16" s="129"/>
      <c r="AS16" s="129"/>
      <c r="AT16" s="129"/>
      <c r="AU16" s="129"/>
      <c r="AV16" s="129"/>
      <c r="AW16" s="129"/>
      <c r="AX16" s="129"/>
      <c r="AY16" s="129"/>
      <c r="AZ16" s="129"/>
    </row>
    <row r="17" spans="1:52" x14ac:dyDescent="0.25">
      <c r="A17" s="25"/>
      <c r="B17" s="4"/>
      <c r="C17" s="4"/>
      <c r="D17" s="106" t="s">
        <v>55</v>
      </c>
      <c r="E17" s="55" t="str">
        <f t="shared" si="5"/>
        <v>Nominal</v>
      </c>
      <c r="F17" s="55"/>
      <c r="G17" s="22"/>
      <c r="H17" s="129">
        <v>250000</v>
      </c>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row>
    <row r="18" spans="1:52" x14ac:dyDescent="0.25">
      <c r="A18" s="25"/>
      <c r="B18" s="4"/>
      <c r="C18" s="4"/>
      <c r="D18" s="106" t="s">
        <v>56</v>
      </c>
      <c r="E18" s="55" t="str">
        <f t="shared" si="5"/>
        <v>Nominal</v>
      </c>
      <c r="F18" s="55"/>
      <c r="G18" s="22"/>
      <c r="H18" s="129">
        <v>100000</v>
      </c>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c r="AH18" s="129"/>
      <c r="AI18" s="129"/>
      <c r="AJ18" s="129"/>
      <c r="AK18" s="129"/>
      <c r="AL18" s="129"/>
      <c r="AM18" s="129"/>
      <c r="AN18" s="129"/>
      <c r="AO18" s="129"/>
      <c r="AP18" s="129"/>
      <c r="AQ18" s="129"/>
      <c r="AR18" s="129"/>
      <c r="AS18" s="129"/>
      <c r="AT18" s="129"/>
      <c r="AU18" s="129"/>
      <c r="AV18" s="129"/>
      <c r="AW18" s="129"/>
      <c r="AX18" s="129"/>
      <c r="AY18" s="129"/>
      <c r="AZ18" s="129"/>
    </row>
    <row r="19" spans="1:52" x14ac:dyDescent="0.25">
      <c r="A19" s="25"/>
      <c r="B19" s="4"/>
      <c r="C19" s="4"/>
      <c r="D19" s="106" t="s">
        <v>57</v>
      </c>
      <c r="E19" s="55" t="str">
        <f t="shared" si="5"/>
        <v>Nominal</v>
      </c>
      <c r="F19" s="55"/>
      <c r="G19" s="22"/>
      <c r="H19" s="129">
        <v>50000</v>
      </c>
      <c r="I19" s="129">
        <v>50000</v>
      </c>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row>
    <row r="20" spans="1:52" x14ac:dyDescent="0.25">
      <c r="A20" s="25"/>
      <c r="B20" s="4"/>
      <c r="C20" s="4"/>
      <c r="D20" s="106" t="s">
        <v>58</v>
      </c>
      <c r="E20" s="55" t="str">
        <f t="shared" si="5"/>
        <v>Nominal</v>
      </c>
      <c r="F20" s="55"/>
      <c r="G20" s="22"/>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c r="AE20" s="129"/>
      <c r="AF20" s="129"/>
      <c r="AG20" s="129"/>
      <c r="AH20" s="129"/>
      <c r="AI20" s="129"/>
      <c r="AJ20" s="129"/>
      <c r="AK20" s="129"/>
      <c r="AL20" s="129"/>
      <c r="AM20" s="129"/>
      <c r="AN20" s="129"/>
      <c r="AO20" s="129"/>
      <c r="AP20" s="129"/>
      <c r="AQ20" s="129"/>
      <c r="AR20" s="129"/>
      <c r="AS20" s="129"/>
      <c r="AT20" s="129"/>
      <c r="AU20" s="129"/>
      <c r="AV20" s="129"/>
      <c r="AW20" s="129"/>
      <c r="AX20" s="129"/>
      <c r="AY20" s="129"/>
      <c r="AZ20" s="129"/>
    </row>
    <row r="21" spans="1:52" x14ac:dyDescent="0.25">
      <c r="A21" s="25"/>
      <c r="B21" s="4"/>
      <c r="C21" s="4"/>
      <c r="D21" s="21" t="s">
        <v>59</v>
      </c>
      <c r="E21" s="109" t="str">
        <f t="shared" si="5"/>
        <v>Nominal</v>
      </c>
      <c r="F21" s="55"/>
      <c r="G21" s="22"/>
      <c r="H21" s="129"/>
      <c r="I21" s="129"/>
      <c r="J21" s="129"/>
      <c r="K21" s="129"/>
      <c r="L21" s="129"/>
      <c r="M21" s="129"/>
      <c r="N21" s="129"/>
      <c r="O21" s="129"/>
      <c r="P21" s="129"/>
      <c r="Q21" s="129"/>
      <c r="R21" s="129"/>
      <c r="S21" s="129"/>
      <c r="T21" s="129"/>
      <c r="U21" s="129"/>
      <c r="V21" s="129"/>
      <c r="W21" s="129"/>
      <c r="X21" s="129"/>
      <c r="Y21" s="129"/>
      <c r="Z21" s="129"/>
      <c r="AA21" s="129"/>
      <c r="AB21" s="129"/>
      <c r="AC21" s="129"/>
      <c r="AD21" s="129"/>
      <c r="AE21" s="129"/>
      <c r="AF21" s="129"/>
      <c r="AG21" s="129"/>
      <c r="AH21" s="129"/>
      <c r="AI21" s="129"/>
      <c r="AJ21" s="129"/>
      <c r="AK21" s="129"/>
      <c r="AL21" s="129"/>
      <c r="AM21" s="129"/>
      <c r="AN21" s="129"/>
      <c r="AO21" s="129"/>
      <c r="AP21" s="129"/>
      <c r="AQ21" s="129"/>
      <c r="AR21" s="129"/>
      <c r="AS21" s="129"/>
      <c r="AT21" s="129"/>
      <c r="AU21" s="129"/>
      <c r="AV21" s="129"/>
      <c r="AW21" s="129"/>
      <c r="AX21" s="129"/>
      <c r="AY21" s="129"/>
      <c r="AZ21" s="129"/>
    </row>
    <row r="22" spans="1:52" x14ac:dyDescent="0.25">
      <c r="A22" s="25"/>
      <c r="B22" s="4"/>
      <c r="C22" s="4"/>
      <c r="D22" s="23" t="str">
        <f ca="1">"Total capex in "&amp;Analysis_year&amp;" dollars"</f>
        <v>Total capex in 2025 dollars</v>
      </c>
      <c r="E22" s="4"/>
      <c r="F22" s="4"/>
      <c r="G22" s="24"/>
      <c r="H22" s="130">
        <f t="shared" ref="H22:AZ22" si="6">SUM(H15:H21)*IF($E$13="Real",1,H$10)</f>
        <v>1253537.8166896808</v>
      </c>
      <c r="I22" s="130">
        <f t="shared" si="6"/>
        <v>816025.34692235198</v>
      </c>
      <c r="J22" s="130">
        <f t="shared" si="6"/>
        <v>0</v>
      </c>
      <c r="K22" s="130">
        <f t="shared" si="6"/>
        <v>0</v>
      </c>
      <c r="L22" s="130">
        <f t="shared" si="6"/>
        <v>0</v>
      </c>
      <c r="M22" s="130">
        <f t="shared" si="6"/>
        <v>0</v>
      </c>
      <c r="N22" s="130">
        <f t="shared" si="6"/>
        <v>0</v>
      </c>
      <c r="O22" s="130">
        <f t="shared" si="6"/>
        <v>0</v>
      </c>
      <c r="P22" s="130">
        <f t="shared" si="6"/>
        <v>0</v>
      </c>
      <c r="Q22" s="130">
        <f t="shared" si="6"/>
        <v>0</v>
      </c>
      <c r="R22" s="130">
        <f t="shared" si="6"/>
        <v>0</v>
      </c>
      <c r="S22" s="130">
        <f t="shared" si="6"/>
        <v>0</v>
      </c>
      <c r="T22" s="130">
        <f t="shared" si="6"/>
        <v>0</v>
      </c>
      <c r="U22" s="130">
        <f t="shared" si="6"/>
        <v>0</v>
      </c>
      <c r="V22" s="130">
        <f t="shared" si="6"/>
        <v>0</v>
      </c>
      <c r="W22" s="130">
        <f t="shared" si="6"/>
        <v>0</v>
      </c>
      <c r="X22" s="130">
        <f t="shared" si="6"/>
        <v>0</v>
      </c>
      <c r="Y22" s="130">
        <f t="shared" si="6"/>
        <v>0</v>
      </c>
      <c r="Z22" s="130">
        <f t="shared" si="6"/>
        <v>0</v>
      </c>
      <c r="AA22" s="130">
        <f t="shared" si="6"/>
        <v>0</v>
      </c>
      <c r="AB22" s="130">
        <f t="shared" si="6"/>
        <v>0</v>
      </c>
      <c r="AC22" s="130">
        <f t="shared" si="6"/>
        <v>0</v>
      </c>
      <c r="AD22" s="130">
        <f t="shared" si="6"/>
        <v>0</v>
      </c>
      <c r="AE22" s="130">
        <f t="shared" si="6"/>
        <v>0</v>
      </c>
      <c r="AF22" s="130">
        <f t="shared" si="6"/>
        <v>0</v>
      </c>
      <c r="AG22" s="130">
        <f t="shared" si="6"/>
        <v>0</v>
      </c>
      <c r="AH22" s="130">
        <f t="shared" si="6"/>
        <v>0</v>
      </c>
      <c r="AI22" s="130">
        <f t="shared" si="6"/>
        <v>0</v>
      </c>
      <c r="AJ22" s="130">
        <f t="shared" si="6"/>
        <v>0</v>
      </c>
      <c r="AK22" s="130">
        <f t="shared" si="6"/>
        <v>0</v>
      </c>
      <c r="AL22" s="130">
        <f t="shared" si="6"/>
        <v>0</v>
      </c>
      <c r="AM22" s="130">
        <f t="shared" si="6"/>
        <v>0</v>
      </c>
      <c r="AN22" s="130">
        <f t="shared" si="6"/>
        <v>0</v>
      </c>
      <c r="AO22" s="130">
        <f t="shared" si="6"/>
        <v>0</v>
      </c>
      <c r="AP22" s="130">
        <f t="shared" si="6"/>
        <v>0</v>
      </c>
      <c r="AQ22" s="130">
        <f t="shared" si="6"/>
        <v>0</v>
      </c>
      <c r="AR22" s="130">
        <f t="shared" si="6"/>
        <v>0</v>
      </c>
      <c r="AS22" s="130">
        <f t="shared" si="6"/>
        <v>0</v>
      </c>
      <c r="AT22" s="130">
        <f t="shared" si="6"/>
        <v>0</v>
      </c>
      <c r="AU22" s="130">
        <f t="shared" si="6"/>
        <v>0</v>
      </c>
      <c r="AV22" s="130">
        <f t="shared" si="6"/>
        <v>0</v>
      </c>
      <c r="AW22" s="130">
        <f t="shared" si="6"/>
        <v>0</v>
      </c>
      <c r="AX22" s="130">
        <f t="shared" si="6"/>
        <v>0</v>
      </c>
      <c r="AY22" s="130">
        <f t="shared" si="6"/>
        <v>0</v>
      </c>
      <c r="AZ22" s="130">
        <f t="shared" si="6"/>
        <v>0</v>
      </c>
    </row>
    <row r="23" spans="1:52" x14ac:dyDescent="0.25">
      <c r="A23" s="25"/>
      <c r="B23" s="4"/>
      <c r="C23" s="4"/>
      <c r="D23" s="20" t="s">
        <v>60</v>
      </c>
      <c r="E23" s="4"/>
      <c r="F23" s="4"/>
      <c r="G23" s="4"/>
      <c r="H23" s="131">
        <f t="shared" ref="H23:AZ23" si="7">SUM(H15:H21)*IF($E$13="Real",H9,1)</f>
        <v>1280000</v>
      </c>
      <c r="I23" s="131">
        <f t="shared" si="7"/>
        <v>850000</v>
      </c>
      <c r="J23" s="131">
        <f t="shared" si="7"/>
        <v>0</v>
      </c>
      <c r="K23" s="131">
        <f t="shared" si="7"/>
        <v>0</v>
      </c>
      <c r="L23" s="131">
        <f t="shared" si="7"/>
        <v>0</v>
      </c>
      <c r="M23" s="131">
        <f t="shared" si="7"/>
        <v>0</v>
      </c>
      <c r="N23" s="131">
        <f t="shared" si="7"/>
        <v>0</v>
      </c>
      <c r="O23" s="131">
        <f t="shared" si="7"/>
        <v>0</v>
      </c>
      <c r="P23" s="131">
        <f t="shared" si="7"/>
        <v>0</v>
      </c>
      <c r="Q23" s="131">
        <f t="shared" si="7"/>
        <v>0</v>
      </c>
      <c r="R23" s="131">
        <f t="shared" si="7"/>
        <v>0</v>
      </c>
      <c r="S23" s="131">
        <f t="shared" si="7"/>
        <v>0</v>
      </c>
      <c r="T23" s="131">
        <f t="shared" si="7"/>
        <v>0</v>
      </c>
      <c r="U23" s="131">
        <f t="shared" si="7"/>
        <v>0</v>
      </c>
      <c r="V23" s="131">
        <f t="shared" si="7"/>
        <v>0</v>
      </c>
      <c r="W23" s="131">
        <f t="shared" si="7"/>
        <v>0</v>
      </c>
      <c r="X23" s="131">
        <f t="shared" si="7"/>
        <v>0</v>
      </c>
      <c r="Y23" s="131">
        <f t="shared" si="7"/>
        <v>0</v>
      </c>
      <c r="Z23" s="131">
        <f t="shared" si="7"/>
        <v>0</v>
      </c>
      <c r="AA23" s="131">
        <f t="shared" si="7"/>
        <v>0</v>
      </c>
      <c r="AB23" s="131">
        <f t="shared" si="7"/>
        <v>0</v>
      </c>
      <c r="AC23" s="131">
        <f t="shared" si="7"/>
        <v>0</v>
      </c>
      <c r="AD23" s="131">
        <f t="shared" si="7"/>
        <v>0</v>
      </c>
      <c r="AE23" s="131">
        <f t="shared" si="7"/>
        <v>0</v>
      </c>
      <c r="AF23" s="131">
        <f t="shared" si="7"/>
        <v>0</v>
      </c>
      <c r="AG23" s="131">
        <f t="shared" si="7"/>
        <v>0</v>
      </c>
      <c r="AH23" s="131">
        <f t="shared" si="7"/>
        <v>0</v>
      </c>
      <c r="AI23" s="131">
        <f t="shared" si="7"/>
        <v>0</v>
      </c>
      <c r="AJ23" s="131">
        <f t="shared" si="7"/>
        <v>0</v>
      </c>
      <c r="AK23" s="131">
        <f t="shared" si="7"/>
        <v>0</v>
      </c>
      <c r="AL23" s="131">
        <f t="shared" si="7"/>
        <v>0</v>
      </c>
      <c r="AM23" s="131">
        <f t="shared" si="7"/>
        <v>0</v>
      </c>
      <c r="AN23" s="131">
        <f t="shared" si="7"/>
        <v>0</v>
      </c>
      <c r="AO23" s="131">
        <f t="shared" si="7"/>
        <v>0</v>
      </c>
      <c r="AP23" s="131">
        <f t="shared" si="7"/>
        <v>0</v>
      </c>
      <c r="AQ23" s="131">
        <f t="shared" si="7"/>
        <v>0</v>
      </c>
      <c r="AR23" s="131">
        <f t="shared" si="7"/>
        <v>0</v>
      </c>
      <c r="AS23" s="131">
        <f t="shared" si="7"/>
        <v>0</v>
      </c>
      <c r="AT23" s="131">
        <f t="shared" si="7"/>
        <v>0</v>
      </c>
      <c r="AU23" s="131">
        <f t="shared" si="7"/>
        <v>0</v>
      </c>
      <c r="AV23" s="131">
        <f t="shared" si="7"/>
        <v>0</v>
      </c>
      <c r="AW23" s="131">
        <f t="shared" si="7"/>
        <v>0</v>
      </c>
      <c r="AX23" s="131">
        <f t="shared" si="7"/>
        <v>0</v>
      </c>
      <c r="AY23" s="131">
        <f t="shared" si="7"/>
        <v>0</v>
      </c>
      <c r="AZ23" s="131">
        <f t="shared" si="7"/>
        <v>0</v>
      </c>
    </row>
    <row r="24" spans="1:52" x14ac:dyDescent="0.25">
      <c r="A24" s="25"/>
      <c r="B24" s="4"/>
      <c r="C24" s="4"/>
      <c r="D24" s="4"/>
      <c r="E24" s="4"/>
      <c r="F24" s="4"/>
      <c r="G24" s="4"/>
      <c r="H24" s="103"/>
      <c r="I24" s="103"/>
      <c r="J24" s="103"/>
      <c r="K24" s="103"/>
      <c r="L24" s="103"/>
      <c r="M24" s="103"/>
      <c r="N24" s="103"/>
      <c r="O24" s="103"/>
      <c r="P24" s="103"/>
      <c r="Q24" s="103"/>
      <c r="R24" s="103"/>
      <c r="S24" s="103"/>
      <c r="T24" s="103"/>
      <c r="U24" s="103"/>
      <c r="V24" s="103"/>
      <c r="W24" s="103"/>
      <c r="X24" s="103"/>
      <c r="Y24" s="103"/>
      <c r="Z24" s="103"/>
      <c r="AA24" s="103"/>
      <c r="AB24" s="103"/>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103"/>
      <c r="AZ24" s="103"/>
    </row>
    <row r="25" spans="1:52" x14ac:dyDescent="0.25">
      <c r="A25" s="25"/>
      <c r="B25" s="4"/>
      <c r="C25" s="4"/>
      <c r="D25" s="26" t="s">
        <v>48</v>
      </c>
      <c r="E25" s="85" t="s">
        <v>49</v>
      </c>
      <c r="F25" s="27"/>
      <c r="G25" s="4"/>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row>
    <row r="26" spans="1:52" x14ac:dyDescent="0.25">
      <c r="A26" s="50" t="s">
        <v>61</v>
      </c>
      <c r="B26" s="49"/>
      <c r="C26" s="49"/>
      <c r="D26" s="125" t="s">
        <v>51</v>
      </c>
      <c r="E26" s="125" t="s">
        <v>48</v>
      </c>
      <c r="F26" s="125"/>
      <c r="G26" s="125" t="s">
        <v>52</v>
      </c>
      <c r="H26" s="54">
        <v>2026</v>
      </c>
      <c r="I26" s="54">
        <v>2027</v>
      </c>
      <c r="J26" s="54">
        <v>2028</v>
      </c>
      <c r="K26" s="54">
        <v>2029</v>
      </c>
      <c r="L26" s="54">
        <v>2030</v>
      </c>
      <c r="M26" s="54">
        <v>2031</v>
      </c>
      <c r="N26" s="54">
        <v>2032</v>
      </c>
      <c r="O26" s="54">
        <v>2033</v>
      </c>
      <c r="P26" s="54">
        <v>2034</v>
      </c>
      <c r="Q26" s="54">
        <v>2035</v>
      </c>
      <c r="R26" s="54">
        <v>2036</v>
      </c>
      <c r="S26" s="54">
        <v>2037</v>
      </c>
      <c r="T26" s="54">
        <v>2038</v>
      </c>
      <c r="U26" s="54">
        <v>2039</v>
      </c>
      <c r="V26" s="54">
        <v>2040</v>
      </c>
      <c r="W26" s="54">
        <v>2041</v>
      </c>
      <c r="X26" s="54">
        <v>2042</v>
      </c>
      <c r="Y26" s="54">
        <v>2043</v>
      </c>
      <c r="Z26" s="54">
        <v>2044</v>
      </c>
      <c r="AA26" s="54">
        <v>2045</v>
      </c>
      <c r="AB26" s="54">
        <v>2046</v>
      </c>
      <c r="AC26" s="54">
        <v>2047</v>
      </c>
      <c r="AD26" s="54">
        <v>2048</v>
      </c>
      <c r="AE26" s="54">
        <v>2049</v>
      </c>
      <c r="AF26" s="54">
        <v>2050</v>
      </c>
      <c r="AG26" s="54">
        <v>2051</v>
      </c>
      <c r="AH26" s="54">
        <v>2052</v>
      </c>
      <c r="AI26" s="54">
        <v>2053</v>
      </c>
      <c r="AJ26" s="54">
        <v>2054</v>
      </c>
      <c r="AK26" s="54">
        <v>2055</v>
      </c>
      <c r="AL26" s="54">
        <v>2056</v>
      </c>
      <c r="AM26" s="54">
        <v>2057</v>
      </c>
      <c r="AN26" s="54">
        <v>2058</v>
      </c>
      <c r="AO26" s="54">
        <v>2059</v>
      </c>
      <c r="AP26" s="54">
        <v>2060</v>
      </c>
      <c r="AQ26" s="54">
        <v>2061</v>
      </c>
      <c r="AR26" s="54">
        <v>2062</v>
      </c>
      <c r="AS26" s="54">
        <v>2063</v>
      </c>
      <c r="AT26" s="54">
        <v>2064</v>
      </c>
      <c r="AU26" s="54">
        <v>2065</v>
      </c>
      <c r="AV26" s="54">
        <v>2066</v>
      </c>
      <c r="AW26" s="54">
        <v>2067</v>
      </c>
      <c r="AX26" s="54">
        <v>2068</v>
      </c>
      <c r="AY26" s="54">
        <v>2069</v>
      </c>
      <c r="AZ26" s="54">
        <v>2070</v>
      </c>
    </row>
    <row r="27" spans="1:52" s="29" customFormat="1" x14ac:dyDescent="0.25">
      <c r="A27" s="25" t="s">
        <v>62</v>
      </c>
      <c r="B27" s="121"/>
      <c r="C27" s="121"/>
      <c r="D27" s="108" t="s">
        <v>53</v>
      </c>
      <c r="E27" s="56" t="str">
        <f t="shared" ref="E27:E33" si="8">$E$25</f>
        <v>Nominal</v>
      </c>
      <c r="F27" s="56"/>
      <c r="G27" s="27"/>
      <c r="H27" s="132">
        <v>0</v>
      </c>
      <c r="I27" s="132">
        <v>0</v>
      </c>
      <c r="J27" s="132"/>
      <c r="K27" s="132"/>
      <c r="L27" s="132"/>
      <c r="M27" s="132"/>
      <c r="N27" s="132"/>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row>
    <row r="28" spans="1:52" s="29" customFormat="1" x14ac:dyDescent="0.25">
      <c r="A28" s="25"/>
      <c r="B28" s="121"/>
      <c r="C28" s="121"/>
      <c r="D28" s="108" t="s">
        <v>54</v>
      </c>
      <c r="E28" s="56" t="str">
        <f t="shared" si="8"/>
        <v>Nominal</v>
      </c>
      <c r="F28" s="56"/>
      <c r="G28" s="27"/>
      <c r="H28" s="132"/>
      <c r="I28" s="132"/>
      <c r="J28" s="132"/>
      <c r="K28" s="132"/>
      <c r="L28" s="132"/>
      <c r="M28" s="132"/>
      <c r="N28" s="132"/>
      <c r="O28" s="132"/>
      <c r="P28" s="132"/>
      <c r="Q28" s="132"/>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row>
    <row r="29" spans="1:52" s="29" customFormat="1" x14ac:dyDescent="0.25">
      <c r="A29" s="25"/>
      <c r="B29" s="121"/>
      <c r="C29" s="121"/>
      <c r="D29" s="108" t="s">
        <v>55</v>
      </c>
      <c r="E29" s="56" t="str">
        <f t="shared" si="8"/>
        <v>Nominal</v>
      </c>
      <c r="F29" s="56"/>
      <c r="G29" s="27"/>
      <c r="H29" s="132"/>
      <c r="I29" s="132"/>
      <c r="J29" s="132"/>
      <c r="K29" s="132"/>
      <c r="L29" s="132"/>
      <c r="M29" s="132"/>
      <c r="N29" s="132"/>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row>
    <row r="30" spans="1:52" s="29" customFormat="1" x14ac:dyDescent="0.25">
      <c r="A30" s="25"/>
      <c r="B30" s="121"/>
      <c r="C30" s="121"/>
      <c r="D30" s="108" t="s">
        <v>56</v>
      </c>
      <c r="E30" s="56" t="str">
        <f t="shared" si="8"/>
        <v>Nominal</v>
      </c>
      <c r="F30" s="56"/>
      <c r="G30" s="27"/>
      <c r="H30" s="132"/>
      <c r="I30" s="132"/>
      <c r="J30" s="132"/>
      <c r="K30" s="132"/>
      <c r="L30" s="132"/>
      <c r="M30" s="132"/>
      <c r="N30" s="132"/>
      <c r="O30" s="132"/>
      <c r="P30" s="132"/>
      <c r="Q30" s="132"/>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row>
    <row r="31" spans="1:52" s="29" customFormat="1" x14ac:dyDescent="0.25">
      <c r="A31" s="25"/>
      <c r="B31" s="121"/>
      <c r="C31" s="121"/>
      <c r="D31" s="108" t="s">
        <v>57</v>
      </c>
      <c r="E31" s="56" t="str">
        <f t="shared" si="8"/>
        <v>Nominal</v>
      </c>
      <c r="F31" s="56"/>
      <c r="G31" s="27"/>
      <c r="H31" s="132"/>
      <c r="I31" s="132"/>
      <c r="J31" s="132"/>
      <c r="K31" s="132"/>
      <c r="L31" s="132"/>
      <c r="M31" s="132"/>
      <c r="N31" s="132"/>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row>
    <row r="32" spans="1:52" s="29" customFormat="1" x14ac:dyDescent="0.25">
      <c r="A32" s="25"/>
      <c r="B32" s="121"/>
      <c r="C32" s="121"/>
      <c r="D32" s="108" t="s">
        <v>58</v>
      </c>
      <c r="E32" s="56" t="str">
        <f t="shared" si="8"/>
        <v>Nominal</v>
      </c>
      <c r="F32" s="56"/>
      <c r="G32" s="27"/>
      <c r="H32" s="132"/>
      <c r="I32" s="132"/>
      <c r="J32" s="132"/>
      <c r="K32" s="132"/>
      <c r="L32" s="132"/>
      <c r="M32" s="132"/>
      <c r="N32" s="132"/>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row>
    <row r="33" spans="1:53" s="29" customFormat="1" x14ac:dyDescent="0.25">
      <c r="A33" s="25"/>
      <c r="B33" s="121"/>
      <c r="C33" s="121"/>
      <c r="D33" s="139" t="s">
        <v>59</v>
      </c>
      <c r="E33" s="149" t="str">
        <f t="shared" si="8"/>
        <v>Nominal</v>
      </c>
      <c r="F33" s="149"/>
      <c r="G33" s="139"/>
      <c r="H33" s="150"/>
      <c r="I33" s="150"/>
      <c r="J33" s="150"/>
      <c r="K33" s="150"/>
      <c r="L33" s="150"/>
      <c r="M33" s="150"/>
      <c r="N33" s="150"/>
      <c r="O33" s="150"/>
      <c r="P33" s="150"/>
      <c r="Q33" s="150"/>
      <c r="R33" s="150"/>
      <c r="S33" s="150"/>
      <c r="T33" s="150"/>
      <c r="U33" s="150"/>
      <c r="V33" s="150"/>
      <c r="W33" s="150"/>
      <c r="X33" s="150"/>
      <c r="Y33" s="150"/>
      <c r="Z33" s="150"/>
      <c r="AA33" s="150"/>
      <c r="AB33" s="150"/>
      <c r="AC33" s="150"/>
      <c r="AD33" s="150"/>
      <c r="AE33" s="150"/>
      <c r="AF33" s="150"/>
      <c r="AG33" s="150"/>
      <c r="AH33" s="150"/>
      <c r="AI33" s="150"/>
      <c r="AJ33" s="150"/>
      <c r="AK33" s="150"/>
      <c r="AL33" s="150"/>
      <c r="AM33" s="150"/>
      <c r="AN33" s="150"/>
      <c r="AO33" s="150"/>
      <c r="AP33" s="150"/>
      <c r="AQ33" s="150"/>
      <c r="AR33" s="150"/>
      <c r="AS33" s="150"/>
      <c r="AT33" s="150"/>
      <c r="AU33" s="150"/>
      <c r="AV33" s="150"/>
      <c r="AW33" s="150"/>
      <c r="AX33" s="150"/>
      <c r="AY33" s="150"/>
      <c r="AZ33" s="150"/>
    </row>
    <row r="34" spans="1:53" x14ac:dyDescent="0.25">
      <c r="A34" s="25"/>
      <c r="B34" s="4"/>
      <c r="C34" s="4"/>
      <c r="D34" s="9" t="str">
        <f ca="1">"Total capex in "&amp;Analysis_year&amp;" dollars"</f>
        <v>Total capex in 2025 dollars</v>
      </c>
      <c r="E34" s="9"/>
      <c r="F34" s="9"/>
      <c r="G34" s="9"/>
      <c r="H34" s="133">
        <f t="shared" ref="H34:AZ34" si="9">SUM(H27:H33)*IF($E$25="Real",1,H$10)</f>
        <v>0</v>
      </c>
      <c r="I34" s="133">
        <f t="shared" si="9"/>
        <v>0</v>
      </c>
      <c r="J34" s="133">
        <f t="shared" si="9"/>
        <v>0</v>
      </c>
      <c r="K34" s="133">
        <f t="shared" si="9"/>
        <v>0</v>
      </c>
      <c r="L34" s="133">
        <f t="shared" si="9"/>
        <v>0</v>
      </c>
      <c r="M34" s="133">
        <f t="shared" si="9"/>
        <v>0</v>
      </c>
      <c r="N34" s="133">
        <f t="shared" si="9"/>
        <v>0</v>
      </c>
      <c r="O34" s="133">
        <f t="shared" si="9"/>
        <v>0</v>
      </c>
      <c r="P34" s="133">
        <f t="shared" si="9"/>
        <v>0</v>
      </c>
      <c r="Q34" s="133">
        <f t="shared" si="9"/>
        <v>0</v>
      </c>
      <c r="R34" s="133">
        <f t="shared" si="9"/>
        <v>0</v>
      </c>
      <c r="S34" s="133">
        <f t="shared" si="9"/>
        <v>0</v>
      </c>
      <c r="T34" s="133">
        <f t="shared" si="9"/>
        <v>0</v>
      </c>
      <c r="U34" s="133">
        <f t="shared" si="9"/>
        <v>0</v>
      </c>
      <c r="V34" s="133">
        <f t="shared" si="9"/>
        <v>0</v>
      </c>
      <c r="W34" s="133">
        <f t="shared" si="9"/>
        <v>0</v>
      </c>
      <c r="X34" s="133">
        <f t="shared" si="9"/>
        <v>0</v>
      </c>
      <c r="Y34" s="133">
        <f t="shared" si="9"/>
        <v>0</v>
      </c>
      <c r="Z34" s="133">
        <f t="shared" si="9"/>
        <v>0</v>
      </c>
      <c r="AA34" s="133">
        <f t="shared" si="9"/>
        <v>0</v>
      </c>
      <c r="AB34" s="133">
        <f t="shared" si="9"/>
        <v>0</v>
      </c>
      <c r="AC34" s="133">
        <f t="shared" si="9"/>
        <v>0</v>
      </c>
      <c r="AD34" s="133">
        <f t="shared" si="9"/>
        <v>0</v>
      </c>
      <c r="AE34" s="133">
        <f t="shared" si="9"/>
        <v>0</v>
      </c>
      <c r="AF34" s="133">
        <f t="shared" si="9"/>
        <v>0</v>
      </c>
      <c r="AG34" s="133">
        <f t="shared" si="9"/>
        <v>0</v>
      </c>
      <c r="AH34" s="133">
        <f t="shared" si="9"/>
        <v>0</v>
      </c>
      <c r="AI34" s="133">
        <f t="shared" si="9"/>
        <v>0</v>
      </c>
      <c r="AJ34" s="133">
        <f t="shared" si="9"/>
        <v>0</v>
      </c>
      <c r="AK34" s="133">
        <f t="shared" si="9"/>
        <v>0</v>
      </c>
      <c r="AL34" s="133">
        <f t="shared" si="9"/>
        <v>0</v>
      </c>
      <c r="AM34" s="133">
        <f t="shared" si="9"/>
        <v>0</v>
      </c>
      <c r="AN34" s="133">
        <f t="shared" si="9"/>
        <v>0</v>
      </c>
      <c r="AO34" s="133">
        <f t="shared" si="9"/>
        <v>0</v>
      </c>
      <c r="AP34" s="133">
        <f t="shared" si="9"/>
        <v>0</v>
      </c>
      <c r="AQ34" s="133">
        <f t="shared" si="9"/>
        <v>0</v>
      </c>
      <c r="AR34" s="133">
        <f t="shared" si="9"/>
        <v>0</v>
      </c>
      <c r="AS34" s="133">
        <f t="shared" si="9"/>
        <v>0</v>
      </c>
      <c r="AT34" s="133">
        <f t="shared" si="9"/>
        <v>0</v>
      </c>
      <c r="AU34" s="133">
        <f t="shared" si="9"/>
        <v>0</v>
      </c>
      <c r="AV34" s="133">
        <f t="shared" si="9"/>
        <v>0</v>
      </c>
      <c r="AW34" s="133">
        <f t="shared" si="9"/>
        <v>0</v>
      </c>
      <c r="AX34" s="133">
        <f t="shared" si="9"/>
        <v>0</v>
      </c>
      <c r="AY34" s="133">
        <f t="shared" si="9"/>
        <v>0</v>
      </c>
      <c r="AZ34" s="133">
        <f t="shared" si="9"/>
        <v>0</v>
      </c>
    </row>
    <row r="35" spans="1:53" x14ac:dyDescent="0.25">
      <c r="A35" s="25"/>
      <c r="B35" s="4"/>
      <c r="C35" s="4"/>
      <c r="D35" s="9" t="s">
        <v>60</v>
      </c>
      <c r="E35" s="9"/>
      <c r="F35" s="9"/>
      <c r="G35" s="9"/>
      <c r="H35" s="133">
        <f t="shared" ref="H35:AZ35" si="10">SUM(H27:H33)*IF($E$25="Real",H$9,1)</f>
        <v>0</v>
      </c>
      <c r="I35" s="133">
        <f t="shared" si="10"/>
        <v>0</v>
      </c>
      <c r="J35" s="133">
        <f t="shared" si="10"/>
        <v>0</v>
      </c>
      <c r="K35" s="133">
        <f t="shared" si="10"/>
        <v>0</v>
      </c>
      <c r="L35" s="133">
        <f t="shared" si="10"/>
        <v>0</v>
      </c>
      <c r="M35" s="133">
        <f t="shared" si="10"/>
        <v>0</v>
      </c>
      <c r="N35" s="133">
        <f t="shared" si="10"/>
        <v>0</v>
      </c>
      <c r="O35" s="133">
        <f t="shared" si="10"/>
        <v>0</v>
      </c>
      <c r="P35" s="133">
        <f t="shared" si="10"/>
        <v>0</v>
      </c>
      <c r="Q35" s="133">
        <f t="shared" si="10"/>
        <v>0</v>
      </c>
      <c r="R35" s="133">
        <f t="shared" si="10"/>
        <v>0</v>
      </c>
      <c r="S35" s="133">
        <f t="shared" si="10"/>
        <v>0</v>
      </c>
      <c r="T35" s="133">
        <f t="shared" si="10"/>
        <v>0</v>
      </c>
      <c r="U35" s="133">
        <f t="shared" si="10"/>
        <v>0</v>
      </c>
      <c r="V35" s="133">
        <f t="shared" si="10"/>
        <v>0</v>
      </c>
      <c r="W35" s="133">
        <f t="shared" si="10"/>
        <v>0</v>
      </c>
      <c r="X35" s="133">
        <f t="shared" si="10"/>
        <v>0</v>
      </c>
      <c r="Y35" s="133">
        <f t="shared" si="10"/>
        <v>0</v>
      </c>
      <c r="Z35" s="133">
        <f t="shared" si="10"/>
        <v>0</v>
      </c>
      <c r="AA35" s="133">
        <f t="shared" si="10"/>
        <v>0</v>
      </c>
      <c r="AB35" s="133">
        <f t="shared" si="10"/>
        <v>0</v>
      </c>
      <c r="AC35" s="133">
        <f t="shared" si="10"/>
        <v>0</v>
      </c>
      <c r="AD35" s="133">
        <f t="shared" si="10"/>
        <v>0</v>
      </c>
      <c r="AE35" s="133">
        <f t="shared" si="10"/>
        <v>0</v>
      </c>
      <c r="AF35" s="133">
        <f t="shared" si="10"/>
        <v>0</v>
      </c>
      <c r="AG35" s="133">
        <f t="shared" si="10"/>
        <v>0</v>
      </c>
      <c r="AH35" s="133">
        <f t="shared" si="10"/>
        <v>0</v>
      </c>
      <c r="AI35" s="133">
        <f t="shared" si="10"/>
        <v>0</v>
      </c>
      <c r="AJ35" s="133">
        <f t="shared" si="10"/>
        <v>0</v>
      </c>
      <c r="AK35" s="133">
        <f t="shared" si="10"/>
        <v>0</v>
      </c>
      <c r="AL35" s="133">
        <f t="shared" si="10"/>
        <v>0</v>
      </c>
      <c r="AM35" s="133">
        <f t="shared" si="10"/>
        <v>0</v>
      </c>
      <c r="AN35" s="133">
        <f t="shared" si="10"/>
        <v>0</v>
      </c>
      <c r="AO35" s="133">
        <f t="shared" si="10"/>
        <v>0</v>
      </c>
      <c r="AP35" s="133">
        <f t="shared" si="10"/>
        <v>0</v>
      </c>
      <c r="AQ35" s="133">
        <f t="shared" si="10"/>
        <v>0</v>
      </c>
      <c r="AR35" s="133">
        <f t="shared" si="10"/>
        <v>0</v>
      </c>
      <c r="AS35" s="133">
        <f t="shared" si="10"/>
        <v>0</v>
      </c>
      <c r="AT35" s="133">
        <f t="shared" si="10"/>
        <v>0</v>
      </c>
      <c r="AU35" s="133">
        <f t="shared" si="10"/>
        <v>0</v>
      </c>
      <c r="AV35" s="133">
        <f t="shared" si="10"/>
        <v>0</v>
      </c>
      <c r="AW35" s="133">
        <f t="shared" si="10"/>
        <v>0</v>
      </c>
      <c r="AX35" s="133">
        <f t="shared" si="10"/>
        <v>0</v>
      </c>
      <c r="AY35" s="133">
        <f t="shared" si="10"/>
        <v>0</v>
      </c>
      <c r="AZ35" s="133">
        <f t="shared" si="10"/>
        <v>0</v>
      </c>
    </row>
    <row r="36" spans="1:53" ht="18.75" x14ac:dyDescent="0.3">
      <c r="A36" s="25"/>
      <c r="B36" s="4"/>
      <c r="C36" s="4"/>
      <c r="D36" s="18"/>
      <c r="E36" s="9"/>
      <c r="F36" s="9"/>
      <c r="G36" s="9"/>
      <c r="H36" s="9"/>
      <c r="I36" s="9"/>
      <c r="J36" s="104"/>
      <c r="K36" s="104"/>
      <c r="L36" s="104"/>
      <c r="M36" s="104"/>
      <c r="N36" s="104"/>
      <c r="O36" s="104"/>
      <c r="P36" s="104"/>
      <c r="Q36" s="104"/>
      <c r="R36" s="104"/>
      <c r="S36" s="104"/>
      <c r="T36" s="104"/>
      <c r="U36" s="104"/>
      <c r="V36" s="104"/>
      <c r="W36" s="104"/>
      <c r="X36" s="104"/>
      <c r="Y36" s="104"/>
      <c r="Z36" s="104"/>
      <c r="AA36" s="104"/>
      <c r="AB36" s="104"/>
      <c r="AC36" s="104"/>
      <c r="AD36" s="104"/>
      <c r="AE36" s="104"/>
      <c r="AF36" s="104"/>
      <c r="AG36" s="104"/>
      <c r="AH36" s="104"/>
      <c r="AI36" s="104"/>
      <c r="AJ36" s="104"/>
      <c r="AK36" s="104"/>
      <c r="AL36" s="104"/>
      <c r="AM36" s="104"/>
      <c r="AN36" s="104"/>
      <c r="AO36" s="104"/>
      <c r="AP36" s="104"/>
      <c r="AQ36" s="104"/>
      <c r="AR36" s="104"/>
      <c r="AS36" s="104"/>
      <c r="AT36" s="104"/>
      <c r="AU36" s="104"/>
      <c r="AV36" s="104"/>
      <c r="AW36" s="104"/>
      <c r="AX36" s="104"/>
      <c r="AY36" s="104"/>
      <c r="AZ36" s="104"/>
    </row>
    <row r="37" spans="1:53" ht="18.75" x14ac:dyDescent="0.3">
      <c r="A37" s="25"/>
      <c r="B37" s="4"/>
      <c r="C37" s="4"/>
      <c r="D37" s="18"/>
      <c r="E37" s="4"/>
      <c r="F37" s="4"/>
      <c r="G37" s="4"/>
      <c r="H37" s="4"/>
      <c r="I37" s="4"/>
      <c r="J37" s="40"/>
      <c r="K37" s="40"/>
      <c r="L37" s="40"/>
      <c r="M37" s="40"/>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row>
    <row r="38" spans="1:53" ht="18.75" x14ac:dyDescent="0.3">
      <c r="A38" s="18" t="s">
        <v>63</v>
      </c>
      <c r="B38" s="4"/>
      <c r="C38" s="4"/>
      <c r="D38" s="18"/>
      <c r="E38" s="18"/>
      <c r="F38" s="18"/>
      <c r="G38" s="4"/>
      <c r="H38" s="4"/>
      <c r="I38" s="4"/>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row>
    <row r="39" spans="1:53" ht="18.75" x14ac:dyDescent="0.3">
      <c r="A39" s="3" t="s">
        <v>64</v>
      </c>
      <c r="B39" s="18"/>
      <c r="C39" s="18"/>
      <c r="D39" s="19" t="s">
        <v>48</v>
      </c>
      <c r="E39" s="84" t="s">
        <v>65</v>
      </c>
      <c r="F39" s="21"/>
      <c r="G39" s="4"/>
      <c r="H39" s="4"/>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row>
    <row r="40" spans="1:53" ht="18.75" x14ac:dyDescent="0.3">
      <c r="A40" s="52" t="s">
        <v>50</v>
      </c>
      <c r="B40" s="48"/>
      <c r="C40" s="48"/>
      <c r="D40" s="124" t="s">
        <v>66</v>
      </c>
      <c r="E40" s="124" t="s">
        <v>48</v>
      </c>
      <c r="F40" s="124"/>
      <c r="G40" s="124" t="s">
        <v>52</v>
      </c>
      <c r="H40" s="62">
        <v>2026</v>
      </c>
      <c r="I40" s="62">
        <v>2027</v>
      </c>
      <c r="J40" s="62">
        <v>2028</v>
      </c>
      <c r="K40" s="62">
        <v>2029</v>
      </c>
      <c r="L40" s="62">
        <v>2030</v>
      </c>
      <c r="M40" s="62">
        <v>2031</v>
      </c>
      <c r="N40" s="62">
        <v>2032</v>
      </c>
      <c r="O40" s="62">
        <v>2033</v>
      </c>
      <c r="P40" s="62">
        <v>2034</v>
      </c>
      <c r="Q40" s="62">
        <v>2035</v>
      </c>
      <c r="R40" s="62">
        <v>2036</v>
      </c>
      <c r="S40" s="62">
        <v>2037</v>
      </c>
      <c r="T40" s="62">
        <v>2038</v>
      </c>
      <c r="U40" s="62">
        <v>2039</v>
      </c>
      <c r="V40" s="62">
        <v>2040</v>
      </c>
      <c r="W40" s="62">
        <v>2041</v>
      </c>
      <c r="X40" s="62">
        <v>2042</v>
      </c>
      <c r="Y40" s="62">
        <v>2043</v>
      </c>
      <c r="Z40" s="62">
        <v>2044</v>
      </c>
      <c r="AA40" s="62">
        <v>2045</v>
      </c>
      <c r="AB40" s="62">
        <v>2046</v>
      </c>
      <c r="AC40" s="62">
        <v>2047</v>
      </c>
      <c r="AD40" s="62">
        <v>2048</v>
      </c>
      <c r="AE40" s="62">
        <v>2049</v>
      </c>
      <c r="AF40" s="62">
        <v>2050</v>
      </c>
      <c r="AG40" s="62">
        <v>2051</v>
      </c>
      <c r="AH40" s="62">
        <v>2052</v>
      </c>
      <c r="AI40" s="62">
        <v>2053</v>
      </c>
      <c r="AJ40" s="62">
        <v>2054</v>
      </c>
      <c r="AK40" s="62">
        <v>2055</v>
      </c>
      <c r="AL40" s="62">
        <v>2056</v>
      </c>
      <c r="AM40" s="62">
        <v>2057</v>
      </c>
      <c r="AN40" s="62">
        <v>2058</v>
      </c>
      <c r="AO40" s="62">
        <v>2059</v>
      </c>
      <c r="AP40" s="62">
        <v>2060</v>
      </c>
      <c r="AQ40" s="62">
        <v>2061</v>
      </c>
      <c r="AR40" s="62">
        <v>2062</v>
      </c>
      <c r="AS40" s="62">
        <v>2063</v>
      </c>
      <c r="AT40" s="62">
        <v>2064</v>
      </c>
      <c r="AU40" s="62">
        <v>2065</v>
      </c>
      <c r="AV40" s="62">
        <v>2066</v>
      </c>
      <c r="AW40" s="62">
        <v>2067</v>
      </c>
      <c r="AX40" s="62">
        <v>2068</v>
      </c>
      <c r="AY40" s="62">
        <v>2069</v>
      </c>
      <c r="AZ40" s="62">
        <v>2070</v>
      </c>
    </row>
    <row r="41" spans="1:53" ht="18.75" x14ac:dyDescent="0.3">
      <c r="A41" s="25" t="str">
        <f>"Please provide data through to "&amp;FinalYear_PP</f>
        <v>Please provide data through to 2047</v>
      </c>
      <c r="B41" s="18"/>
      <c r="C41" s="18"/>
      <c r="D41" s="106" t="s">
        <v>67</v>
      </c>
      <c r="E41" s="55" t="str">
        <f t="shared" ref="E41:E47" si="11">$E$39</f>
        <v>nominal</v>
      </c>
      <c r="F41" s="55"/>
      <c r="G41" s="22"/>
      <c r="H41" s="134"/>
      <c r="I41" s="134"/>
      <c r="J41" s="134"/>
      <c r="K41" s="134"/>
      <c r="L41" s="134"/>
      <c r="M41" s="134"/>
      <c r="N41" s="134"/>
      <c r="O41" s="134"/>
      <c r="P41" s="134"/>
      <c r="Q41" s="134"/>
      <c r="R41" s="134"/>
      <c r="S41" s="134"/>
      <c r="T41" s="134"/>
      <c r="U41" s="134"/>
      <c r="V41" s="134"/>
      <c r="W41" s="134"/>
      <c r="X41" s="134"/>
      <c r="Y41" s="134"/>
      <c r="Z41" s="134"/>
      <c r="AA41" s="134"/>
      <c r="AB41" s="134"/>
      <c r="AC41" s="134"/>
      <c r="AD41" s="134"/>
      <c r="AE41" s="134"/>
      <c r="AF41" s="134"/>
      <c r="AG41" s="79"/>
      <c r="AH41" s="79"/>
      <c r="AI41" s="79"/>
      <c r="AJ41" s="79"/>
      <c r="AK41" s="79"/>
      <c r="AL41" s="79"/>
      <c r="AM41" s="79"/>
      <c r="AN41" s="79"/>
      <c r="AO41" s="79"/>
      <c r="AP41" s="79"/>
      <c r="AQ41" s="79"/>
      <c r="AR41" s="79"/>
      <c r="AS41" s="79"/>
      <c r="AT41" s="79"/>
      <c r="AU41" s="79"/>
      <c r="AV41" s="79"/>
      <c r="AW41" s="79"/>
      <c r="AX41" s="79"/>
      <c r="AY41" s="79"/>
      <c r="AZ41" s="79"/>
    </row>
    <row r="42" spans="1:53" ht="18.75" x14ac:dyDescent="0.3">
      <c r="A42" s="25"/>
      <c r="B42" s="18"/>
      <c r="C42" s="18"/>
      <c r="D42" s="106" t="s">
        <v>68</v>
      </c>
      <c r="E42" s="55" t="str">
        <f t="shared" si="11"/>
        <v>nominal</v>
      </c>
      <c r="F42" s="55"/>
      <c r="G42" s="22"/>
      <c r="H42" s="134">
        <v>100000</v>
      </c>
      <c r="I42" s="134">
        <f t="shared" ref="I42" si="12">H42</f>
        <v>100000</v>
      </c>
      <c r="J42" s="134">
        <f t="shared" ref="J42" si="13">I42</f>
        <v>100000</v>
      </c>
      <c r="K42" s="134">
        <f t="shared" ref="K42" si="14">J42</f>
        <v>100000</v>
      </c>
      <c r="L42" s="134">
        <f t="shared" ref="L42" si="15">K42</f>
        <v>100000</v>
      </c>
      <c r="M42" s="134">
        <f t="shared" ref="M42" si="16">L42</f>
        <v>100000</v>
      </c>
      <c r="N42" s="134">
        <f t="shared" ref="N42" si="17">M42</f>
        <v>100000</v>
      </c>
      <c r="O42" s="134">
        <f t="shared" ref="O42" si="18">N42</f>
        <v>100000</v>
      </c>
      <c r="P42" s="134">
        <f t="shared" ref="P42" si="19">O42</f>
        <v>100000</v>
      </c>
      <c r="Q42" s="134">
        <f t="shared" ref="Q42" si="20">P42</f>
        <v>100000</v>
      </c>
      <c r="R42" s="134">
        <f t="shared" ref="R42" si="21">Q42</f>
        <v>100000</v>
      </c>
      <c r="S42" s="134">
        <f t="shared" ref="S42" si="22">R42</f>
        <v>100000</v>
      </c>
      <c r="T42" s="134">
        <f t="shared" ref="T42" si="23">S42</f>
        <v>100000</v>
      </c>
      <c r="U42" s="134">
        <f t="shared" ref="U42" si="24">T42</f>
        <v>100000</v>
      </c>
      <c r="V42" s="134">
        <f t="shared" ref="V42" si="25">U42</f>
        <v>100000</v>
      </c>
      <c r="W42" s="134">
        <f t="shared" ref="W42" si="26">V42</f>
        <v>100000</v>
      </c>
      <c r="X42" s="134">
        <f t="shared" ref="X42" si="27">W42</f>
        <v>100000</v>
      </c>
      <c r="Y42" s="134">
        <f t="shared" ref="Y42" si="28">X42</f>
        <v>100000</v>
      </c>
      <c r="Z42" s="134">
        <f t="shared" ref="Z42" si="29">Y42</f>
        <v>100000</v>
      </c>
      <c r="AA42" s="134">
        <f t="shared" ref="AA42" si="30">Z42</f>
        <v>100000</v>
      </c>
      <c r="AB42" s="134">
        <f t="shared" ref="AB42" si="31">AA42</f>
        <v>100000</v>
      </c>
      <c r="AC42" s="134">
        <f t="shared" ref="AC42" si="32">AB42</f>
        <v>100000</v>
      </c>
      <c r="AD42" s="79"/>
      <c r="AE42" s="79"/>
      <c r="AF42" s="79"/>
      <c r="AG42" s="79"/>
      <c r="AH42" s="79"/>
      <c r="AI42" s="79"/>
      <c r="AJ42" s="79"/>
      <c r="AK42" s="79"/>
      <c r="AL42" s="79"/>
      <c r="AM42" s="79"/>
      <c r="AN42" s="79"/>
      <c r="AO42" s="79"/>
      <c r="AP42" s="79"/>
      <c r="AQ42" s="79"/>
      <c r="AR42" s="79"/>
      <c r="AS42" s="79"/>
      <c r="AT42" s="79"/>
      <c r="AU42" s="79"/>
      <c r="AV42" s="79"/>
      <c r="AW42" s="79"/>
      <c r="AX42" s="79"/>
      <c r="AY42" s="79"/>
      <c r="AZ42" s="79"/>
    </row>
    <row r="43" spans="1:53" ht="18.75" x14ac:dyDescent="0.3">
      <c r="A43" s="25"/>
      <c r="B43" s="18"/>
      <c r="C43" s="18"/>
      <c r="D43" s="106" t="s">
        <v>69</v>
      </c>
      <c r="E43" s="55" t="str">
        <f t="shared" si="11"/>
        <v>nominal</v>
      </c>
      <c r="F43" s="55"/>
      <c r="G43" s="22"/>
      <c r="H43" s="134">
        <v>20000</v>
      </c>
      <c r="I43" s="134">
        <v>20000</v>
      </c>
      <c r="J43" s="134">
        <v>20000</v>
      </c>
      <c r="K43" s="134">
        <v>20000</v>
      </c>
      <c r="L43" s="134">
        <v>20000</v>
      </c>
      <c r="M43" s="134">
        <v>20000</v>
      </c>
      <c r="N43" s="134">
        <v>20000</v>
      </c>
      <c r="O43" s="134">
        <v>20000</v>
      </c>
      <c r="P43" s="134">
        <v>20000</v>
      </c>
      <c r="Q43" s="134">
        <v>20000</v>
      </c>
      <c r="R43" s="134">
        <v>20000</v>
      </c>
      <c r="S43" s="134">
        <v>20000</v>
      </c>
      <c r="T43" s="134">
        <v>20000</v>
      </c>
      <c r="U43" s="134">
        <v>20000</v>
      </c>
      <c r="V43" s="134">
        <v>20000</v>
      </c>
      <c r="W43" s="134">
        <v>20000</v>
      </c>
      <c r="X43" s="134">
        <v>20000</v>
      </c>
      <c r="Y43" s="134">
        <v>20000</v>
      </c>
      <c r="Z43" s="134">
        <v>20000</v>
      </c>
      <c r="AA43" s="134">
        <v>20000</v>
      </c>
      <c r="AB43" s="134">
        <v>20000</v>
      </c>
      <c r="AC43" s="134">
        <v>20000</v>
      </c>
      <c r="AD43" s="134"/>
      <c r="AE43" s="134"/>
      <c r="AF43" s="134"/>
      <c r="AG43" s="79"/>
      <c r="AH43" s="79"/>
      <c r="AI43" s="79"/>
      <c r="AJ43" s="79"/>
      <c r="AK43" s="79"/>
      <c r="AL43" s="79"/>
      <c r="AM43" s="79"/>
      <c r="AN43" s="79"/>
      <c r="AO43" s="79"/>
      <c r="AP43" s="79"/>
      <c r="AQ43" s="79"/>
      <c r="AR43" s="79"/>
      <c r="AS43" s="79"/>
      <c r="AT43" s="79"/>
      <c r="AU43" s="79"/>
      <c r="AV43" s="79"/>
      <c r="AW43" s="79"/>
      <c r="AX43" s="79"/>
      <c r="AY43" s="79"/>
      <c r="AZ43" s="79"/>
    </row>
    <row r="44" spans="1:53" ht="18.75" x14ac:dyDescent="0.3">
      <c r="A44" s="25"/>
      <c r="B44" s="18"/>
      <c r="C44" s="18"/>
      <c r="D44" s="106" t="s">
        <v>70</v>
      </c>
      <c r="E44" s="55" t="str">
        <f t="shared" si="11"/>
        <v>nominal</v>
      </c>
      <c r="F44" s="55"/>
      <c r="G44" s="22"/>
      <c r="H44" s="134">
        <v>10000</v>
      </c>
      <c r="I44" s="134">
        <v>10000</v>
      </c>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79"/>
      <c r="AH44" s="79"/>
      <c r="AI44" s="79"/>
      <c r="AJ44" s="79"/>
      <c r="AK44" s="79"/>
      <c r="AL44" s="79"/>
      <c r="AM44" s="79"/>
      <c r="AN44" s="79"/>
      <c r="AO44" s="79"/>
      <c r="AP44" s="79"/>
      <c r="AQ44" s="79"/>
      <c r="AR44" s="79"/>
      <c r="AS44" s="79"/>
      <c r="AT44" s="79"/>
      <c r="AU44" s="79"/>
      <c r="AV44" s="79"/>
      <c r="AW44" s="79"/>
      <c r="AX44" s="79"/>
      <c r="AY44" s="79"/>
      <c r="AZ44" s="79"/>
      <c r="BA44" s="29"/>
    </row>
    <row r="45" spans="1:53" ht="18.75" x14ac:dyDescent="0.3">
      <c r="A45" s="25"/>
      <c r="B45" s="18"/>
      <c r="C45" s="18"/>
      <c r="D45" s="106" t="s">
        <v>71</v>
      </c>
      <c r="E45" s="55" t="str">
        <f t="shared" si="11"/>
        <v>nominal</v>
      </c>
      <c r="F45" s="55"/>
      <c r="G45" s="22"/>
      <c r="H45" s="134"/>
      <c r="I45" s="134"/>
      <c r="J45" s="134"/>
      <c r="K45" s="134"/>
      <c r="L45" s="134"/>
      <c r="M45" s="134"/>
      <c r="N45" s="134"/>
      <c r="O45" s="134"/>
      <c r="P45" s="134"/>
      <c r="Q45" s="134"/>
      <c r="R45" s="134"/>
      <c r="S45" s="134"/>
      <c r="T45" s="134"/>
      <c r="U45" s="134"/>
      <c r="V45" s="134"/>
      <c r="W45" s="134"/>
      <c r="X45" s="134"/>
      <c r="Y45" s="134"/>
      <c r="Z45" s="134"/>
      <c r="AA45" s="134"/>
      <c r="AB45" s="134"/>
      <c r="AC45" s="134"/>
      <c r="AD45" s="134"/>
      <c r="AE45" s="134"/>
      <c r="AF45" s="134"/>
      <c r="AG45" s="79"/>
      <c r="AH45" s="79"/>
      <c r="AI45" s="79"/>
      <c r="AJ45" s="79"/>
      <c r="AK45" s="79"/>
      <c r="AL45" s="79"/>
      <c r="AM45" s="79"/>
      <c r="AN45" s="79"/>
      <c r="AO45" s="79"/>
      <c r="AP45" s="79"/>
      <c r="AQ45" s="79"/>
      <c r="AR45" s="79"/>
      <c r="AS45" s="79"/>
      <c r="AT45" s="79"/>
      <c r="AU45" s="79"/>
      <c r="AV45" s="79"/>
      <c r="AW45" s="79"/>
      <c r="AX45" s="79"/>
      <c r="AY45" s="79"/>
      <c r="AZ45" s="79"/>
      <c r="BA45" s="29"/>
    </row>
    <row r="46" spans="1:53" ht="18.75" x14ac:dyDescent="0.3">
      <c r="A46" s="25"/>
      <c r="B46" s="18"/>
      <c r="C46" s="18"/>
      <c r="D46" s="106" t="s">
        <v>72</v>
      </c>
      <c r="E46" s="55" t="str">
        <f t="shared" si="11"/>
        <v>nominal</v>
      </c>
      <c r="F46" s="55"/>
      <c r="G46" s="22"/>
      <c r="H46" s="134"/>
      <c r="I46" s="134"/>
      <c r="J46" s="134"/>
      <c r="K46" s="134"/>
      <c r="L46" s="134"/>
      <c r="M46" s="134"/>
      <c r="N46" s="134"/>
      <c r="O46" s="134"/>
      <c r="P46" s="134"/>
      <c r="Q46" s="134"/>
      <c r="R46" s="134"/>
      <c r="S46" s="134"/>
      <c r="T46" s="134"/>
      <c r="U46" s="134"/>
      <c r="V46" s="134"/>
      <c r="W46" s="134"/>
      <c r="X46" s="134"/>
      <c r="Y46" s="134"/>
      <c r="Z46" s="134"/>
      <c r="AA46" s="134"/>
      <c r="AB46" s="134"/>
      <c r="AC46" s="134"/>
      <c r="AD46" s="134"/>
      <c r="AE46" s="134"/>
      <c r="AF46" s="134"/>
      <c r="AG46" s="79"/>
      <c r="AH46" s="79"/>
      <c r="AI46" s="79"/>
      <c r="AJ46" s="79"/>
      <c r="AK46" s="79"/>
      <c r="AL46" s="79"/>
      <c r="AM46" s="79"/>
      <c r="AN46" s="79"/>
      <c r="AO46" s="79"/>
      <c r="AP46" s="79"/>
      <c r="AQ46" s="79"/>
      <c r="AR46" s="79"/>
      <c r="AS46" s="79"/>
      <c r="AT46" s="79"/>
      <c r="AU46" s="79"/>
      <c r="AV46" s="79"/>
      <c r="AW46" s="79"/>
      <c r="AX46" s="79"/>
      <c r="AY46" s="79"/>
      <c r="AZ46" s="79"/>
      <c r="BA46" s="29"/>
    </row>
    <row r="47" spans="1:53" ht="18.75" x14ac:dyDescent="0.3">
      <c r="A47" s="25"/>
      <c r="B47" s="18"/>
      <c r="C47" s="18"/>
      <c r="D47" s="151" t="s">
        <v>59</v>
      </c>
      <c r="E47" s="109" t="str">
        <f t="shared" si="11"/>
        <v>nominal</v>
      </c>
      <c r="F47" s="109"/>
      <c r="G47" s="152"/>
      <c r="H47" s="153"/>
      <c r="I47" s="153"/>
      <c r="J47" s="153"/>
      <c r="K47" s="153"/>
      <c r="L47" s="153"/>
      <c r="M47" s="153"/>
      <c r="N47" s="153"/>
      <c r="O47" s="153"/>
      <c r="P47" s="153"/>
      <c r="Q47" s="153"/>
      <c r="R47" s="153"/>
      <c r="S47" s="153"/>
      <c r="T47" s="153"/>
      <c r="U47" s="153"/>
      <c r="V47" s="153"/>
      <c r="W47" s="153"/>
      <c r="X47" s="153"/>
      <c r="Y47" s="153"/>
      <c r="Z47" s="153"/>
      <c r="AA47" s="153"/>
      <c r="AB47" s="153"/>
      <c r="AC47" s="153"/>
      <c r="AD47" s="153"/>
      <c r="AE47" s="153"/>
      <c r="AF47" s="153"/>
      <c r="AG47" s="154"/>
      <c r="AH47" s="154"/>
      <c r="AI47" s="154"/>
      <c r="AJ47" s="154"/>
      <c r="AK47" s="154"/>
      <c r="AL47" s="154"/>
      <c r="AM47" s="154"/>
      <c r="AN47" s="154"/>
      <c r="AO47" s="154"/>
      <c r="AP47" s="154"/>
      <c r="AQ47" s="154"/>
      <c r="AR47" s="154"/>
      <c r="AS47" s="154"/>
      <c r="AT47" s="154"/>
      <c r="AU47" s="154"/>
      <c r="AV47" s="154"/>
      <c r="AW47" s="154"/>
      <c r="AX47" s="154"/>
      <c r="AY47" s="154"/>
      <c r="AZ47" s="154"/>
      <c r="BA47" s="29"/>
    </row>
    <row r="48" spans="1:53" ht="18.75" x14ac:dyDescent="0.3">
      <c r="A48" s="25"/>
      <c r="B48" s="18"/>
      <c r="C48" s="18"/>
      <c r="D48" s="20" t="str">
        <f ca="1">"Total non-fuel opex in "&amp;Analysis_year&amp;" dollars"</f>
        <v>Total non-fuel opex in 2025 dollars</v>
      </c>
      <c r="E48" s="20"/>
      <c r="F48" s="20"/>
      <c r="G48" s="20"/>
      <c r="H48" s="131">
        <f t="shared" ref="H48:AZ48" si="33">SUM(H41:H47)*IF($E$39="Real",1,H$10)</f>
        <v>127312.43450754571</v>
      </c>
      <c r="I48" s="131">
        <f t="shared" si="33"/>
        <v>124803.87658812442</v>
      </c>
      <c r="J48" s="131">
        <f t="shared" si="33"/>
        <v>112933.6127723144</v>
      </c>
      <c r="K48" s="131">
        <f t="shared" si="33"/>
        <v>110708.37444595079</v>
      </c>
      <c r="L48" s="131">
        <f t="shared" si="33"/>
        <v>108526.98210562766</v>
      </c>
      <c r="M48" s="131">
        <f t="shared" si="33"/>
        <v>106388.5718122024</v>
      </c>
      <c r="N48" s="131">
        <f t="shared" si="33"/>
        <v>104292.29664954652</v>
      </c>
      <c r="O48" s="131">
        <f t="shared" si="33"/>
        <v>102237.32638912511</v>
      </c>
      <c r="P48" s="131">
        <f t="shared" si="33"/>
        <v>100222.84716118527</v>
      </c>
      <c r="Q48" s="131">
        <f t="shared" si="33"/>
        <v>98248.061132423565</v>
      </c>
      <c r="R48" s="131">
        <f t="shared" si="33"/>
        <v>96312.186190004461</v>
      </c>
      <c r="S48" s="131">
        <f t="shared" si="33"/>
        <v>94414.455631805191</v>
      </c>
      <c r="T48" s="131">
        <f t="shared" si="33"/>
        <v>92554.11786276364</v>
      </c>
      <c r="U48" s="131">
        <f t="shared" si="33"/>
        <v>90730.43609720972</v>
      </c>
      <c r="V48" s="131">
        <f t="shared" si="33"/>
        <v>88942.688067061783</v>
      </c>
      <c r="W48" s="131">
        <f t="shared" si="33"/>
        <v>87190.165735772753</v>
      </c>
      <c r="X48" s="131">
        <f t="shared" si="33"/>
        <v>85472.175017912712</v>
      </c>
      <c r="Y48" s="131">
        <f t="shared" si="33"/>
        <v>83788.035504276748</v>
      </c>
      <c r="Z48" s="131">
        <f t="shared" si="33"/>
        <v>82137.080192409325</v>
      </c>
      <c r="AA48" s="131">
        <f t="shared" si="33"/>
        <v>80518.655222438305</v>
      </c>
      <c r="AB48" s="131">
        <f t="shared" si="33"/>
        <v>78932.119618114215</v>
      </c>
      <c r="AC48" s="131">
        <f t="shared" si="33"/>
        <v>77376.845032951882</v>
      </c>
      <c r="AD48" s="131">
        <f t="shared" si="33"/>
        <v>0</v>
      </c>
      <c r="AE48" s="131">
        <f t="shared" si="33"/>
        <v>0</v>
      </c>
      <c r="AF48" s="131">
        <f t="shared" si="33"/>
        <v>0</v>
      </c>
      <c r="AG48" s="103">
        <f t="shared" si="33"/>
        <v>0</v>
      </c>
      <c r="AH48" s="103">
        <f t="shared" si="33"/>
        <v>0</v>
      </c>
      <c r="AI48" s="103">
        <f t="shared" si="33"/>
        <v>0</v>
      </c>
      <c r="AJ48" s="103">
        <f t="shared" si="33"/>
        <v>0</v>
      </c>
      <c r="AK48" s="103">
        <f t="shared" si="33"/>
        <v>0</v>
      </c>
      <c r="AL48" s="103">
        <f t="shared" si="33"/>
        <v>0</v>
      </c>
      <c r="AM48" s="103">
        <f t="shared" si="33"/>
        <v>0</v>
      </c>
      <c r="AN48" s="103">
        <f t="shared" si="33"/>
        <v>0</v>
      </c>
      <c r="AO48" s="103">
        <f t="shared" si="33"/>
        <v>0</v>
      </c>
      <c r="AP48" s="103">
        <f t="shared" si="33"/>
        <v>0</v>
      </c>
      <c r="AQ48" s="103">
        <f t="shared" si="33"/>
        <v>0</v>
      </c>
      <c r="AR48" s="103">
        <f t="shared" si="33"/>
        <v>0</v>
      </c>
      <c r="AS48" s="103">
        <f t="shared" si="33"/>
        <v>0</v>
      </c>
      <c r="AT48" s="103">
        <f t="shared" si="33"/>
        <v>0</v>
      </c>
      <c r="AU48" s="103">
        <f t="shared" si="33"/>
        <v>0</v>
      </c>
      <c r="AV48" s="103">
        <f t="shared" si="33"/>
        <v>0</v>
      </c>
      <c r="AW48" s="103">
        <f t="shared" si="33"/>
        <v>0</v>
      </c>
      <c r="AX48" s="103">
        <f t="shared" si="33"/>
        <v>0</v>
      </c>
      <c r="AY48" s="103">
        <f t="shared" si="33"/>
        <v>0</v>
      </c>
      <c r="AZ48" s="103">
        <f t="shared" si="33"/>
        <v>0</v>
      </c>
      <c r="BA48" s="29"/>
    </row>
    <row r="49" spans="1:53" ht="18.75" x14ac:dyDescent="0.3">
      <c r="A49" s="25"/>
      <c r="B49" s="18"/>
      <c r="C49" s="18"/>
      <c r="D49" s="20" t="s">
        <v>73</v>
      </c>
      <c r="E49" s="20"/>
      <c r="F49" s="20"/>
      <c r="G49" s="20"/>
      <c r="H49" s="131">
        <f t="shared" ref="H49:AZ49" si="34">SUM(H41:H47)*IF($E$39="Real",H$9,1)</f>
        <v>130000</v>
      </c>
      <c r="I49" s="131">
        <f t="shared" si="34"/>
        <v>130000</v>
      </c>
      <c r="J49" s="131">
        <f t="shared" si="34"/>
        <v>120000</v>
      </c>
      <c r="K49" s="131">
        <f t="shared" si="34"/>
        <v>120000</v>
      </c>
      <c r="L49" s="131">
        <f t="shared" si="34"/>
        <v>120000</v>
      </c>
      <c r="M49" s="131">
        <f t="shared" si="34"/>
        <v>120000</v>
      </c>
      <c r="N49" s="131">
        <f t="shared" si="34"/>
        <v>120000</v>
      </c>
      <c r="O49" s="131">
        <f t="shared" si="34"/>
        <v>120000</v>
      </c>
      <c r="P49" s="131">
        <f t="shared" si="34"/>
        <v>120000</v>
      </c>
      <c r="Q49" s="131">
        <f t="shared" si="34"/>
        <v>120000</v>
      </c>
      <c r="R49" s="131">
        <f t="shared" si="34"/>
        <v>120000</v>
      </c>
      <c r="S49" s="131">
        <f t="shared" si="34"/>
        <v>120000</v>
      </c>
      <c r="T49" s="131">
        <f t="shared" si="34"/>
        <v>120000</v>
      </c>
      <c r="U49" s="131">
        <f t="shared" si="34"/>
        <v>120000</v>
      </c>
      <c r="V49" s="131">
        <f t="shared" si="34"/>
        <v>120000</v>
      </c>
      <c r="W49" s="131">
        <f t="shared" si="34"/>
        <v>120000</v>
      </c>
      <c r="X49" s="131">
        <f t="shared" si="34"/>
        <v>120000</v>
      </c>
      <c r="Y49" s="131">
        <f t="shared" si="34"/>
        <v>120000</v>
      </c>
      <c r="Z49" s="131">
        <f t="shared" si="34"/>
        <v>120000</v>
      </c>
      <c r="AA49" s="131">
        <f t="shared" si="34"/>
        <v>120000</v>
      </c>
      <c r="AB49" s="131">
        <f t="shared" si="34"/>
        <v>120000</v>
      </c>
      <c r="AC49" s="131">
        <f t="shared" si="34"/>
        <v>120000</v>
      </c>
      <c r="AD49" s="131">
        <f t="shared" si="34"/>
        <v>0</v>
      </c>
      <c r="AE49" s="131">
        <f t="shared" si="34"/>
        <v>0</v>
      </c>
      <c r="AF49" s="131">
        <f t="shared" si="34"/>
        <v>0</v>
      </c>
      <c r="AG49" s="103">
        <f t="shared" si="34"/>
        <v>0</v>
      </c>
      <c r="AH49" s="103">
        <f t="shared" si="34"/>
        <v>0</v>
      </c>
      <c r="AI49" s="103">
        <f t="shared" si="34"/>
        <v>0</v>
      </c>
      <c r="AJ49" s="103">
        <f t="shared" si="34"/>
        <v>0</v>
      </c>
      <c r="AK49" s="103">
        <f t="shared" si="34"/>
        <v>0</v>
      </c>
      <c r="AL49" s="103">
        <f t="shared" si="34"/>
        <v>0</v>
      </c>
      <c r="AM49" s="103">
        <f t="shared" si="34"/>
        <v>0</v>
      </c>
      <c r="AN49" s="103">
        <f t="shared" si="34"/>
        <v>0</v>
      </c>
      <c r="AO49" s="103">
        <f t="shared" si="34"/>
        <v>0</v>
      </c>
      <c r="AP49" s="103">
        <f t="shared" si="34"/>
        <v>0</v>
      </c>
      <c r="AQ49" s="103">
        <f t="shared" si="34"/>
        <v>0</v>
      </c>
      <c r="AR49" s="103">
        <f t="shared" si="34"/>
        <v>0</v>
      </c>
      <c r="AS49" s="103">
        <f t="shared" si="34"/>
        <v>0</v>
      </c>
      <c r="AT49" s="103">
        <f t="shared" si="34"/>
        <v>0</v>
      </c>
      <c r="AU49" s="103">
        <f t="shared" si="34"/>
        <v>0</v>
      </c>
      <c r="AV49" s="103">
        <f t="shared" si="34"/>
        <v>0</v>
      </c>
      <c r="AW49" s="103">
        <f t="shared" si="34"/>
        <v>0</v>
      </c>
      <c r="AX49" s="103">
        <f t="shared" si="34"/>
        <v>0</v>
      </c>
      <c r="AY49" s="103">
        <f t="shared" si="34"/>
        <v>0</v>
      </c>
      <c r="AZ49" s="103">
        <f t="shared" si="34"/>
        <v>0</v>
      </c>
      <c r="BA49" s="29"/>
    </row>
    <row r="50" spans="1:53" ht="18.75" x14ac:dyDescent="0.3">
      <c r="A50" s="25"/>
      <c r="B50" s="18"/>
      <c r="C50" s="18"/>
      <c r="D50" s="20"/>
      <c r="E50" s="20"/>
      <c r="F50" s="20"/>
      <c r="G50" s="20"/>
      <c r="H50" s="20"/>
      <c r="I50" s="103"/>
      <c r="J50" s="103"/>
      <c r="K50" s="103"/>
      <c r="L50" s="103"/>
      <c r="M50" s="103"/>
      <c r="N50" s="103"/>
      <c r="O50" s="103"/>
      <c r="P50" s="103"/>
      <c r="Q50" s="103"/>
      <c r="R50" s="103"/>
      <c r="S50" s="103"/>
      <c r="T50" s="103"/>
      <c r="U50" s="103"/>
      <c r="V50" s="103"/>
      <c r="W50" s="103"/>
      <c r="X50" s="103"/>
      <c r="Y50" s="103"/>
      <c r="Z50" s="103"/>
      <c r="AA50" s="103"/>
      <c r="AB50" s="103"/>
      <c r="AC50" s="103"/>
      <c r="AD50" s="103"/>
      <c r="AE50" s="103"/>
      <c r="AF50" s="103"/>
      <c r="AG50" s="103"/>
      <c r="AH50" s="103"/>
      <c r="AI50" s="103"/>
      <c r="AJ50" s="103"/>
      <c r="AK50" s="103"/>
      <c r="AL50" s="103"/>
      <c r="AM50" s="103"/>
      <c r="AN50" s="103"/>
      <c r="AO50" s="103"/>
      <c r="AP50" s="103"/>
      <c r="AQ50" s="103"/>
      <c r="AR50" s="103"/>
      <c r="AS50" s="103"/>
      <c r="AT50" s="103"/>
      <c r="AU50" s="103"/>
      <c r="AV50" s="103"/>
      <c r="AW50" s="103"/>
      <c r="AX50" s="103"/>
      <c r="AY50" s="103"/>
      <c r="AZ50" s="103"/>
      <c r="BA50" s="29"/>
    </row>
    <row r="51" spans="1:53" ht="18.75" x14ac:dyDescent="0.3">
      <c r="A51" s="25"/>
      <c r="B51" s="18"/>
      <c r="C51" s="18"/>
      <c r="D51" s="26" t="s">
        <v>48</v>
      </c>
      <c r="E51" s="85" t="s">
        <v>65</v>
      </c>
      <c r="F51" s="27"/>
      <c r="G51" s="4"/>
      <c r="H51" s="4"/>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9"/>
    </row>
    <row r="52" spans="1:53" ht="18.75" x14ac:dyDescent="0.3">
      <c r="A52" s="50" t="s">
        <v>61</v>
      </c>
      <c r="B52" s="48"/>
      <c r="C52" s="48"/>
      <c r="D52" s="125" t="s">
        <v>66</v>
      </c>
      <c r="E52" s="125" t="s">
        <v>48</v>
      </c>
      <c r="F52" s="125"/>
      <c r="G52" s="125" t="s">
        <v>52</v>
      </c>
      <c r="H52" s="54">
        <v>2026</v>
      </c>
      <c r="I52" s="54">
        <v>2027</v>
      </c>
      <c r="J52" s="54">
        <v>2028</v>
      </c>
      <c r="K52" s="54">
        <v>2029</v>
      </c>
      <c r="L52" s="54">
        <v>2030</v>
      </c>
      <c r="M52" s="54">
        <v>2031</v>
      </c>
      <c r="N52" s="54">
        <v>2032</v>
      </c>
      <c r="O52" s="54">
        <v>2033</v>
      </c>
      <c r="P52" s="54">
        <v>2034</v>
      </c>
      <c r="Q52" s="54">
        <v>2035</v>
      </c>
      <c r="R52" s="54">
        <v>2036</v>
      </c>
      <c r="S52" s="54">
        <v>2037</v>
      </c>
      <c r="T52" s="54">
        <v>2038</v>
      </c>
      <c r="U52" s="54">
        <v>2039</v>
      </c>
      <c r="V52" s="54">
        <v>2040</v>
      </c>
      <c r="W52" s="54">
        <v>2041</v>
      </c>
      <c r="X52" s="54">
        <v>2042</v>
      </c>
      <c r="Y52" s="54">
        <v>2043</v>
      </c>
      <c r="Z52" s="54">
        <v>2044</v>
      </c>
      <c r="AA52" s="54">
        <v>2045</v>
      </c>
      <c r="AB52" s="54">
        <v>2046</v>
      </c>
      <c r="AC52" s="54">
        <v>2047</v>
      </c>
      <c r="AD52" s="54">
        <v>2048</v>
      </c>
      <c r="AE52" s="54">
        <v>2049</v>
      </c>
      <c r="AF52" s="54">
        <v>2050</v>
      </c>
      <c r="AG52" s="54">
        <v>2051</v>
      </c>
      <c r="AH52" s="54">
        <v>2052</v>
      </c>
      <c r="AI52" s="54">
        <v>2053</v>
      </c>
      <c r="AJ52" s="54">
        <v>2054</v>
      </c>
      <c r="AK52" s="54">
        <v>2055</v>
      </c>
      <c r="AL52" s="54">
        <v>2056</v>
      </c>
      <c r="AM52" s="54">
        <v>2057</v>
      </c>
      <c r="AN52" s="54">
        <v>2058</v>
      </c>
      <c r="AO52" s="54">
        <v>2059</v>
      </c>
      <c r="AP52" s="54">
        <v>2060</v>
      </c>
      <c r="AQ52" s="54">
        <v>2061</v>
      </c>
      <c r="AR52" s="54">
        <v>2062</v>
      </c>
      <c r="AS52" s="54">
        <v>2063</v>
      </c>
      <c r="AT52" s="54">
        <v>2064</v>
      </c>
      <c r="AU52" s="54">
        <v>2065</v>
      </c>
      <c r="AV52" s="54">
        <v>2066</v>
      </c>
      <c r="AW52" s="54">
        <v>2067</v>
      </c>
      <c r="AX52" s="54">
        <v>2068</v>
      </c>
      <c r="AY52" s="54">
        <v>2069</v>
      </c>
      <c r="AZ52" s="54">
        <v>2070</v>
      </c>
      <c r="BA52" s="29"/>
    </row>
    <row r="53" spans="1:53" ht="18.75" x14ac:dyDescent="0.3">
      <c r="A53" s="25" t="str">
        <f>"Please provide data through to "&amp;FinalYear_BC</f>
        <v>Please provide data through to 2047</v>
      </c>
      <c r="B53" s="18"/>
      <c r="C53" s="18"/>
      <c r="D53" s="108" t="s">
        <v>67</v>
      </c>
      <c r="E53" s="56" t="str">
        <f t="shared" ref="E53:E59" si="35">$E$51</f>
        <v>nominal</v>
      </c>
      <c r="F53" s="56"/>
      <c r="G53" s="27"/>
      <c r="H53" s="135"/>
      <c r="I53" s="135"/>
      <c r="J53" s="135"/>
      <c r="K53" s="135"/>
      <c r="L53" s="135"/>
      <c r="M53" s="135"/>
      <c r="N53" s="135"/>
      <c r="O53" s="135"/>
      <c r="P53" s="135"/>
      <c r="Q53" s="135"/>
      <c r="R53" s="135"/>
      <c r="S53" s="135"/>
      <c r="T53" s="135"/>
      <c r="U53" s="135"/>
      <c r="V53" s="135"/>
      <c r="W53" s="135"/>
      <c r="X53" s="135"/>
      <c r="Y53" s="135"/>
      <c r="Z53" s="135"/>
      <c r="AA53" s="135"/>
      <c r="AB53" s="135"/>
      <c r="AC53" s="135"/>
      <c r="AD53" s="135"/>
      <c r="AE53" s="135"/>
      <c r="AF53" s="135"/>
      <c r="AG53" s="135"/>
      <c r="AH53" s="135"/>
      <c r="AI53" s="135"/>
      <c r="AJ53" s="135"/>
      <c r="AK53" s="135"/>
      <c r="AL53" s="135"/>
      <c r="AM53" s="135"/>
      <c r="AN53" s="135"/>
      <c r="AO53" s="135"/>
      <c r="AP53" s="135"/>
      <c r="AQ53" s="135"/>
      <c r="AR53" s="135"/>
      <c r="AS53" s="135"/>
      <c r="AT53" s="135"/>
      <c r="AU53" s="135"/>
      <c r="AV53" s="135"/>
      <c r="AW53" s="135"/>
      <c r="AX53" s="135"/>
      <c r="AY53" s="135"/>
      <c r="AZ53" s="135"/>
      <c r="BA53" s="29"/>
    </row>
    <row r="54" spans="1:53" ht="18.75" x14ac:dyDescent="0.3">
      <c r="A54" s="25"/>
      <c r="B54" s="18"/>
      <c r="C54" s="18"/>
      <c r="D54" s="108" t="s">
        <v>68</v>
      </c>
      <c r="E54" s="56" t="str">
        <f t="shared" si="35"/>
        <v>nominal</v>
      </c>
      <c r="F54" s="56"/>
      <c r="G54" s="27"/>
      <c r="H54" s="135">
        <v>90000</v>
      </c>
      <c r="I54" s="135">
        <f>H54</f>
        <v>90000</v>
      </c>
      <c r="J54" s="135">
        <f t="shared" ref="J54" si="36">I54</f>
        <v>90000</v>
      </c>
      <c r="K54" s="135">
        <f t="shared" ref="K54" si="37">J54</f>
        <v>90000</v>
      </c>
      <c r="L54" s="135">
        <f t="shared" ref="L54" si="38">K54</f>
        <v>90000</v>
      </c>
      <c r="M54" s="135">
        <f t="shared" ref="M54" si="39">L54</f>
        <v>90000</v>
      </c>
      <c r="N54" s="135">
        <f t="shared" ref="N54" si="40">M54</f>
        <v>90000</v>
      </c>
      <c r="O54" s="135">
        <f t="shared" ref="O54" si="41">N54</f>
        <v>90000</v>
      </c>
      <c r="P54" s="135">
        <f t="shared" ref="P54" si="42">O54</f>
        <v>90000</v>
      </c>
      <c r="Q54" s="135">
        <f t="shared" ref="Q54" si="43">P54</f>
        <v>90000</v>
      </c>
      <c r="R54" s="135">
        <f t="shared" ref="R54" si="44">Q54</f>
        <v>90000</v>
      </c>
      <c r="S54" s="135">
        <f t="shared" ref="S54" si="45">R54</f>
        <v>90000</v>
      </c>
      <c r="T54" s="135">
        <f t="shared" ref="T54" si="46">S54</f>
        <v>90000</v>
      </c>
      <c r="U54" s="135">
        <f t="shared" ref="U54" si="47">T54</f>
        <v>90000</v>
      </c>
      <c r="V54" s="135">
        <f t="shared" ref="V54" si="48">U54</f>
        <v>90000</v>
      </c>
      <c r="W54" s="135">
        <f t="shared" ref="W54" si="49">V54</f>
        <v>90000</v>
      </c>
      <c r="X54" s="135">
        <f t="shared" ref="X54" si="50">W54</f>
        <v>90000</v>
      </c>
      <c r="Y54" s="135">
        <f t="shared" ref="Y54" si="51">X54</f>
        <v>90000</v>
      </c>
      <c r="Z54" s="135">
        <f t="shared" ref="Z54" si="52">Y54</f>
        <v>90000</v>
      </c>
      <c r="AA54" s="135">
        <f t="shared" ref="AA54" si="53">Z54</f>
        <v>90000</v>
      </c>
      <c r="AB54" s="135">
        <f t="shared" ref="AB54" si="54">AA54</f>
        <v>90000</v>
      </c>
      <c r="AC54" s="135">
        <f t="shared" ref="AC54" si="55">AB54</f>
        <v>90000</v>
      </c>
      <c r="AD54" s="135"/>
      <c r="AE54" s="135"/>
      <c r="AF54" s="135"/>
      <c r="AG54" s="135"/>
      <c r="AH54" s="135"/>
      <c r="AI54" s="135"/>
      <c r="AJ54" s="135"/>
      <c r="AK54" s="135"/>
      <c r="AL54" s="135"/>
      <c r="AM54" s="135"/>
      <c r="AN54" s="135"/>
      <c r="AO54" s="135"/>
      <c r="AP54" s="135"/>
      <c r="AQ54" s="135"/>
      <c r="AR54" s="135"/>
      <c r="AS54" s="135"/>
      <c r="AT54" s="135"/>
      <c r="AU54" s="135"/>
      <c r="AV54" s="135"/>
      <c r="AW54" s="135"/>
      <c r="AX54" s="135"/>
      <c r="AY54" s="135"/>
      <c r="AZ54" s="135"/>
      <c r="BA54" s="29"/>
    </row>
    <row r="55" spans="1:53" ht="18.75" x14ac:dyDescent="0.3">
      <c r="A55" s="25"/>
      <c r="B55" s="18"/>
      <c r="C55" s="18"/>
      <c r="D55" s="108" t="s">
        <v>69</v>
      </c>
      <c r="E55" s="56" t="str">
        <f t="shared" si="35"/>
        <v>nominal</v>
      </c>
      <c r="F55" s="56"/>
      <c r="G55" s="27"/>
      <c r="H55" s="135">
        <v>100000</v>
      </c>
      <c r="I55" s="135">
        <v>100000</v>
      </c>
      <c r="J55" s="135">
        <v>100000</v>
      </c>
      <c r="K55" s="135">
        <v>100000</v>
      </c>
      <c r="L55" s="135">
        <v>100000</v>
      </c>
      <c r="M55" s="135">
        <v>100000</v>
      </c>
      <c r="N55" s="135">
        <v>100000</v>
      </c>
      <c r="O55" s="135">
        <v>100000</v>
      </c>
      <c r="P55" s="135">
        <v>100000</v>
      </c>
      <c r="Q55" s="135">
        <v>100000</v>
      </c>
      <c r="R55" s="135">
        <v>100000</v>
      </c>
      <c r="S55" s="135">
        <v>100000</v>
      </c>
      <c r="T55" s="135">
        <v>100000</v>
      </c>
      <c r="U55" s="135">
        <v>100000</v>
      </c>
      <c r="V55" s="135">
        <v>100000</v>
      </c>
      <c r="W55" s="135">
        <v>100000</v>
      </c>
      <c r="X55" s="135">
        <v>100000</v>
      </c>
      <c r="Y55" s="135">
        <v>100000</v>
      </c>
      <c r="Z55" s="135">
        <v>100000</v>
      </c>
      <c r="AA55" s="135">
        <v>100000</v>
      </c>
      <c r="AB55" s="135">
        <v>100000</v>
      </c>
      <c r="AC55" s="135">
        <v>100000</v>
      </c>
      <c r="AD55" s="135"/>
      <c r="AE55" s="135"/>
      <c r="AF55" s="135"/>
      <c r="AG55" s="135"/>
      <c r="AH55" s="135"/>
      <c r="AI55" s="135"/>
      <c r="AJ55" s="135"/>
      <c r="AK55" s="135"/>
      <c r="AL55" s="135"/>
      <c r="AM55" s="135"/>
      <c r="AN55" s="135"/>
      <c r="AO55" s="135"/>
      <c r="AP55" s="135"/>
      <c r="AQ55" s="135"/>
      <c r="AR55" s="135"/>
      <c r="AS55" s="135"/>
      <c r="AT55" s="135"/>
      <c r="AU55" s="135"/>
      <c r="AV55" s="135"/>
      <c r="AW55" s="135"/>
      <c r="AX55" s="135"/>
      <c r="AY55" s="135"/>
      <c r="AZ55" s="135"/>
      <c r="BA55" s="29"/>
    </row>
    <row r="56" spans="1:53" ht="18.75" x14ac:dyDescent="0.3">
      <c r="A56" s="25"/>
      <c r="B56" s="18"/>
      <c r="C56" s="18"/>
      <c r="D56" s="108" t="s">
        <v>70</v>
      </c>
      <c r="E56" s="56" t="str">
        <f t="shared" si="35"/>
        <v>nominal</v>
      </c>
      <c r="F56" s="56"/>
      <c r="G56" s="27"/>
      <c r="H56" s="135"/>
      <c r="I56" s="135"/>
      <c r="J56" s="135"/>
      <c r="K56" s="135"/>
      <c r="L56" s="135"/>
      <c r="M56" s="135"/>
      <c r="N56" s="135"/>
      <c r="O56" s="135"/>
      <c r="P56" s="135"/>
      <c r="Q56" s="135"/>
      <c r="R56" s="135"/>
      <c r="S56" s="135"/>
      <c r="T56" s="135"/>
      <c r="U56" s="135"/>
      <c r="V56" s="135"/>
      <c r="W56" s="135"/>
      <c r="X56" s="135"/>
      <c r="Y56" s="135"/>
      <c r="Z56" s="135"/>
      <c r="AA56" s="135"/>
      <c r="AB56" s="135"/>
      <c r="AC56" s="135"/>
      <c r="AD56" s="135"/>
      <c r="AE56" s="135"/>
      <c r="AF56" s="135"/>
      <c r="AG56" s="135"/>
      <c r="AH56" s="135"/>
      <c r="AI56" s="135"/>
      <c r="AJ56" s="135"/>
      <c r="AK56" s="135"/>
      <c r="AL56" s="135"/>
      <c r="AM56" s="135"/>
      <c r="AN56" s="135"/>
      <c r="AO56" s="135"/>
      <c r="AP56" s="135"/>
      <c r="AQ56" s="135"/>
      <c r="AR56" s="135"/>
      <c r="AS56" s="135"/>
      <c r="AT56" s="135"/>
      <c r="AU56" s="135"/>
      <c r="AV56" s="135"/>
      <c r="AW56" s="135"/>
      <c r="AX56" s="135"/>
      <c r="AY56" s="135"/>
      <c r="AZ56" s="135"/>
      <c r="BA56" s="29"/>
    </row>
    <row r="57" spans="1:53" ht="18.75" x14ac:dyDescent="0.3">
      <c r="A57" s="25"/>
      <c r="B57" s="18"/>
      <c r="C57" s="18"/>
      <c r="D57" s="108" t="s">
        <v>71</v>
      </c>
      <c r="E57" s="56" t="str">
        <f t="shared" si="35"/>
        <v>nominal</v>
      </c>
      <c r="F57" s="56"/>
      <c r="G57" s="27"/>
      <c r="H57" s="135"/>
      <c r="I57" s="135"/>
      <c r="J57" s="135"/>
      <c r="K57" s="135"/>
      <c r="L57" s="135"/>
      <c r="M57" s="135"/>
      <c r="N57" s="135"/>
      <c r="O57" s="135"/>
      <c r="P57" s="135"/>
      <c r="Q57" s="135"/>
      <c r="R57" s="135"/>
      <c r="S57" s="135"/>
      <c r="T57" s="135"/>
      <c r="U57" s="135"/>
      <c r="V57" s="135"/>
      <c r="W57" s="135"/>
      <c r="X57" s="135"/>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29"/>
    </row>
    <row r="58" spans="1:53" ht="18.75" x14ac:dyDescent="0.3">
      <c r="A58" s="25"/>
      <c r="B58" s="18"/>
      <c r="C58" s="18"/>
      <c r="D58" s="108" t="s">
        <v>72</v>
      </c>
      <c r="E58" s="56" t="str">
        <f t="shared" si="35"/>
        <v>nominal</v>
      </c>
      <c r="F58" s="56"/>
      <c r="G58" s="27"/>
      <c r="H58" s="135"/>
      <c r="I58" s="135"/>
      <c r="J58" s="135"/>
      <c r="K58" s="135"/>
      <c r="L58" s="135"/>
      <c r="M58" s="135"/>
      <c r="N58" s="135"/>
      <c r="O58" s="135"/>
      <c r="P58" s="135"/>
      <c r="Q58" s="135"/>
      <c r="R58" s="135"/>
      <c r="S58" s="135"/>
      <c r="T58" s="135"/>
      <c r="U58" s="135"/>
      <c r="V58" s="135"/>
      <c r="W58" s="135"/>
      <c r="X58" s="135"/>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29"/>
    </row>
    <row r="59" spans="1:53" ht="18.75" x14ac:dyDescent="0.3">
      <c r="A59" s="25"/>
      <c r="B59" s="18"/>
      <c r="C59" s="18"/>
      <c r="D59" s="155" t="s">
        <v>59</v>
      </c>
      <c r="E59" s="149" t="str">
        <f t="shared" si="35"/>
        <v>nominal</v>
      </c>
      <c r="F59" s="149"/>
      <c r="G59" s="139"/>
      <c r="H59" s="156"/>
      <c r="I59" s="156"/>
      <c r="J59" s="156"/>
      <c r="K59" s="156"/>
      <c r="L59" s="156"/>
      <c r="M59" s="156"/>
      <c r="N59" s="156"/>
      <c r="O59" s="156"/>
      <c r="P59" s="156"/>
      <c r="Q59" s="156"/>
      <c r="R59" s="156"/>
      <c r="S59" s="156"/>
      <c r="T59" s="156"/>
      <c r="U59" s="156"/>
      <c r="V59" s="156"/>
      <c r="W59" s="156"/>
      <c r="X59" s="156"/>
      <c r="Y59" s="156"/>
      <c r="Z59" s="156"/>
      <c r="AA59" s="156"/>
      <c r="AB59" s="156"/>
      <c r="AC59" s="156"/>
      <c r="AD59" s="156"/>
      <c r="AE59" s="156"/>
      <c r="AF59" s="156"/>
      <c r="AG59" s="156"/>
      <c r="AH59" s="156"/>
      <c r="AI59" s="156"/>
      <c r="AJ59" s="156"/>
      <c r="AK59" s="156"/>
      <c r="AL59" s="156"/>
      <c r="AM59" s="156"/>
      <c r="AN59" s="156"/>
      <c r="AO59" s="156"/>
      <c r="AP59" s="156"/>
      <c r="AQ59" s="156"/>
      <c r="AR59" s="156"/>
      <c r="AS59" s="156"/>
      <c r="AT59" s="156"/>
      <c r="AU59" s="156"/>
      <c r="AV59" s="156"/>
      <c r="AW59" s="156"/>
      <c r="AX59" s="156"/>
      <c r="AY59" s="156"/>
      <c r="AZ59" s="156"/>
      <c r="BA59" s="29"/>
    </row>
    <row r="60" spans="1:53" ht="18.75" x14ac:dyDescent="0.3">
      <c r="A60" s="25"/>
      <c r="B60" s="18"/>
      <c r="C60" s="18"/>
      <c r="D60" s="9" t="str">
        <f ca="1">"Total non-fuel opex in "&amp;Analysis_year&amp;" dollars"</f>
        <v>Total non-fuel opex in 2025 dollars</v>
      </c>
      <c r="E60" s="9"/>
      <c r="F60" s="9"/>
      <c r="G60" s="9"/>
      <c r="H60" s="133">
        <f>SUM(H53:H59)*IF($E$51="Real",1,H$10)</f>
        <v>186072.0196648745</v>
      </c>
      <c r="I60" s="133">
        <f t="shared" ref="I60:AZ60" si="56">SUM(I53:I59)*IF($E$51="Nominal",I$10,1)</f>
        <v>182405.66578264337</v>
      </c>
      <c r="J60" s="133">
        <f t="shared" si="56"/>
        <v>178811.55355616449</v>
      </c>
      <c r="K60" s="133">
        <f t="shared" si="56"/>
        <v>175288.25953942208</v>
      </c>
      <c r="L60" s="133">
        <f t="shared" si="56"/>
        <v>171834.38833391047</v>
      </c>
      <c r="M60" s="133">
        <f t="shared" si="56"/>
        <v>168448.57203598713</v>
      </c>
      <c r="N60" s="133">
        <f t="shared" si="56"/>
        <v>165129.46969511535</v>
      </c>
      <c r="O60" s="133">
        <f t="shared" si="56"/>
        <v>161875.76678278143</v>
      </c>
      <c r="P60" s="133">
        <f t="shared" si="56"/>
        <v>158686.17467187668</v>
      </c>
      <c r="Q60" s="133">
        <f t="shared" si="56"/>
        <v>155559.43012633731</v>
      </c>
      <c r="R60" s="133">
        <f t="shared" si="56"/>
        <v>152494.29480084041</v>
      </c>
      <c r="S60" s="133">
        <f t="shared" si="56"/>
        <v>149489.55475035822</v>
      </c>
      <c r="T60" s="133">
        <f t="shared" si="56"/>
        <v>146544.01994937577</v>
      </c>
      <c r="U60" s="133">
        <f t="shared" si="56"/>
        <v>143656.52382058205</v>
      </c>
      <c r="V60" s="133">
        <f t="shared" si="56"/>
        <v>140825.92277284781</v>
      </c>
      <c r="W60" s="133">
        <f t="shared" si="56"/>
        <v>138051.09574830686</v>
      </c>
      <c r="X60" s="133">
        <f t="shared" si="56"/>
        <v>135330.94377836181</v>
      </c>
      <c r="Y60" s="133">
        <f t="shared" si="56"/>
        <v>132664.38954843819</v>
      </c>
      <c r="Z60" s="133">
        <f t="shared" si="56"/>
        <v>130050.37697131476</v>
      </c>
      <c r="AA60" s="133">
        <f t="shared" si="56"/>
        <v>127487.87076886067</v>
      </c>
      <c r="AB60" s="133">
        <f t="shared" si="56"/>
        <v>124975.85606201418</v>
      </c>
      <c r="AC60" s="133">
        <f t="shared" si="56"/>
        <v>122513.33796884048</v>
      </c>
      <c r="AD60" s="133">
        <f t="shared" si="56"/>
        <v>0</v>
      </c>
      <c r="AE60" s="133">
        <f t="shared" si="56"/>
        <v>0</v>
      </c>
      <c r="AF60" s="133">
        <f t="shared" si="56"/>
        <v>0</v>
      </c>
      <c r="AG60" s="133">
        <f t="shared" si="56"/>
        <v>0</v>
      </c>
      <c r="AH60" s="133">
        <f t="shared" si="56"/>
        <v>0</v>
      </c>
      <c r="AI60" s="133">
        <f t="shared" si="56"/>
        <v>0</v>
      </c>
      <c r="AJ60" s="133">
        <f t="shared" si="56"/>
        <v>0</v>
      </c>
      <c r="AK60" s="133">
        <f t="shared" si="56"/>
        <v>0</v>
      </c>
      <c r="AL60" s="133">
        <f t="shared" si="56"/>
        <v>0</v>
      </c>
      <c r="AM60" s="133">
        <f t="shared" si="56"/>
        <v>0</v>
      </c>
      <c r="AN60" s="133">
        <f t="shared" si="56"/>
        <v>0</v>
      </c>
      <c r="AO60" s="133">
        <f t="shared" si="56"/>
        <v>0</v>
      </c>
      <c r="AP60" s="133">
        <f t="shared" si="56"/>
        <v>0</v>
      </c>
      <c r="AQ60" s="133">
        <f t="shared" si="56"/>
        <v>0</v>
      </c>
      <c r="AR60" s="133">
        <f t="shared" si="56"/>
        <v>0</v>
      </c>
      <c r="AS60" s="133">
        <f t="shared" si="56"/>
        <v>0</v>
      </c>
      <c r="AT60" s="133">
        <f t="shared" si="56"/>
        <v>0</v>
      </c>
      <c r="AU60" s="133">
        <f t="shared" si="56"/>
        <v>0</v>
      </c>
      <c r="AV60" s="133">
        <f t="shared" si="56"/>
        <v>0</v>
      </c>
      <c r="AW60" s="133">
        <f t="shared" si="56"/>
        <v>0</v>
      </c>
      <c r="AX60" s="133">
        <f t="shared" si="56"/>
        <v>0</v>
      </c>
      <c r="AY60" s="133">
        <f t="shared" si="56"/>
        <v>0</v>
      </c>
      <c r="AZ60" s="133">
        <f t="shared" si="56"/>
        <v>0</v>
      </c>
      <c r="BA60" s="29"/>
    </row>
    <row r="61" spans="1:53" ht="18.75" x14ac:dyDescent="0.3">
      <c r="A61" s="25"/>
      <c r="B61" s="18"/>
      <c r="C61" s="18"/>
      <c r="D61" s="9" t="s">
        <v>73</v>
      </c>
      <c r="E61" s="4"/>
      <c r="F61" s="4"/>
      <c r="G61" s="4"/>
      <c r="H61" s="133">
        <f t="shared" ref="H61:AZ61" si="57">SUM(H53:H59)*IF($E$51="Real",H9,1)</f>
        <v>190000</v>
      </c>
      <c r="I61" s="133">
        <f t="shared" si="57"/>
        <v>190000</v>
      </c>
      <c r="J61" s="133">
        <f t="shared" si="57"/>
        <v>190000</v>
      </c>
      <c r="K61" s="133">
        <f t="shared" si="57"/>
        <v>190000</v>
      </c>
      <c r="L61" s="133">
        <f t="shared" si="57"/>
        <v>190000</v>
      </c>
      <c r="M61" s="133">
        <f t="shared" si="57"/>
        <v>190000</v>
      </c>
      <c r="N61" s="133">
        <f t="shared" si="57"/>
        <v>190000</v>
      </c>
      <c r="O61" s="133">
        <f t="shared" si="57"/>
        <v>190000</v>
      </c>
      <c r="P61" s="133">
        <f t="shared" si="57"/>
        <v>190000</v>
      </c>
      <c r="Q61" s="133">
        <f t="shared" si="57"/>
        <v>190000</v>
      </c>
      <c r="R61" s="133">
        <f t="shared" si="57"/>
        <v>190000</v>
      </c>
      <c r="S61" s="133">
        <f t="shared" si="57"/>
        <v>190000</v>
      </c>
      <c r="T61" s="133">
        <f t="shared" si="57"/>
        <v>190000</v>
      </c>
      <c r="U61" s="133">
        <f t="shared" si="57"/>
        <v>190000</v>
      </c>
      <c r="V61" s="133">
        <f t="shared" si="57"/>
        <v>190000</v>
      </c>
      <c r="W61" s="133">
        <f t="shared" si="57"/>
        <v>190000</v>
      </c>
      <c r="X61" s="133">
        <f t="shared" si="57"/>
        <v>190000</v>
      </c>
      <c r="Y61" s="133">
        <f t="shared" si="57"/>
        <v>190000</v>
      </c>
      <c r="Z61" s="133">
        <f t="shared" si="57"/>
        <v>190000</v>
      </c>
      <c r="AA61" s="133">
        <f t="shared" si="57"/>
        <v>190000</v>
      </c>
      <c r="AB61" s="133">
        <f t="shared" si="57"/>
        <v>190000</v>
      </c>
      <c r="AC61" s="133">
        <f t="shared" si="57"/>
        <v>190000</v>
      </c>
      <c r="AD61" s="133">
        <f t="shared" si="57"/>
        <v>0</v>
      </c>
      <c r="AE61" s="133">
        <f t="shared" si="57"/>
        <v>0</v>
      </c>
      <c r="AF61" s="133">
        <f t="shared" si="57"/>
        <v>0</v>
      </c>
      <c r="AG61" s="133">
        <f t="shared" si="57"/>
        <v>0</v>
      </c>
      <c r="AH61" s="133">
        <f t="shared" si="57"/>
        <v>0</v>
      </c>
      <c r="AI61" s="133">
        <f t="shared" si="57"/>
        <v>0</v>
      </c>
      <c r="AJ61" s="133">
        <f t="shared" si="57"/>
        <v>0</v>
      </c>
      <c r="AK61" s="133">
        <f t="shared" si="57"/>
        <v>0</v>
      </c>
      <c r="AL61" s="133">
        <f t="shared" si="57"/>
        <v>0</v>
      </c>
      <c r="AM61" s="133">
        <f t="shared" si="57"/>
        <v>0</v>
      </c>
      <c r="AN61" s="133">
        <f t="shared" si="57"/>
        <v>0</v>
      </c>
      <c r="AO61" s="133">
        <f t="shared" si="57"/>
        <v>0</v>
      </c>
      <c r="AP61" s="133">
        <f t="shared" si="57"/>
        <v>0</v>
      </c>
      <c r="AQ61" s="133">
        <f t="shared" si="57"/>
        <v>0</v>
      </c>
      <c r="AR61" s="133">
        <f t="shared" si="57"/>
        <v>0</v>
      </c>
      <c r="AS61" s="133">
        <f t="shared" si="57"/>
        <v>0</v>
      </c>
      <c r="AT61" s="133">
        <f t="shared" si="57"/>
        <v>0</v>
      </c>
      <c r="AU61" s="133">
        <f t="shared" si="57"/>
        <v>0</v>
      </c>
      <c r="AV61" s="133">
        <f t="shared" si="57"/>
        <v>0</v>
      </c>
      <c r="AW61" s="133">
        <f t="shared" si="57"/>
        <v>0</v>
      </c>
      <c r="AX61" s="133">
        <f t="shared" si="57"/>
        <v>0</v>
      </c>
      <c r="AY61" s="133">
        <f t="shared" si="57"/>
        <v>0</v>
      </c>
      <c r="AZ61" s="133">
        <f t="shared" si="57"/>
        <v>0</v>
      </c>
      <c r="BA61" s="29"/>
    </row>
    <row r="62" spans="1:53" ht="18.75" x14ac:dyDescent="0.3">
      <c r="A62" s="25"/>
      <c r="B62" s="18"/>
      <c r="C62" s="9"/>
      <c r="D62" s="4"/>
      <c r="E62" s="4"/>
      <c r="F62" s="4"/>
      <c r="G62" s="4"/>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29"/>
    </row>
    <row r="63" spans="1:53" ht="18.75" x14ac:dyDescent="0.3">
      <c r="A63" s="3" t="s">
        <v>74</v>
      </c>
      <c r="B63" s="18"/>
      <c r="C63" s="4"/>
      <c r="D63" s="4"/>
      <c r="E63" s="4"/>
      <c r="F63" s="4"/>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row>
    <row r="64" spans="1:53" ht="18.75" x14ac:dyDescent="0.3">
      <c r="A64" s="52" t="s">
        <v>50</v>
      </c>
      <c r="B64" s="48"/>
      <c r="C64" s="49"/>
      <c r="D64" s="52" t="s">
        <v>75</v>
      </c>
      <c r="E64" s="52" t="s">
        <v>76</v>
      </c>
      <c r="F64" s="52"/>
      <c r="G64" s="52" t="s">
        <v>52</v>
      </c>
      <c r="H64" s="120" t="s">
        <v>77</v>
      </c>
      <c r="I64" s="120" t="s">
        <v>78</v>
      </c>
      <c r="J64" s="120" t="s">
        <v>79</v>
      </c>
      <c r="K64" s="120" t="s">
        <v>80</v>
      </c>
      <c r="L64" s="120" t="s">
        <v>81</v>
      </c>
      <c r="M64" s="120" t="s">
        <v>82</v>
      </c>
      <c r="N64" s="120" t="s">
        <v>83</v>
      </c>
      <c r="O64" s="120" t="s">
        <v>84</v>
      </c>
      <c r="P64" s="120" t="s">
        <v>85</v>
      </c>
      <c r="Q64" s="120" t="s">
        <v>86</v>
      </c>
      <c r="R64" s="120" t="s">
        <v>87</v>
      </c>
      <c r="S64" s="120" t="s">
        <v>88</v>
      </c>
      <c r="T64" s="120" t="s">
        <v>89</v>
      </c>
      <c r="U64" s="120" t="s">
        <v>90</v>
      </c>
      <c r="V64" s="120" t="s">
        <v>91</v>
      </c>
      <c r="W64" s="120" t="s">
        <v>92</v>
      </c>
      <c r="X64" s="120" t="s">
        <v>93</v>
      </c>
      <c r="Y64" s="120" t="s">
        <v>94</v>
      </c>
      <c r="Z64" s="120" t="s">
        <v>95</v>
      </c>
      <c r="AA64" s="120" t="s">
        <v>96</v>
      </c>
      <c r="AB64" s="120" t="s">
        <v>97</v>
      </c>
      <c r="AC64" s="120" t="s">
        <v>98</v>
      </c>
      <c r="AD64" s="120" t="s">
        <v>99</v>
      </c>
      <c r="AE64" s="120" t="s">
        <v>100</v>
      </c>
      <c r="AF64" s="120" t="s">
        <v>101</v>
      </c>
      <c r="AG64" s="120" t="s">
        <v>102</v>
      </c>
      <c r="AH64" s="120" t="s">
        <v>103</v>
      </c>
      <c r="AI64" s="120" t="s">
        <v>104</v>
      </c>
      <c r="AJ64" s="120" t="s">
        <v>105</v>
      </c>
      <c r="AK64" s="120" t="s">
        <v>106</v>
      </c>
      <c r="AL64" s="120" t="s">
        <v>107</v>
      </c>
      <c r="AM64" s="120" t="s">
        <v>108</v>
      </c>
      <c r="AN64" s="120" t="s">
        <v>109</v>
      </c>
      <c r="AO64" s="120" t="s">
        <v>110</v>
      </c>
      <c r="AP64" s="120" t="s">
        <v>111</v>
      </c>
      <c r="AQ64" s="120" t="s">
        <v>112</v>
      </c>
      <c r="AR64" s="120" t="s">
        <v>113</v>
      </c>
      <c r="AS64" s="120" t="s">
        <v>114</v>
      </c>
      <c r="AT64" s="120" t="s">
        <v>115</v>
      </c>
      <c r="AU64" s="120" t="s">
        <v>116</v>
      </c>
      <c r="AV64" s="120" t="s">
        <v>117</v>
      </c>
      <c r="AW64" s="120" t="s">
        <v>118</v>
      </c>
      <c r="AX64" s="120" t="s">
        <v>119</v>
      </c>
      <c r="AY64" s="120" t="s">
        <v>120</v>
      </c>
      <c r="AZ64" s="120" t="s">
        <v>121</v>
      </c>
    </row>
    <row r="65" spans="1:52" ht="18.75" x14ac:dyDescent="0.3">
      <c r="A65" s="25" t="str">
        <f>"Please provide data through to "&amp;FinalYear_PP</f>
        <v>Please provide data through to 2047</v>
      </c>
      <c r="B65" s="18"/>
      <c r="C65" s="4"/>
      <c r="D65" s="55" t="str">
        <f>Data!D3</f>
        <v>Electricity</v>
      </c>
      <c r="E65" s="55" t="str">
        <f>Data!E3</f>
        <v>MWh</v>
      </c>
      <c r="F65" s="55"/>
      <c r="G65" s="43"/>
      <c r="H65" s="136">
        <v>120</v>
      </c>
      <c r="I65" s="136">
        <f>Scratch!$L$9</f>
        <v>5008.8928000000005</v>
      </c>
      <c r="J65" s="136">
        <f>Scratch!$L$9</f>
        <v>5008.8928000000005</v>
      </c>
      <c r="K65" s="136">
        <f>Scratch!$L$9</f>
        <v>5008.8928000000005</v>
      </c>
      <c r="L65" s="136">
        <f>Scratch!$L$9</f>
        <v>5008.8928000000005</v>
      </c>
      <c r="M65" s="136">
        <f>Scratch!$L$9</f>
        <v>5008.8928000000005</v>
      </c>
      <c r="N65" s="136">
        <f>Scratch!$L$9</f>
        <v>5008.8928000000005</v>
      </c>
      <c r="O65" s="136">
        <f>Scratch!$L$9</f>
        <v>5008.8928000000005</v>
      </c>
      <c r="P65" s="136">
        <f>Scratch!$L$9</f>
        <v>5008.8928000000005</v>
      </c>
      <c r="Q65" s="136">
        <f>Scratch!$L$9</f>
        <v>5008.8928000000005</v>
      </c>
      <c r="R65" s="136">
        <f>Scratch!$L$9</f>
        <v>5008.8928000000005</v>
      </c>
      <c r="S65" s="136">
        <f>Scratch!$L$9</f>
        <v>5008.8928000000005</v>
      </c>
      <c r="T65" s="136">
        <f>Scratch!$L$9</f>
        <v>5008.8928000000005</v>
      </c>
      <c r="U65" s="136">
        <f>Scratch!$L$9</f>
        <v>5008.8928000000005</v>
      </c>
      <c r="V65" s="136">
        <f>Scratch!$L$9</f>
        <v>5008.8928000000005</v>
      </c>
      <c r="W65" s="136">
        <f>Scratch!$L$9</f>
        <v>5008.8928000000005</v>
      </c>
      <c r="X65" s="136">
        <f>Scratch!$L$9</f>
        <v>5008.8928000000005</v>
      </c>
      <c r="Y65" s="136">
        <f>Scratch!$L$9</f>
        <v>5008.8928000000005</v>
      </c>
      <c r="Z65" s="136">
        <f>Scratch!$L$9</f>
        <v>5008.8928000000005</v>
      </c>
      <c r="AA65" s="136">
        <f>Scratch!$L$9</f>
        <v>5008.8928000000005</v>
      </c>
      <c r="AB65" s="136">
        <f>Scratch!$L$9</f>
        <v>5008.8928000000005</v>
      </c>
      <c r="AC65" s="136">
        <f>Scratch!$L$9</f>
        <v>5008.8928000000005</v>
      </c>
      <c r="AD65" s="136"/>
      <c r="AE65" s="136"/>
      <c r="AF65" s="136"/>
      <c r="AG65" s="136"/>
      <c r="AH65" s="136"/>
      <c r="AI65" s="136"/>
      <c r="AJ65" s="136"/>
      <c r="AK65" s="136"/>
      <c r="AL65" s="136"/>
      <c r="AM65" s="136"/>
      <c r="AN65" s="136"/>
      <c r="AO65" s="136"/>
      <c r="AP65" s="136"/>
      <c r="AQ65" s="136"/>
      <c r="AR65" s="136"/>
      <c r="AS65" s="136"/>
      <c r="AT65" s="136"/>
      <c r="AU65" s="136"/>
      <c r="AV65" s="136"/>
      <c r="AW65" s="136"/>
      <c r="AX65" s="136"/>
      <c r="AY65" s="136"/>
      <c r="AZ65" s="136"/>
    </row>
    <row r="66" spans="1:52" ht="18.75" x14ac:dyDescent="0.3">
      <c r="A66" s="4"/>
      <c r="B66" s="18"/>
      <c r="C66" s="4"/>
      <c r="D66" s="55" t="str">
        <f>Data!D4</f>
        <v>Natural Gas</v>
      </c>
      <c r="E66" s="55" t="str">
        <f>Data!E4</f>
        <v>GJ</v>
      </c>
      <c r="F66" s="55"/>
      <c r="G66" s="43"/>
      <c r="H66" s="136">
        <v>70000</v>
      </c>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c r="AF66" s="136"/>
      <c r="AG66" s="136"/>
      <c r="AH66" s="136"/>
      <c r="AI66" s="136"/>
      <c r="AJ66" s="136"/>
      <c r="AK66" s="136"/>
      <c r="AL66" s="136"/>
      <c r="AM66" s="136"/>
      <c r="AN66" s="136"/>
      <c r="AO66" s="136"/>
      <c r="AP66" s="136"/>
      <c r="AQ66" s="136"/>
      <c r="AR66" s="136"/>
      <c r="AS66" s="136"/>
      <c r="AT66" s="136"/>
      <c r="AU66" s="136"/>
      <c r="AV66" s="136"/>
      <c r="AW66" s="136"/>
      <c r="AX66" s="136"/>
      <c r="AY66" s="136"/>
      <c r="AZ66" s="136"/>
    </row>
    <row r="67" spans="1:52" ht="18.75" x14ac:dyDescent="0.3">
      <c r="A67" s="4"/>
      <c r="B67" s="18"/>
      <c r="C67" s="4"/>
      <c r="D67" s="55" t="str">
        <f>Data!D5</f>
        <v>Coal - sub bituminous</v>
      </c>
      <c r="E67" s="55" t="str">
        <f>Data!E5</f>
        <v>tonnes</v>
      </c>
      <c r="F67" s="55"/>
      <c r="G67" s="43"/>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6"/>
      <c r="AM67" s="136"/>
      <c r="AN67" s="136"/>
      <c r="AO67" s="136"/>
      <c r="AP67" s="136"/>
      <c r="AQ67" s="136"/>
      <c r="AR67" s="136"/>
      <c r="AS67" s="136"/>
      <c r="AT67" s="136"/>
      <c r="AU67" s="136"/>
      <c r="AV67" s="136"/>
      <c r="AW67" s="136"/>
      <c r="AX67" s="136"/>
      <c r="AY67" s="136"/>
      <c r="AZ67" s="136"/>
    </row>
    <row r="68" spans="1:52" ht="18.75" x14ac:dyDescent="0.3">
      <c r="A68" s="4"/>
      <c r="B68" s="18"/>
      <c r="C68" s="4"/>
      <c r="D68" s="55" t="str">
        <f>Data!D6</f>
        <v>Coal - bituminous</v>
      </c>
      <c r="E68" s="55" t="str">
        <f>Data!E6</f>
        <v>tonnes</v>
      </c>
      <c r="F68" s="55"/>
      <c r="G68" s="43"/>
      <c r="H68" s="136"/>
      <c r="I68" s="136"/>
      <c r="J68" s="136"/>
      <c r="K68" s="136"/>
      <c r="L68" s="136"/>
      <c r="M68" s="136"/>
      <c r="N68" s="136"/>
      <c r="O68" s="136"/>
      <c r="P68" s="136"/>
      <c r="Q68" s="136"/>
      <c r="R68" s="136"/>
      <c r="S68" s="136"/>
      <c r="T68" s="136"/>
      <c r="U68" s="136"/>
      <c r="V68" s="136"/>
      <c r="W68" s="136"/>
      <c r="X68" s="136"/>
      <c r="Y68" s="136"/>
      <c r="Z68" s="136"/>
      <c r="AA68" s="136"/>
      <c r="AB68" s="136"/>
      <c r="AC68" s="136"/>
      <c r="AD68" s="136"/>
      <c r="AE68" s="136"/>
      <c r="AF68" s="136"/>
      <c r="AG68" s="136"/>
      <c r="AH68" s="136"/>
      <c r="AI68" s="136"/>
      <c r="AJ68" s="136"/>
      <c r="AK68" s="136"/>
      <c r="AL68" s="136"/>
      <c r="AM68" s="136"/>
      <c r="AN68" s="136"/>
      <c r="AO68" s="136"/>
      <c r="AP68" s="136"/>
      <c r="AQ68" s="136"/>
      <c r="AR68" s="136"/>
      <c r="AS68" s="136"/>
      <c r="AT68" s="136"/>
      <c r="AU68" s="136"/>
      <c r="AV68" s="136"/>
      <c r="AW68" s="136"/>
      <c r="AX68" s="136"/>
      <c r="AY68" s="136"/>
      <c r="AZ68" s="136"/>
    </row>
    <row r="69" spans="1:52" ht="18.75" x14ac:dyDescent="0.3">
      <c r="A69" s="4"/>
      <c r="B69" s="18"/>
      <c r="C69" s="4"/>
      <c r="D69" s="55" t="str">
        <f>Data!D7</f>
        <v>Coal - lignite</v>
      </c>
      <c r="E69" s="55" t="str">
        <f>Data!E7</f>
        <v>tonnes</v>
      </c>
      <c r="F69" s="55"/>
      <c r="G69" s="43"/>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c r="AW69" s="136"/>
      <c r="AX69" s="136"/>
      <c r="AY69" s="136"/>
      <c r="AZ69" s="136"/>
    </row>
    <row r="70" spans="1:52" ht="18.75" x14ac:dyDescent="0.3">
      <c r="A70" s="4"/>
      <c r="B70" s="18"/>
      <c r="C70" s="4"/>
      <c r="D70" s="55" t="str">
        <f>Data!D8</f>
        <v>Diesel</v>
      </c>
      <c r="E70" s="55" t="str">
        <f>Data!E8</f>
        <v>litres</v>
      </c>
      <c r="F70" s="55"/>
      <c r="G70" s="43"/>
      <c r="H70" s="136"/>
      <c r="I70" s="136"/>
      <c r="J70" s="136"/>
      <c r="K70" s="136"/>
      <c r="L70" s="136"/>
      <c r="M70" s="136"/>
      <c r="N70" s="136"/>
      <c r="O70" s="136"/>
      <c r="P70" s="136"/>
      <c r="Q70" s="136"/>
      <c r="R70" s="136"/>
      <c r="S70" s="136"/>
      <c r="T70" s="136"/>
      <c r="U70" s="136"/>
      <c r="V70" s="136"/>
      <c r="W70" s="136"/>
      <c r="X70" s="136"/>
      <c r="Y70" s="136"/>
      <c r="Z70" s="136"/>
      <c r="AA70" s="136"/>
      <c r="AB70" s="136"/>
      <c r="AC70" s="136"/>
      <c r="AD70" s="136"/>
      <c r="AE70" s="136"/>
      <c r="AF70" s="136"/>
      <c r="AG70" s="136"/>
      <c r="AH70" s="136"/>
      <c r="AI70" s="136"/>
      <c r="AJ70" s="136"/>
      <c r="AK70" s="136"/>
      <c r="AL70" s="136"/>
      <c r="AM70" s="136"/>
      <c r="AN70" s="136"/>
      <c r="AO70" s="136"/>
      <c r="AP70" s="136"/>
      <c r="AQ70" s="136"/>
      <c r="AR70" s="136"/>
      <c r="AS70" s="136"/>
      <c r="AT70" s="136"/>
      <c r="AU70" s="136"/>
      <c r="AV70" s="136"/>
      <c r="AW70" s="136"/>
      <c r="AX70" s="136"/>
      <c r="AY70" s="136"/>
      <c r="AZ70" s="136"/>
    </row>
    <row r="71" spans="1:52" ht="18.75" x14ac:dyDescent="0.3">
      <c r="A71" s="4"/>
      <c r="B71" s="18"/>
      <c r="C71" s="4"/>
      <c r="D71" s="55" t="str">
        <f>Data!D9</f>
        <v>LPG</v>
      </c>
      <c r="E71" s="55" t="str">
        <f>Data!E9</f>
        <v>m3</v>
      </c>
      <c r="F71" s="55"/>
      <c r="G71" s="43"/>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c r="AR71" s="136"/>
      <c r="AS71" s="136"/>
      <c r="AT71" s="136"/>
      <c r="AU71" s="136"/>
      <c r="AV71" s="136"/>
      <c r="AW71" s="136"/>
      <c r="AX71" s="136"/>
      <c r="AY71" s="136"/>
      <c r="AZ71" s="136"/>
    </row>
    <row r="72" spans="1:52" ht="18.75" x14ac:dyDescent="0.3">
      <c r="A72" s="4"/>
      <c r="B72" s="18"/>
      <c r="C72" s="4"/>
      <c r="D72" s="55" t="str">
        <f>Data!D10</f>
        <v>Light fuel oil</v>
      </c>
      <c r="E72" s="55" t="str">
        <f>Data!E10</f>
        <v>litres</v>
      </c>
      <c r="F72" s="55"/>
      <c r="G72" s="43"/>
      <c r="H72" s="136"/>
      <c r="I72" s="136"/>
      <c r="J72" s="136"/>
      <c r="K72" s="136"/>
      <c r="L72" s="136"/>
      <c r="M72" s="136"/>
      <c r="N72" s="136"/>
      <c r="O72" s="136"/>
      <c r="P72" s="136"/>
      <c r="Q72" s="136"/>
      <c r="R72" s="136"/>
      <c r="S72" s="136"/>
      <c r="T72" s="136"/>
      <c r="U72" s="136"/>
      <c r="V72" s="136"/>
      <c r="W72" s="136"/>
      <c r="X72" s="136"/>
      <c r="Y72" s="136"/>
      <c r="Z72" s="136"/>
      <c r="AA72" s="136"/>
      <c r="AB72" s="136"/>
      <c r="AC72" s="136"/>
      <c r="AD72" s="136"/>
      <c r="AE72" s="136"/>
      <c r="AF72" s="136"/>
      <c r="AG72" s="136"/>
      <c r="AH72" s="136"/>
      <c r="AI72" s="136"/>
      <c r="AJ72" s="136"/>
      <c r="AK72" s="136"/>
      <c r="AL72" s="136"/>
      <c r="AM72" s="136"/>
      <c r="AN72" s="136"/>
      <c r="AO72" s="136"/>
      <c r="AP72" s="136"/>
      <c r="AQ72" s="136"/>
      <c r="AR72" s="136"/>
      <c r="AS72" s="136"/>
      <c r="AT72" s="136"/>
      <c r="AU72" s="136"/>
      <c r="AV72" s="136"/>
      <c r="AW72" s="136"/>
      <c r="AX72" s="136"/>
      <c r="AY72" s="136"/>
      <c r="AZ72" s="136"/>
    </row>
    <row r="73" spans="1:52" ht="18.75" x14ac:dyDescent="0.3">
      <c r="A73" s="4"/>
      <c r="B73" s="18"/>
      <c r="C73" s="4"/>
      <c r="D73" s="55" t="str">
        <f>Data!D11</f>
        <v>Heavy fuel oil</v>
      </c>
      <c r="E73" s="55" t="str">
        <f>Data!E11</f>
        <v>litres</v>
      </c>
      <c r="F73" s="55"/>
      <c r="G73" s="43"/>
      <c r="H73" s="136"/>
      <c r="I73" s="136"/>
      <c r="J73" s="136"/>
      <c r="K73" s="136"/>
      <c r="L73" s="136"/>
      <c r="M73" s="136"/>
      <c r="N73" s="136"/>
      <c r="O73" s="136"/>
      <c r="P73" s="136"/>
      <c r="Q73" s="136"/>
      <c r="R73" s="136"/>
      <c r="S73" s="136"/>
      <c r="T73" s="136"/>
      <c r="U73" s="136"/>
      <c r="V73" s="136"/>
      <c r="W73" s="136"/>
      <c r="X73" s="136"/>
      <c r="Y73" s="136"/>
      <c r="Z73" s="136"/>
      <c r="AA73" s="136"/>
      <c r="AB73" s="136"/>
      <c r="AC73" s="136"/>
      <c r="AD73" s="136"/>
      <c r="AE73" s="136"/>
      <c r="AF73" s="136"/>
      <c r="AG73" s="136"/>
      <c r="AH73" s="136"/>
      <c r="AI73" s="136"/>
      <c r="AJ73" s="136"/>
      <c r="AK73" s="136"/>
      <c r="AL73" s="136"/>
      <c r="AM73" s="136"/>
      <c r="AN73" s="136"/>
      <c r="AO73" s="136"/>
      <c r="AP73" s="136"/>
      <c r="AQ73" s="136"/>
      <c r="AR73" s="136"/>
      <c r="AS73" s="136"/>
      <c r="AT73" s="136"/>
      <c r="AU73" s="136"/>
      <c r="AV73" s="136"/>
      <c r="AW73" s="136"/>
      <c r="AX73" s="136"/>
      <c r="AY73" s="136"/>
      <c r="AZ73" s="136"/>
    </row>
    <row r="74" spans="1:52" ht="18.75" x14ac:dyDescent="0.3">
      <c r="A74" s="4"/>
      <c r="B74" s="18"/>
      <c r="C74" s="4"/>
      <c r="D74" s="55" t="str">
        <f>Data!D12</f>
        <v>Geothermal</v>
      </c>
      <c r="E74" s="55" t="str">
        <f>Data!E12</f>
        <v>kWh</v>
      </c>
      <c r="F74" s="55"/>
      <c r="G74" s="43"/>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c r="AF74" s="136"/>
      <c r="AG74" s="136"/>
      <c r="AH74" s="136"/>
      <c r="AI74" s="136"/>
      <c r="AJ74" s="136"/>
      <c r="AK74" s="136"/>
      <c r="AL74" s="136"/>
      <c r="AM74" s="136"/>
      <c r="AN74" s="136"/>
      <c r="AO74" s="136"/>
      <c r="AP74" s="136"/>
      <c r="AQ74" s="136"/>
      <c r="AR74" s="136"/>
      <c r="AS74" s="136"/>
      <c r="AT74" s="136"/>
      <c r="AU74" s="136"/>
      <c r="AV74" s="136"/>
      <c r="AW74" s="136"/>
      <c r="AX74" s="136"/>
      <c r="AY74" s="136"/>
      <c r="AZ74" s="136"/>
    </row>
    <row r="75" spans="1:52" ht="18.75" x14ac:dyDescent="0.3">
      <c r="A75" s="4"/>
      <c r="B75" s="18"/>
      <c r="C75" s="4"/>
      <c r="D75" s="55" t="str">
        <f>Data!D13</f>
        <v>Wood or wood chips</v>
      </c>
      <c r="E75" s="55" t="str">
        <f>Data!E13</f>
        <v>tonnes</v>
      </c>
      <c r="F75" s="55"/>
      <c r="G75" s="43"/>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c r="AZ75" s="136"/>
    </row>
    <row r="76" spans="1:52" ht="18.75" x14ac:dyDescent="0.3">
      <c r="A76" s="4"/>
      <c r="B76" s="18"/>
      <c r="C76" s="4"/>
      <c r="D76" s="4"/>
      <c r="E76" s="4"/>
      <c r="F76" s="4"/>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row>
    <row r="77" spans="1:52" ht="18.75" x14ac:dyDescent="0.3">
      <c r="A77" s="50" t="s">
        <v>61</v>
      </c>
      <c r="B77" s="48"/>
      <c r="C77" s="49"/>
      <c r="D77" s="50" t="s">
        <v>75</v>
      </c>
      <c r="E77" s="50" t="s">
        <v>76</v>
      </c>
      <c r="F77" s="50"/>
      <c r="G77" s="50" t="s">
        <v>52</v>
      </c>
      <c r="H77" s="174" t="s">
        <v>77</v>
      </c>
      <c r="I77" s="174" t="s">
        <v>78</v>
      </c>
      <c r="J77" s="174" t="s">
        <v>79</v>
      </c>
      <c r="K77" s="174" t="s">
        <v>80</v>
      </c>
      <c r="L77" s="174" t="s">
        <v>81</v>
      </c>
      <c r="M77" s="174" t="s">
        <v>82</v>
      </c>
      <c r="N77" s="174" t="s">
        <v>83</v>
      </c>
      <c r="O77" s="174" t="s">
        <v>84</v>
      </c>
      <c r="P77" s="174" t="s">
        <v>85</v>
      </c>
      <c r="Q77" s="174" t="s">
        <v>86</v>
      </c>
      <c r="R77" s="174" t="s">
        <v>87</v>
      </c>
      <c r="S77" s="174" t="s">
        <v>88</v>
      </c>
      <c r="T77" s="174" t="s">
        <v>89</v>
      </c>
      <c r="U77" s="174" t="s">
        <v>90</v>
      </c>
      <c r="V77" s="174" t="s">
        <v>91</v>
      </c>
      <c r="W77" s="174" t="s">
        <v>92</v>
      </c>
      <c r="X77" s="174" t="s">
        <v>93</v>
      </c>
      <c r="Y77" s="174" t="s">
        <v>94</v>
      </c>
      <c r="Z77" s="174" t="s">
        <v>95</v>
      </c>
      <c r="AA77" s="174" t="s">
        <v>96</v>
      </c>
      <c r="AB77" s="174" t="s">
        <v>97</v>
      </c>
      <c r="AC77" s="174" t="s">
        <v>98</v>
      </c>
      <c r="AD77" s="174" t="s">
        <v>99</v>
      </c>
      <c r="AE77" s="174" t="s">
        <v>100</v>
      </c>
      <c r="AF77" s="174" t="s">
        <v>101</v>
      </c>
      <c r="AG77" s="174" t="s">
        <v>102</v>
      </c>
      <c r="AH77" s="174" t="s">
        <v>103</v>
      </c>
      <c r="AI77" s="174" t="s">
        <v>104</v>
      </c>
      <c r="AJ77" s="174" t="s">
        <v>105</v>
      </c>
      <c r="AK77" s="174" t="s">
        <v>106</v>
      </c>
      <c r="AL77" s="174" t="s">
        <v>107</v>
      </c>
      <c r="AM77" s="174" t="s">
        <v>108</v>
      </c>
      <c r="AN77" s="174" t="s">
        <v>109</v>
      </c>
      <c r="AO77" s="174" t="s">
        <v>110</v>
      </c>
      <c r="AP77" s="174" t="s">
        <v>111</v>
      </c>
      <c r="AQ77" s="174" t="s">
        <v>112</v>
      </c>
      <c r="AR77" s="174" t="s">
        <v>113</v>
      </c>
      <c r="AS77" s="174" t="s">
        <v>114</v>
      </c>
      <c r="AT77" s="174" t="s">
        <v>115</v>
      </c>
      <c r="AU77" s="174" t="s">
        <v>116</v>
      </c>
      <c r="AV77" s="174" t="s">
        <v>117</v>
      </c>
      <c r="AW77" s="174" t="s">
        <v>118</v>
      </c>
      <c r="AX77" s="174" t="s">
        <v>119</v>
      </c>
      <c r="AY77" s="174" t="s">
        <v>120</v>
      </c>
      <c r="AZ77" s="174" t="s">
        <v>121</v>
      </c>
    </row>
    <row r="78" spans="1:52" ht="18.75" x14ac:dyDescent="0.3">
      <c r="A78" s="25" t="str">
        <f>"Please provide data through to "&amp;FinalYear_BC</f>
        <v>Please provide data through to 2047</v>
      </c>
      <c r="B78" s="18"/>
      <c r="C78" s="4"/>
      <c r="D78" s="56" t="str">
        <f>Data!D3</f>
        <v>Electricity</v>
      </c>
      <c r="E78" s="56" t="str">
        <f>Data!E3</f>
        <v>MWh</v>
      </c>
      <c r="F78" s="56"/>
      <c r="G78" s="44"/>
      <c r="H78" s="137">
        <v>120</v>
      </c>
      <c r="I78" s="137">
        <v>120</v>
      </c>
      <c r="J78" s="137">
        <v>120</v>
      </c>
      <c r="K78" s="137">
        <v>120</v>
      </c>
      <c r="L78" s="137">
        <v>120</v>
      </c>
      <c r="M78" s="137">
        <v>120</v>
      </c>
      <c r="N78" s="137">
        <v>120</v>
      </c>
      <c r="O78" s="137">
        <v>120</v>
      </c>
      <c r="P78" s="137">
        <v>120</v>
      </c>
      <c r="Q78" s="137">
        <v>120</v>
      </c>
      <c r="R78" s="137">
        <v>120</v>
      </c>
      <c r="S78" s="137">
        <v>120</v>
      </c>
      <c r="T78" s="137">
        <v>120</v>
      </c>
      <c r="U78" s="137">
        <v>120</v>
      </c>
      <c r="V78" s="137">
        <v>120</v>
      </c>
      <c r="W78" s="137">
        <v>120</v>
      </c>
      <c r="X78" s="137">
        <v>120</v>
      </c>
      <c r="Y78" s="137">
        <v>120</v>
      </c>
      <c r="Z78" s="137">
        <v>120</v>
      </c>
      <c r="AA78" s="137">
        <v>120</v>
      </c>
      <c r="AB78" s="137">
        <v>120</v>
      </c>
      <c r="AC78" s="137">
        <v>120</v>
      </c>
      <c r="AD78" s="137"/>
      <c r="AE78" s="137"/>
      <c r="AF78" s="137"/>
      <c r="AG78" s="137"/>
      <c r="AH78" s="137"/>
      <c r="AI78" s="137"/>
      <c r="AJ78" s="137"/>
      <c r="AK78" s="137"/>
      <c r="AL78" s="137"/>
      <c r="AM78" s="137"/>
      <c r="AN78" s="137"/>
      <c r="AO78" s="137"/>
      <c r="AP78" s="137"/>
      <c r="AQ78" s="137"/>
      <c r="AR78" s="137"/>
      <c r="AS78" s="137"/>
      <c r="AT78" s="137"/>
      <c r="AU78" s="137"/>
      <c r="AV78" s="137"/>
      <c r="AW78" s="137"/>
      <c r="AX78" s="137"/>
      <c r="AY78" s="137"/>
      <c r="AZ78" s="137"/>
    </row>
    <row r="79" spans="1:52" ht="18.75" x14ac:dyDescent="0.3">
      <c r="A79" s="4"/>
      <c r="B79" s="18"/>
      <c r="C79" s="4"/>
      <c r="D79" s="56" t="str">
        <f>Data!D4</f>
        <v>Natural Gas</v>
      </c>
      <c r="E79" s="56" t="str">
        <f>Data!E4</f>
        <v>GJ</v>
      </c>
      <c r="F79" s="56"/>
      <c r="G79" s="44"/>
      <c r="H79" s="137">
        <v>70000</v>
      </c>
      <c r="I79" s="137">
        <v>70000</v>
      </c>
      <c r="J79" s="137">
        <v>70000</v>
      </c>
      <c r="K79" s="137">
        <v>70000</v>
      </c>
      <c r="L79" s="137">
        <v>70000</v>
      </c>
      <c r="M79" s="137">
        <v>70000</v>
      </c>
      <c r="N79" s="137">
        <v>70000</v>
      </c>
      <c r="O79" s="137">
        <v>70000</v>
      </c>
      <c r="P79" s="137">
        <v>70000</v>
      </c>
      <c r="Q79" s="137">
        <v>70000</v>
      </c>
      <c r="R79" s="137">
        <v>70000</v>
      </c>
      <c r="S79" s="137">
        <v>70000</v>
      </c>
      <c r="T79" s="137">
        <v>70000</v>
      </c>
      <c r="U79" s="137">
        <v>70000</v>
      </c>
      <c r="V79" s="137">
        <v>70000</v>
      </c>
      <c r="W79" s="137">
        <v>70000</v>
      </c>
      <c r="X79" s="137">
        <v>70000</v>
      </c>
      <c r="Y79" s="137">
        <v>70000</v>
      </c>
      <c r="Z79" s="137">
        <v>70000</v>
      </c>
      <c r="AA79" s="137">
        <v>70000</v>
      </c>
      <c r="AB79" s="137">
        <v>70000</v>
      </c>
      <c r="AC79" s="137">
        <v>70000</v>
      </c>
      <c r="AD79" s="137"/>
      <c r="AE79" s="137"/>
      <c r="AF79" s="137"/>
      <c r="AG79" s="137"/>
      <c r="AH79" s="137"/>
      <c r="AI79" s="137"/>
      <c r="AJ79" s="137"/>
      <c r="AK79" s="137"/>
      <c r="AL79" s="137"/>
      <c r="AM79" s="137"/>
      <c r="AN79" s="137"/>
      <c r="AO79" s="137"/>
      <c r="AP79" s="137"/>
      <c r="AQ79" s="137"/>
      <c r="AR79" s="137"/>
      <c r="AS79" s="137"/>
      <c r="AT79" s="137"/>
      <c r="AU79" s="137"/>
      <c r="AV79" s="137"/>
      <c r="AW79" s="137"/>
      <c r="AX79" s="137"/>
      <c r="AY79" s="137"/>
      <c r="AZ79" s="137"/>
    </row>
    <row r="80" spans="1:52" ht="18.75" x14ac:dyDescent="0.3">
      <c r="A80" s="4"/>
      <c r="B80" s="18"/>
      <c r="C80" s="4"/>
      <c r="D80" s="56" t="str">
        <f>Data!D5</f>
        <v>Coal - sub bituminous</v>
      </c>
      <c r="E80" s="56" t="str">
        <f>Data!E5</f>
        <v>tonnes</v>
      </c>
      <c r="F80" s="56"/>
      <c r="G80" s="44"/>
      <c r="H80" s="137"/>
      <c r="I80" s="137"/>
      <c r="J80" s="137"/>
      <c r="K80" s="137"/>
      <c r="L80" s="137"/>
      <c r="M80" s="137"/>
      <c r="N80" s="137"/>
      <c r="O80" s="137"/>
      <c r="P80" s="137"/>
      <c r="Q80" s="137"/>
      <c r="R80" s="137"/>
      <c r="S80" s="137"/>
      <c r="T80" s="137"/>
      <c r="U80" s="137"/>
      <c r="V80" s="137"/>
      <c r="W80" s="137"/>
      <c r="X80" s="137"/>
      <c r="Y80" s="137"/>
      <c r="Z80" s="137"/>
      <c r="AA80" s="137"/>
      <c r="AB80" s="137"/>
      <c r="AC80" s="137"/>
      <c r="AD80" s="137"/>
      <c r="AE80" s="137"/>
      <c r="AF80" s="137"/>
      <c r="AG80" s="137"/>
      <c r="AH80" s="137"/>
      <c r="AI80" s="137"/>
      <c r="AJ80" s="137"/>
      <c r="AK80" s="137"/>
      <c r="AL80" s="137"/>
      <c r="AM80" s="137"/>
      <c r="AN80" s="137"/>
      <c r="AO80" s="137"/>
      <c r="AP80" s="137"/>
      <c r="AQ80" s="137"/>
      <c r="AR80" s="137"/>
      <c r="AS80" s="137"/>
      <c r="AT80" s="137"/>
      <c r="AU80" s="137"/>
      <c r="AV80" s="137"/>
      <c r="AW80" s="137"/>
      <c r="AX80" s="137"/>
      <c r="AY80" s="137"/>
      <c r="AZ80" s="137"/>
    </row>
    <row r="81" spans="1:52" ht="18.75" x14ac:dyDescent="0.3">
      <c r="A81" s="4"/>
      <c r="B81" s="18"/>
      <c r="C81" s="4"/>
      <c r="D81" s="56" t="str">
        <f>Data!D6</f>
        <v>Coal - bituminous</v>
      </c>
      <c r="E81" s="56" t="str">
        <f>Data!E6</f>
        <v>tonnes</v>
      </c>
      <c r="F81" s="56"/>
      <c r="G81" s="44"/>
      <c r="H81" s="137"/>
      <c r="I81" s="137"/>
      <c r="J81" s="137"/>
      <c r="K81" s="137"/>
      <c r="L81" s="137"/>
      <c r="M81" s="137"/>
      <c r="N81" s="137"/>
      <c r="O81" s="137"/>
      <c r="P81" s="137"/>
      <c r="Q81" s="137"/>
      <c r="R81" s="137"/>
      <c r="S81" s="137"/>
      <c r="T81" s="137"/>
      <c r="U81" s="137"/>
      <c r="V81" s="137"/>
      <c r="W81" s="137"/>
      <c r="X81" s="137"/>
      <c r="Y81" s="137"/>
      <c r="Z81" s="137"/>
      <c r="AA81" s="137"/>
      <c r="AB81" s="137"/>
      <c r="AC81" s="137"/>
      <c r="AD81" s="137"/>
      <c r="AE81" s="137"/>
      <c r="AF81" s="137"/>
      <c r="AG81" s="137"/>
      <c r="AH81" s="137"/>
      <c r="AI81" s="137"/>
      <c r="AJ81" s="137"/>
      <c r="AK81" s="137"/>
      <c r="AL81" s="137"/>
      <c r="AM81" s="137"/>
      <c r="AN81" s="137"/>
      <c r="AO81" s="137"/>
      <c r="AP81" s="137"/>
      <c r="AQ81" s="137"/>
      <c r="AR81" s="137"/>
      <c r="AS81" s="137"/>
      <c r="AT81" s="137"/>
      <c r="AU81" s="137"/>
      <c r="AV81" s="137"/>
      <c r="AW81" s="137"/>
      <c r="AX81" s="137"/>
      <c r="AY81" s="137"/>
      <c r="AZ81" s="137"/>
    </row>
    <row r="82" spans="1:52" ht="18.75" x14ac:dyDescent="0.3">
      <c r="A82" s="4"/>
      <c r="B82" s="18"/>
      <c r="C82" s="4"/>
      <c r="D82" s="56" t="str">
        <f>Data!D7</f>
        <v>Coal - lignite</v>
      </c>
      <c r="E82" s="56" t="str">
        <f>Data!E7</f>
        <v>tonnes</v>
      </c>
      <c r="F82" s="56"/>
      <c r="G82" s="44"/>
      <c r="H82" s="137"/>
      <c r="I82" s="137"/>
      <c r="J82" s="137"/>
      <c r="K82" s="137"/>
      <c r="L82" s="137"/>
      <c r="M82" s="137"/>
      <c r="N82" s="137"/>
      <c r="O82" s="137"/>
      <c r="P82" s="137"/>
      <c r="Q82" s="137"/>
      <c r="R82" s="137"/>
      <c r="S82" s="137"/>
      <c r="T82" s="137"/>
      <c r="U82" s="137"/>
      <c r="V82" s="137"/>
      <c r="W82" s="137"/>
      <c r="X82" s="137"/>
      <c r="Y82" s="137"/>
      <c r="Z82" s="137"/>
      <c r="AA82" s="137"/>
      <c r="AB82" s="137"/>
      <c r="AC82" s="137"/>
      <c r="AD82" s="137"/>
      <c r="AE82" s="137"/>
      <c r="AF82" s="137"/>
      <c r="AG82" s="137"/>
      <c r="AH82" s="137"/>
      <c r="AI82" s="137"/>
      <c r="AJ82" s="137"/>
      <c r="AK82" s="137"/>
      <c r="AL82" s="137"/>
      <c r="AM82" s="137"/>
      <c r="AN82" s="137"/>
      <c r="AO82" s="137"/>
      <c r="AP82" s="137"/>
      <c r="AQ82" s="137"/>
      <c r="AR82" s="137"/>
      <c r="AS82" s="137"/>
      <c r="AT82" s="137"/>
      <c r="AU82" s="137"/>
      <c r="AV82" s="137"/>
      <c r="AW82" s="137"/>
      <c r="AX82" s="137"/>
      <c r="AY82" s="137"/>
      <c r="AZ82" s="137"/>
    </row>
    <row r="83" spans="1:52" ht="18.75" x14ac:dyDescent="0.3">
      <c r="A83" s="4"/>
      <c r="B83" s="18"/>
      <c r="C83" s="4"/>
      <c r="D83" s="56" t="str">
        <f>Data!D8</f>
        <v>Diesel</v>
      </c>
      <c r="E83" s="56" t="str">
        <f>Data!E8</f>
        <v>litres</v>
      </c>
      <c r="F83" s="56"/>
      <c r="G83" s="44"/>
      <c r="H83" s="137"/>
      <c r="I83" s="137"/>
      <c r="J83" s="137"/>
      <c r="K83" s="137"/>
      <c r="L83" s="137"/>
      <c r="M83" s="137"/>
      <c r="N83" s="137"/>
      <c r="O83" s="137"/>
      <c r="P83" s="137"/>
      <c r="Q83" s="137"/>
      <c r="R83" s="137"/>
      <c r="S83" s="137"/>
      <c r="T83" s="137"/>
      <c r="U83" s="137"/>
      <c r="V83" s="137"/>
      <c r="W83" s="137"/>
      <c r="X83" s="137"/>
      <c r="Y83" s="137"/>
      <c r="Z83" s="137"/>
      <c r="AA83" s="137"/>
      <c r="AB83" s="137"/>
      <c r="AC83" s="137"/>
      <c r="AD83" s="137"/>
      <c r="AE83" s="137"/>
      <c r="AF83" s="137"/>
      <c r="AG83" s="137"/>
      <c r="AH83" s="137"/>
      <c r="AI83" s="137"/>
      <c r="AJ83" s="137"/>
      <c r="AK83" s="137"/>
      <c r="AL83" s="137"/>
      <c r="AM83" s="137"/>
      <c r="AN83" s="137"/>
      <c r="AO83" s="137"/>
      <c r="AP83" s="137"/>
      <c r="AQ83" s="137"/>
      <c r="AR83" s="137"/>
      <c r="AS83" s="137"/>
      <c r="AT83" s="137"/>
      <c r="AU83" s="137"/>
      <c r="AV83" s="137"/>
      <c r="AW83" s="137"/>
      <c r="AX83" s="137"/>
      <c r="AY83" s="137"/>
      <c r="AZ83" s="137"/>
    </row>
    <row r="84" spans="1:52" ht="18.75" x14ac:dyDescent="0.3">
      <c r="A84" s="4"/>
      <c r="B84" s="18"/>
      <c r="C84" s="4"/>
      <c r="D84" s="56" t="str">
        <f>Data!D9</f>
        <v>LPG</v>
      </c>
      <c r="E84" s="56" t="str">
        <f>Data!E9</f>
        <v>m3</v>
      </c>
      <c r="F84" s="56"/>
      <c r="G84" s="44"/>
      <c r="H84" s="137"/>
      <c r="I84" s="137"/>
      <c r="J84" s="137"/>
      <c r="K84" s="137"/>
      <c r="L84" s="137"/>
      <c r="M84" s="137"/>
      <c r="N84" s="137"/>
      <c r="O84" s="137"/>
      <c r="P84" s="137"/>
      <c r="Q84" s="137"/>
      <c r="R84" s="137"/>
      <c r="S84" s="137"/>
      <c r="T84" s="137"/>
      <c r="U84" s="137"/>
      <c r="V84" s="137"/>
      <c r="W84" s="137"/>
      <c r="X84" s="137"/>
      <c r="Y84" s="137"/>
      <c r="Z84" s="137"/>
      <c r="AA84" s="137"/>
      <c r="AB84" s="137"/>
      <c r="AC84" s="137"/>
      <c r="AD84" s="137"/>
      <c r="AE84" s="137"/>
      <c r="AF84" s="137"/>
      <c r="AG84" s="137"/>
      <c r="AH84" s="137"/>
      <c r="AI84" s="137"/>
      <c r="AJ84" s="137"/>
      <c r="AK84" s="137"/>
      <c r="AL84" s="137"/>
      <c r="AM84" s="137"/>
      <c r="AN84" s="137"/>
      <c r="AO84" s="137"/>
      <c r="AP84" s="137"/>
      <c r="AQ84" s="137"/>
      <c r="AR84" s="137"/>
      <c r="AS84" s="137"/>
      <c r="AT84" s="137"/>
      <c r="AU84" s="137"/>
      <c r="AV84" s="137"/>
      <c r="AW84" s="137"/>
      <c r="AX84" s="137"/>
      <c r="AY84" s="137"/>
      <c r="AZ84" s="137"/>
    </row>
    <row r="85" spans="1:52" ht="18.75" x14ac:dyDescent="0.3">
      <c r="A85" s="4"/>
      <c r="B85" s="18"/>
      <c r="C85" s="4"/>
      <c r="D85" s="56" t="str">
        <f>Data!D10</f>
        <v>Light fuel oil</v>
      </c>
      <c r="E85" s="56" t="str">
        <f>Data!E10</f>
        <v>litres</v>
      </c>
      <c r="F85" s="56"/>
      <c r="G85" s="44"/>
      <c r="H85" s="137"/>
      <c r="I85" s="137"/>
      <c r="J85" s="137"/>
      <c r="K85" s="137"/>
      <c r="L85" s="137"/>
      <c r="M85" s="137"/>
      <c r="N85" s="137"/>
      <c r="O85" s="137"/>
      <c r="P85" s="137"/>
      <c r="Q85" s="137"/>
      <c r="R85" s="137"/>
      <c r="S85" s="137"/>
      <c r="T85" s="137"/>
      <c r="U85" s="137"/>
      <c r="V85" s="137"/>
      <c r="W85" s="137"/>
      <c r="X85" s="137"/>
      <c r="Y85" s="137"/>
      <c r="Z85" s="137"/>
      <c r="AA85" s="137"/>
      <c r="AB85" s="137"/>
      <c r="AC85" s="137"/>
      <c r="AD85" s="137"/>
      <c r="AE85" s="137"/>
      <c r="AF85" s="137"/>
      <c r="AG85" s="137"/>
      <c r="AH85" s="137"/>
      <c r="AI85" s="137"/>
      <c r="AJ85" s="137"/>
      <c r="AK85" s="137"/>
      <c r="AL85" s="137"/>
      <c r="AM85" s="137"/>
      <c r="AN85" s="137"/>
      <c r="AO85" s="137"/>
      <c r="AP85" s="137"/>
      <c r="AQ85" s="137"/>
      <c r="AR85" s="137"/>
      <c r="AS85" s="137"/>
      <c r="AT85" s="137"/>
      <c r="AU85" s="137"/>
      <c r="AV85" s="137"/>
      <c r="AW85" s="137"/>
      <c r="AX85" s="137"/>
      <c r="AY85" s="137"/>
      <c r="AZ85" s="137"/>
    </row>
    <row r="86" spans="1:52" ht="18.75" x14ac:dyDescent="0.3">
      <c r="A86" s="4"/>
      <c r="B86" s="18"/>
      <c r="C86" s="4"/>
      <c r="D86" s="56" t="str">
        <f>Data!D11</f>
        <v>Heavy fuel oil</v>
      </c>
      <c r="E86" s="56" t="str">
        <f>Data!E11</f>
        <v>litres</v>
      </c>
      <c r="F86" s="56"/>
      <c r="G86" s="44"/>
      <c r="H86" s="137"/>
      <c r="I86" s="137"/>
      <c r="J86" s="137"/>
      <c r="K86" s="137"/>
      <c r="L86" s="137"/>
      <c r="M86" s="137"/>
      <c r="N86" s="137"/>
      <c r="O86" s="137"/>
      <c r="P86" s="137"/>
      <c r="Q86" s="137"/>
      <c r="R86" s="137"/>
      <c r="S86" s="137"/>
      <c r="T86" s="137"/>
      <c r="U86" s="137"/>
      <c r="V86" s="137"/>
      <c r="W86" s="137"/>
      <c r="X86" s="137"/>
      <c r="Y86" s="137"/>
      <c r="Z86" s="137"/>
      <c r="AA86" s="137"/>
      <c r="AB86" s="137"/>
      <c r="AC86" s="137"/>
      <c r="AD86" s="137"/>
      <c r="AE86" s="137"/>
      <c r="AF86" s="137"/>
      <c r="AG86" s="137"/>
      <c r="AH86" s="137"/>
      <c r="AI86" s="137"/>
      <c r="AJ86" s="137"/>
      <c r="AK86" s="137"/>
      <c r="AL86" s="137"/>
      <c r="AM86" s="137"/>
      <c r="AN86" s="137"/>
      <c r="AO86" s="137"/>
      <c r="AP86" s="137"/>
      <c r="AQ86" s="137"/>
      <c r="AR86" s="137"/>
      <c r="AS86" s="137"/>
      <c r="AT86" s="137"/>
      <c r="AU86" s="137"/>
      <c r="AV86" s="137"/>
      <c r="AW86" s="137"/>
      <c r="AX86" s="137"/>
      <c r="AY86" s="137"/>
      <c r="AZ86" s="137"/>
    </row>
    <row r="87" spans="1:52" ht="18.75" x14ac:dyDescent="0.3">
      <c r="A87" s="4"/>
      <c r="B87" s="18"/>
      <c r="C87" s="4"/>
      <c r="D87" s="56" t="str">
        <f>Data!D12</f>
        <v>Geothermal</v>
      </c>
      <c r="E87" s="56" t="str">
        <f>Data!E12</f>
        <v>kWh</v>
      </c>
      <c r="F87" s="56"/>
      <c r="G87" s="44"/>
      <c r="H87" s="137"/>
      <c r="I87" s="137"/>
      <c r="J87" s="137"/>
      <c r="K87" s="137"/>
      <c r="L87" s="137"/>
      <c r="M87" s="137"/>
      <c r="N87" s="137"/>
      <c r="O87" s="137"/>
      <c r="P87" s="137"/>
      <c r="Q87" s="137"/>
      <c r="R87" s="137"/>
      <c r="S87" s="137"/>
      <c r="T87" s="137"/>
      <c r="U87" s="137"/>
      <c r="V87" s="137"/>
      <c r="W87" s="137"/>
      <c r="X87" s="137"/>
      <c r="Y87" s="137"/>
      <c r="Z87" s="137"/>
      <c r="AA87" s="137"/>
      <c r="AB87" s="137"/>
      <c r="AC87" s="137"/>
      <c r="AD87" s="137"/>
      <c r="AE87" s="137"/>
      <c r="AF87" s="137"/>
      <c r="AG87" s="137"/>
      <c r="AH87" s="137"/>
      <c r="AI87" s="137"/>
      <c r="AJ87" s="137"/>
      <c r="AK87" s="137"/>
      <c r="AL87" s="137"/>
      <c r="AM87" s="137"/>
      <c r="AN87" s="137"/>
      <c r="AO87" s="137"/>
      <c r="AP87" s="137"/>
      <c r="AQ87" s="137"/>
      <c r="AR87" s="137"/>
      <c r="AS87" s="137"/>
      <c r="AT87" s="137"/>
      <c r="AU87" s="137"/>
      <c r="AV87" s="137"/>
      <c r="AW87" s="137"/>
      <c r="AX87" s="137"/>
      <c r="AY87" s="137"/>
      <c r="AZ87" s="137"/>
    </row>
    <row r="88" spans="1:52" ht="18.75" x14ac:dyDescent="0.3">
      <c r="A88" s="4"/>
      <c r="B88" s="18"/>
      <c r="C88" s="4"/>
      <c r="D88" s="56" t="str">
        <f>Data!D13</f>
        <v>Wood or wood chips</v>
      </c>
      <c r="E88" s="56" t="str">
        <f>Data!E13</f>
        <v>tonnes</v>
      </c>
      <c r="F88" s="56"/>
      <c r="G88" s="44"/>
      <c r="H88" s="137"/>
      <c r="I88" s="137"/>
      <c r="J88" s="137"/>
      <c r="K88" s="137"/>
      <c r="L88" s="137"/>
      <c r="M88" s="137"/>
      <c r="N88" s="137"/>
      <c r="O88" s="137"/>
      <c r="P88" s="137"/>
      <c r="Q88" s="137"/>
      <c r="R88" s="137"/>
      <c r="S88" s="137"/>
      <c r="T88" s="137"/>
      <c r="U88" s="137"/>
      <c r="V88" s="137"/>
      <c r="W88" s="137"/>
      <c r="X88" s="137"/>
      <c r="Y88" s="137"/>
      <c r="Z88" s="137"/>
      <c r="AA88" s="137"/>
      <c r="AB88" s="137"/>
      <c r="AC88" s="137"/>
      <c r="AD88" s="137"/>
      <c r="AE88" s="137"/>
      <c r="AF88" s="137"/>
      <c r="AG88" s="137"/>
      <c r="AH88" s="137"/>
      <c r="AI88" s="137"/>
      <c r="AJ88" s="137"/>
      <c r="AK88" s="137"/>
      <c r="AL88" s="137"/>
      <c r="AM88" s="137"/>
      <c r="AN88" s="137"/>
      <c r="AO88" s="137"/>
      <c r="AP88" s="137"/>
      <c r="AQ88" s="137"/>
      <c r="AR88" s="137"/>
      <c r="AS88" s="137"/>
      <c r="AT88" s="137"/>
      <c r="AU88" s="137"/>
      <c r="AV88" s="137"/>
      <c r="AW88" s="137"/>
      <c r="AX88" s="137"/>
      <c r="AY88" s="137"/>
      <c r="AZ88" s="137"/>
    </row>
    <row r="89" spans="1:5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row>
    <row r="90" spans="1:52" x14ac:dyDescent="0.25">
      <c r="A90" s="3" t="s">
        <v>122</v>
      </c>
      <c r="B90" s="9"/>
      <c r="C90" s="9"/>
      <c r="D90" s="4"/>
      <c r="E90" s="4"/>
      <c r="F90" s="4"/>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row>
    <row r="91" spans="1:52" x14ac:dyDescent="0.25">
      <c r="A91" s="52" t="s">
        <v>50</v>
      </c>
      <c r="B91" s="47" t="s">
        <v>75</v>
      </c>
      <c r="C91" s="47" t="s">
        <v>76</v>
      </c>
      <c r="D91" s="61" t="s">
        <v>123</v>
      </c>
      <c r="E91" s="61" t="s">
        <v>48</v>
      </c>
      <c r="F91" s="61"/>
      <c r="G91" s="53" t="s">
        <v>52</v>
      </c>
      <c r="H91" s="62">
        <f>Start_Yr</f>
        <v>2026</v>
      </c>
      <c r="I91" s="62">
        <f>H91+1</f>
        <v>2027</v>
      </c>
      <c r="J91" s="62">
        <f t="shared" ref="J91:AF91" si="58">I91+1</f>
        <v>2028</v>
      </c>
      <c r="K91" s="62">
        <f t="shared" si="58"/>
        <v>2029</v>
      </c>
      <c r="L91" s="62">
        <f t="shared" si="58"/>
        <v>2030</v>
      </c>
      <c r="M91" s="62">
        <f t="shared" si="58"/>
        <v>2031</v>
      </c>
      <c r="N91" s="62">
        <f t="shared" si="58"/>
        <v>2032</v>
      </c>
      <c r="O91" s="62">
        <f t="shared" si="58"/>
        <v>2033</v>
      </c>
      <c r="P91" s="62">
        <f t="shared" si="58"/>
        <v>2034</v>
      </c>
      <c r="Q91" s="62">
        <f t="shared" si="58"/>
        <v>2035</v>
      </c>
      <c r="R91" s="62">
        <f t="shared" si="58"/>
        <v>2036</v>
      </c>
      <c r="S91" s="62">
        <f t="shared" si="58"/>
        <v>2037</v>
      </c>
      <c r="T91" s="62">
        <f t="shared" si="58"/>
        <v>2038</v>
      </c>
      <c r="U91" s="62">
        <f t="shared" si="58"/>
        <v>2039</v>
      </c>
      <c r="V91" s="62">
        <f t="shared" si="58"/>
        <v>2040</v>
      </c>
      <c r="W91" s="62">
        <f t="shared" si="58"/>
        <v>2041</v>
      </c>
      <c r="X91" s="62">
        <f t="shared" si="58"/>
        <v>2042</v>
      </c>
      <c r="Y91" s="62">
        <f t="shared" si="58"/>
        <v>2043</v>
      </c>
      <c r="Z91" s="62">
        <f t="shared" si="58"/>
        <v>2044</v>
      </c>
      <c r="AA91" s="62">
        <f t="shared" si="58"/>
        <v>2045</v>
      </c>
      <c r="AB91" s="62">
        <f t="shared" si="58"/>
        <v>2046</v>
      </c>
      <c r="AC91" s="62">
        <f t="shared" si="58"/>
        <v>2047</v>
      </c>
      <c r="AD91" s="62">
        <f t="shared" si="58"/>
        <v>2048</v>
      </c>
      <c r="AE91" s="62">
        <f t="shared" si="58"/>
        <v>2049</v>
      </c>
      <c r="AF91" s="62">
        <f t="shared" si="58"/>
        <v>2050</v>
      </c>
      <c r="AG91" s="62">
        <f t="shared" ref="AG91:AZ91" si="59">AF91+1</f>
        <v>2051</v>
      </c>
      <c r="AH91" s="62">
        <f t="shared" si="59"/>
        <v>2052</v>
      </c>
      <c r="AI91" s="62">
        <f t="shared" si="59"/>
        <v>2053</v>
      </c>
      <c r="AJ91" s="62">
        <f t="shared" si="59"/>
        <v>2054</v>
      </c>
      <c r="AK91" s="62">
        <f t="shared" si="59"/>
        <v>2055</v>
      </c>
      <c r="AL91" s="62">
        <f t="shared" si="59"/>
        <v>2056</v>
      </c>
      <c r="AM91" s="62">
        <f t="shared" si="59"/>
        <v>2057</v>
      </c>
      <c r="AN91" s="62">
        <f t="shared" si="59"/>
        <v>2058</v>
      </c>
      <c r="AO91" s="62">
        <f t="shared" si="59"/>
        <v>2059</v>
      </c>
      <c r="AP91" s="62">
        <f t="shared" si="59"/>
        <v>2060</v>
      </c>
      <c r="AQ91" s="62">
        <f t="shared" si="59"/>
        <v>2061</v>
      </c>
      <c r="AR91" s="62">
        <f t="shared" si="59"/>
        <v>2062</v>
      </c>
      <c r="AS91" s="62">
        <f t="shared" si="59"/>
        <v>2063</v>
      </c>
      <c r="AT91" s="62">
        <f t="shared" si="59"/>
        <v>2064</v>
      </c>
      <c r="AU91" s="62">
        <f t="shared" si="59"/>
        <v>2065</v>
      </c>
      <c r="AV91" s="62">
        <f t="shared" si="59"/>
        <v>2066</v>
      </c>
      <c r="AW91" s="62">
        <f t="shared" si="59"/>
        <v>2067</v>
      </c>
      <c r="AX91" s="62">
        <f t="shared" si="59"/>
        <v>2068</v>
      </c>
      <c r="AY91" s="62">
        <f t="shared" si="59"/>
        <v>2069</v>
      </c>
      <c r="AZ91" s="62">
        <f t="shared" si="59"/>
        <v>2070</v>
      </c>
    </row>
    <row r="92" spans="1:52" x14ac:dyDescent="0.25">
      <c r="A92" s="25" t="str">
        <f>"Please provide data through to "&amp;FinalYear_PP</f>
        <v>Please provide data through to 2047</v>
      </c>
      <c r="B92" s="20" t="str">
        <f>Data!D3</f>
        <v>Electricity</v>
      </c>
      <c r="C92" s="20" t="str">
        <f>"$/"&amp;IF(RIGHT(E65,1)="s",LEFT(E65,LEN(E65)-1),E65)</f>
        <v>$/MWh</v>
      </c>
      <c r="D92" s="45" t="s">
        <v>28</v>
      </c>
      <c r="E92" s="45" t="s">
        <v>124</v>
      </c>
      <c r="F92" s="45"/>
      <c r="G92" s="45"/>
      <c r="H92" s="175">
        <v>250</v>
      </c>
      <c r="I92" s="175">
        <v>250</v>
      </c>
      <c r="J92" s="175">
        <v>250</v>
      </c>
      <c r="K92" s="175">
        <v>250</v>
      </c>
      <c r="L92" s="175">
        <v>250</v>
      </c>
      <c r="M92" s="175">
        <v>250</v>
      </c>
      <c r="N92" s="175">
        <v>250</v>
      </c>
      <c r="O92" s="175">
        <v>250</v>
      </c>
      <c r="P92" s="175">
        <v>250</v>
      </c>
      <c r="Q92" s="175">
        <v>250</v>
      </c>
      <c r="R92" s="175">
        <v>250</v>
      </c>
      <c r="S92" s="175">
        <v>250</v>
      </c>
      <c r="T92" s="175">
        <v>250</v>
      </c>
      <c r="U92" s="175">
        <v>250</v>
      </c>
      <c r="V92" s="175">
        <v>250</v>
      </c>
      <c r="W92" s="175">
        <v>250</v>
      </c>
      <c r="X92" s="175">
        <v>250</v>
      </c>
      <c r="Y92" s="175">
        <v>250</v>
      </c>
      <c r="Z92" s="175">
        <v>250</v>
      </c>
      <c r="AA92" s="175">
        <v>250</v>
      </c>
      <c r="AB92" s="175">
        <v>250</v>
      </c>
      <c r="AC92" s="175">
        <v>250</v>
      </c>
      <c r="AD92" s="175"/>
      <c r="AE92" s="175"/>
      <c r="AF92" s="175"/>
      <c r="AG92" s="175"/>
      <c r="AH92" s="175"/>
      <c r="AI92" s="175"/>
      <c r="AJ92" s="175"/>
      <c r="AK92" s="175"/>
      <c r="AL92" s="175"/>
      <c r="AM92" s="175"/>
      <c r="AN92" s="175"/>
      <c r="AO92" s="175"/>
      <c r="AP92" s="175"/>
      <c r="AQ92" s="175"/>
      <c r="AR92" s="175"/>
      <c r="AS92" s="175"/>
      <c r="AT92" s="175"/>
      <c r="AU92" s="175"/>
      <c r="AV92" s="175"/>
      <c r="AW92" s="175"/>
      <c r="AX92" s="175"/>
      <c r="AY92" s="175"/>
      <c r="AZ92" s="175"/>
    </row>
    <row r="93" spans="1:52" x14ac:dyDescent="0.25">
      <c r="A93" s="25"/>
      <c r="B93" s="20" t="str">
        <f>Data!D4</f>
        <v>Natural Gas</v>
      </c>
      <c r="C93" s="20" t="str">
        <f t="shared" ref="C93:C102" si="60">"$/"&amp;IF(RIGHT(E66,1)="s",LEFT(E66,LEN(E66)-1),E66)</f>
        <v>$/GJ</v>
      </c>
      <c r="D93" s="45" t="s">
        <v>28</v>
      </c>
      <c r="E93" s="45" t="s">
        <v>124</v>
      </c>
      <c r="F93" s="45"/>
      <c r="G93" s="45"/>
      <c r="H93" s="175">
        <v>10</v>
      </c>
      <c r="I93" s="175">
        <v>10</v>
      </c>
      <c r="J93" s="175">
        <v>10</v>
      </c>
      <c r="K93" s="175">
        <v>10</v>
      </c>
      <c r="L93" s="175">
        <v>10</v>
      </c>
      <c r="M93" s="175">
        <v>10</v>
      </c>
      <c r="N93" s="175">
        <v>10</v>
      </c>
      <c r="O93" s="175">
        <v>10</v>
      </c>
      <c r="P93" s="175">
        <v>10</v>
      </c>
      <c r="Q93" s="175">
        <v>10</v>
      </c>
      <c r="R93" s="175">
        <v>10</v>
      </c>
      <c r="S93" s="175">
        <v>10</v>
      </c>
      <c r="T93" s="175">
        <v>10</v>
      </c>
      <c r="U93" s="175">
        <v>10</v>
      </c>
      <c r="V93" s="175">
        <v>10</v>
      </c>
      <c r="W93" s="175">
        <v>10</v>
      </c>
      <c r="X93" s="175">
        <v>10</v>
      </c>
      <c r="Y93" s="175">
        <v>10</v>
      </c>
      <c r="Z93" s="175">
        <v>10</v>
      </c>
      <c r="AA93" s="175">
        <v>10</v>
      </c>
      <c r="AB93" s="175">
        <v>10</v>
      </c>
      <c r="AC93" s="175">
        <v>10</v>
      </c>
      <c r="AD93" s="175"/>
      <c r="AE93" s="175"/>
      <c r="AF93" s="175"/>
      <c r="AG93" s="175"/>
      <c r="AH93" s="175"/>
      <c r="AI93" s="175"/>
      <c r="AJ93" s="175"/>
      <c r="AK93" s="175"/>
      <c r="AL93" s="175"/>
      <c r="AM93" s="175"/>
      <c r="AN93" s="175"/>
      <c r="AO93" s="175"/>
      <c r="AP93" s="175"/>
      <c r="AQ93" s="175"/>
      <c r="AR93" s="175"/>
      <c r="AS93" s="175"/>
      <c r="AT93" s="175"/>
      <c r="AU93" s="175"/>
      <c r="AV93" s="175"/>
      <c r="AW93" s="175"/>
      <c r="AX93" s="175"/>
      <c r="AY93" s="175"/>
      <c r="AZ93" s="175"/>
    </row>
    <row r="94" spans="1:52" x14ac:dyDescent="0.25">
      <c r="A94" s="25"/>
      <c r="B94" s="20" t="str">
        <f>Data!D5</f>
        <v>Coal - sub bituminous</v>
      </c>
      <c r="C94" s="20" t="str">
        <f t="shared" si="60"/>
        <v>$/tonne</v>
      </c>
      <c r="D94" s="45" t="s">
        <v>28</v>
      </c>
      <c r="E94" s="45" t="s">
        <v>124</v>
      </c>
      <c r="F94" s="45"/>
      <c r="G94" s="45"/>
      <c r="H94" s="175">
        <v>150</v>
      </c>
      <c r="I94" s="175">
        <v>150</v>
      </c>
      <c r="J94" s="175">
        <v>150</v>
      </c>
      <c r="K94" s="175">
        <v>150</v>
      </c>
      <c r="L94" s="175">
        <v>150</v>
      </c>
      <c r="M94" s="175">
        <v>150</v>
      </c>
      <c r="N94" s="175">
        <v>150</v>
      </c>
      <c r="O94" s="175">
        <v>150</v>
      </c>
      <c r="P94" s="175">
        <v>150</v>
      </c>
      <c r="Q94" s="175">
        <v>150</v>
      </c>
      <c r="R94" s="175">
        <v>150</v>
      </c>
      <c r="S94" s="175">
        <v>150</v>
      </c>
      <c r="T94" s="175">
        <v>150</v>
      </c>
      <c r="U94" s="175">
        <v>150</v>
      </c>
      <c r="V94" s="175">
        <v>150</v>
      </c>
      <c r="W94" s="175">
        <v>150</v>
      </c>
      <c r="X94" s="175">
        <v>150</v>
      </c>
      <c r="Y94" s="175">
        <v>150</v>
      </c>
      <c r="Z94" s="175">
        <v>150</v>
      </c>
      <c r="AA94" s="175">
        <v>150</v>
      </c>
      <c r="AB94" s="175">
        <v>150</v>
      </c>
      <c r="AC94" s="175">
        <v>150</v>
      </c>
      <c r="AD94" s="175"/>
      <c r="AE94" s="175"/>
      <c r="AF94" s="175"/>
      <c r="AG94" s="175"/>
      <c r="AH94" s="175"/>
      <c r="AI94" s="175"/>
      <c r="AJ94" s="175"/>
      <c r="AK94" s="175"/>
      <c r="AL94" s="175"/>
      <c r="AM94" s="175"/>
      <c r="AN94" s="175"/>
      <c r="AO94" s="175"/>
      <c r="AP94" s="175"/>
      <c r="AQ94" s="175"/>
      <c r="AR94" s="175"/>
      <c r="AS94" s="175"/>
      <c r="AT94" s="175"/>
      <c r="AU94" s="175"/>
      <c r="AV94" s="175"/>
      <c r="AW94" s="175"/>
      <c r="AX94" s="175"/>
      <c r="AY94" s="175"/>
      <c r="AZ94" s="175"/>
    </row>
    <row r="95" spans="1:52" x14ac:dyDescent="0.25">
      <c r="A95" s="25"/>
      <c r="B95" s="20" t="str">
        <f>Data!D6</f>
        <v>Coal - bituminous</v>
      </c>
      <c r="C95" s="20" t="str">
        <f t="shared" si="60"/>
        <v>$/tonne</v>
      </c>
      <c r="D95" s="45" t="s">
        <v>28</v>
      </c>
      <c r="E95" s="45" t="s">
        <v>124</v>
      </c>
      <c r="F95" s="45"/>
      <c r="G95" s="45"/>
      <c r="H95" s="175"/>
      <c r="I95" s="175"/>
      <c r="J95" s="175"/>
      <c r="K95" s="175"/>
      <c r="L95" s="175"/>
      <c r="M95" s="175"/>
      <c r="N95" s="175"/>
      <c r="O95" s="175"/>
      <c r="P95" s="175"/>
      <c r="Q95" s="175"/>
      <c r="R95" s="175"/>
      <c r="S95" s="175"/>
      <c r="T95" s="175"/>
      <c r="U95" s="175"/>
      <c r="V95" s="175"/>
      <c r="W95" s="175"/>
      <c r="X95" s="175"/>
      <c r="Y95" s="175"/>
      <c r="Z95" s="175"/>
      <c r="AA95" s="175"/>
      <c r="AB95" s="175"/>
      <c r="AC95" s="175"/>
      <c r="AD95" s="175"/>
      <c r="AE95" s="175"/>
      <c r="AF95" s="175"/>
      <c r="AG95" s="175"/>
      <c r="AH95" s="175"/>
      <c r="AI95" s="175"/>
      <c r="AJ95" s="175"/>
      <c r="AK95" s="175"/>
      <c r="AL95" s="175"/>
      <c r="AM95" s="175"/>
      <c r="AN95" s="175"/>
      <c r="AO95" s="175"/>
      <c r="AP95" s="175"/>
      <c r="AQ95" s="175"/>
      <c r="AR95" s="175"/>
      <c r="AS95" s="175"/>
      <c r="AT95" s="175"/>
      <c r="AU95" s="175"/>
      <c r="AV95" s="175"/>
      <c r="AW95" s="175"/>
      <c r="AX95" s="175"/>
      <c r="AY95" s="175"/>
      <c r="AZ95" s="175"/>
    </row>
    <row r="96" spans="1:52" x14ac:dyDescent="0.25">
      <c r="A96" s="25"/>
      <c r="B96" s="20" t="str">
        <f>Data!D7</f>
        <v>Coal - lignite</v>
      </c>
      <c r="C96" s="20" t="str">
        <f t="shared" si="60"/>
        <v>$/tonne</v>
      </c>
      <c r="D96" s="45" t="s">
        <v>28</v>
      </c>
      <c r="E96" s="45" t="s">
        <v>124</v>
      </c>
      <c r="F96" s="45"/>
      <c r="G96" s="45"/>
      <c r="H96" s="175"/>
      <c r="I96" s="175"/>
      <c r="J96" s="175"/>
      <c r="K96" s="175"/>
      <c r="L96" s="175"/>
      <c r="M96" s="175"/>
      <c r="N96" s="175"/>
      <c r="O96" s="175"/>
      <c r="P96" s="175"/>
      <c r="Q96" s="175"/>
      <c r="R96" s="175"/>
      <c r="S96" s="175"/>
      <c r="T96" s="175"/>
      <c r="U96" s="175"/>
      <c r="V96" s="175"/>
      <c r="W96" s="175"/>
      <c r="X96" s="175"/>
      <c r="Y96" s="175"/>
      <c r="Z96" s="175"/>
      <c r="AA96" s="175"/>
      <c r="AB96" s="175"/>
      <c r="AC96" s="175"/>
      <c r="AD96" s="175"/>
      <c r="AE96" s="175"/>
      <c r="AF96" s="175"/>
      <c r="AG96" s="175"/>
      <c r="AH96" s="175"/>
      <c r="AI96" s="175"/>
      <c r="AJ96" s="175"/>
      <c r="AK96" s="175"/>
      <c r="AL96" s="175"/>
      <c r="AM96" s="175"/>
      <c r="AN96" s="175"/>
      <c r="AO96" s="175"/>
      <c r="AP96" s="175"/>
      <c r="AQ96" s="175"/>
      <c r="AR96" s="175"/>
      <c r="AS96" s="175"/>
      <c r="AT96" s="175"/>
      <c r="AU96" s="175"/>
      <c r="AV96" s="175"/>
      <c r="AW96" s="175"/>
      <c r="AX96" s="175"/>
      <c r="AY96" s="175"/>
      <c r="AZ96" s="175"/>
    </row>
    <row r="97" spans="1:52" x14ac:dyDescent="0.25">
      <c r="A97" s="25"/>
      <c r="B97" s="20" t="str">
        <f>Data!D8</f>
        <v>Diesel</v>
      </c>
      <c r="C97" s="20" t="str">
        <f t="shared" si="60"/>
        <v>$/litre</v>
      </c>
      <c r="D97" s="45" t="s">
        <v>28</v>
      </c>
      <c r="E97" s="45" t="s">
        <v>124</v>
      </c>
      <c r="F97" s="45"/>
      <c r="G97" s="45"/>
      <c r="H97" s="175">
        <v>2</v>
      </c>
      <c r="I97" s="175">
        <v>2</v>
      </c>
      <c r="J97" s="175">
        <v>2</v>
      </c>
      <c r="K97" s="175">
        <v>2</v>
      </c>
      <c r="L97" s="175">
        <v>2</v>
      </c>
      <c r="M97" s="175">
        <v>2</v>
      </c>
      <c r="N97" s="175">
        <v>2</v>
      </c>
      <c r="O97" s="175">
        <v>2</v>
      </c>
      <c r="P97" s="175">
        <v>2</v>
      </c>
      <c r="Q97" s="175">
        <v>2</v>
      </c>
      <c r="R97" s="175">
        <v>2</v>
      </c>
      <c r="S97" s="175">
        <v>2</v>
      </c>
      <c r="T97" s="175">
        <v>2</v>
      </c>
      <c r="U97" s="175">
        <v>2</v>
      </c>
      <c r="V97" s="175">
        <v>2</v>
      </c>
      <c r="W97" s="175">
        <v>2</v>
      </c>
      <c r="X97" s="175">
        <v>2</v>
      </c>
      <c r="Y97" s="175">
        <v>0</v>
      </c>
      <c r="Z97" s="175">
        <v>0</v>
      </c>
      <c r="AA97" s="175">
        <v>0</v>
      </c>
      <c r="AB97" s="175">
        <v>0</v>
      </c>
      <c r="AC97" s="175">
        <v>0</v>
      </c>
      <c r="AD97" s="175">
        <v>0</v>
      </c>
      <c r="AE97" s="175">
        <v>0</v>
      </c>
      <c r="AF97" s="175">
        <v>0</v>
      </c>
      <c r="AG97" s="175">
        <v>0</v>
      </c>
      <c r="AH97" s="175">
        <v>0</v>
      </c>
      <c r="AI97" s="175">
        <v>0</v>
      </c>
      <c r="AJ97" s="175">
        <v>0</v>
      </c>
      <c r="AK97" s="175">
        <v>0</v>
      </c>
      <c r="AL97" s="175">
        <v>0</v>
      </c>
      <c r="AM97" s="175">
        <v>0</v>
      </c>
      <c r="AN97" s="175">
        <v>0</v>
      </c>
      <c r="AO97" s="175">
        <v>0</v>
      </c>
      <c r="AP97" s="175">
        <v>0</v>
      </c>
      <c r="AQ97" s="175">
        <v>0</v>
      </c>
      <c r="AR97" s="175">
        <v>0</v>
      </c>
      <c r="AS97" s="175">
        <v>0</v>
      </c>
      <c r="AT97" s="175">
        <v>0</v>
      </c>
      <c r="AU97" s="175">
        <v>0</v>
      </c>
      <c r="AV97" s="175">
        <v>0</v>
      </c>
      <c r="AW97" s="175">
        <v>0</v>
      </c>
      <c r="AX97" s="175">
        <v>0</v>
      </c>
      <c r="AY97" s="175">
        <v>0</v>
      </c>
      <c r="AZ97" s="175">
        <v>0</v>
      </c>
    </row>
    <row r="98" spans="1:52" x14ac:dyDescent="0.25">
      <c r="A98" s="25"/>
      <c r="B98" s="20" t="str">
        <f>Data!D9</f>
        <v>LPG</v>
      </c>
      <c r="C98" s="20" t="str">
        <f t="shared" si="60"/>
        <v>$/m3</v>
      </c>
      <c r="D98" s="45" t="s">
        <v>28</v>
      </c>
      <c r="E98" s="45" t="s">
        <v>124</v>
      </c>
      <c r="F98" s="45"/>
      <c r="G98" s="45"/>
      <c r="H98" s="175"/>
      <c r="I98" s="175"/>
      <c r="J98" s="175"/>
      <c r="K98" s="175"/>
      <c r="L98" s="175"/>
      <c r="M98" s="175"/>
      <c r="N98" s="175"/>
      <c r="O98" s="175"/>
      <c r="P98" s="175"/>
      <c r="Q98" s="175"/>
      <c r="R98" s="175"/>
      <c r="S98" s="175"/>
      <c r="T98" s="175"/>
      <c r="U98" s="175"/>
      <c r="V98" s="175"/>
      <c r="W98" s="175"/>
      <c r="X98" s="175"/>
      <c r="Y98" s="175"/>
      <c r="Z98" s="175"/>
      <c r="AA98" s="175"/>
      <c r="AB98" s="175"/>
      <c r="AC98" s="175"/>
      <c r="AD98" s="175"/>
      <c r="AE98" s="175"/>
      <c r="AF98" s="175"/>
      <c r="AG98" s="175"/>
      <c r="AH98" s="175"/>
      <c r="AI98" s="175"/>
      <c r="AJ98" s="175"/>
      <c r="AK98" s="175"/>
      <c r="AL98" s="175"/>
      <c r="AM98" s="175"/>
      <c r="AN98" s="175"/>
      <c r="AO98" s="175"/>
      <c r="AP98" s="175"/>
      <c r="AQ98" s="175"/>
      <c r="AR98" s="175"/>
      <c r="AS98" s="175"/>
      <c r="AT98" s="175"/>
      <c r="AU98" s="175"/>
      <c r="AV98" s="175"/>
      <c r="AW98" s="175"/>
      <c r="AX98" s="175"/>
      <c r="AY98" s="175"/>
      <c r="AZ98" s="175"/>
    </row>
    <row r="99" spans="1:52" x14ac:dyDescent="0.25">
      <c r="A99" s="25"/>
      <c r="B99" s="20" t="str">
        <f>Data!D10</f>
        <v>Light fuel oil</v>
      </c>
      <c r="C99" s="20" t="str">
        <f t="shared" si="60"/>
        <v>$/litre</v>
      </c>
      <c r="D99" s="45" t="s">
        <v>28</v>
      </c>
      <c r="E99" s="45" t="s">
        <v>124</v>
      </c>
      <c r="F99" s="45"/>
      <c r="G99" s="45"/>
      <c r="H99" s="175"/>
      <c r="I99" s="175"/>
      <c r="J99" s="175"/>
      <c r="K99" s="175"/>
      <c r="L99" s="175"/>
      <c r="M99" s="175"/>
      <c r="N99" s="175"/>
      <c r="O99" s="175"/>
      <c r="P99" s="175"/>
      <c r="Q99" s="175"/>
      <c r="R99" s="175"/>
      <c r="S99" s="175"/>
      <c r="T99" s="175"/>
      <c r="U99" s="175"/>
      <c r="V99" s="175"/>
      <c r="W99" s="175"/>
      <c r="X99" s="175"/>
      <c r="Y99" s="175"/>
      <c r="Z99" s="175"/>
      <c r="AA99" s="175"/>
      <c r="AB99" s="175"/>
      <c r="AC99" s="175"/>
      <c r="AD99" s="175"/>
      <c r="AE99" s="175"/>
      <c r="AF99" s="175"/>
      <c r="AG99" s="175"/>
      <c r="AH99" s="175"/>
      <c r="AI99" s="175"/>
      <c r="AJ99" s="175"/>
      <c r="AK99" s="175"/>
      <c r="AL99" s="175"/>
      <c r="AM99" s="175"/>
      <c r="AN99" s="175"/>
      <c r="AO99" s="175"/>
      <c r="AP99" s="175"/>
      <c r="AQ99" s="175"/>
      <c r="AR99" s="175"/>
      <c r="AS99" s="175"/>
      <c r="AT99" s="175"/>
      <c r="AU99" s="175"/>
      <c r="AV99" s="175"/>
      <c r="AW99" s="175"/>
      <c r="AX99" s="175"/>
      <c r="AY99" s="175"/>
      <c r="AZ99" s="175"/>
    </row>
    <row r="100" spans="1:52" x14ac:dyDescent="0.25">
      <c r="A100" s="25"/>
      <c r="B100" s="20" t="str">
        <f>Data!D11</f>
        <v>Heavy fuel oil</v>
      </c>
      <c r="C100" s="20" t="str">
        <f t="shared" si="60"/>
        <v>$/litre</v>
      </c>
      <c r="D100" s="45" t="s">
        <v>28</v>
      </c>
      <c r="E100" s="45" t="s">
        <v>124</v>
      </c>
      <c r="F100" s="45"/>
      <c r="G100" s="45"/>
      <c r="H100" s="175"/>
      <c r="I100" s="175"/>
      <c r="J100" s="175"/>
      <c r="K100" s="175"/>
      <c r="L100" s="175"/>
      <c r="M100" s="175"/>
      <c r="N100" s="175"/>
      <c r="O100" s="175"/>
      <c r="P100" s="175"/>
      <c r="Q100" s="175"/>
      <c r="R100" s="175"/>
      <c r="S100" s="175"/>
      <c r="T100" s="175"/>
      <c r="U100" s="175"/>
      <c r="V100" s="175"/>
      <c r="W100" s="175"/>
      <c r="X100" s="175"/>
      <c r="Y100" s="175"/>
      <c r="Z100" s="175"/>
      <c r="AA100" s="175"/>
      <c r="AB100" s="175"/>
      <c r="AC100" s="175"/>
      <c r="AD100" s="175"/>
      <c r="AE100" s="175"/>
      <c r="AF100" s="175"/>
      <c r="AG100" s="175"/>
      <c r="AH100" s="175"/>
      <c r="AI100" s="175"/>
      <c r="AJ100" s="175"/>
      <c r="AK100" s="175"/>
      <c r="AL100" s="175"/>
      <c r="AM100" s="175"/>
      <c r="AN100" s="175"/>
      <c r="AO100" s="175"/>
      <c r="AP100" s="175"/>
      <c r="AQ100" s="175"/>
      <c r="AR100" s="175"/>
      <c r="AS100" s="175"/>
      <c r="AT100" s="175"/>
      <c r="AU100" s="175"/>
      <c r="AV100" s="175"/>
      <c r="AW100" s="175"/>
      <c r="AX100" s="175"/>
      <c r="AY100" s="175"/>
      <c r="AZ100" s="175"/>
    </row>
    <row r="101" spans="1:52" x14ac:dyDescent="0.25">
      <c r="A101" s="25"/>
      <c r="B101" s="20" t="str">
        <f>Data!D12</f>
        <v>Geothermal</v>
      </c>
      <c r="C101" s="20" t="str">
        <f t="shared" si="60"/>
        <v>$/kWh</v>
      </c>
      <c r="D101" s="45" t="s">
        <v>28</v>
      </c>
      <c r="E101" s="45" t="s">
        <v>124</v>
      </c>
      <c r="F101" s="45"/>
      <c r="G101" s="45"/>
      <c r="H101" s="175"/>
      <c r="I101" s="175"/>
      <c r="J101" s="175"/>
      <c r="K101" s="175"/>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175"/>
      <c r="AQ101" s="175"/>
      <c r="AR101" s="175"/>
      <c r="AS101" s="175"/>
      <c r="AT101" s="175"/>
      <c r="AU101" s="175"/>
      <c r="AV101" s="175"/>
      <c r="AW101" s="175"/>
      <c r="AX101" s="175"/>
      <c r="AY101" s="175"/>
      <c r="AZ101" s="175"/>
    </row>
    <row r="102" spans="1:52" x14ac:dyDescent="0.25">
      <c r="A102" s="25"/>
      <c r="B102" s="62" t="str">
        <f>Data!D13</f>
        <v>Wood or wood chips</v>
      </c>
      <c r="C102" s="62" t="str">
        <f t="shared" si="60"/>
        <v>$/tonne</v>
      </c>
      <c r="D102" s="53" t="s">
        <v>28</v>
      </c>
      <c r="E102" s="53" t="s">
        <v>124</v>
      </c>
      <c r="F102" s="53"/>
      <c r="G102" s="53"/>
      <c r="H102" s="123"/>
      <c r="I102" s="123"/>
      <c r="J102" s="123"/>
      <c r="K102" s="123"/>
      <c r="L102" s="123"/>
      <c r="M102" s="123"/>
      <c r="N102" s="123"/>
      <c r="O102" s="123"/>
      <c r="P102" s="123"/>
      <c r="Q102" s="123"/>
      <c r="R102" s="123"/>
      <c r="S102" s="123"/>
      <c r="T102" s="123"/>
      <c r="U102" s="123"/>
      <c r="V102" s="123"/>
      <c r="W102" s="123"/>
      <c r="X102" s="123"/>
      <c r="Y102" s="123"/>
      <c r="Z102" s="123"/>
      <c r="AA102" s="123"/>
      <c r="AB102" s="123"/>
      <c r="AC102" s="123"/>
      <c r="AD102" s="123"/>
      <c r="AE102" s="123"/>
      <c r="AF102" s="123"/>
      <c r="AG102" s="123"/>
      <c r="AH102" s="123"/>
      <c r="AI102" s="123"/>
      <c r="AJ102" s="123"/>
      <c r="AK102" s="123"/>
      <c r="AL102" s="123"/>
      <c r="AM102" s="123"/>
      <c r="AN102" s="123"/>
      <c r="AO102" s="123"/>
      <c r="AP102" s="123"/>
      <c r="AQ102" s="123"/>
      <c r="AR102" s="123"/>
      <c r="AS102" s="123"/>
      <c r="AT102" s="123"/>
      <c r="AU102" s="123"/>
      <c r="AV102" s="123"/>
      <c r="AW102" s="123"/>
      <c r="AX102" s="123"/>
      <c r="AY102" s="123"/>
      <c r="AZ102" s="123"/>
    </row>
    <row r="103" spans="1:52" x14ac:dyDescent="0.25">
      <c r="A103" s="4"/>
      <c r="B103" s="4"/>
      <c r="C103" s="4"/>
      <c r="D103" s="4"/>
      <c r="E103" s="4"/>
      <c r="F103" s="4"/>
      <c r="G103" s="4"/>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row>
    <row r="104" spans="1:52" x14ac:dyDescent="0.25">
      <c r="A104" s="50" t="s">
        <v>61</v>
      </c>
      <c r="B104" s="47" t="s">
        <v>75</v>
      </c>
      <c r="C104" s="47" t="s">
        <v>76</v>
      </c>
      <c r="D104" s="60" t="s">
        <v>123</v>
      </c>
      <c r="E104" s="60" t="s">
        <v>48</v>
      </c>
      <c r="F104" s="60"/>
      <c r="G104" s="51" t="s">
        <v>52</v>
      </c>
      <c r="H104" s="49">
        <f>Start_Yr</f>
        <v>2026</v>
      </c>
      <c r="I104" s="49">
        <f>H104+1</f>
        <v>2027</v>
      </c>
      <c r="J104" s="49">
        <f t="shared" ref="J104:AF104" si="61">I104+1</f>
        <v>2028</v>
      </c>
      <c r="K104" s="49">
        <f t="shared" si="61"/>
        <v>2029</v>
      </c>
      <c r="L104" s="49">
        <f t="shared" si="61"/>
        <v>2030</v>
      </c>
      <c r="M104" s="49">
        <f t="shared" si="61"/>
        <v>2031</v>
      </c>
      <c r="N104" s="49">
        <f t="shared" si="61"/>
        <v>2032</v>
      </c>
      <c r="O104" s="49">
        <f t="shared" si="61"/>
        <v>2033</v>
      </c>
      <c r="P104" s="49">
        <f t="shared" si="61"/>
        <v>2034</v>
      </c>
      <c r="Q104" s="49">
        <f t="shared" si="61"/>
        <v>2035</v>
      </c>
      <c r="R104" s="49">
        <f t="shared" si="61"/>
        <v>2036</v>
      </c>
      <c r="S104" s="49">
        <f t="shared" si="61"/>
        <v>2037</v>
      </c>
      <c r="T104" s="49">
        <f t="shared" si="61"/>
        <v>2038</v>
      </c>
      <c r="U104" s="49">
        <f t="shared" si="61"/>
        <v>2039</v>
      </c>
      <c r="V104" s="49">
        <f t="shared" si="61"/>
        <v>2040</v>
      </c>
      <c r="W104" s="49">
        <f t="shared" si="61"/>
        <v>2041</v>
      </c>
      <c r="X104" s="49">
        <f t="shared" si="61"/>
        <v>2042</v>
      </c>
      <c r="Y104" s="49">
        <f t="shared" si="61"/>
        <v>2043</v>
      </c>
      <c r="Z104" s="49">
        <f t="shared" si="61"/>
        <v>2044</v>
      </c>
      <c r="AA104" s="49">
        <f t="shared" si="61"/>
        <v>2045</v>
      </c>
      <c r="AB104" s="49">
        <f t="shared" si="61"/>
        <v>2046</v>
      </c>
      <c r="AC104" s="49">
        <f t="shared" si="61"/>
        <v>2047</v>
      </c>
      <c r="AD104" s="49">
        <f t="shared" si="61"/>
        <v>2048</v>
      </c>
      <c r="AE104" s="49">
        <f t="shared" si="61"/>
        <v>2049</v>
      </c>
      <c r="AF104" s="49">
        <f t="shared" si="61"/>
        <v>2050</v>
      </c>
      <c r="AG104" s="49">
        <f t="shared" ref="AG104:AZ104" si="62">AF104+1</f>
        <v>2051</v>
      </c>
      <c r="AH104" s="49">
        <f t="shared" si="62"/>
        <v>2052</v>
      </c>
      <c r="AI104" s="49">
        <f t="shared" si="62"/>
        <v>2053</v>
      </c>
      <c r="AJ104" s="49">
        <f t="shared" si="62"/>
        <v>2054</v>
      </c>
      <c r="AK104" s="49">
        <f t="shared" si="62"/>
        <v>2055</v>
      </c>
      <c r="AL104" s="49">
        <f t="shared" si="62"/>
        <v>2056</v>
      </c>
      <c r="AM104" s="49">
        <f t="shared" si="62"/>
        <v>2057</v>
      </c>
      <c r="AN104" s="49">
        <f t="shared" si="62"/>
        <v>2058</v>
      </c>
      <c r="AO104" s="49">
        <f t="shared" si="62"/>
        <v>2059</v>
      </c>
      <c r="AP104" s="49">
        <f t="shared" si="62"/>
        <v>2060</v>
      </c>
      <c r="AQ104" s="49">
        <f t="shared" si="62"/>
        <v>2061</v>
      </c>
      <c r="AR104" s="49">
        <f t="shared" si="62"/>
        <v>2062</v>
      </c>
      <c r="AS104" s="49">
        <f t="shared" si="62"/>
        <v>2063</v>
      </c>
      <c r="AT104" s="49">
        <f t="shared" si="62"/>
        <v>2064</v>
      </c>
      <c r="AU104" s="49">
        <f t="shared" si="62"/>
        <v>2065</v>
      </c>
      <c r="AV104" s="49">
        <f t="shared" si="62"/>
        <v>2066</v>
      </c>
      <c r="AW104" s="49">
        <f t="shared" si="62"/>
        <v>2067</v>
      </c>
      <c r="AX104" s="49">
        <f t="shared" si="62"/>
        <v>2068</v>
      </c>
      <c r="AY104" s="49">
        <f t="shared" si="62"/>
        <v>2069</v>
      </c>
      <c r="AZ104" s="49">
        <f t="shared" si="62"/>
        <v>2070</v>
      </c>
    </row>
    <row r="105" spans="1:52" x14ac:dyDescent="0.25">
      <c r="A105" s="25" t="str">
        <f>"Please provide data through to "&amp;FinalYear_BC</f>
        <v>Please provide data through to 2047</v>
      </c>
      <c r="B105" s="9" t="str">
        <f>Data!D3</f>
        <v>Electricity</v>
      </c>
      <c r="C105" s="9" t="str">
        <f>"$/"&amp;IF(RIGHT(E78,1)="s",LEFT(E78,LEN(E78)-1),E78)</f>
        <v>$/MWh</v>
      </c>
      <c r="D105" s="56" t="s">
        <v>28</v>
      </c>
      <c r="E105" s="56" t="s">
        <v>124</v>
      </c>
      <c r="F105" s="56"/>
      <c r="G105" s="56"/>
      <c r="H105" s="176">
        <v>250</v>
      </c>
      <c r="I105" s="176">
        <v>250</v>
      </c>
      <c r="J105" s="176">
        <v>250</v>
      </c>
      <c r="K105" s="176">
        <v>250</v>
      </c>
      <c r="L105" s="176">
        <v>250</v>
      </c>
      <c r="M105" s="176">
        <v>250</v>
      </c>
      <c r="N105" s="176">
        <v>250</v>
      </c>
      <c r="O105" s="176">
        <v>250</v>
      </c>
      <c r="P105" s="176">
        <v>250</v>
      </c>
      <c r="Q105" s="176">
        <v>250</v>
      </c>
      <c r="R105" s="176">
        <v>250</v>
      </c>
      <c r="S105" s="176">
        <v>250</v>
      </c>
      <c r="T105" s="176">
        <v>250</v>
      </c>
      <c r="U105" s="176">
        <v>250</v>
      </c>
      <c r="V105" s="176">
        <v>250</v>
      </c>
      <c r="W105" s="176">
        <v>250</v>
      </c>
      <c r="X105" s="176">
        <v>250</v>
      </c>
      <c r="Y105" s="176">
        <v>250</v>
      </c>
      <c r="Z105" s="176">
        <v>250</v>
      </c>
      <c r="AA105" s="176">
        <v>250</v>
      </c>
      <c r="AB105" s="176">
        <v>250</v>
      </c>
      <c r="AC105" s="176">
        <v>250</v>
      </c>
      <c r="AD105" s="176"/>
      <c r="AE105" s="176"/>
      <c r="AF105" s="176"/>
      <c r="AG105" s="176"/>
      <c r="AH105" s="176"/>
      <c r="AI105" s="176"/>
      <c r="AJ105" s="176"/>
      <c r="AK105" s="176"/>
      <c r="AL105" s="176"/>
      <c r="AM105" s="176"/>
      <c r="AN105" s="176"/>
      <c r="AO105" s="176"/>
      <c r="AP105" s="176"/>
      <c r="AQ105" s="176"/>
      <c r="AR105" s="176"/>
      <c r="AS105" s="176"/>
      <c r="AT105" s="176"/>
      <c r="AU105" s="176"/>
      <c r="AV105" s="176"/>
      <c r="AW105" s="176"/>
      <c r="AX105" s="176"/>
      <c r="AY105" s="176"/>
      <c r="AZ105" s="176"/>
    </row>
    <row r="106" spans="1:52" x14ac:dyDescent="0.25">
      <c r="A106" s="25"/>
      <c r="B106" s="9" t="str">
        <f>Data!D4</f>
        <v>Natural Gas</v>
      </c>
      <c r="C106" s="9" t="str">
        <f t="shared" ref="C106:C115" si="63">"$/"&amp;IF(RIGHT(E79,1)="s",LEFT(E79,LEN(E79)-1),E79)</f>
        <v>$/GJ</v>
      </c>
      <c r="D106" s="56" t="s">
        <v>28</v>
      </c>
      <c r="E106" s="56" t="s">
        <v>124</v>
      </c>
      <c r="F106" s="56"/>
      <c r="G106" s="56"/>
      <c r="H106" s="176">
        <v>10</v>
      </c>
      <c r="I106" s="176">
        <v>10</v>
      </c>
      <c r="J106" s="176">
        <v>10</v>
      </c>
      <c r="K106" s="176">
        <v>10</v>
      </c>
      <c r="L106" s="176">
        <v>10</v>
      </c>
      <c r="M106" s="176">
        <v>10</v>
      </c>
      <c r="N106" s="176">
        <v>10</v>
      </c>
      <c r="O106" s="176">
        <v>10</v>
      </c>
      <c r="P106" s="176">
        <v>10</v>
      </c>
      <c r="Q106" s="176">
        <v>10</v>
      </c>
      <c r="R106" s="176">
        <v>10</v>
      </c>
      <c r="S106" s="176">
        <v>10</v>
      </c>
      <c r="T106" s="176">
        <v>10</v>
      </c>
      <c r="U106" s="176">
        <v>10</v>
      </c>
      <c r="V106" s="176">
        <v>10</v>
      </c>
      <c r="W106" s="176">
        <v>10</v>
      </c>
      <c r="X106" s="176">
        <v>10</v>
      </c>
      <c r="Y106" s="176">
        <v>10</v>
      </c>
      <c r="Z106" s="176">
        <v>10</v>
      </c>
      <c r="AA106" s="176">
        <v>10</v>
      </c>
      <c r="AB106" s="176">
        <v>10</v>
      </c>
      <c r="AC106" s="176">
        <v>10</v>
      </c>
      <c r="AD106" s="176"/>
      <c r="AE106" s="176"/>
      <c r="AF106" s="176"/>
      <c r="AG106" s="176"/>
      <c r="AH106" s="176"/>
      <c r="AI106" s="176"/>
      <c r="AJ106" s="176"/>
      <c r="AK106" s="176"/>
      <c r="AL106" s="176"/>
      <c r="AM106" s="176"/>
      <c r="AN106" s="176"/>
      <c r="AO106" s="176"/>
      <c r="AP106" s="176"/>
      <c r="AQ106" s="176"/>
      <c r="AR106" s="176"/>
      <c r="AS106" s="176"/>
      <c r="AT106" s="176"/>
      <c r="AU106" s="176"/>
      <c r="AV106" s="176"/>
      <c r="AW106" s="176"/>
      <c r="AX106" s="176"/>
      <c r="AY106" s="176"/>
      <c r="AZ106" s="176"/>
    </row>
    <row r="107" spans="1:52" x14ac:dyDescent="0.25">
      <c r="A107" s="25"/>
      <c r="B107" s="9" t="str">
        <f>Data!D5</f>
        <v>Coal - sub bituminous</v>
      </c>
      <c r="C107" s="9" t="str">
        <f t="shared" si="63"/>
        <v>$/tonne</v>
      </c>
      <c r="D107" s="56" t="s">
        <v>28</v>
      </c>
      <c r="E107" s="56" t="s">
        <v>124</v>
      </c>
      <c r="F107" s="56"/>
      <c r="G107" s="56"/>
      <c r="H107" s="176">
        <v>150</v>
      </c>
      <c r="I107" s="176">
        <v>150</v>
      </c>
      <c r="J107" s="176">
        <v>150</v>
      </c>
      <c r="K107" s="176">
        <v>150</v>
      </c>
      <c r="L107" s="176">
        <v>150</v>
      </c>
      <c r="M107" s="176">
        <v>150</v>
      </c>
      <c r="N107" s="176">
        <v>150</v>
      </c>
      <c r="O107" s="176">
        <v>150</v>
      </c>
      <c r="P107" s="176">
        <v>150</v>
      </c>
      <c r="Q107" s="176">
        <v>150</v>
      </c>
      <c r="R107" s="176">
        <v>150</v>
      </c>
      <c r="S107" s="176">
        <v>150</v>
      </c>
      <c r="T107" s="176">
        <v>150</v>
      </c>
      <c r="U107" s="176">
        <v>150</v>
      </c>
      <c r="V107" s="176">
        <v>150</v>
      </c>
      <c r="W107" s="176">
        <v>150</v>
      </c>
      <c r="X107" s="176">
        <v>150</v>
      </c>
      <c r="Y107" s="176">
        <v>150</v>
      </c>
      <c r="Z107" s="176">
        <v>150</v>
      </c>
      <c r="AA107" s="176">
        <v>150</v>
      </c>
      <c r="AB107" s="176">
        <v>150</v>
      </c>
      <c r="AC107" s="176">
        <v>150</v>
      </c>
      <c r="AD107" s="176"/>
      <c r="AE107" s="176"/>
      <c r="AF107" s="176"/>
      <c r="AG107" s="176"/>
      <c r="AH107" s="176"/>
      <c r="AI107" s="176"/>
      <c r="AJ107" s="176"/>
      <c r="AK107" s="176"/>
      <c r="AL107" s="176"/>
      <c r="AM107" s="176"/>
      <c r="AN107" s="176"/>
      <c r="AO107" s="176"/>
      <c r="AP107" s="176"/>
      <c r="AQ107" s="176"/>
      <c r="AR107" s="176"/>
      <c r="AS107" s="176"/>
      <c r="AT107" s="176"/>
      <c r="AU107" s="176"/>
      <c r="AV107" s="176"/>
      <c r="AW107" s="176"/>
      <c r="AX107" s="176"/>
      <c r="AY107" s="176"/>
      <c r="AZ107" s="176"/>
    </row>
    <row r="108" spans="1:52" x14ac:dyDescent="0.25">
      <c r="A108" s="25"/>
      <c r="B108" s="9" t="str">
        <f>Data!D6</f>
        <v>Coal - bituminous</v>
      </c>
      <c r="C108" s="9" t="str">
        <f t="shared" si="63"/>
        <v>$/tonne</v>
      </c>
      <c r="D108" s="56" t="s">
        <v>28</v>
      </c>
      <c r="E108" s="56" t="s">
        <v>124</v>
      </c>
      <c r="F108" s="56"/>
      <c r="G108" s="56"/>
      <c r="H108" s="176"/>
      <c r="I108" s="176"/>
      <c r="J108" s="176"/>
      <c r="K108" s="176"/>
      <c r="L108" s="176"/>
      <c r="M108" s="176"/>
      <c r="N108" s="176"/>
      <c r="O108" s="176"/>
      <c r="P108" s="176"/>
      <c r="Q108" s="176"/>
      <c r="R108" s="176"/>
      <c r="S108" s="176"/>
      <c r="T108" s="176"/>
      <c r="U108" s="176"/>
      <c r="V108" s="176"/>
      <c r="W108" s="176"/>
      <c r="X108" s="176"/>
      <c r="Y108" s="176"/>
      <c r="Z108" s="176"/>
      <c r="AA108" s="176"/>
      <c r="AB108" s="176"/>
      <c r="AC108" s="176"/>
      <c r="AD108" s="176"/>
      <c r="AE108" s="176"/>
      <c r="AF108" s="176"/>
      <c r="AG108" s="176"/>
      <c r="AH108" s="176"/>
      <c r="AI108" s="176"/>
      <c r="AJ108" s="176"/>
      <c r="AK108" s="176"/>
      <c r="AL108" s="176"/>
      <c r="AM108" s="176"/>
      <c r="AN108" s="176"/>
      <c r="AO108" s="176"/>
      <c r="AP108" s="176"/>
      <c r="AQ108" s="176"/>
      <c r="AR108" s="176"/>
      <c r="AS108" s="176"/>
      <c r="AT108" s="176"/>
      <c r="AU108" s="176"/>
      <c r="AV108" s="176"/>
      <c r="AW108" s="176"/>
      <c r="AX108" s="176"/>
      <c r="AY108" s="176"/>
      <c r="AZ108" s="176"/>
    </row>
    <row r="109" spans="1:52" x14ac:dyDescent="0.25">
      <c r="A109" s="25"/>
      <c r="B109" s="9" t="str">
        <f>Data!D7</f>
        <v>Coal - lignite</v>
      </c>
      <c r="C109" s="9" t="str">
        <f t="shared" si="63"/>
        <v>$/tonne</v>
      </c>
      <c r="D109" s="56" t="s">
        <v>28</v>
      </c>
      <c r="E109" s="56" t="s">
        <v>124</v>
      </c>
      <c r="F109" s="56"/>
      <c r="G109" s="56"/>
      <c r="H109" s="176"/>
      <c r="I109" s="176"/>
      <c r="J109" s="176"/>
      <c r="K109" s="176"/>
      <c r="L109" s="176"/>
      <c r="M109" s="176"/>
      <c r="N109" s="176"/>
      <c r="O109" s="176"/>
      <c r="P109" s="176"/>
      <c r="Q109" s="176"/>
      <c r="R109" s="176"/>
      <c r="S109" s="176"/>
      <c r="T109" s="176"/>
      <c r="U109" s="176"/>
      <c r="V109" s="176"/>
      <c r="W109" s="176"/>
      <c r="X109" s="176"/>
      <c r="Y109" s="176"/>
      <c r="Z109" s="176"/>
      <c r="AA109" s="176"/>
      <c r="AB109" s="176"/>
      <c r="AC109" s="176"/>
      <c r="AD109" s="176"/>
      <c r="AE109" s="176"/>
      <c r="AF109" s="176"/>
      <c r="AG109" s="176"/>
      <c r="AH109" s="176"/>
      <c r="AI109" s="176"/>
      <c r="AJ109" s="176"/>
      <c r="AK109" s="176"/>
      <c r="AL109" s="176"/>
      <c r="AM109" s="176"/>
      <c r="AN109" s="176"/>
      <c r="AO109" s="176"/>
      <c r="AP109" s="176"/>
      <c r="AQ109" s="176"/>
      <c r="AR109" s="176"/>
      <c r="AS109" s="176"/>
      <c r="AT109" s="176"/>
      <c r="AU109" s="176"/>
      <c r="AV109" s="176"/>
      <c r="AW109" s="176"/>
      <c r="AX109" s="176"/>
      <c r="AY109" s="176"/>
      <c r="AZ109" s="176"/>
    </row>
    <row r="110" spans="1:52" x14ac:dyDescent="0.25">
      <c r="A110" s="25"/>
      <c r="B110" s="9" t="str">
        <f>Data!D8</f>
        <v>Diesel</v>
      </c>
      <c r="C110" s="9" t="str">
        <f t="shared" si="63"/>
        <v>$/litre</v>
      </c>
      <c r="D110" s="56" t="s">
        <v>28</v>
      </c>
      <c r="E110" s="56" t="s">
        <v>124</v>
      </c>
      <c r="F110" s="56"/>
      <c r="G110" s="56"/>
      <c r="H110" s="176">
        <v>2</v>
      </c>
      <c r="I110" s="176">
        <v>2</v>
      </c>
      <c r="J110" s="176">
        <v>2</v>
      </c>
      <c r="K110" s="176">
        <v>2</v>
      </c>
      <c r="L110" s="176">
        <v>2</v>
      </c>
      <c r="M110" s="176">
        <v>2</v>
      </c>
      <c r="N110" s="176">
        <v>2</v>
      </c>
      <c r="O110" s="176">
        <v>2</v>
      </c>
      <c r="P110" s="176">
        <v>2</v>
      </c>
      <c r="Q110" s="176">
        <v>2</v>
      </c>
      <c r="R110" s="176">
        <v>2</v>
      </c>
      <c r="S110" s="176">
        <v>2</v>
      </c>
      <c r="T110" s="176">
        <v>2</v>
      </c>
      <c r="U110" s="176">
        <v>2</v>
      </c>
      <c r="V110" s="176">
        <v>2</v>
      </c>
      <c r="W110" s="176">
        <v>2</v>
      </c>
      <c r="X110" s="176">
        <v>2</v>
      </c>
      <c r="Y110" s="176">
        <v>2</v>
      </c>
      <c r="Z110" s="176">
        <v>2</v>
      </c>
      <c r="AA110" s="176">
        <v>2</v>
      </c>
      <c r="AB110" s="176">
        <v>2</v>
      </c>
      <c r="AC110" s="176">
        <v>2</v>
      </c>
      <c r="AD110" s="176">
        <v>2</v>
      </c>
      <c r="AE110" s="176">
        <v>2</v>
      </c>
      <c r="AF110" s="176">
        <v>2</v>
      </c>
      <c r="AG110" s="176">
        <v>2</v>
      </c>
      <c r="AH110" s="176">
        <v>2</v>
      </c>
      <c r="AI110" s="176">
        <v>2</v>
      </c>
      <c r="AJ110" s="176">
        <v>2</v>
      </c>
      <c r="AK110" s="176">
        <v>2</v>
      </c>
      <c r="AL110" s="176">
        <v>2</v>
      </c>
      <c r="AM110" s="176">
        <v>2</v>
      </c>
      <c r="AN110" s="176">
        <v>2</v>
      </c>
      <c r="AO110" s="176">
        <v>2</v>
      </c>
      <c r="AP110" s="176">
        <v>2</v>
      </c>
      <c r="AQ110" s="176">
        <v>2</v>
      </c>
      <c r="AR110" s="176">
        <v>2</v>
      </c>
      <c r="AS110" s="176">
        <v>2</v>
      </c>
      <c r="AT110" s="176">
        <v>2</v>
      </c>
      <c r="AU110" s="176">
        <v>2</v>
      </c>
      <c r="AV110" s="176">
        <v>2</v>
      </c>
      <c r="AW110" s="176">
        <v>2</v>
      </c>
      <c r="AX110" s="176">
        <v>2</v>
      </c>
      <c r="AY110" s="176">
        <v>2</v>
      </c>
      <c r="AZ110" s="176">
        <v>2</v>
      </c>
    </row>
    <row r="111" spans="1:52" x14ac:dyDescent="0.25">
      <c r="A111" s="25"/>
      <c r="B111" s="9" t="str">
        <f>Data!D9</f>
        <v>LPG</v>
      </c>
      <c r="C111" s="9" t="str">
        <f t="shared" si="63"/>
        <v>$/m3</v>
      </c>
      <c r="D111" s="56" t="s">
        <v>28</v>
      </c>
      <c r="E111" s="56" t="s">
        <v>124</v>
      </c>
      <c r="F111" s="56"/>
      <c r="G111" s="56"/>
      <c r="H111" s="176"/>
      <c r="I111" s="176"/>
      <c r="J111" s="176"/>
      <c r="K111" s="176"/>
      <c r="L111" s="176"/>
      <c r="M111" s="176"/>
      <c r="N111" s="176"/>
      <c r="O111" s="176"/>
      <c r="P111" s="176"/>
      <c r="Q111" s="176"/>
      <c r="R111" s="176"/>
      <c r="S111" s="176"/>
      <c r="T111" s="176"/>
      <c r="U111" s="176"/>
      <c r="V111" s="176"/>
      <c r="W111" s="176"/>
      <c r="X111" s="176"/>
      <c r="Y111" s="176"/>
      <c r="Z111" s="176"/>
      <c r="AA111" s="176"/>
      <c r="AB111" s="176"/>
      <c r="AC111" s="176"/>
      <c r="AD111" s="176"/>
      <c r="AE111" s="176"/>
      <c r="AF111" s="176"/>
      <c r="AG111" s="176"/>
      <c r="AH111" s="176"/>
      <c r="AI111" s="176"/>
      <c r="AJ111" s="176"/>
      <c r="AK111" s="176"/>
      <c r="AL111" s="176"/>
      <c r="AM111" s="176"/>
      <c r="AN111" s="176"/>
      <c r="AO111" s="176"/>
      <c r="AP111" s="176"/>
      <c r="AQ111" s="176"/>
      <c r="AR111" s="176"/>
      <c r="AS111" s="176"/>
      <c r="AT111" s="176"/>
      <c r="AU111" s="176"/>
      <c r="AV111" s="176"/>
      <c r="AW111" s="176"/>
      <c r="AX111" s="176"/>
      <c r="AY111" s="176"/>
      <c r="AZ111" s="176"/>
    </row>
    <row r="112" spans="1:52" x14ac:dyDescent="0.25">
      <c r="A112" s="25"/>
      <c r="B112" s="9" t="str">
        <f>Data!D10</f>
        <v>Light fuel oil</v>
      </c>
      <c r="C112" s="9" t="str">
        <f t="shared" si="63"/>
        <v>$/litre</v>
      </c>
      <c r="D112" s="56" t="s">
        <v>28</v>
      </c>
      <c r="E112" s="56" t="s">
        <v>124</v>
      </c>
      <c r="F112" s="56"/>
      <c r="G112" s="56"/>
      <c r="H112" s="176"/>
      <c r="I112" s="176"/>
      <c r="J112" s="176"/>
      <c r="K112" s="176"/>
      <c r="L112" s="176"/>
      <c r="M112" s="176"/>
      <c r="N112" s="176"/>
      <c r="O112" s="176"/>
      <c r="P112" s="176"/>
      <c r="Q112" s="176"/>
      <c r="R112" s="176"/>
      <c r="S112" s="176"/>
      <c r="T112" s="176"/>
      <c r="U112" s="176"/>
      <c r="V112" s="176"/>
      <c r="W112" s="176"/>
      <c r="X112" s="176"/>
      <c r="Y112" s="176"/>
      <c r="Z112" s="176"/>
      <c r="AA112" s="176"/>
      <c r="AB112" s="176"/>
      <c r="AC112" s="176"/>
      <c r="AD112" s="176"/>
      <c r="AE112" s="176"/>
      <c r="AF112" s="176"/>
      <c r="AG112" s="176"/>
      <c r="AH112" s="176"/>
      <c r="AI112" s="176"/>
      <c r="AJ112" s="176"/>
      <c r="AK112" s="176"/>
      <c r="AL112" s="176"/>
      <c r="AM112" s="176"/>
      <c r="AN112" s="176"/>
      <c r="AO112" s="176"/>
      <c r="AP112" s="176"/>
      <c r="AQ112" s="176"/>
      <c r="AR112" s="176"/>
      <c r="AS112" s="176"/>
      <c r="AT112" s="176"/>
      <c r="AU112" s="176"/>
      <c r="AV112" s="176"/>
      <c r="AW112" s="176"/>
      <c r="AX112" s="176"/>
      <c r="AY112" s="176"/>
      <c r="AZ112" s="176"/>
    </row>
    <row r="113" spans="1:52" x14ac:dyDescent="0.25">
      <c r="A113" s="25"/>
      <c r="B113" s="9" t="str">
        <f>Data!D11</f>
        <v>Heavy fuel oil</v>
      </c>
      <c r="C113" s="9" t="str">
        <f t="shared" si="63"/>
        <v>$/litre</v>
      </c>
      <c r="D113" s="56" t="s">
        <v>28</v>
      </c>
      <c r="E113" s="56" t="s">
        <v>124</v>
      </c>
      <c r="F113" s="56"/>
      <c r="G113" s="56"/>
      <c r="H113" s="176"/>
      <c r="I113" s="176"/>
      <c r="J113" s="176"/>
      <c r="K113" s="176"/>
      <c r="L113" s="176"/>
      <c r="M113" s="176"/>
      <c r="N113" s="176"/>
      <c r="O113" s="176"/>
      <c r="P113" s="176"/>
      <c r="Q113" s="176"/>
      <c r="R113" s="176"/>
      <c r="S113" s="176"/>
      <c r="T113" s="176"/>
      <c r="U113" s="176"/>
      <c r="V113" s="176"/>
      <c r="W113" s="176"/>
      <c r="X113" s="176"/>
      <c r="Y113" s="176"/>
      <c r="Z113" s="176"/>
      <c r="AA113" s="176"/>
      <c r="AB113" s="176"/>
      <c r="AC113" s="176"/>
      <c r="AD113" s="176"/>
      <c r="AE113" s="176"/>
      <c r="AF113" s="176"/>
      <c r="AG113" s="176"/>
      <c r="AH113" s="176"/>
      <c r="AI113" s="176"/>
      <c r="AJ113" s="176"/>
      <c r="AK113" s="176"/>
      <c r="AL113" s="176"/>
      <c r="AM113" s="176"/>
      <c r="AN113" s="176"/>
      <c r="AO113" s="176"/>
      <c r="AP113" s="176"/>
      <c r="AQ113" s="176"/>
      <c r="AR113" s="176"/>
      <c r="AS113" s="176"/>
      <c r="AT113" s="176"/>
      <c r="AU113" s="176"/>
      <c r="AV113" s="176"/>
      <c r="AW113" s="176"/>
      <c r="AX113" s="176"/>
      <c r="AY113" s="176"/>
      <c r="AZ113" s="176"/>
    </row>
    <row r="114" spans="1:52" x14ac:dyDescent="0.25">
      <c r="A114" s="25"/>
      <c r="B114" s="9" t="str">
        <f>Data!D12</f>
        <v>Geothermal</v>
      </c>
      <c r="C114" s="9" t="str">
        <f t="shared" si="63"/>
        <v>$/kWh</v>
      </c>
      <c r="D114" s="56" t="s">
        <v>28</v>
      </c>
      <c r="E114" s="56" t="s">
        <v>124</v>
      </c>
      <c r="F114" s="56"/>
      <c r="G114" s="56"/>
      <c r="H114" s="176"/>
      <c r="I114" s="176"/>
      <c r="J114" s="176"/>
      <c r="K114" s="176"/>
      <c r="L114" s="176"/>
      <c r="M114" s="176"/>
      <c r="N114" s="176"/>
      <c r="O114" s="176"/>
      <c r="P114" s="176"/>
      <c r="Q114" s="176"/>
      <c r="R114" s="176"/>
      <c r="S114" s="176"/>
      <c r="T114" s="176"/>
      <c r="U114" s="176"/>
      <c r="V114" s="176"/>
      <c r="W114" s="176"/>
      <c r="X114" s="176"/>
      <c r="Y114" s="176"/>
      <c r="Z114" s="176"/>
      <c r="AA114" s="176"/>
      <c r="AB114" s="176"/>
      <c r="AC114" s="176"/>
      <c r="AD114" s="176"/>
      <c r="AE114" s="176"/>
      <c r="AF114" s="176"/>
      <c r="AG114" s="176"/>
      <c r="AH114" s="176"/>
      <c r="AI114" s="176"/>
      <c r="AJ114" s="176"/>
      <c r="AK114" s="176"/>
      <c r="AL114" s="176"/>
      <c r="AM114" s="176"/>
      <c r="AN114" s="176"/>
      <c r="AO114" s="176"/>
      <c r="AP114" s="176"/>
      <c r="AQ114" s="176"/>
      <c r="AR114" s="176"/>
      <c r="AS114" s="176"/>
      <c r="AT114" s="176"/>
      <c r="AU114" s="176"/>
      <c r="AV114" s="176"/>
      <c r="AW114" s="176"/>
      <c r="AX114" s="176"/>
      <c r="AY114" s="176"/>
      <c r="AZ114" s="176"/>
    </row>
    <row r="115" spans="1:52" x14ac:dyDescent="0.25">
      <c r="A115" s="25"/>
      <c r="B115" s="54" t="str">
        <f>Data!D13</f>
        <v>Wood or wood chips</v>
      </c>
      <c r="C115" s="54" t="str">
        <f t="shared" si="63"/>
        <v>$/tonne</v>
      </c>
      <c r="D115" s="149" t="s">
        <v>28</v>
      </c>
      <c r="E115" s="149" t="s">
        <v>124</v>
      </c>
      <c r="F115" s="149"/>
      <c r="G115" s="149"/>
      <c r="H115" s="179"/>
      <c r="I115" s="179"/>
      <c r="J115" s="179"/>
      <c r="K115" s="179"/>
      <c r="L115" s="179"/>
      <c r="M115" s="179"/>
      <c r="N115" s="179"/>
      <c r="O115" s="179"/>
      <c r="P115" s="179"/>
      <c r="Q115" s="179"/>
      <c r="R115" s="179"/>
      <c r="S115" s="179"/>
      <c r="T115" s="179"/>
      <c r="U115" s="179"/>
      <c r="V115" s="179"/>
      <c r="W115" s="179"/>
      <c r="X115" s="179"/>
      <c r="Y115" s="179"/>
      <c r="Z115" s="179"/>
      <c r="AA115" s="179"/>
      <c r="AB115" s="179"/>
      <c r="AC115" s="179"/>
      <c r="AD115" s="179"/>
      <c r="AE115" s="179"/>
      <c r="AF115" s="179"/>
      <c r="AG115" s="179"/>
      <c r="AH115" s="179"/>
      <c r="AI115" s="179"/>
      <c r="AJ115" s="179"/>
      <c r="AK115" s="179"/>
      <c r="AL115" s="179"/>
      <c r="AM115" s="179"/>
      <c r="AN115" s="179"/>
      <c r="AO115" s="179"/>
      <c r="AP115" s="179"/>
      <c r="AQ115" s="179"/>
      <c r="AR115" s="179"/>
      <c r="AS115" s="179"/>
      <c r="AT115" s="179"/>
      <c r="AU115" s="179"/>
      <c r="AV115" s="179"/>
      <c r="AW115" s="179"/>
      <c r="AX115" s="179"/>
      <c r="AY115" s="179"/>
      <c r="AZ115" s="179"/>
    </row>
    <row r="116" spans="1:52" x14ac:dyDescent="0.25">
      <c r="A116" s="25"/>
      <c r="B116" s="4"/>
      <c r="C116" s="4"/>
      <c r="D116" s="4"/>
      <c r="E116" s="4"/>
      <c r="F116" s="4"/>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row>
    <row r="117" spans="1:52" x14ac:dyDescent="0.25">
      <c r="A117" s="3" t="s">
        <v>125</v>
      </c>
      <c r="B117" s="4"/>
      <c r="C117" s="4"/>
      <c r="D117" s="4"/>
      <c r="E117" s="4"/>
      <c r="F117" s="4"/>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row>
    <row r="118" spans="1:52" x14ac:dyDescent="0.25">
      <c r="A118" s="52" t="s">
        <v>126</v>
      </c>
      <c r="B118" s="49"/>
      <c r="C118" s="49"/>
      <c r="D118" s="62" t="s">
        <v>75</v>
      </c>
      <c r="E118" s="109" t="s">
        <v>48</v>
      </c>
      <c r="F118" s="109"/>
      <c r="G118" s="53" t="s">
        <v>52</v>
      </c>
      <c r="H118" s="62">
        <f>Start_Yr</f>
        <v>2026</v>
      </c>
      <c r="I118" s="62">
        <f>H118+1</f>
        <v>2027</v>
      </c>
      <c r="J118" s="62">
        <f t="shared" ref="J118:AZ118" si="64">I118+1</f>
        <v>2028</v>
      </c>
      <c r="K118" s="62">
        <f t="shared" si="64"/>
        <v>2029</v>
      </c>
      <c r="L118" s="62">
        <f t="shared" si="64"/>
        <v>2030</v>
      </c>
      <c r="M118" s="62">
        <f t="shared" si="64"/>
        <v>2031</v>
      </c>
      <c r="N118" s="62">
        <f t="shared" si="64"/>
        <v>2032</v>
      </c>
      <c r="O118" s="62">
        <f t="shared" si="64"/>
        <v>2033</v>
      </c>
      <c r="P118" s="62">
        <f t="shared" si="64"/>
        <v>2034</v>
      </c>
      <c r="Q118" s="62">
        <f t="shared" si="64"/>
        <v>2035</v>
      </c>
      <c r="R118" s="62">
        <f t="shared" si="64"/>
        <v>2036</v>
      </c>
      <c r="S118" s="62">
        <f t="shared" si="64"/>
        <v>2037</v>
      </c>
      <c r="T118" s="62">
        <f t="shared" si="64"/>
        <v>2038</v>
      </c>
      <c r="U118" s="62">
        <f t="shared" si="64"/>
        <v>2039</v>
      </c>
      <c r="V118" s="62">
        <f t="shared" si="64"/>
        <v>2040</v>
      </c>
      <c r="W118" s="62">
        <f t="shared" si="64"/>
        <v>2041</v>
      </c>
      <c r="X118" s="62">
        <f t="shared" si="64"/>
        <v>2042</v>
      </c>
      <c r="Y118" s="62">
        <f t="shared" si="64"/>
        <v>2043</v>
      </c>
      <c r="Z118" s="62">
        <f t="shared" si="64"/>
        <v>2044</v>
      </c>
      <c r="AA118" s="62">
        <f t="shared" si="64"/>
        <v>2045</v>
      </c>
      <c r="AB118" s="62">
        <f t="shared" si="64"/>
        <v>2046</v>
      </c>
      <c r="AC118" s="62">
        <f t="shared" si="64"/>
        <v>2047</v>
      </c>
      <c r="AD118" s="62">
        <f t="shared" si="64"/>
        <v>2048</v>
      </c>
      <c r="AE118" s="62">
        <f t="shared" si="64"/>
        <v>2049</v>
      </c>
      <c r="AF118" s="62">
        <f t="shared" si="64"/>
        <v>2050</v>
      </c>
      <c r="AG118" s="62">
        <f t="shared" si="64"/>
        <v>2051</v>
      </c>
      <c r="AH118" s="62">
        <f t="shared" si="64"/>
        <v>2052</v>
      </c>
      <c r="AI118" s="62">
        <f t="shared" si="64"/>
        <v>2053</v>
      </c>
      <c r="AJ118" s="62">
        <f t="shared" si="64"/>
        <v>2054</v>
      </c>
      <c r="AK118" s="62">
        <f t="shared" si="64"/>
        <v>2055</v>
      </c>
      <c r="AL118" s="62">
        <f t="shared" si="64"/>
        <v>2056</v>
      </c>
      <c r="AM118" s="62">
        <f t="shared" si="64"/>
        <v>2057</v>
      </c>
      <c r="AN118" s="62">
        <f t="shared" si="64"/>
        <v>2058</v>
      </c>
      <c r="AO118" s="62">
        <f t="shared" si="64"/>
        <v>2059</v>
      </c>
      <c r="AP118" s="62">
        <f t="shared" si="64"/>
        <v>2060</v>
      </c>
      <c r="AQ118" s="62">
        <f t="shared" si="64"/>
        <v>2061</v>
      </c>
      <c r="AR118" s="62">
        <f t="shared" si="64"/>
        <v>2062</v>
      </c>
      <c r="AS118" s="62">
        <f t="shared" si="64"/>
        <v>2063</v>
      </c>
      <c r="AT118" s="62">
        <f t="shared" si="64"/>
        <v>2064</v>
      </c>
      <c r="AU118" s="62">
        <f t="shared" si="64"/>
        <v>2065</v>
      </c>
      <c r="AV118" s="62">
        <f t="shared" si="64"/>
        <v>2066</v>
      </c>
      <c r="AW118" s="62">
        <f t="shared" si="64"/>
        <v>2067</v>
      </c>
      <c r="AX118" s="62">
        <f t="shared" si="64"/>
        <v>2068</v>
      </c>
      <c r="AY118" s="62">
        <f t="shared" si="64"/>
        <v>2069</v>
      </c>
      <c r="AZ118" s="62">
        <f t="shared" si="64"/>
        <v>2070</v>
      </c>
    </row>
    <row r="119" spans="1:52" x14ac:dyDescent="0.25">
      <c r="A119" s="25" t="str">
        <f>"Please provide data through to "&amp;FinalYear_PP</f>
        <v>Please provide data through to 2047</v>
      </c>
      <c r="B119" s="4"/>
      <c r="C119" s="4"/>
      <c r="D119" s="20" t="str">
        <f>B92</f>
        <v>Electricity</v>
      </c>
      <c r="E119" s="20" t="str">
        <f>E92</f>
        <v>Real</v>
      </c>
      <c r="F119" s="20"/>
      <c r="G119" s="45"/>
      <c r="H119" s="177">
        <f>H65*H92</f>
        <v>30000</v>
      </c>
      <c r="I119" s="177">
        <f t="shared" ref="I119:AZ125" si="65">I65*I92</f>
        <v>1252223.2000000002</v>
      </c>
      <c r="J119" s="177">
        <f t="shared" si="65"/>
        <v>1252223.2000000002</v>
      </c>
      <c r="K119" s="177">
        <f t="shared" si="65"/>
        <v>1252223.2000000002</v>
      </c>
      <c r="L119" s="177">
        <f t="shared" si="65"/>
        <v>1252223.2000000002</v>
      </c>
      <c r="M119" s="177">
        <f t="shared" si="65"/>
        <v>1252223.2000000002</v>
      </c>
      <c r="N119" s="177">
        <f t="shared" si="65"/>
        <v>1252223.2000000002</v>
      </c>
      <c r="O119" s="177">
        <f t="shared" si="65"/>
        <v>1252223.2000000002</v>
      </c>
      <c r="P119" s="177">
        <f t="shared" si="65"/>
        <v>1252223.2000000002</v>
      </c>
      <c r="Q119" s="177">
        <f t="shared" si="65"/>
        <v>1252223.2000000002</v>
      </c>
      <c r="R119" s="177">
        <f t="shared" si="65"/>
        <v>1252223.2000000002</v>
      </c>
      <c r="S119" s="177">
        <f t="shared" si="65"/>
        <v>1252223.2000000002</v>
      </c>
      <c r="T119" s="177">
        <f t="shared" si="65"/>
        <v>1252223.2000000002</v>
      </c>
      <c r="U119" s="177">
        <f t="shared" si="65"/>
        <v>1252223.2000000002</v>
      </c>
      <c r="V119" s="177">
        <f t="shared" si="65"/>
        <v>1252223.2000000002</v>
      </c>
      <c r="W119" s="177">
        <f t="shared" si="65"/>
        <v>1252223.2000000002</v>
      </c>
      <c r="X119" s="177">
        <f t="shared" si="65"/>
        <v>1252223.2000000002</v>
      </c>
      <c r="Y119" s="177">
        <f t="shared" si="65"/>
        <v>1252223.2000000002</v>
      </c>
      <c r="Z119" s="177">
        <f t="shared" si="65"/>
        <v>1252223.2000000002</v>
      </c>
      <c r="AA119" s="177">
        <f t="shared" si="65"/>
        <v>1252223.2000000002</v>
      </c>
      <c r="AB119" s="177">
        <f t="shared" si="65"/>
        <v>1252223.2000000002</v>
      </c>
      <c r="AC119" s="177">
        <f t="shared" si="65"/>
        <v>1252223.2000000002</v>
      </c>
      <c r="AD119" s="177">
        <f t="shared" si="65"/>
        <v>0</v>
      </c>
      <c r="AE119" s="177">
        <f t="shared" si="65"/>
        <v>0</v>
      </c>
      <c r="AF119" s="177">
        <f t="shared" si="65"/>
        <v>0</v>
      </c>
      <c r="AG119" s="177">
        <f t="shared" si="65"/>
        <v>0</v>
      </c>
      <c r="AH119" s="177">
        <f t="shared" si="65"/>
        <v>0</v>
      </c>
      <c r="AI119" s="177">
        <f t="shared" si="65"/>
        <v>0</v>
      </c>
      <c r="AJ119" s="177">
        <f t="shared" si="65"/>
        <v>0</v>
      </c>
      <c r="AK119" s="177">
        <f t="shared" si="65"/>
        <v>0</v>
      </c>
      <c r="AL119" s="177">
        <f t="shared" si="65"/>
        <v>0</v>
      </c>
      <c r="AM119" s="177">
        <f t="shared" si="65"/>
        <v>0</v>
      </c>
      <c r="AN119" s="177">
        <f t="shared" si="65"/>
        <v>0</v>
      </c>
      <c r="AO119" s="177">
        <f t="shared" si="65"/>
        <v>0</v>
      </c>
      <c r="AP119" s="177">
        <f t="shared" si="65"/>
        <v>0</v>
      </c>
      <c r="AQ119" s="177">
        <f t="shared" si="65"/>
        <v>0</v>
      </c>
      <c r="AR119" s="177">
        <f t="shared" si="65"/>
        <v>0</v>
      </c>
      <c r="AS119" s="177">
        <f t="shared" si="65"/>
        <v>0</v>
      </c>
      <c r="AT119" s="177">
        <f t="shared" si="65"/>
        <v>0</v>
      </c>
      <c r="AU119" s="177">
        <f t="shared" si="65"/>
        <v>0</v>
      </c>
      <c r="AV119" s="177">
        <f t="shared" si="65"/>
        <v>0</v>
      </c>
      <c r="AW119" s="177">
        <f t="shared" si="65"/>
        <v>0</v>
      </c>
      <c r="AX119" s="177">
        <f t="shared" si="65"/>
        <v>0</v>
      </c>
      <c r="AY119" s="177">
        <f t="shared" si="65"/>
        <v>0</v>
      </c>
      <c r="AZ119" s="177">
        <f t="shared" si="65"/>
        <v>0</v>
      </c>
    </row>
    <row r="120" spans="1:52" x14ac:dyDescent="0.25">
      <c r="A120" s="25"/>
      <c r="B120" s="4"/>
      <c r="C120" s="4"/>
      <c r="D120" s="20" t="str">
        <f t="shared" ref="D120:D129" si="66">B93</f>
        <v>Natural Gas</v>
      </c>
      <c r="E120" s="20" t="str">
        <f t="shared" ref="E120:E129" si="67">E93</f>
        <v>Real</v>
      </c>
      <c r="F120" s="20"/>
      <c r="G120" s="45"/>
      <c r="H120" s="177">
        <f t="shared" ref="H120:W129" si="68">H66*H93</f>
        <v>700000</v>
      </c>
      <c r="I120" s="177">
        <f t="shared" si="68"/>
        <v>0</v>
      </c>
      <c r="J120" s="177">
        <f t="shared" si="68"/>
        <v>0</v>
      </c>
      <c r="K120" s="177">
        <f t="shared" si="68"/>
        <v>0</v>
      </c>
      <c r="L120" s="177">
        <f t="shared" si="68"/>
        <v>0</v>
      </c>
      <c r="M120" s="177">
        <f t="shared" si="68"/>
        <v>0</v>
      </c>
      <c r="N120" s="177">
        <f t="shared" si="68"/>
        <v>0</v>
      </c>
      <c r="O120" s="177">
        <f t="shared" si="68"/>
        <v>0</v>
      </c>
      <c r="P120" s="177">
        <f t="shared" si="68"/>
        <v>0</v>
      </c>
      <c r="Q120" s="177">
        <f t="shared" si="68"/>
        <v>0</v>
      </c>
      <c r="R120" s="177">
        <f t="shared" si="68"/>
        <v>0</v>
      </c>
      <c r="S120" s="177">
        <f t="shared" si="68"/>
        <v>0</v>
      </c>
      <c r="T120" s="177">
        <f t="shared" si="68"/>
        <v>0</v>
      </c>
      <c r="U120" s="177">
        <f t="shared" si="68"/>
        <v>0</v>
      </c>
      <c r="V120" s="177">
        <f t="shared" si="68"/>
        <v>0</v>
      </c>
      <c r="W120" s="177">
        <f t="shared" si="68"/>
        <v>0</v>
      </c>
      <c r="X120" s="177">
        <f t="shared" si="65"/>
        <v>0</v>
      </c>
      <c r="Y120" s="177">
        <f t="shared" si="65"/>
        <v>0</v>
      </c>
      <c r="Z120" s="177">
        <f t="shared" si="65"/>
        <v>0</v>
      </c>
      <c r="AA120" s="177">
        <f t="shared" si="65"/>
        <v>0</v>
      </c>
      <c r="AB120" s="177">
        <f t="shared" si="65"/>
        <v>0</v>
      </c>
      <c r="AC120" s="177">
        <f t="shared" si="65"/>
        <v>0</v>
      </c>
      <c r="AD120" s="177">
        <f t="shared" si="65"/>
        <v>0</v>
      </c>
      <c r="AE120" s="177">
        <f t="shared" si="65"/>
        <v>0</v>
      </c>
      <c r="AF120" s="177">
        <f t="shared" si="65"/>
        <v>0</v>
      </c>
      <c r="AG120" s="177">
        <f t="shared" si="65"/>
        <v>0</v>
      </c>
      <c r="AH120" s="177">
        <f t="shared" si="65"/>
        <v>0</v>
      </c>
      <c r="AI120" s="177">
        <f t="shared" si="65"/>
        <v>0</v>
      </c>
      <c r="AJ120" s="177">
        <f t="shared" si="65"/>
        <v>0</v>
      </c>
      <c r="AK120" s="177">
        <f t="shared" si="65"/>
        <v>0</v>
      </c>
      <c r="AL120" s="177">
        <f t="shared" si="65"/>
        <v>0</v>
      </c>
      <c r="AM120" s="177">
        <f t="shared" si="65"/>
        <v>0</v>
      </c>
      <c r="AN120" s="177">
        <f t="shared" si="65"/>
        <v>0</v>
      </c>
      <c r="AO120" s="177">
        <f t="shared" si="65"/>
        <v>0</v>
      </c>
      <c r="AP120" s="177">
        <f t="shared" si="65"/>
        <v>0</v>
      </c>
      <c r="AQ120" s="177">
        <f t="shared" si="65"/>
        <v>0</v>
      </c>
      <c r="AR120" s="177">
        <f t="shared" si="65"/>
        <v>0</v>
      </c>
      <c r="AS120" s="177">
        <f t="shared" si="65"/>
        <v>0</v>
      </c>
      <c r="AT120" s="177">
        <f t="shared" si="65"/>
        <v>0</v>
      </c>
      <c r="AU120" s="177">
        <f t="shared" si="65"/>
        <v>0</v>
      </c>
      <c r="AV120" s="177">
        <f t="shared" si="65"/>
        <v>0</v>
      </c>
      <c r="AW120" s="177">
        <f t="shared" si="65"/>
        <v>0</v>
      </c>
      <c r="AX120" s="177">
        <f t="shared" si="65"/>
        <v>0</v>
      </c>
      <c r="AY120" s="177">
        <f t="shared" si="65"/>
        <v>0</v>
      </c>
      <c r="AZ120" s="177">
        <f t="shared" si="65"/>
        <v>0</v>
      </c>
    </row>
    <row r="121" spans="1:52" x14ac:dyDescent="0.25">
      <c r="A121" s="25"/>
      <c r="B121" s="4"/>
      <c r="C121" s="4"/>
      <c r="D121" s="20" t="str">
        <f t="shared" si="66"/>
        <v>Coal - sub bituminous</v>
      </c>
      <c r="E121" s="20" t="str">
        <f t="shared" si="67"/>
        <v>Real</v>
      </c>
      <c r="F121" s="20"/>
      <c r="G121" s="45"/>
      <c r="H121" s="177">
        <f t="shared" si="68"/>
        <v>0</v>
      </c>
      <c r="I121" s="177">
        <f t="shared" si="65"/>
        <v>0</v>
      </c>
      <c r="J121" s="177">
        <f t="shared" si="65"/>
        <v>0</v>
      </c>
      <c r="K121" s="177">
        <f t="shared" si="65"/>
        <v>0</v>
      </c>
      <c r="L121" s="177">
        <f t="shared" si="65"/>
        <v>0</v>
      </c>
      <c r="M121" s="177">
        <f t="shared" si="65"/>
        <v>0</v>
      </c>
      <c r="N121" s="177">
        <f t="shared" si="65"/>
        <v>0</v>
      </c>
      <c r="O121" s="177">
        <f t="shared" si="65"/>
        <v>0</v>
      </c>
      <c r="P121" s="177">
        <f t="shared" si="65"/>
        <v>0</v>
      </c>
      <c r="Q121" s="177">
        <f t="shared" si="65"/>
        <v>0</v>
      </c>
      <c r="R121" s="177">
        <f t="shared" si="65"/>
        <v>0</v>
      </c>
      <c r="S121" s="177">
        <f t="shared" si="65"/>
        <v>0</v>
      </c>
      <c r="T121" s="177">
        <f t="shared" si="65"/>
        <v>0</v>
      </c>
      <c r="U121" s="177">
        <f t="shared" si="65"/>
        <v>0</v>
      </c>
      <c r="V121" s="177">
        <f t="shared" si="65"/>
        <v>0</v>
      </c>
      <c r="W121" s="177">
        <f t="shared" si="65"/>
        <v>0</v>
      </c>
      <c r="X121" s="177">
        <f t="shared" si="65"/>
        <v>0</v>
      </c>
      <c r="Y121" s="177">
        <f t="shared" si="65"/>
        <v>0</v>
      </c>
      <c r="Z121" s="177">
        <f t="shared" si="65"/>
        <v>0</v>
      </c>
      <c r="AA121" s="177">
        <f t="shared" si="65"/>
        <v>0</v>
      </c>
      <c r="AB121" s="177">
        <f t="shared" si="65"/>
        <v>0</v>
      </c>
      <c r="AC121" s="177">
        <f t="shared" si="65"/>
        <v>0</v>
      </c>
      <c r="AD121" s="177">
        <f t="shared" si="65"/>
        <v>0</v>
      </c>
      <c r="AE121" s="177">
        <f t="shared" si="65"/>
        <v>0</v>
      </c>
      <c r="AF121" s="177">
        <f t="shared" si="65"/>
        <v>0</v>
      </c>
      <c r="AG121" s="177">
        <f t="shared" si="65"/>
        <v>0</v>
      </c>
      <c r="AH121" s="177">
        <f t="shared" si="65"/>
        <v>0</v>
      </c>
      <c r="AI121" s="177">
        <f t="shared" si="65"/>
        <v>0</v>
      </c>
      <c r="AJ121" s="177">
        <f t="shared" si="65"/>
        <v>0</v>
      </c>
      <c r="AK121" s="177">
        <f t="shared" si="65"/>
        <v>0</v>
      </c>
      <c r="AL121" s="177">
        <f t="shared" si="65"/>
        <v>0</v>
      </c>
      <c r="AM121" s="177">
        <f t="shared" si="65"/>
        <v>0</v>
      </c>
      <c r="AN121" s="177">
        <f t="shared" si="65"/>
        <v>0</v>
      </c>
      <c r="AO121" s="177">
        <f t="shared" si="65"/>
        <v>0</v>
      </c>
      <c r="AP121" s="177">
        <f t="shared" si="65"/>
        <v>0</v>
      </c>
      <c r="AQ121" s="177">
        <f t="shared" si="65"/>
        <v>0</v>
      </c>
      <c r="AR121" s="177">
        <f t="shared" si="65"/>
        <v>0</v>
      </c>
      <c r="AS121" s="177">
        <f t="shared" si="65"/>
        <v>0</v>
      </c>
      <c r="AT121" s="177">
        <f t="shared" si="65"/>
        <v>0</v>
      </c>
      <c r="AU121" s="177">
        <f t="shared" si="65"/>
        <v>0</v>
      </c>
      <c r="AV121" s="177">
        <f t="shared" si="65"/>
        <v>0</v>
      </c>
      <c r="AW121" s="177">
        <f t="shared" si="65"/>
        <v>0</v>
      </c>
      <c r="AX121" s="177">
        <f t="shared" si="65"/>
        <v>0</v>
      </c>
      <c r="AY121" s="177">
        <f t="shared" si="65"/>
        <v>0</v>
      </c>
      <c r="AZ121" s="177">
        <f t="shared" si="65"/>
        <v>0</v>
      </c>
    </row>
    <row r="122" spans="1:52" x14ac:dyDescent="0.25">
      <c r="A122" s="25"/>
      <c r="B122" s="4"/>
      <c r="C122" s="4"/>
      <c r="D122" s="20" t="str">
        <f t="shared" si="66"/>
        <v>Coal - bituminous</v>
      </c>
      <c r="E122" s="20" t="str">
        <f t="shared" si="67"/>
        <v>Real</v>
      </c>
      <c r="F122" s="20"/>
      <c r="G122" s="45"/>
      <c r="H122" s="177">
        <f t="shared" si="68"/>
        <v>0</v>
      </c>
      <c r="I122" s="177">
        <f t="shared" si="65"/>
        <v>0</v>
      </c>
      <c r="J122" s="177">
        <f t="shared" si="65"/>
        <v>0</v>
      </c>
      <c r="K122" s="177">
        <f t="shared" si="65"/>
        <v>0</v>
      </c>
      <c r="L122" s="177">
        <f t="shared" si="65"/>
        <v>0</v>
      </c>
      <c r="M122" s="177">
        <f t="shared" si="65"/>
        <v>0</v>
      </c>
      <c r="N122" s="177">
        <f t="shared" si="65"/>
        <v>0</v>
      </c>
      <c r="O122" s="177">
        <f t="shared" si="65"/>
        <v>0</v>
      </c>
      <c r="P122" s="177">
        <f t="shared" si="65"/>
        <v>0</v>
      </c>
      <c r="Q122" s="177">
        <f t="shared" si="65"/>
        <v>0</v>
      </c>
      <c r="R122" s="177">
        <f t="shared" si="65"/>
        <v>0</v>
      </c>
      <c r="S122" s="177">
        <f t="shared" si="65"/>
        <v>0</v>
      </c>
      <c r="T122" s="177">
        <f t="shared" si="65"/>
        <v>0</v>
      </c>
      <c r="U122" s="177">
        <f t="shared" si="65"/>
        <v>0</v>
      </c>
      <c r="V122" s="177">
        <f t="shared" si="65"/>
        <v>0</v>
      </c>
      <c r="W122" s="177">
        <f t="shared" si="65"/>
        <v>0</v>
      </c>
      <c r="X122" s="177">
        <f t="shared" si="65"/>
        <v>0</v>
      </c>
      <c r="Y122" s="177">
        <f t="shared" si="65"/>
        <v>0</v>
      </c>
      <c r="Z122" s="177">
        <f t="shared" si="65"/>
        <v>0</v>
      </c>
      <c r="AA122" s="177">
        <f t="shared" si="65"/>
        <v>0</v>
      </c>
      <c r="AB122" s="177">
        <f t="shared" si="65"/>
        <v>0</v>
      </c>
      <c r="AC122" s="177">
        <f t="shared" si="65"/>
        <v>0</v>
      </c>
      <c r="AD122" s="177">
        <f t="shared" si="65"/>
        <v>0</v>
      </c>
      <c r="AE122" s="177">
        <f t="shared" si="65"/>
        <v>0</v>
      </c>
      <c r="AF122" s="177">
        <f t="shared" si="65"/>
        <v>0</v>
      </c>
      <c r="AG122" s="177">
        <f t="shared" si="65"/>
        <v>0</v>
      </c>
      <c r="AH122" s="177">
        <f t="shared" si="65"/>
        <v>0</v>
      </c>
      <c r="AI122" s="177">
        <f t="shared" si="65"/>
        <v>0</v>
      </c>
      <c r="AJ122" s="177">
        <f t="shared" si="65"/>
        <v>0</v>
      </c>
      <c r="AK122" s="177">
        <f t="shared" si="65"/>
        <v>0</v>
      </c>
      <c r="AL122" s="177">
        <f t="shared" si="65"/>
        <v>0</v>
      </c>
      <c r="AM122" s="177">
        <f t="shared" si="65"/>
        <v>0</v>
      </c>
      <c r="AN122" s="177">
        <f t="shared" si="65"/>
        <v>0</v>
      </c>
      <c r="AO122" s="177">
        <f t="shared" si="65"/>
        <v>0</v>
      </c>
      <c r="AP122" s="177">
        <f t="shared" si="65"/>
        <v>0</v>
      </c>
      <c r="AQ122" s="177">
        <f t="shared" si="65"/>
        <v>0</v>
      </c>
      <c r="AR122" s="177">
        <f t="shared" si="65"/>
        <v>0</v>
      </c>
      <c r="AS122" s="177">
        <f t="shared" si="65"/>
        <v>0</v>
      </c>
      <c r="AT122" s="177">
        <f t="shared" si="65"/>
        <v>0</v>
      </c>
      <c r="AU122" s="177">
        <f t="shared" si="65"/>
        <v>0</v>
      </c>
      <c r="AV122" s="177">
        <f t="shared" si="65"/>
        <v>0</v>
      </c>
      <c r="AW122" s="177">
        <f t="shared" si="65"/>
        <v>0</v>
      </c>
      <c r="AX122" s="177">
        <f t="shared" si="65"/>
        <v>0</v>
      </c>
      <c r="AY122" s="177">
        <f t="shared" si="65"/>
        <v>0</v>
      </c>
      <c r="AZ122" s="177">
        <f t="shared" si="65"/>
        <v>0</v>
      </c>
    </row>
    <row r="123" spans="1:52" x14ac:dyDescent="0.25">
      <c r="A123" s="25"/>
      <c r="B123" s="4"/>
      <c r="C123" s="4"/>
      <c r="D123" s="20" t="str">
        <f t="shared" si="66"/>
        <v>Coal - lignite</v>
      </c>
      <c r="E123" s="20" t="str">
        <f t="shared" si="67"/>
        <v>Real</v>
      </c>
      <c r="F123" s="20"/>
      <c r="G123" s="45"/>
      <c r="H123" s="177">
        <f t="shared" si="68"/>
        <v>0</v>
      </c>
      <c r="I123" s="177">
        <f t="shared" si="65"/>
        <v>0</v>
      </c>
      <c r="J123" s="177">
        <f t="shared" si="65"/>
        <v>0</v>
      </c>
      <c r="K123" s="177">
        <f t="shared" si="65"/>
        <v>0</v>
      </c>
      <c r="L123" s="177">
        <f t="shared" si="65"/>
        <v>0</v>
      </c>
      <c r="M123" s="177">
        <f t="shared" si="65"/>
        <v>0</v>
      </c>
      <c r="N123" s="177">
        <f t="shared" si="65"/>
        <v>0</v>
      </c>
      <c r="O123" s="177">
        <f t="shared" si="65"/>
        <v>0</v>
      </c>
      <c r="P123" s="177">
        <f t="shared" si="65"/>
        <v>0</v>
      </c>
      <c r="Q123" s="177">
        <f t="shared" si="65"/>
        <v>0</v>
      </c>
      <c r="R123" s="177">
        <f t="shared" si="65"/>
        <v>0</v>
      </c>
      <c r="S123" s="177">
        <f t="shared" si="65"/>
        <v>0</v>
      </c>
      <c r="T123" s="177">
        <f t="shared" si="65"/>
        <v>0</v>
      </c>
      <c r="U123" s="177">
        <f t="shared" si="65"/>
        <v>0</v>
      </c>
      <c r="V123" s="177">
        <f t="shared" si="65"/>
        <v>0</v>
      </c>
      <c r="W123" s="177">
        <f t="shared" si="65"/>
        <v>0</v>
      </c>
      <c r="X123" s="177">
        <f t="shared" si="65"/>
        <v>0</v>
      </c>
      <c r="Y123" s="177">
        <f t="shared" si="65"/>
        <v>0</v>
      </c>
      <c r="Z123" s="177">
        <f t="shared" si="65"/>
        <v>0</v>
      </c>
      <c r="AA123" s="177">
        <f t="shared" si="65"/>
        <v>0</v>
      </c>
      <c r="AB123" s="177">
        <f t="shared" si="65"/>
        <v>0</v>
      </c>
      <c r="AC123" s="177">
        <f t="shared" si="65"/>
        <v>0</v>
      </c>
      <c r="AD123" s="177">
        <f t="shared" si="65"/>
        <v>0</v>
      </c>
      <c r="AE123" s="177">
        <f t="shared" si="65"/>
        <v>0</v>
      </c>
      <c r="AF123" s="177">
        <f t="shared" si="65"/>
        <v>0</v>
      </c>
      <c r="AG123" s="177">
        <f t="shared" si="65"/>
        <v>0</v>
      </c>
      <c r="AH123" s="177">
        <f t="shared" si="65"/>
        <v>0</v>
      </c>
      <c r="AI123" s="177">
        <f t="shared" si="65"/>
        <v>0</v>
      </c>
      <c r="AJ123" s="177">
        <f t="shared" si="65"/>
        <v>0</v>
      </c>
      <c r="AK123" s="177">
        <f t="shared" si="65"/>
        <v>0</v>
      </c>
      <c r="AL123" s="177">
        <f t="shared" si="65"/>
        <v>0</v>
      </c>
      <c r="AM123" s="177">
        <f t="shared" si="65"/>
        <v>0</v>
      </c>
      <c r="AN123" s="177">
        <f t="shared" si="65"/>
        <v>0</v>
      </c>
      <c r="AO123" s="177">
        <f t="shared" si="65"/>
        <v>0</v>
      </c>
      <c r="AP123" s="177">
        <f t="shared" si="65"/>
        <v>0</v>
      </c>
      <c r="AQ123" s="177">
        <f t="shared" si="65"/>
        <v>0</v>
      </c>
      <c r="AR123" s="177">
        <f t="shared" si="65"/>
        <v>0</v>
      </c>
      <c r="AS123" s="177">
        <f t="shared" si="65"/>
        <v>0</v>
      </c>
      <c r="AT123" s="177">
        <f t="shared" si="65"/>
        <v>0</v>
      </c>
      <c r="AU123" s="177">
        <f t="shared" si="65"/>
        <v>0</v>
      </c>
      <c r="AV123" s="177">
        <f t="shared" si="65"/>
        <v>0</v>
      </c>
      <c r="AW123" s="177">
        <f t="shared" si="65"/>
        <v>0</v>
      </c>
      <c r="AX123" s="177">
        <f t="shared" si="65"/>
        <v>0</v>
      </c>
      <c r="AY123" s="177">
        <f t="shared" si="65"/>
        <v>0</v>
      </c>
      <c r="AZ123" s="177">
        <f t="shared" si="65"/>
        <v>0</v>
      </c>
    </row>
    <row r="124" spans="1:52" x14ac:dyDescent="0.25">
      <c r="A124" s="25"/>
      <c r="B124" s="4"/>
      <c r="C124" s="4"/>
      <c r="D124" s="20" t="str">
        <f t="shared" si="66"/>
        <v>Diesel</v>
      </c>
      <c r="E124" s="20" t="str">
        <f t="shared" si="67"/>
        <v>Real</v>
      </c>
      <c r="F124" s="20"/>
      <c r="G124" s="45"/>
      <c r="H124" s="177">
        <f t="shared" si="68"/>
        <v>0</v>
      </c>
      <c r="I124" s="177">
        <f t="shared" si="65"/>
        <v>0</v>
      </c>
      <c r="J124" s="177">
        <f t="shared" si="65"/>
        <v>0</v>
      </c>
      <c r="K124" s="177">
        <f t="shared" si="65"/>
        <v>0</v>
      </c>
      <c r="L124" s="177">
        <f t="shared" si="65"/>
        <v>0</v>
      </c>
      <c r="M124" s="177">
        <f t="shared" si="65"/>
        <v>0</v>
      </c>
      <c r="N124" s="177">
        <f t="shared" si="65"/>
        <v>0</v>
      </c>
      <c r="O124" s="177">
        <f t="shared" si="65"/>
        <v>0</v>
      </c>
      <c r="P124" s="177">
        <f t="shared" si="65"/>
        <v>0</v>
      </c>
      <c r="Q124" s="177">
        <f t="shared" si="65"/>
        <v>0</v>
      </c>
      <c r="R124" s="177">
        <f t="shared" si="65"/>
        <v>0</v>
      </c>
      <c r="S124" s="177">
        <f t="shared" si="65"/>
        <v>0</v>
      </c>
      <c r="T124" s="177">
        <f t="shared" si="65"/>
        <v>0</v>
      </c>
      <c r="U124" s="177">
        <f t="shared" si="65"/>
        <v>0</v>
      </c>
      <c r="V124" s="177">
        <f t="shared" si="65"/>
        <v>0</v>
      </c>
      <c r="W124" s="177">
        <f t="shared" si="65"/>
        <v>0</v>
      </c>
      <c r="X124" s="177">
        <f t="shared" si="65"/>
        <v>0</v>
      </c>
      <c r="Y124" s="177">
        <f t="shared" si="65"/>
        <v>0</v>
      </c>
      <c r="Z124" s="177">
        <f t="shared" si="65"/>
        <v>0</v>
      </c>
      <c r="AA124" s="177">
        <f t="shared" si="65"/>
        <v>0</v>
      </c>
      <c r="AB124" s="177">
        <f t="shared" si="65"/>
        <v>0</v>
      </c>
      <c r="AC124" s="177">
        <f t="shared" si="65"/>
        <v>0</v>
      </c>
      <c r="AD124" s="177">
        <f t="shared" si="65"/>
        <v>0</v>
      </c>
      <c r="AE124" s="177">
        <f t="shared" si="65"/>
        <v>0</v>
      </c>
      <c r="AF124" s="177">
        <f t="shared" si="65"/>
        <v>0</v>
      </c>
      <c r="AG124" s="177">
        <f t="shared" si="65"/>
        <v>0</v>
      </c>
      <c r="AH124" s="177">
        <f t="shared" si="65"/>
        <v>0</v>
      </c>
      <c r="AI124" s="177">
        <f t="shared" si="65"/>
        <v>0</v>
      </c>
      <c r="AJ124" s="177">
        <f t="shared" si="65"/>
        <v>0</v>
      </c>
      <c r="AK124" s="177">
        <f t="shared" si="65"/>
        <v>0</v>
      </c>
      <c r="AL124" s="177">
        <f t="shared" si="65"/>
        <v>0</v>
      </c>
      <c r="AM124" s="177">
        <f t="shared" si="65"/>
        <v>0</v>
      </c>
      <c r="AN124" s="177">
        <f t="shared" si="65"/>
        <v>0</v>
      </c>
      <c r="AO124" s="177">
        <f t="shared" si="65"/>
        <v>0</v>
      </c>
      <c r="AP124" s="177">
        <f t="shared" si="65"/>
        <v>0</v>
      </c>
      <c r="AQ124" s="177">
        <f t="shared" si="65"/>
        <v>0</v>
      </c>
      <c r="AR124" s="177">
        <f t="shared" si="65"/>
        <v>0</v>
      </c>
      <c r="AS124" s="177">
        <f t="shared" si="65"/>
        <v>0</v>
      </c>
      <c r="AT124" s="177">
        <f t="shared" si="65"/>
        <v>0</v>
      </c>
      <c r="AU124" s="177">
        <f t="shared" si="65"/>
        <v>0</v>
      </c>
      <c r="AV124" s="177">
        <f t="shared" si="65"/>
        <v>0</v>
      </c>
      <c r="AW124" s="177">
        <f t="shared" si="65"/>
        <v>0</v>
      </c>
      <c r="AX124" s="177">
        <f t="shared" si="65"/>
        <v>0</v>
      </c>
      <c r="AY124" s="177">
        <f t="shared" si="65"/>
        <v>0</v>
      </c>
      <c r="AZ124" s="177">
        <f t="shared" si="65"/>
        <v>0</v>
      </c>
    </row>
    <row r="125" spans="1:52" x14ac:dyDescent="0.25">
      <c r="A125" s="25"/>
      <c r="B125" s="4"/>
      <c r="C125" s="4"/>
      <c r="D125" s="20" t="str">
        <f t="shared" si="66"/>
        <v>LPG</v>
      </c>
      <c r="E125" s="20" t="str">
        <f t="shared" si="67"/>
        <v>Real</v>
      </c>
      <c r="F125" s="20"/>
      <c r="G125" s="45"/>
      <c r="H125" s="177">
        <f t="shared" si="68"/>
        <v>0</v>
      </c>
      <c r="I125" s="177">
        <f t="shared" si="65"/>
        <v>0</v>
      </c>
      <c r="J125" s="177">
        <f t="shared" si="65"/>
        <v>0</v>
      </c>
      <c r="K125" s="177">
        <f t="shared" si="65"/>
        <v>0</v>
      </c>
      <c r="L125" s="177">
        <f t="shared" si="65"/>
        <v>0</v>
      </c>
      <c r="M125" s="177">
        <f t="shared" si="65"/>
        <v>0</v>
      </c>
      <c r="N125" s="177">
        <f t="shared" si="65"/>
        <v>0</v>
      </c>
      <c r="O125" s="177">
        <f t="shared" ref="I125:AZ129" si="69">O71*O98</f>
        <v>0</v>
      </c>
      <c r="P125" s="177">
        <f t="shared" si="69"/>
        <v>0</v>
      </c>
      <c r="Q125" s="177">
        <f t="shared" si="69"/>
        <v>0</v>
      </c>
      <c r="R125" s="177">
        <f t="shared" si="69"/>
        <v>0</v>
      </c>
      <c r="S125" s="177">
        <f t="shared" si="69"/>
        <v>0</v>
      </c>
      <c r="T125" s="177">
        <f t="shared" si="69"/>
        <v>0</v>
      </c>
      <c r="U125" s="177">
        <f t="shared" si="69"/>
        <v>0</v>
      </c>
      <c r="V125" s="177">
        <f t="shared" si="69"/>
        <v>0</v>
      </c>
      <c r="W125" s="177">
        <f t="shared" si="69"/>
        <v>0</v>
      </c>
      <c r="X125" s="177">
        <f t="shared" si="69"/>
        <v>0</v>
      </c>
      <c r="Y125" s="177">
        <f t="shared" si="69"/>
        <v>0</v>
      </c>
      <c r="Z125" s="177">
        <f t="shared" si="69"/>
        <v>0</v>
      </c>
      <c r="AA125" s="177">
        <f t="shared" si="69"/>
        <v>0</v>
      </c>
      <c r="AB125" s="177">
        <f t="shared" si="69"/>
        <v>0</v>
      </c>
      <c r="AC125" s="177">
        <f t="shared" si="69"/>
        <v>0</v>
      </c>
      <c r="AD125" s="177">
        <f t="shared" si="69"/>
        <v>0</v>
      </c>
      <c r="AE125" s="177">
        <f t="shared" si="69"/>
        <v>0</v>
      </c>
      <c r="AF125" s="177">
        <f t="shared" si="69"/>
        <v>0</v>
      </c>
      <c r="AG125" s="177">
        <f t="shared" si="69"/>
        <v>0</v>
      </c>
      <c r="AH125" s="177">
        <f t="shared" si="69"/>
        <v>0</v>
      </c>
      <c r="AI125" s="177">
        <f t="shared" si="69"/>
        <v>0</v>
      </c>
      <c r="AJ125" s="177">
        <f t="shared" si="69"/>
        <v>0</v>
      </c>
      <c r="AK125" s="177">
        <f t="shared" si="69"/>
        <v>0</v>
      </c>
      <c r="AL125" s="177">
        <f t="shared" si="69"/>
        <v>0</v>
      </c>
      <c r="AM125" s="177">
        <f t="shared" si="69"/>
        <v>0</v>
      </c>
      <c r="AN125" s="177">
        <f t="shared" si="69"/>
        <v>0</v>
      </c>
      <c r="AO125" s="177">
        <f t="shared" si="69"/>
        <v>0</v>
      </c>
      <c r="AP125" s="177">
        <f t="shared" si="69"/>
        <v>0</v>
      </c>
      <c r="AQ125" s="177">
        <f t="shared" si="69"/>
        <v>0</v>
      </c>
      <c r="AR125" s="177">
        <f t="shared" si="69"/>
        <v>0</v>
      </c>
      <c r="AS125" s="177">
        <f t="shared" si="69"/>
        <v>0</v>
      </c>
      <c r="AT125" s="177">
        <f t="shared" si="69"/>
        <v>0</v>
      </c>
      <c r="AU125" s="177">
        <f t="shared" si="69"/>
        <v>0</v>
      </c>
      <c r="AV125" s="177">
        <f t="shared" si="69"/>
        <v>0</v>
      </c>
      <c r="AW125" s="177">
        <f t="shared" si="69"/>
        <v>0</v>
      </c>
      <c r="AX125" s="177">
        <f t="shared" si="69"/>
        <v>0</v>
      </c>
      <c r="AY125" s="177">
        <f t="shared" si="69"/>
        <v>0</v>
      </c>
      <c r="AZ125" s="177">
        <f t="shared" si="69"/>
        <v>0</v>
      </c>
    </row>
    <row r="126" spans="1:52" x14ac:dyDescent="0.25">
      <c r="A126" s="25"/>
      <c r="B126" s="4"/>
      <c r="C126" s="4"/>
      <c r="D126" s="20" t="str">
        <f t="shared" si="66"/>
        <v>Light fuel oil</v>
      </c>
      <c r="E126" s="20" t="str">
        <f t="shared" si="67"/>
        <v>Real</v>
      </c>
      <c r="F126" s="20"/>
      <c r="G126" s="45"/>
      <c r="H126" s="177">
        <f t="shared" si="68"/>
        <v>0</v>
      </c>
      <c r="I126" s="177">
        <f t="shared" si="69"/>
        <v>0</v>
      </c>
      <c r="J126" s="177">
        <f t="shared" si="69"/>
        <v>0</v>
      </c>
      <c r="K126" s="177">
        <f t="shared" si="69"/>
        <v>0</v>
      </c>
      <c r="L126" s="177">
        <f t="shared" si="69"/>
        <v>0</v>
      </c>
      <c r="M126" s="177">
        <f t="shared" si="69"/>
        <v>0</v>
      </c>
      <c r="N126" s="177">
        <f t="shared" si="69"/>
        <v>0</v>
      </c>
      <c r="O126" s="177">
        <f t="shared" si="69"/>
        <v>0</v>
      </c>
      <c r="P126" s="177">
        <f t="shared" si="69"/>
        <v>0</v>
      </c>
      <c r="Q126" s="177">
        <f t="shared" si="69"/>
        <v>0</v>
      </c>
      <c r="R126" s="177">
        <f t="shared" si="69"/>
        <v>0</v>
      </c>
      <c r="S126" s="177">
        <f t="shared" si="69"/>
        <v>0</v>
      </c>
      <c r="T126" s="177">
        <f t="shared" si="69"/>
        <v>0</v>
      </c>
      <c r="U126" s="177">
        <f t="shared" si="69"/>
        <v>0</v>
      </c>
      <c r="V126" s="177">
        <f t="shared" si="69"/>
        <v>0</v>
      </c>
      <c r="W126" s="177">
        <f t="shared" si="69"/>
        <v>0</v>
      </c>
      <c r="X126" s="177">
        <f t="shared" si="69"/>
        <v>0</v>
      </c>
      <c r="Y126" s="177">
        <f t="shared" si="69"/>
        <v>0</v>
      </c>
      <c r="Z126" s="177">
        <f t="shared" si="69"/>
        <v>0</v>
      </c>
      <c r="AA126" s="177">
        <f t="shared" si="69"/>
        <v>0</v>
      </c>
      <c r="AB126" s="177">
        <f t="shared" si="69"/>
        <v>0</v>
      </c>
      <c r="AC126" s="177">
        <f t="shared" si="69"/>
        <v>0</v>
      </c>
      <c r="AD126" s="177">
        <f t="shared" si="69"/>
        <v>0</v>
      </c>
      <c r="AE126" s="177">
        <f t="shared" si="69"/>
        <v>0</v>
      </c>
      <c r="AF126" s="177">
        <f t="shared" si="69"/>
        <v>0</v>
      </c>
      <c r="AG126" s="177">
        <f t="shared" si="69"/>
        <v>0</v>
      </c>
      <c r="AH126" s="177">
        <f t="shared" si="69"/>
        <v>0</v>
      </c>
      <c r="AI126" s="177">
        <f t="shared" si="69"/>
        <v>0</v>
      </c>
      <c r="AJ126" s="177">
        <f t="shared" si="69"/>
        <v>0</v>
      </c>
      <c r="AK126" s="177">
        <f t="shared" si="69"/>
        <v>0</v>
      </c>
      <c r="AL126" s="177">
        <f t="shared" si="69"/>
        <v>0</v>
      </c>
      <c r="AM126" s="177">
        <f t="shared" si="69"/>
        <v>0</v>
      </c>
      <c r="AN126" s="177">
        <f t="shared" si="69"/>
        <v>0</v>
      </c>
      <c r="AO126" s="177">
        <f t="shared" si="69"/>
        <v>0</v>
      </c>
      <c r="AP126" s="177">
        <f t="shared" si="69"/>
        <v>0</v>
      </c>
      <c r="AQ126" s="177">
        <f t="shared" si="69"/>
        <v>0</v>
      </c>
      <c r="AR126" s="177">
        <f t="shared" si="69"/>
        <v>0</v>
      </c>
      <c r="AS126" s="177">
        <f t="shared" si="69"/>
        <v>0</v>
      </c>
      <c r="AT126" s="177">
        <f t="shared" si="69"/>
        <v>0</v>
      </c>
      <c r="AU126" s="177">
        <f t="shared" si="69"/>
        <v>0</v>
      </c>
      <c r="AV126" s="177">
        <f t="shared" si="69"/>
        <v>0</v>
      </c>
      <c r="AW126" s="177">
        <f t="shared" si="69"/>
        <v>0</v>
      </c>
      <c r="AX126" s="177">
        <f t="shared" si="69"/>
        <v>0</v>
      </c>
      <c r="AY126" s="177">
        <f t="shared" si="69"/>
        <v>0</v>
      </c>
      <c r="AZ126" s="177">
        <f t="shared" si="69"/>
        <v>0</v>
      </c>
    </row>
    <row r="127" spans="1:52" x14ac:dyDescent="0.25">
      <c r="A127" s="25"/>
      <c r="B127" s="4"/>
      <c r="C127" s="4"/>
      <c r="D127" s="20" t="str">
        <f t="shared" si="66"/>
        <v>Heavy fuel oil</v>
      </c>
      <c r="E127" s="20" t="str">
        <f t="shared" si="67"/>
        <v>Real</v>
      </c>
      <c r="F127" s="20"/>
      <c r="G127" s="45"/>
      <c r="H127" s="177">
        <f t="shared" si="68"/>
        <v>0</v>
      </c>
      <c r="I127" s="177">
        <f t="shared" si="69"/>
        <v>0</v>
      </c>
      <c r="J127" s="177">
        <f t="shared" si="69"/>
        <v>0</v>
      </c>
      <c r="K127" s="177">
        <f t="shared" si="69"/>
        <v>0</v>
      </c>
      <c r="L127" s="177">
        <f t="shared" si="69"/>
        <v>0</v>
      </c>
      <c r="M127" s="177">
        <f t="shared" si="69"/>
        <v>0</v>
      </c>
      <c r="N127" s="177">
        <f t="shared" si="69"/>
        <v>0</v>
      </c>
      <c r="O127" s="177">
        <f t="shared" si="69"/>
        <v>0</v>
      </c>
      <c r="P127" s="177">
        <f t="shared" si="69"/>
        <v>0</v>
      </c>
      <c r="Q127" s="177">
        <f t="shared" si="69"/>
        <v>0</v>
      </c>
      <c r="R127" s="177">
        <f t="shared" si="69"/>
        <v>0</v>
      </c>
      <c r="S127" s="177">
        <f t="shared" si="69"/>
        <v>0</v>
      </c>
      <c r="T127" s="177">
        <f t="shared" si="69"/>
        <v>0</v>
      </c>
      <c r="U127" s="177">
        <f t="shared" si="69"/>
        <v>0</v>
      </c>
      <c r="V127" s="177">
        <f t="shared" si="69"/>
        <v>0</v>
      </c>
      <c r="W127" s="177">
        <f t="shared" si="69"/>
        <v>0</v>
      </c>
      <c r="X127" s="177">
        <f t="shared" si="69"/>
        <v>0</v>
      </c>
      <c r="Y127" s="177">
        <f t="shared" si="69"/>
        <v>0</v>
      </c>
      <c r="Z127" s="177">
        <f t="shared" si="69"/>
        <v>0</v>
      </c>
      <c r="AA127" s="177">
        <f t="shared" si="69"/>
        <v>0</v>
      </c>
      <c r="AB127" s="177">
        <f t="shared" si="69"/>
        <v>0</v>
      </c>
      <c r="AC127" s="177">
        <f t="shared" si="69"/>
        <v>0</v>
      </c>
      <c r="AD127" s="177">
        <f t="shared" si="69"/>
        <v>0</v>
      </c>
      <c r="AE127" s="177">
        <f t="shared" si="69"/>
        <v>0</v>
      </c>
      <c r="AF127" s="177">
        <f t="shared" si="69"/>
        <v>0</v>
      </c>
      <c r="AG127" s="177">
        <f t="shared" si="69"/>
        <v>0</v>
      </c>
      <c r="AH127" s="177">
        <f t="shared" si="69"/>
        <v>0</v>
      </c>
      <c r="AI127" s="177">
        <f t="shared" si="69"/>
        <v>0</v>
      </c>
      <c r="AJ127" s="177">
        <f t="shared" si="69"/>
        <v>0</v>
      </c>
      <c r="AK127" s="177">
        <f t="shared" si="69"/>
        <v>0</v>
      </c>
      <c r="AL127" s="177">
        <f t="shared" si="69"/>
        <v>0</v>
      </c>
      <c r="AM127" s="177">
        <f t="shared" si="69"/>
        <v>0</v>
      </c>
      <c r="AN127" s="177">
        <f t="shared" si="69"/>
        <v>0</v>
      </c>
      <c r="AO127" s="177">
        <f t="shared" si="69"/>
        <v>0</v>
      </c>
      <c r="AP127" s="177">
        <f t="shared" si="69"/>
        <v>0</v>
      </c>
      <c r="AQ127" s="177">
        <f t="shared" si="69"/>
        <v>0</v>
      </c>
      <c r="AR127" s="177">
        <f t="shared" si="69"/>
        <v>0</v>
      </c>
      <c r="AS127" s="177">
        <f t="shared" si="69"/>
        <v>0</v>
      </c>
      <c r="AT127" s="177">
        <f t="shared" si="69"/>
        <v>0</v>
      </c>
      <c r="AU127" s="177">
        <f t="shared" si="69"/>
        <v>0</v>
      </c>
      <c r="AV127" s="177">
        <f t="shared" si="69"/>
        <v>0</v>
      </c>
      <c r="AW127" s="177">
        <f t="shared" si="69"/>
        <v>0</v>
      </c>
      <c r="AX127" s="177">
        <f t="shared" si="69"/>
        <v>0</v>
      </c>
      <c r="AY127" s="177">
        <f t="shared" si="69"/>
        <v>0</v>
      </c>
      <c r="AZ127" s="177">
        <f t="shared" si="69"/>
        <v>0</v>
      </c>
    </row>
    <row r="128" spans="1:52" x14ac:dyDescent="0.25">
      <c r="A128" s="25"/>
      <c r="B128" s="4"/>
      <c r="C128" s="4"/>
      <c r="D128" s="20" t="str">
        <f t="shared" si="66"/>
        <v>Geothermal</v>
      </c>
      <c r="E128" s="20" t="str">
        <f t="shared" si="67"/>
        <v>Real</v>
      </c>
      <c r="F128" s="20"/>
      <c r="G128" s="45"/>
      <c r="H128" s="177">
        <f t="shared" si="68"/>
        <v>0</v>
      </c>
      <c r="I128" s="177">
        <f t="shared" si="69"/>
        <v>0</v>
      </c>
      <c r="J128" s="177">
        <f t="shared" si="69"/>
        <v>0</v>
      </c>
      <c r="K128" s="177">
        <f t="shared" si="69"/>
        <v>0</v>
      </c>
      <c r="L128" s="177">
        <f t="shared" si="69"/>
        <v>0</v>
      </c>
      <c r="M128" s="177">
        <f t="shared" si="69"/>
        <v>0</v>
      </c>
      <c r="N128" s="177">
        <f t="shared" si="69"/>
        <v>0</v>
      </c>
      <c r="O128" s="177">
        <f t="shared" si="69"/>
        <v>0</v>
      </c>
      <c r="P128" s="177">
        <f t="shared" si="69"/>
        <v>0</v>
      </c>
      <c r="Q128" s="177">
        <f t="shared" si="69"/>
        <v>0</v>
      </c>
      <c r="R128" s="177">
        <f t="shared" si="69"/>
        <v>0</v>
      </c>
      <c r="S128" s="177">
        <f t="shared" si="69"/>
        <v>0</v>
      </c>
      <c r="T128" s="177">
        <f t="shared" si="69"/>
        <v>0</v>
      </c>
      <c r="U128" s="177">
        <f t="shared" si="69"/>
        <v>0</v>
      </c>
      <c r="V128" s="177">
        <f t="shared" si="69"/>
        <v>0</v>
      </c>
      <c r="W128" s="177">
        <f t="shared" si="69"/>
        <v>0</v>
      </c>
      <c r="X128" s="177">
        <f t="shared" si="69"/>
        <v>0</v>
      </c>
      <c r="Y128" s="177">
        <f t="shared" si="69"/>
        <v>0</v>
      </c>
      <c r="Z128" s="177">
        <f t="shared" si="69"/>
        <v>0</v>
      </c>
      <c r="AA128" s="177">
        <f t="shared" si="69"/>
        <v>0</v>
      </c>
      <c r="AB128" s="177">
        <f t="shared" si="69"/>
        <v>0</v>
      </c>
      <c r="AC128" s="177">
        <f t="shared" si="69"/>
        <v>0</v>
      </c>
      <c r="AD128" s="177">
        <f t="shared" si="69"/>
        <v>0</v>
      </c>
      <c r="AE128" s="177">
        <f t="shared" si="69"/>
        <v>0</v>
      </c>
      <c r="AF128" s="177">
        <f t="shared" si="69"/>
        <v>0</v>
      </c>
      <c r="AG128" s="177">
        <f t="shared" si="69"/>
        <v>0</v>
      </c>
      <c r="AH128" s="177">
        <f t="shared" si="69"/>
        <v>0</v>
      </c>
      <c r="AI128" s="177">
        <f t="shared" si="69"/>
        <v>0</v>
      </c>
      <c r="AJ128" s="177">
        <f t="shared" si="69"/>
        <v>0</v>
      </c>
      <c r="AK128" s="177">
        <f t="shared" si="69"/>
        <v>0</v>
      </c>
      <c r="AL128" s="177">
        <f t="shared" si="69"/>
        <v>0</v>
      </c>
      <c r="AM128" s="177">
        <f t="shared" si="69"/>
        <v>0</v>
      </c>
      <c r="AN128" s="177">
        <f t="shared" si="69"/>
        <v>0</v>
      </c>
      <c r="AO128" s="177">
        <f t="shared" si="69"/>
        <v>0</v>
      </c>
      <c r="AP128" s="177">
        <f t="shared" si="69"/>
        <v>0</v>
      </c>
      <c r="AQ128" s="177">
        <f t="shared" si="69"/>
        <v>0</v>
      </c>
      <c r="AR128" s="177">
        <f t="shared" si="69"/>
        <v>0</v>
      </c>
      <c r="AS128" s="177">
        <f t="shared" si="69"/>
        <v>0</v>
      </c>
      <c r="AT128" s="177">
        <f t="shared" si="69"/>
        <v>0</v>
      </c>
      <c r="AU128" s="177">
        <f t="shared" si="69"/>
        <v>0</v>
      </c>
      <c r="AV128" s="177">
        <f t="shared" si="69"/>
        <v>0</v>
      </c>
      <c r="AW128" s="177">
        <f t="shared" si="69"/>
        <v>0</v>
      </c>
      <c r="AX128" s="177">
        <f t="shared" si="69"/>
        <v>0</v>
      </c>
      <c r="AY128" s="177">
        <f t="shared" si="69"/>
        <v>0</v>
      </c>
      <c r="AZ128" s="177">
        <f t="shared" si="69"/>
        <v>0</v>
      </c>
    </row>
    <row r="129" spans="1:52" x14ac:dyDescent="0.25">
      <c r="A129" s="25"/>
      <c r="B129" s="4"/>
      <c r="C129" s="4"/>
      <c r="D129" s="62" t="str">
        <f t="shared" si="66"/>
        <v>Wood or wood chips</v>
      </c>
      <c r="E129" s="62" t="str">
        <f t="shared" si="67"/>
        <v>Real</v>
      </c>
      <c r="F129" s="62"/>
      <c r="G129" s="53"/>
      <c r="H129" s="178">
        <f t="shared" si="68"/>
        <v>0</v>
      </c>
      <c r="I129" s="178">
        <f t="shared" si="69"/>
        <v>0</v>
      </c>
      <c r="J129" s="178">
        <f t="shared" si="69"/>
        <v>0</v>
      </c>
      <c r="K129" s="178">
        <f t="shared" si="69"/>
        <v>0</v>
      </c>
      <c r="L129" s="178">
        <f t="shared" si="69"/>
        <v>0</v>
      </c>
      <c r="M129" s="178">
        <f t="shared" si="69"/>
        <v>0</v>
      </c>
      <c r="N129" s="178">
        <f t="shared" si="69"/>
        <v>0</v>
      </c>
      <c r="O129" s="178">
        <f t="shared" si="69"/>
        <v>0</v>
      </c>
      <c r="P129" s="178">
        <f t="shared" si="69"/>
        <v>0</v>
      </c>
      <c r="Q129" s="178">
        <f t="shared" si="69"/>
        <v>0</v>
      </c>
      <c r="R129" s="178">
        <f t="shared" si="69"/>
        <v>0</v>
      </c>
      <c r="S129" s="178">
        <f t="shared" si="69"/>
        <v>0</v>
      </c>
      <c r="T129" s="178">
        <f t="shared" si="69"/>
        <v>0</v>
      </c>
      <c r="U129" s="178">
        <f t="shared" si="69"/>
        <v>0</v>
      </c>
      <c r="V129" s="178">
        <f t="shared" si="69"/>
        <v>0</v>
      </c>
      <c r="W129" s="178">
        <f t="shared" si="69"/>
        <v>0</v>
      </c>
      <c r="X129" s="178">
        <f t="shared" si="69"/>
        <v>0</v>
      </c>
      <c r="Y129" s="178">
        <f t="shared" si="69"/>
        <v>0</v>
      </c>
      <c r="Z129" s="178">
        <f t="shared" si="69"/>
        <v>0</v>
      </c>
      <c r="AA129" s="178">
        <f t="shared" si="69"/>
        <v>0</v>
      </c>
      <c r="AB129" s="178">
        <f t="shared" si="69"/>
        <v>0</v>
      </c>
      <c r="AC129" s="178">
        <f t="shared" si="69"/>
        <v>0</v>
      </c>
      <c r="AD129" s="178">
        <f t="shared" si="69"/>
        <v>0</v>
      </c>
      <c r="AE129" s="178">
        <f t="shared" si="69"/>
        <v>0</v>
      </c>
      <c r="AF129" s="178">
        <f t="shared" si="69"/>
        <v>0</v>
      </c>
      <c r="AG129" s="178">
        <f t="shared" si="69"/>
        <v>0</v>
      </c>
      <c r="AH129" s="178">
        <f t="shared" si="69"/>
        <v>0</v>
      </c>
      <c r="AI129" s="178">
        <f t="shared" si="69"/>
        <v>0</v>
      </c>
      <c r="AJ129" s="178">
        <f t="shared" si="69"/>
        <v>0</v>
      </c>
      <c r="AK129" s="178">
        <f t="shared" si="69"/>
        <v>0</v>
      </c>
      <c r="AL129" s="178">
        <f t="shared" si="69"/>
        <v>0</v>
      </c>
      <c r="AM129" s="178">
        <f t="shared" si="69"/>
        <v>0</v>
      </c>
      <c r="AN129" s="178">
        <f t="shared" si="69"/>
        <v>0</v>
      </c>
      <c r="AO129" s="178">
        <f t="shared" si="69"/>
        <v>0</v>
      </c>
      <c r="AP129" s="178">
        <f t="shared" si="69"/>
        <v>0</v>
      </c>
      <c r="AQ129" s="178">
        <f t="shared" si="69"/>
        <v>0</v>
      </c>
      <c r="AR129" s="178">
        <f t="shared" si="69"/>
        <v>0</v>
      </c>
      <c r="AS129" s="178">
        <f t="shared" si="69"/>
        <v>0</v>
      </c>
      <c r="AT129" s="178">
        <f t="shared" si="69"/>
        <v>0</v>
      </c>
      <c r="AU129" s="178">
        <f t="shared" si="69"/>
        <v>0</v>
      </c>
      <c r="AV129" s="178">
        <f t="shared" si="69"/>
        <v>0</v>
      </c>
      <c r="AW129" s="178">
        <f t="shared" si="69"/>
        <v>0</v>
      </c>
      <c r="AX129" s="178">
        <f t="shared" si="69"/>
        <v>0</v>
      </c>
      <c r="AY129" s="178">
        <f t="shared" si="69"/>
        <v>0</v>
      </c>
      <c r="AZ129" s="178">
        <f t="shared" si="69"/>
        <v>0</v>
      </c>
    </row>
    <row r="130" spans="1:52" x14ac:dyDescent="0.25">
      <c r="A130" s="25"/>
      <c r="B130" s="4"/>
      <c r="C130" s="4"/>
      <c r="D130" s="20" t="str">
        <f ca="1">"Total  fuel opex in "&amp;Analysis_year&amp;" dollars"</f>
        <v>Total  fuel opex in 2025 dollars</v>
      </c>
      <c r="E130" s="20"/>
      <c r="F130" s="20"/>
      <c r="G130" s="20"/>
      <c r="H130" s="131">
        <f t="shared" ref="H130:AZ130" si="70">SUMIFS(H119:H129,$E$92:$E$102,"Real")+SUMIFS(H119:H129,$E$92:$E$102,"Nominal")*H$10</f>
        <v>730000</v>
      </c>
      <c r="I130" s="131">
        <f t="shared" si="70"/>
        <v>1252223.2000000002</v>
      </c>
      <c r="J130" s="131">
        <f t="shared" si="70"/>
        <v>1252223.2000000002</v>
      </c>
      <c r="K130" s="131">
        <f t="shared" si="70"/>
        <v>1252223.2000000002</v>
      </c>
      <c r="L130" s="131">
        <f t="shared" si="70"/>
        <v>1252223.2000000002</v>
      </c>
      <c r="M130" s="131">
        <f t="shared" si="70"/>
        <v>1252223.2000000002</v>
      </c>
      <c r="N130" s="131">
        <f t="shared" si="70"/>
        <v>1252223.2000000002</v>
      </c>
      <c r="O130" s="131">
        <f t="shared" si="70"/>
        <v>1252223.2000000002</v>
      </c>
      <c r="P130" s="131">
        <f t="shared" si="70"/>
        <v>1252223.2000000002</v>
      </c>
      <c r="Q130" s="131">
        <f t="shared" si="70"/>
        <v>1252223.2000000002</v>
      </c>
      <c r="R130" s="131">
        <f t="shared" si="70"/>
        <v>1252223.2000000002</v>
      </c>
      <c r="S130" s="131">
        <f t="shared" si="70"/>
        <v>1252223.2000000002</v>
      </c>
      <c r="T130" s="131">
        <f t="shared" si="70"/>
        <v>1252223.2000000002</v>
      </c>
      <c r="U130" s="131">
        <f t="shared" si="70"/>
        <v>1252223.2000000002</v>
      </c>
      <c r="V130" s="131">
        <f t="shared" si="70"/>
        <v>1252223.2000000002</v>
      </c>
      <c r="W130" s="131">
        <f t="shared" si="70"/>
        <v>1252223.2000000002</v>
      </c>
      <c r="X130" s="131">
        <f t="shared" si="70"/>
        <v>1252223.2000000002</v>
      </c>
      <c r="Y130" s="131">
        <f t="shared" si="70"/>
        <v>1252223.2000000002</v>
      </c>
      <c r="Z130" s="131">
        <f t="shared" si="70"/>
        <v>1252223.2000000002</v>
      </c>
      <c r="AA130" s="131">
        <f t="shared" si="70"/>
        <v>1252223.2000000002</v>
      </c>
      <c r="AB130" s="131">
        <f t="shared" si="70"/>
        <v>1252223.2000000002</v>
      </c>
      <c r="AC130" s="131">
        <f t="shared" si="70"/>
        <v>1252223.2000000002</v>
      </c>
      <c r="AD130" s="131">
        <f t="shared" si="70"/>
        <v>0</v>
      </c>
      <c r="AE130" s="131">
        <f t="shared" si="70"/>
        <v>0</v>
      </c>
      <c r="AF130" s="131">
        <f t="shared" si="70"/>
        <v>0</v>
      </c>
      <c r="AG130" s="131">
        <f t="shared" si="70"/>
        <v>0</v>
      </c>
      <c r="AH130" s="131">
        <f t="shared" si="70"/>
        <v>0</v>
      </c>
      <c r="AI130" s="131">
        <f t="shared" si="70"/>
        <v>0</v>
      </c>
      <c r="AJ130" s="131">
        <f t="shared" si="70"/>
        <v>0</v>
      </c>
      <c r="AK130" s="131">
        <f t="shared" si="70"/>
        <v>0</v>
      </c>
      <c r="AL130" s="131">
        <f t="shared" si="70"/>
        <v>0</v>
      </c>
      <c r="AM130" s="131">
        <f t="shared" si="70"/>
        <v>0</v>
      </c>
      <c r="AN130" s="131">
        <f t="shared" si="70"/>
        <v>0</v>
      </c>
      <c r="AO130" s="131">
        <f t="shared" si="70"/>
        <v>0</v>
      </c>
      <c r="AP130" s="131">
        <f t="shared" si="70"/>
        <v>0</v>
      </c>
      <c r="AQ130" s="131">
        <f t="shared" si="70"/>
        <v>0</v>
      </c>
      <c r="AR130" s="131">
        <f t="shared" si="70"/>
        <v>0</v>
      </c>
      <c r="AS130" s="131">
        <f t="shared" si="70"/>
        <v>0</v>
      </c>
      <c r="AT130" s="131">
        <f t="shared" si="70"/>
        <v>0</v>
      </c>
      <c r="AU130" s="131">
        <f t="shared" si="70"/>
        <v>0</v>
      </c>
      <c r="AV130" s="131">
        <f t="shared" si="70"/>
        <v>0</v>
      </c>
      <c r="AW130" s="131">
        <f t="shared" si="70"/>
        <v>0</v>
      </c>
      <c r="AX130" s="131">
        <f t="shared" si="70"/>
        <v>0</v>
      </c>
      <c r="AY130" s="131">
        <f t="shared" si="70"/>
        <v>0</v>
      </c>
      <c r="AZ130" s="131">
        <f t="shared" si="70"/>
        <v>0</v>
      </c>
    </row>
    <row r="131" spans="1:52" x14ac:dyDescent="0.25">
      <c r="A131" s="25"/>
      <c r="B131" s="20"/>
      <c r="C131" s="20"/>
      <c r="D131" s="20" t="s">
        <v>127</v>
      </c>
      <c r="E131" s="20"/>
      <c r="F131" s="20"/>
      <c r="G131" s="20"/>
      <c r="H131" s="131">
        <f t="shared" ref="H131:AZ131" si="71">SUMIFS(H119:H129,$E$92:$E$102,"Real")*H9+SUMIFS(H119:H129,$E$92:$E$102,"Nominal")</f>
        <v>745410.29999999993</v>
      </c>
      <c r="I131" s="131">
        <f t="shared" si="71"/>
        <v>1304358.6501502153</v>
      </c>
      <c r="J131" s="131">
        <f t="shared" si="71"/>
        <v>1330576.2590182347</v>
      </c>
      <c r="K131" s="131">
        <f t="shared" si="71"/>
        <v>1357320.8418245011</v>
      </c>
      <c r="L131" s="131">
        <f t="shared" si="71"/>
        <v>1384602.9907451738</v>
      </c>
      <c r="M131" s="131">
        <f t="shared" si="71"/>
        <v>1412433.5108591518</v>
      </c>
      <c r="N131" s="131">
        <f t="shared" si="71"/>
        <v>1440823.4244274206</v>
      </c>
      <c r="O131" s="131">
        <f t="shared" si="71"/>
        <v>1469783.9752584118</v>
      </c>
      <c r="P131" s="131">
        <f t="shared" si="71"/>
        <v>1499326.6331611059</v>
      </c>
      <c r="Q131" s="131">
        <f t="shared" si="71"/>
        <v>1529463.0984876442</v>
      </c>
      <c r="R131" s="131">
        <f t="shared" si="71"/>
        <v>1560205.306767246</v>
      </c>
      <c r="S131" s="131">
        <f t="shared" si="71"/>
        <v>1591565.4334332675</v>
      </c>
      <c r="T131" s="131">
        <f t="shared" si="71"/>
        <v>1623555.8986452762</v>
      </c>
      <c r="U131" s="131">
        <f t="shared" si="71"/>
        <v>1656189.3722080463</v>
      </c>
      <c r="V131" s="131">
        <f t="shared" si="71"/>
        <v>1689478.7785894279</v>
      </c>
      <c r="W131" s="131">
        <f t="shared" si="71"/>
        <v>1723437.3020390754</v>
      </c>
      <c r="X131" s="131">
        <f t="shared" si="71"/>
        <v>1758078.3918100607</v>
      </c>
      <c r="Y131" s="131">
        <f t="shared" si="71"/>
        <v>1793415.767485443</v>
      </c>
      <c r="Z131" s="131">
        <f t="shared" si="71"/>
        <v>1829463.4244119006</v>
      </c>
      <c r="AA131" s="131">
        <f t="shared" si="71"/>
        <v>1866235.6392425797</v>
      </c>
      <c r="AB131" s="131">
        <f t="shared" si="71"/>
        <v>1903746.9755913555</v>
      </c>
      <c r="AC131" s="131">
        <f t="shared" si="71"/>
        <v>1942012.2898007417</v>
      </c>
      <c r="AD131" s="131">
        <f t="shared" si="71"/>
        <v>0</v>
      </c>
      <c r="AE131" s="131">
        <f t="shared" si="71"/>
        <v>0</v>
      </c>
      <c r="AF131" s="131">
        <f t="shared" si="71"/>
        <v>0</v>
      </c>
      <c r="AG131" s="131">
        <f t="shared" si="71"/>
        <v>0</v>
      </c>
      <c r="AH131" s="131">
        <f t="shared" si="71"/>
        <v>0</v>
      </c>
      <c r="AI131" s="131">
        <f t="shared" si="71"/>
        <v>0</v>
      </c>
      <c r="AJ131" s="131">
        <f t="shared" si="71"/>
        <v>0</v>
      </c>
      <c r="AK131" s="131">
        <f t="shared" si="71"/>
        <v>0</v>
      </c>
      <c r="AL131" s="131">
        <f t="shared" si="71"/>
        <v>0</v>
      </c>
      <c r="AM131" s="131">
        <f t="shared" si="71"/>
        <v>0</v>
      </c>
      <c r="AN131" s="131">
        <f t="shared" si="71"/>
        <v>0</v>
      </c>
      <c r="AO131" s="131">
        <f t="shared" si="71"/>
        <v>0</v>
      </c>
      <c r="AP131" s="131">
        <f t="shared" si="71"/>
        <v>0</v>
      </c>
      <c r="AQ131" s="131">
        <f t="shared" si="71"/>
        <v>0</v>
      </c>
      <c r="AR131" s="131">
        <f t="shared" si="71"/>
        <v>0</v>
      </c>
      <c r="AS131" s="131">
        <f t="shared" si="71"/>
        <v>0</v>
      </c>
      <c r="AT131" s="131">
        <f t="shared" si="71"/>
        <v>0</v>
      </c>
      <c r="AU131" s="131">
        <f t="shared" si="71"/>
        <v>0</v>
      </c>
      <c r="AV131" s="131">
        <f t="shared" si="71"/>
        <v>0</v>
      </c>
      <c r="AW131" s="131">
        <f t="shared" si="71"/>
        <v>0</v>
      </c>
      <c r="AX131" s="131">
        <f t="shared" si="71"/>
        <v>0</v>
      </c>
      <c r="AY131" s="131">
        <f t="shared" si="71"/>
        <v>0</v>
      </c>
      <c r="AZ131" s="131">
        <f t="shared" si="71"/>
        <v>0</v>
      </c>
    </row>
    <row r="132" spans="1:52" x14ac:dyDescent="0.25">
      <c r="A132" s="25"/>
      <c r="B132" s="4"/>
      <c r="C132" s="4"/>
      <c r="D132" s="4"/>
      <c r="E132" s="4"/>
      <c r="F132" s="4"/>
      <c r="G132" s="4"/>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row>
    <row r="133" spans="1:52" x14ac:dyDescent="0.25">
      <c r="A133" s="50" t="s">
        <v>61</v>
      </c>
      <c r="B133" s="49"/>
      <c r="C133" s="49"/>
      <c r="D133" s="54" t="s">
        <v>75</v>
      </c>
      <c r="E133" s="149" t="s">
        <v>48</v>
      </c>
      <c r="F133" s="149"/>
      <c r="G133" s="51" t="s">
        <v>52</v>
      </c>
      <c r="H133" s="54">
        <f>Start_Yr</f>
        <v>2026</v>
      </c>
      <c r="I133" s="54">
        <f>H133+1</f>
        <v>2027</v>
      </c>
      <c r="J133" s="54">
        <f t="shared" ref="J133:AZ133" si="72">I133+1</f>
        <v>2028</v>
      </c>
      <c r="K133" s="54">
        <f t="shared" si="72"/>
        <v>2029</v>
      </c>
      <c r="L133" s="54">
        <f t="shared" si="72"/>
        <v>2030</v>
      </c>
      <c r="M133" s="54">
        <f t="shared" si="72"/>
        <v>2031</v>
      </c>
      <c r="N133" s="54">
        <f t="shared" si="72"/>
        <v>2032</v>
      </c>
      <c r="O133" s="54">
        <f t="shared" si="72"/>
        <v>2033</v>
      </c>
      <c r="P133" s="54">
        <f t="shared" si="72"/>
        <v>2034</v>
      </c>
      <c r="Q133" s="54">
        <f t="shared" si="72"/>
        <v>2035</v>
      </c>
      <c r="R133" s="54">
        <f t="shared" si="72"/>
        <v>2036</v>
      </c>
      <c r="S133" s="54">
        <f t="shared" si="72"/>
        <v>2037</v>
      </c>
      <c r="T133" s="54">
        <f t="shared" si="72"/>
        <v>2038</v>
      </c>
      <c r="U133" s="54">
        <f t="shared" si="72"/>
        <v>2039</v>
      </c>
      <c r="V133" s="54">
        <f t="shared" si="72"/>
        <v>2040</v>
      </c>
      <c r="W133" s="54">
        <f t="shared" si="72"/>
        <v>2041</v>
      </c>
      <c r="X133" s="54">
        <f t="shared" si="72"/>
        <v>2042</v>
      </c>
      <c r="Y133" s="54">
        <f t="shared" si="72"/>
        <v>2043</v>
      </c>
      <c r="Z133" s="54">
        <f t="shared" si="72"/>
        <v>2044</v>
      </c>
      <c r="AA133" s="54">
        <f t="shared" si="72"/>
        <v>2045</v>
      </c>
      <c r="AB133" s="54">
        <f t="shared" si="72"/>
        <v>2046</v>
      </c>
      <c r="AC133" s="54">
        <f t="shared" si="72"/>
        <v>2047</v>
      </c>
      <c r="AD133" s="54">
        <f t="shared" si="72"/>
        <v>2048</v>
      </c>
      <c r="AE133" s="54">
        <f t="shared" si="72"/>
        <v>2049</v>
      </c>
      <c r="AF133" s="54">
        <f t="shared" si="72"/>
        <v>2050</v>
      </c>
      <c r="AG133" s="54">
        <f t="shared" si="72"/>
        <v>2051</v>
      </c>
      <c r="AH133" s="54">
        <f t="shared" si="72"/>
        <v>2052</v>
      </c>
      <c r="AI133" s="54">
        <f t="shared" si="72"/>
        <v>2053</v>
      </c>
      <c r="AJ133" s="54">
        <f t="shared" si="72"/>
        <v>2054</v>
      </c>
      <c r="AK133" s="54">
        <f t="shared" si="72"/>
        <v>2055</v>
      </c>
      <c r="AL133" s="54">
        <f t="shared" si="72"/>
        <v>2056</v>
      </c>
      <c r="AM133" s="54">
        <f t="shared" si="72"/>
        <v>2057</v>
      </c>
      <c r="AN133" s="54">
        <f t="shared" si="72"/>
        <v>2058</v>
      </c>
      <c r="AO133" s="54">
        <f t="shared" si="72"/>
        <v>2059</v>
      </c>
      <c r="AP133" s="54">
        <f t="shared" si="72"/>
        <v>2060</v>
      </c>
      <c r="AQ133" s="54">
        <f t="shared" si="72"/>
        <v>2061</v>
      </c>
      <c r="AR133" s="54">
        <f t="shared" si="72"/>
        <v>2062</v>
      </c>
      <c r="AS133" s="54">
        <f t="shared" si="72"/>
        <v>2063</v>
      </c>
      <c r="AT133" s="54">
        <f t="shared" si="72"/>
        <v>2064</v>
      </c>
      <c r="AU133" s="54">
        <f t="shared" si="72"/>
        <v>2065</v>
      </c>
      <c r="AV133" s="54">
        <f t="shared" si="72"/>
        <v>2066</v>
      </c>
      <c r="AW133" s="54">
        <f t="shared" si="72"/>
        <v>2067</v>
      </c>
      <c r="AX133" s="54">
        <f t="shared" si="72"/>
        <v>2068</v>
      </c>
      <c r="AY133" s="54">
        <f t="shared" si="72"/>
        <v>2069</v>
      </c>
      <c r="AZ133" s="54">
        <f t="shared" si="72"/>
        <v>2070</v>
      </c>
    </row>
    <row r="134" spans="1:52" x14ac:dyDescent="0.25">
      <c r="A134" s="25" t="str">
        <f>"Please provide data through to "&amp;FinalYear_BC</f>
        <v>Please provide data through to 2047</v>
      </c>
      <c r="B134" s="4"/>
      <c r="C134" s="4"/>
      <c r="D134" s="9" t="str">
        <f>B105</f>
        <v>Electricity</v>
      </c>
      <c r="E134" s="9" t="str">
        <f>E105</f>
        <v>Real</v>
      </c>
      <c r="F134" s="9"/>
      <c r="G134" s="56"/>
      <c r="H134" s="180">
        <f>H78*H105</f>
        <v>30000</v>
      </c>
      <c r="I134" s="180">
        <f t="shared" ref="I134:AZ134" si="73">I78*I105</f>
        <v>30000</v>
      </c>
      <c r="J134" s="180">
        <f t="shared" si="73"/>
        <v>30000</v>
      </c>
      <c r="K134" s="180">
        <f t="shared" si="73"/>
        <v>30000</v>
      </c>
      <c r="L134" s="180">
        <f t="shared" si="73"/>
        <v>30000</v>
      </c>
      <c r="M134" s="180">
        <f t="shared" si="73"/>
        <v>30000</v>
      </c>
      <c r="N134" s="180">
        <f t="shared" si="73"/>
        <v>30000</v>
      </c>
      <c r="O134" s="180">
        <f t="shared" si="73"/>
        <v>30000</v>
      </c>
      <c r="P134" s="180">
        <f t="shared" si="73"/>
        <v>30000</v>
      </c>
      <c r="Q134" s="180">
        <f t="shared" si="73"/>
        <v>30000</v>
      </c>
      <c r="R134" s="180">
        <f t="shared" si="73"/>
        <v>30000</v>
      </c>
      <c r="S134" s="180">
        <f t="shared" si="73"/>
        <v>30000</v>
      </c>
      <c r="T134" s="180">
        <f t="shared" si="73"/>
        <v>30000</v>
      </c>
      <c r="U134" s="180">
        <f t="shared" si="73"/>
        <v>30000</v>
      </c>
      <c r="V134" s="180">
        <f t="shared" si="73"/>
        <v>30000</v>
      </c>
      <c r="W134" s="180">
        <f t="shared" si="73"/>
        <v>30000</v>
      </c>
      <c r="X134" s="180">
        <f t="shared" si="73"/>
        <v>30000</v>
      </c>
      <c r="Y134" s="180">
        <f t="shared" si="73"/>
        <v>30000</v>
      </c>
      <c r="Z134" s="180">
        <f t="shared" si="73"/>
        <v>30000</v>
      </c>
      <c r="AA134" s="180">
        <f t="shared" si="73"/>
        <v>30000</v>
      </c>
      <c r="AB134" s="180">
        <f t="shared" si="73"/>
        <v>30000</v>
      </c>
      <c r="AC134" s="180">
        <f t="shared" si="73"/>
        <v>30000</v>
      </c>
      <c r="AD134" s="180">
        <f t="shared" si="73"/>
        <v>0</v>
      </c>
      <c r="AE134" s="180">
        <f t="shared" si="73"/>
        <v>0</v>
      </c>
      <c r="AF134" s="180">
        <f t="shared" si="73"/>
        <v>0</v>
      </c>
      <c r="AG134" s="180">
        <f t="shared" si="73"/>
        <v>0</v>
      </c>
      <c r="AH134" s="180">
        <f t="shared" si="73"/>
        <v>0</v>
      </c>
      <c r="AI134" s="180">
        <f t="shared" si="73"/>
        <v>0</v>
      </c>
      <c r="AJ134" s="180">
        <f t="shared" si="73"/>
        <v>0</v>
      </c>
      <c r="AK134" s="180">
        <f t="shared" si="73"/>
        <v>0</v>
      </c>
      <c r="AL134" s="180">
        <f t="shared" si="73"/>
        <v>0</v>
      </c>
      <c r="AM134" s="180">
        <f t="shared" si="73"/>
        <v>0</v>
      </c>
      <c r="AN134" s="180">
        <f t="shared" si="73"/>
        <v>0</v>
      </c>
      <c r="AO134" s="180">
        <f t="shared" si="73"/>
        <v>0</v>
      </c>
      <c r="AP134" s="180">
        <f t="shared" si="73"/>
        <v>0</v>
      </c>
      <c r="AQ134" s="180">
        <f t="shared" si="73"/>
        <v>0</v>
      </c>
      <c r="AR134" s="180">
        <f t="shared" si="73"/>
        <v>0</v>
      </c>
      <c r="AS134" s="180">
        <f t="shared" si="73"/>
        <v>0</v>
      </c>
      <c r="AT134" s="180">
        <f t="shared" si="73"/>
        <v>0</v>
      </c>
      <c r="AU134" s="180">
        <f t="shared" si="73"/>
        <v>0</v>
      </c>
      <c r="AV134" s="180">
        <f t="shared" si="73"/>
        <v>0</v>
      </c>
      <c r="AW134" s="180">
        <f t="shared" si="73"/>
        <v>0</v>
      </c>
      <c r="AX134" s="180">
        <f t="shared" si="73"/>
        <v>0</v>
      </c>
      <c r="AY134" s="180">
        <f t="shared" si="73"/>
        <v>0</v>
      </c>
      <c r="AZ134" s="180">
        <f t="shared" si="73"/>
        <v>0</v>
      </c>
    </row>
    <row r="135" spans="1:52" x14ac:dyDescent="0.25">
      <c r="A135" s="25"/>
      <c r="B135" s="4"/>
      <c r="C135" s="4"/>
      <c r="D135" s="9" t="str">
        <f t="shared" ref="D135:D144" si="74">B106</f>
        <v>Natural Gas</v>
      </c>
      <c r="E135" s="9" t="str">
        <f t="shared" ref="E135:E144" si="75">E106</f>
        <v>Real</v>
      </c>
      <c r="F135" s="9"/>
      <c r="G135" s="56"/>
      <c r="H135" s="180">
        <f>H79*H106</f>
        <v>700000</v>
      </c>
      <c r="I135" s="180">
        <f t="shared" ref="I135:AZ141" si="76">I79*I106</f>
        <v>700000</v>
      </c>
      <c r="J135" s="180">
        <f t="shared" si="76"/>
        <v>700000</v>
      </c>
      <c r="K135" s="180">
        <f t="shared" si="76"/>
        <v>700000</v>
      </c>
      <c r="L135" s="180">
        <f t="shared" si="76"/>
        <v>700000</v>
      </c>
      <c r="M135" s="180">
        <f t="shared" si="76"/>
        <v>700000</v>
      </c>
      <c r="N135" s="180">
        <f t="shared" si="76"/>
        <v>700000</v>
      </c>
      <c r="O135" s="180">
        <f t="shared" si="76"/>
        <v>700000</v>
      </c>
      <c r="P135" s="180">
        <f t="shared" si="76"/>
        <v>700000</v>
      </c>
      <c r="Q135" s="180">
        <f t="shared" si="76"/>
        <v>700000</v>
      </c>
      <c r="R135" s="180">
        <f t="shared" si="76"/>
        <v>700000</v>
      </c>
      <c r="S135" s="180">
        <f t="shared" si="76"/>
        <v>700000</v>
      </c>
      <c r="T135" s="180">
        <f t="shared" si="76"/>
        <v>700000</v>
      </c>
      <c r="U135" s="180">
        <f t="shared" si="76"/>
        <v>700000</v>
      </c>
      <c r="V135" s="180">
        <f t="shared" si="76"/>
        <v>700000</v>
      </c>
      <c r="W135" s="180">
        <f t="shared" si="76"/>
        <v>700000</v>
      </c>
      <c r="X135" s="180">
        <f t="shared" si="76"/>
        <v>700000</v>
      </c>
      <c r="Y135" s="180">
        <f t="shared" si="76"/>
        <v>700000</v>
      </c>
      <c r="Z135" s="180">
        <f t="shared" si="76"/>
        <v>700000</v>
      </c>
      <c r="AA135" s="180">
        <f t="shared" si="76"/>
        <v>700000</v>
      </c>
      <c r="AB135" s="180">
        <f t="shared" si="76"/>
        <v>700000</v>
      </c>
      <c r="AC135" s="180">
        <f t="shared" si="76"/>
        <v>700000</v>
      </c>
      <c r="AD135" s="180">
        <f t="shared" si="76"/>
        <v>0</v>
      </c>
      <c r="AE135" s="180">
        <f t="shared" si="76"/>
        <v>0</v>
      </c>
      <c r="AF135" s="180">
        <f t="shared" si="76"/>
        <v>0</v>
      </c>
      <c r="AG135" s="180">
        <f t="shared" si="76"/>
        <v>0</v>
      </c>
      <c r="AH135" s="180">
        <f t="shared" si="76"/>
        <v>0</v>
      </c>
      <c r="AI135" s="180">
        <f t="shared" si="76"/>
        <v>0</v>
      </c>
      <c r="AJ135" s="180">
        <f t="shared" si="76"/>
        <v>0</v>
      </c>
      <c r="AK135" s="180">
        <f t="shared" si="76"/>
        <v>0</v>
      </c>
      <c r="AL135" s="180">
        <f t="shared" si="76"/>
        <v>0</v>
      </c>
      <c r="AM135" s="180">
        <f t="shared" si="76"/>
        <v>0</v>
      </c>
      <c r="AN135" s="180">
        <f t="shared" si="76"/>
        <v>0</v>
      </c>
      <c r="AO135" s="180">
        <f t="shared" si="76"/>
        <v>0</v>
      </c>
      <c r="AP135" s="180">
        <f t="shared" si="76"/>
        <v>0</v>
      </c>
      <c r="AQ135" s="180">
        <f t="shared" si="76"/>
        <v>0</v>
      </c>
      <c r="AR135" s="180">
        <f t="shared" si="76"/>
        <v>0</v>
      </c>
      <c r="AS135" s="180">
        <f t="shared" si="76"/>
        <v>0</v>
      </c>
      <c r="AT135" s="180">
        <f t="shared" si="76"/>
        <v>0</v>
      </c>
      <c r="AU135" s="180">
        <f t="shared" si="76"/>
        <v>0</v>
      </c>
      <c r="AV135" s="180">
        <f t="shared" si="76"/>
        <v>0</v>
      </c>
      <c r="AW135" s="180">
        <f t="shared" si="76"/>
        <v>0</v>
      </c>
      <c r="AX135" s="180">
        <f t="shared" si="76"/>
        <v>0</v>
      </c>
      <c r="AY135" s="180">
        <f t="shared" si="76"/>
        <v>0</v>
      </c>
      <c r="AZ135" s="180">
        <f t="shared" si="76"/>
        <v>0</v>
      </c>
    </row>
    <row r="136" spans="1:52" x14ac:dyDescent="0.25">
      <c r="A136" s="25"/>
      <c r="B136" s="4"/>
      <c r="C136" s="4"/>
      <c r="D136" s="9" t="str">
        <f t="shared" si="74"/>
        <v>Coal - sub bituminous</v>
      </c>
      <c r="E136" s="9" t="str">
        <f t="shared" si="75"/>
        <v>Real</v>
      </c>
      <c r="F136" s="9"/>
      <c r="G136" s="56"/>
      <c r="H136" s="180">
        <f t="shared" ref="H136:W144" si="77">H80*H107</f>
        <v>0</v>
      </c>
      <c r="I136" s="180">
        <f t="shared" si="77"/>
        <v>0</v>
      </c>
      <c r="J136" s="180">
        <f t="shared" si="77"/>
        <v>0</v>
      </c>
      <c r="K136" s="180">
        <f t="shared" si="77"/>
        <v>0</v>
      </c>
      <c r="L136" s="180">
        <f t="shared" si="77"/>
        <v>0</v>
      </c>
      <c r="M136" s="180">
        <f t="shared" si="77"/>
        <v>0</v>
      </c>
      <c r="N136" s="180">
        <f t="shared" si="77"/>
        <v>0</v>
      </c>
      <c r="O136" s="180">
        <f t="shared" si="77"/>
        <v>0</v>
      </c>
      <c r="P136" s="180">
        <f t="shared" si="77"/>
        <v>0</v>
      </c>
      <c r="Q136" s="180">
        <f t="shared" si="77"/>
        <v>0</v>
      </c>
      <c r="R136" s="180">
        <f t="shared" si="77"/>
        <v>0</v>
      </c>
      <c r="S136" s="180">
        <f t="shared" si="77"/>
        <v>0</v>
      </c>
      <c r="T136" s="180">
        <f t="shared" si="77"/>
        <v>0</v>
      </c>
      <c r="U136" s="180">
        <f t="shared" si="77"/>
        <v>0</v>
      </c>
      <c r="V136" s="180">
        <f t="shared" si="77"/>
        <v>0</v>
      </c>
      <c r="W136" s="180">
        <f t="shared" si="77"/>
        <v>0</v>
      </c>
      <c r="X136" s="180">
        <f t="shared" si="76"/>
        <v>0</v>
      </c>
      <c r="Y136" s="180">
        <f t="shared" si="76"/>
        <v>0</v>
      </c>
      <c r="Z136" s="180">
        <f t="shared" si="76"/>
        <v>0</v>
      </c>
      <c r="AA136" s="180">
        <f t="shared" si="76"/>
        <v>0</v>
      </c>
      <c r="AB136" s="180">
        <f t="shared" si="76"/>
        <v>0</v>
      </c>
      <c r="AC136" s="180">
        <f t="shared" si="76"/>
        <v>0</v>
      </c>
      <c r="AD136" s="180">
        <f t="shared" si="76"/>
        <v>0</v>
      </c>
      <c r="AE136" s="180">
        <f t="shared" si="76"/>
        <v>0</v>
      </c>
      <c r="AF136" s="180">
        <f t="shared" si="76"/>
        <v>0</v>
      </c>
      <c r="AG136" s="180">
        <f t="shared" si="76"/>
        <v>0</v>
      </c>
      <c r="AH136" s="180">
        <f t="shared" si="76"/>
        <v>0</v>
      </c>
      <c r="AI136" s="180">
        <f t="shared" si="76"/>
        <v>0</v>
      </c>
      <c r="AJ136" s="180">
        <f t="shared" si="76"/>
        <v>0</v>
      </c>
      <c r="AK136" s="180">
        <f t="shared" si="76"/>
        <v>0</v>
      </c>
      <c r="AL136" s="180">
        <f t="shared" si="76"/>
        <v>0</v>
      </c>
      <c r="AM136" s="180">
        <f t="shared" si="76"/>
        <v>0</v>
      </c>
      <c r="AN136" s="180">
        <f t="shared" si="76"/>
        <v>0</v>
      </c>
      <c r="AO136" s="180">
        <f t="shared" si="76"/>
        <v>0</v>
      </c>
      <c r="AP136" s="180">
        <f t="shared" si="76"/>
        <v>0</v>
      </c>
      <c r="AQ136" s="180">
        <f t="shared" si="76"/>
        <v>0</v>
      </c>
      <c r="AR136" s="180">
        <f t="shared" si="76"/>
        <v>0</v>
      </c>
      <c r="AS136" s="180">
        <f t="shared" si="76"/>
        <v>0</v>
      </c>
      <c r="AT136" s="180">
        <f t="shared" si="76"/>
        <v>0</v>
      </c>
      <c r="AU136" s="180">
        <f t="shared" si="76"/>
        <v>0</v>
      </c>
      <c r="AV136" s="180">
        <f t="shared" si="76"/>
        <v>0</v>
      </c>
      <c r="AW136" s="180">
        <f t="shared" si="76"/>
        <v>0</v>
      </c>
      <c r="AX136" s="180">
        <f t="shared" si="76"/>
        <v>0</v>
      </c>
      <c r="AY136" s="180">
        <f t="shared" si="76"/>
        <v>0</v>
      </c>
      <c r="AZ136" s="180">
        <f t="shared" si="76"/>
        <v>0</v>
      </c>
    </row>
    <row r="137" spans="1:52" x14ac:dyDescent="0.25">
      <c r="A137" s="25"/>
      <c r="B137" s="4"/>
      <c r="C137" s="4"/>
      <c r="D137" s="9" t="str">
        <f t="shared" si="74"/>
        <v>Coal - bituminous</v>
      </c>
      <c r="E137" s="9" t="str">
        <f t="shared" si="75"/>
        <v>Real</v>
      </c>
      <c r="F137" s="9"/>
      <c r="G137" s="56"/>
      <c r="H137" s="180">
        <f t="shared" si="77"/>
        <v>0</v>
      </c>
      <c r="I137" s="180">
        <f t="shared" si="76"/>
        <v>0</v>
      </c>
      <c r="J137" s="180">
        <f t="shared" si="76"/>
        <v>0</v>
      </c>
      <c r="K137" s="180">
        <f t="shared" si="76"/>
        <v>0</v>
      </c>
      <c r="L137" s="180">
        <f t="shared" si="76"/>
        <v>0</v>
      </c>
      <c r="M137" s="180">
        <f t="shared" si="76"/>
        <v>0</v>
      </c>
      <c r="N137" s="180">
        <f t="shared" si="76"/>
        <v>0</v>
      </c>
      <c r="O137" s="180">
        <f t="shared" si="76"/>
        <v>0</v>
      </c>
      <c r="P137" s="180">
        <f t="shared" si="76"/>
        <v>0</v>
      </c>
      <c r="Q137" s="180">
        <f t="shared" si="76"/>
        <v>0</v>
      </c>
      <c r="R137" s="180">
        <f t="shared" si="76"/>
        <v>0</v>
      </c>
      <c r="S137" s="180">
        <f t="shared" si="76"/>
        <v>0</v>
      </c>
      <c r="T137" s="180">
        <f t="shared" si="76"/>
        <v>0</v>
      </c>
      <c r="U137" s="180">
        <f t="shared" si="76"/>
        <v>0</v>
      </c>
      <c r="V137" s="180">
        <f t="shared" si="76"/>
        <v>0</v>
      </c>
      <c r="W137" s="180">
        <f t="shared" si="76"/>
        <v>0</v>
      </c>
      <c r="X137" s="180">
        <f t="shared" si="76"/>
        <v>0</v>
      </c>
      <c r="Y137" s="180">
        <f t="shared" si="76"/>
        <v>0</v>
      </c>
      <c r="Z137" s="180">
        <f t="shared" si="76"/>
        <v>0</v>
      </c>
      <c r="AA137" s="180">
        <f t="shared" si="76"/>
        <v>0</v>
      </c>
      <c r="AB137" s="180">
        <f t="shared" si="76"/>
        <v>0</v>
      </c>
      <c r="AC137" s="180">
        <f t="shared" si="76"/>
        <v>0</v>
      </c>
      <c r="AD137" s="180">
        <f t="shared" si="76"/>
        <v>0</v>
      </c>
      <c r="AE137" s="180">
        <f t="shared" si="76"/>
        <v>0</v>
      </c>
      <c r="AF137" s="180">
        <f t="shared" si="76"/>
        <v>0</v>
      </c>
      <c r="AG137" s="180">
        <f t="shared" si="76"/>
        <v>0</v>
      </c>
      <c r="AH137" s="180">
        <f t="shared" si="76"/>
        <v>0</v>
      </c>
      <c r="AI137" s="180">
        <f t="shared" si="76"/>
        <v>0</v>
      </c>
      <c r="AJ137" s="180">
        <f t="shared" si="76"/>
        <v>0</v>
      </c>
      <c r="AK137" s="180">
        <f t="shared" si="76"/>
        <v>0</v>
      </c>
      <c r="AL137" s="180">
        <f t="shared" si="76"/>
        <v>0</v>
      </c>
      <c r="AM137" s="180">
        <f t="shared" si="76"/>
        <v>0</v>
      </c>
      <c r="AN137" s="180">
        <f t="shared" si="76"/>
        <v>0</v>
      </c>
      <c r="AO137" s="180">
        <f t="shared" si="76"/>
        <v>0</v>
      </c>
      <c r="AP137" s="180">
        <f t="shared" si="76"/>
        <v>0</v>
      </c>
      <c r="AQ137" s="180">
        <f t="shared" si="76"/>
        <v>0</v>
      </c>
      <c r="AR137" s="180">
        <f t="shared" si="76"/>
        <v>0</v>
      </c>
      <c r="AS137" s="180">
        <f t="shared" si="76"/>
        <v>0</v>
      </c>
      <c r="AT137" s="180">
        <f t="shared" si="76"/>
        <v>0</v>
      </c>
      <c r="AU137" s="180">
        <f t="shared" si="76"/>
        <v>0</v>
      </c>
      <c r="AV137" s="180">
        <f t="shared" si="76"/>
        <v>0</v>
      </c>
      <c r="AW137" s="180">
        <f t="shared" si="76"/>
        <v>0</v>
      </c>
      <c r="AX137" s="180">
        <f t="shared" si="76"/>
        <v>0</v>
      </c>
      <c r="AY137" s="180">
        <f t="shared" si="76"/>
        <v>0</v>
      </c>
      <c r="AZ137" s="180">
        <f t="shared" si="76"/>
        <v>0</v>
      </c>
    </row>
    <row r="138" spans="1:52" x14ac:dyDescent="0.25">
      <c r="A138" s="25"/>
      <c r="B138" s="4"/>
      <c r="C138" s="4"/>
      <c r="D138" s="9" t="str">
        <f t="shared" si="74"/>
        <v>Coal - lignite</v>
      </c>
      <c r="E138" s="9" t="str">
        <f t="shared" si="75"/>
        <v>Real</v>
      </c>
      <c r="F138" s="9"/>
      <c r="G138" s="56"/>
      <c r="H138" s="180">
        <f t="shared" si="77"/>
        <v>0</v>
      </c>
      <c r="I138" s="180">
        <f t="shared" si="76"/>
        <v>0</v>
      </c>
      <c r="J138" s="180">
        <f t="shared" si="76"/>
        <v>0</v>
      </c>
      <c r="K138" s="180">
        <f t="shared" si="76"/>
        <v>0</v>
      </c>
      <c r="L138" s="180">
        <f t="shared" si="76"/>
        <v>0</v>
      </c>
      <c r="M138" s="180">
        <f t="shared" si="76"/>
        <v>0</v>
      </c>
      <c r="N138" s="180">
        <f t="shared" si="76"/>
        <v>0</v>
      </c>
      <c r="O138" s="180">
        <f t="shared" si="76"/>
        <v>0</v>
      </c>
      <c r="P138" s="180">
        <f t="shared" si="76"/>
        <v>0</v>
      </c>
      <c r="Q138" s="180">
        <f t="shared" si="76"/>
        <v>0</v>
      </c>
      <c r="R138" s="180">
        <f t="shared" si="76"/>
        <v>0</v>
      </c>
      <c r="S138" s="180">
        <f t="shared" si="76"/>
        <v>0</v>
      </c>
      <c r="T138" s="180">
        <f t="shared" si="76"/>
        <v>0</v>
      </c>
      <c r="U138" s="180">
        <f t="shared" si="76"/>
        <v>0</v>
      </c>
      <c r="V138" s="180">
        <f t="shared" si="76"/>
        <v>0</v>
      </c>
      <c r="W138" s="180">
        <f t="shared" si="76"/>
        <v>0</v>
      </c>
      <c r="X138" s="180">
        <f t="shared" si="76"/>
        <v>0</v>
      </c>
      <c r="Y138" s="180">
        <f t="shared" si="76"/>
        <v>0</v>
      </c>
      <c r="Z138" s="180">
        <f t="shared" si="76"/>
        <v>0</v>
      </c>
      <c r="AA138" s="180">
        <f t="shared" si="76"/>
        <v>0</v>
      </c>
      <c r="AB138" s="180">
        <f t="shared" si="76"/>
        <v>0</v>
      </c>
      <c r="AC138" s="180">
        <f t="shared" si="76"/>
        <v>0</v>
      </c>
      <c r="AD138" s="180">
        <f t="shared" si="76"/>
        <v>0</v>
      </c>
      <c r="AE138" s="180">
        <f t="shared" si="76"/>
        <v>0</v>
      </c>
      <c r="AF138" s="180">
        <f t="shared" si="76"/>
        <v>0</v>
      </c>
      <c r="AG138" s="180">
        <f t="shared" si="76"/>
        <v>0</v>
      </c>
      <c r="AH138" s="180">
        <f t="shared" si="76"/>
        <v>0</v>
      </c>
      <c r="AI138" s="180">
        <f t="shared" si="76"/>
        <v>0</v>
      </c>
      <c r="AJ138" s="180">
        <f t="shared" si="76"/>
        <v>0</v>
      </c>
      <c r="AK138" s="180">
        <f t="shared" si="76"/>
        <v>0</v>
      </c>
      <c r="AL138" s="180">
        <f t="shared" si="76"/>
        <v>0</v>
      </c>
      <c r="AM138" s="180">
        <f t="shared" si="76"/>
        <v>0</v>
      </c>
      <c r="AN138" s="180">
        <f t="shared" si="76"/>
        <v>0</v>
      </c>
      <c r="AO138" s="180">
        <f t="shared" si="76"/>
        <v>0</v>
      </c>
      <c r="AP138" s="180">
        <f t="shared" si="76"/>
        <v>0</v>
      </c>
      <c r="AQ138" s="180">
        <f t="shared" si="76"/>
        <v>0</v>
      </c>
      <c r="AR138" s="180">
        <f t="shared" si="76"/>
        <v>0</v>
      </c>
      <c r="AS138" s="180">
        <f t="shared" si="76"/>
        <v>0</v>
      </c>
      <c r="AT138" s="180">
        <f t="shared" si="76"/>
        <v>0</v>
      </c>
      <c r="AU138" s="180">
        <f t="shared" si="76"/>
        <v>0</v>
      </c>
      <c r="AV138" s="180">
        <f t="shared" si="76"/>
        <v>0</v>
      </c>
      <c r="AW138" s="180">
        <f t="shared" si="76"/>
        <v>0</v>
      </c>
      <c r="AX138" s="180">
        <f t="shared" si="76"/>
        <v>0</v>
      </c>
      <c r="AY138" s="180">
        <f t="shared" si="76"/>
        <v>0</v>
      </c>
      <c r="AZ138" s="180">
        <f t="shared" si="76"/>
        <v>0</v>
      </c>
    </row>
    <row r="139" spans="1:52" x14ac:dyDescent="0.25">
      <c r="A139" s="25"/>
      <c r="B139" s="4"/>
      <c r="C139" s="4"/>
      <c r="D139" s="9" t="str">
        <f t="shared" si="74"/>
        <v>Diesel</v>
      </c>
      <c r="E139" s="9" t="str">
        <f t="shared" si="75"/>
        <v>Real</v>
      </c>
      <c r="F139" s="9"/>
      <c r="G139" s="56"/>
      <c r="H139" s="180">
        <f t="shared" si="77"/>
        <v>0</v>
      </c>
      <c r="I139" s="180">
        <f t="shared" si="76"/>
        <v>0</v>
      </c>
      <c r="J139" s="180">
        <f t="shared" si="76"/>
        <v>0</v>
      </c>
      <c r="K139" s="180">
        <f t="shared" si="76"/>
        <v>0</v>
      </c>
      <c r="L139" s="180">
        <f t="shared" si="76"/>
        <v>0</v>
      </c>
      <c r="M139" s="180">
        <f t="shared" si="76"/>
        <v>0</v>
      </c>
      <c r="N139" s="180">
        <f t="shared" si="76"/>
        <v>0</v>
      </c>
      <c r="O139" s="180">
        <f t="shared" si="76"/>
        <v>0</v>
      </c>
      <c r="P139" s="180">
        <f t="shared" si="76"/>
        <v>0</v>
      </c>
      <c r="Q139" s="180">
        <f t="shared" si="76"/>
        <v>0</v>
      </c>
      <c r="R139" s="180">
        <f t="shared" si="76"/>
        <v>0</v>
      </c>
      <c r="S139" s="180">
        <f t="shared" si="76"/>
        <v>0</v>
      </c>
      <c r="T139" s="180">
        <f t="shared" si="76"/>
        <v>0</v>
      </c>
      <c r="U139" s="180">
        <f t="shared" si="76"/>
        <v>0</v>
      </c>
      <c r="V139" s="180">
        <f t="shared" si="76"/>
        <v>0</v>
      </c>
      <c r="W139" s="180">
        <f t="shared" si="76"/>
        <v>0</v>
      </c>
      <c r="X139" s="180">
        <f t="shared" si="76"/>
        <v>0</v>
      </c>
      <c r="Y139" s="180">
        <f t="shared" si="76"/>
        <v>0</v>
      </c>
      <c r="Z139" s="180">
        <f t="shared" si="76"/>
        <v>0</v>
      </c>
      <c r="AA139" s="180">
        <f t="shared" si="76"/>
        <v>0</v>
      </c>
      <c r="AB139" s="180">
        <f t="shared" si="76"/>
        <v>0</v>
      </c>
      <c r="AC139" s="180">
        <f t="shared" si="76"/>
        <v>0</v>
      </c>
      <c r="AD139" s="180">
        <f t="shared" si="76"/>
        <v>0</v>
      </c>
      <c r="AE139" s="180">
        <f t="shared" si="76"/>
        <v>0</v>
      </c>
      <c r="AF139" s="180">
        <f t="shared" si="76"/>
        <v>0</v>
      </c>
      <c r="AG139" s="180">
        <f t="shared" si="76"/>
        <v>0</v>
      </c>
      <c r="AH139" s="180">
        <f t="shared" si="76"/>
        <v>0</v>
      </c>
      <c r="AI139" s="180">
        <f t="shared" si="76"/>
        <v>0</v>
      </c>
      <c r="AJ139" s="180">
        <f t="shared" si="76"/>
        <v>0</v>
      </c>
      <c r="AK139" s="180">
        <f t="shared" si="76"/>
        <v>0</v>
      </c>
      <c r="AL139" s="180">
        <f t="shared" si="76"/>
        <v>0</v>
      </c>
      <c r="AM139" s="180">
        <f t="shared" si="76"/>
        <v>0</v>
      </c>
      <c r="AN139" s="180">
        <f t="shared" si="76"/>
        <v>0</v>
      </c>
      <c r="AO139" s="180">
        <f t="shared" si="76"/>
        <v>0</v>
      </c>
      <c r="AP139" s="180">
        <f t="shared" si="76"/>
        <v>0</v>
      </c>
      <c r="AQ139" s="180">
        <f t="shared" si="76"/>
        <v>0</v>
      </c>
      <c r="AR139" s="180">
        <f t="shared" si="76"/>
        <v>0</v>
      </c>
      <c r="AS139" s="180">
        <f t="shared" si="76"/>
        <v>0</v>
      </c>
      <c r="AT139" s="180">
        <f t="shared" si="76"/>
        <v>0</v>
      </c>
      <c r="AU139" s="180">
        <f t="shared" si="76"/>
        <v>0</v>
      </c>
      <c r="AV139" s="180">
        <f t="shared" si="76"/>
        <v>0</v>
      </c>
      <c r="AW139" s="180">
        <f t="shared" si="76"/>
        <v>0</v>
      </c>
      <c r="AX139" s="180">
        <f t="shared" si="76"/>
        <v>0</v>
      </c>
      <c r="AY139" s="180">
        <f t="shared" si="76"/>
        <v>0</v>
      </c>
      <c r="AZ139" s="180">
        <f t="shared" si="76"/>
        <v>0</v>
      </c>
    </row>
    <row r="140" spans="1:52" x14ac:dyDescent="0.25">
      <c r="A140" s="25"/>
      <c r="B140" s="4"/>
      <c r="C140" s="4"/>
      <c r="D140" s="9" t="str">
        <f t="shared" si="74"/>
        <v>LPG</v>
      </c>
      <c r="E140" s="9" t="str">
        <f t="shared" si="75"/>
        <v>Real</v>
      </c>
      <c r="F140" s="9"/>
      <c r="G140" s="56"/>
      <c r="H140" s="180">
        <f t="shared" si="77"/>
        <v>0</v>
      </c>
      <c r="I140" s="180">
        <f t="shared" si="76"/>
        <v>0</v>
      </c>
      <c r="J140" s="180">
        <f t="shared" si="76"/>
        <v>0</v>
      </c>
      <c r="K140" s="180">
        <f t="shared" si="76"/>
        <v>0</v>
      </c>
      <c r="L140" s="180">
        <f t="shared" si="76"/>
        <v>0</v>
      </c>
      <c r="M140" s="180">
        <f t="shared" si="76"/>
        <v>0</v>
      </c>
      <c r="N140" s="180">
        <f t="shared" si="76"/>
        <v>0</v>
      </c>
      <c r="O140" s="180">
        <f t="shared" si="76"/>
        <v>0</v>
      </c>
      <c r="P140" s="180">
        <f t="shared" si="76"/>
        <v>0</v>
      </c>
      <c r="Q140" s="180">
        <f t="shared" si="76"/>
        <v>0</v>
      </c>
      <c r="R140" s="180">
        <f t="shared" si="76"/>
        <v>0</v>
      </c>
      <c r="S140" s="180">
        <f t="shared" si="76"/>
        <v>0</v>
      </c>
      <c r="T140" s="180">
        <f t="shared" si="76"/>
        <v>0</v>
      </c>
      <c r="U140" s="180">
        <f t="shared" si="76"/>
        <v>0</v>
      </c>
      <c r="V140" s="180">
        <f t="shared" si="76"/>
        <v>0</v>
      </c>
      <c r="W140" s="180">
        <f t="shared" si="76"/>
        <v>0</v>
      </c>
      <c r="X140" s="180">
        <f t="shared" si="76"/>
        <v>0</v>
      </c>
      <c r="Y140" s="180">
        <f t="shared" si="76"/>
        <v>0</v>
      </c>
      <c r="Z140" s="180">
        <f t="shared" si="76"/>
        <v>0</v>
      </c>
      <c r="AA140" s="180">
        <f t="shared" si="76"/>
        <v>0</v>
      </c>
      <c r="AB140" s="180">
        <f t="shared" si="76"/>
        <v>0</v>
      </c>
      <c r="AC140" s="180">
        <f t="shared" si="76"/>
        <v>0</v>
      </c>
      <c r="AD140" s="180">
        <f t="shared" si="76"/>
        <v>0</v>
      </c>
      <c r="AE140" s="180">
        <f t="shared" si="76"/>
        <v>0</v>
      </c>
      <c r="AF140" s="180">
        <f t="shared" si="76"/>
        <v>0</v>
      </c>
      <c r="AG140" s="180">
        <f t="shared" si="76"/>
        <v>0</v>
      </c>
      <c r="AH140" s="180">
        <f t="shared" si="76"/>
        <v>0</v>
      </c>
      <c r="AI140" s="180">
        <f t="shared" si="76"/>
        <v>0</v>
      </c>
      <c r="AJ140" s="180">
        <f t="shared" si="76"/>
        <v>0</v>
      </c>
      <c r="AK140" s="180">
        <f t="shared" si="76"/>
        <v>0</v>
      </c>
      <c r="AL140" s="180">
        <f t="shared" si="76"/>
        <v>0</v>
      </c>
      <c r="AM140" s="180">
        <f t="shared" si="76"/>
        <v>0</v>
      </c>
      <c r="AN140" s="180">
        <f t="shared" si="76"/>
        <v>0</v>
      </c>
      <c r="AO140" s="180">
        <f t="shared" si="76"/>
        <v>0</v>
      </c>
      <c r="AP140" s="180">
        <f t="shared" si="76"/>
        <v>0</v>
      </c>
      <c r="AQ140" s="180">
        <f t="shared" si="76"/>
        <v>0</v>
      </c>
      <c r="AR140" s="180">
        <f t="shared" si="76"/>
        <v>0</v>
      </c>
      <c r="AS140" s="180">
        <f t="shared" si="76"/>
        <v>0</v>
      </c>
      <c r="AT140" s="180">
        <f t="shared" si="76"/>
        <v>0</v>
      </c>
      <c r="AU140" s="180">
        <f t="shared" si="76"/>
        <v>0</v>
      </c>
      <c r="AV140" s="180">
        <f t="shared" si="76"/>
        <v>0</v>
      </c>
      <c r="AW140" s="180">
        <f t="shared" si="76"/>
        <v>0</v>
      </c>
      <c r="AX140" s="180">
        <f t="shared" si="76"/>
        <v>0</v>
      </c>
      <c r="AY140" s="180">
        <f t="shared" si="76"/>
        <v>0</v>
      </c>
      <c r="AZ140" s="180">
        <f t="shared" si="76"/>
        <v>0</v>
      </c>
    </row>
    <row r="141" spans="1:52" x14ac:dyDescent="0.25">
      <c r="A141" s="25"/>
      <c r="B141" s="4"/>
      <c r="C141" s="4"/>
      <c r="D141" s="9" t="str">
        <f t="shared" si="74"/>
        <v>Light fuel oil</v>
      </c>
      <c r="E141" s="9" t="str">
        <f t="shared" si="75"/>
        <v>Real</v>
      </c>
      <c r="F141" s="9"/>
      <c r="G141" s="56"/>
      <c r="H141" s="180">
        <f t="shared" si="77"/>
        <v>0</v>
      </c>
      <c r="I141" s="180">
        <f t="shared" si="76"/>
        <v>0</v>
      </c>
      <c r="J141" s="180">
        <f t="shared" si="76"/>
        <v>0</v>
      </c>
      <c r="K141" s="180">
        <f t="shared" si="76"/>
        <v>0</v>
      </c>
      <c r="L141" s="180">
        <f t="shared" si="76"/>
        <v>0</v>
      </c>
      <c r="M141" s="180">
        <f t="shared" si="76"/>
        <v>0</v>
      </c>
      <c r="N141" s="180">
        <f t="shared" si="76"/>
        <v>0</v>
      </c>
      <c r="O141" s="180">
        <f t="shared" ref="I141:AZ144" si="78">O85*O112</f>
        <v>0</v>
      </c>
      <c r="P141" s="180">
        <f t="shared" si="78"/>
        <v>0</v>
      </c>
      <c r="Q141" s="180">
        <f t="shared" si="78"/>
        <v>0</v>
      </c>
      <c r="R141" s="180">
        <f t="shared" si="78"/>
        <v>0</v>
      </c>
      <c r="S141" s="180">
        <f t="shared" si="78"/>
        <v>0</v>
      </c>
      <c r="T141" s="180">
        <f t="shared" si="78"/>
        <v>0</v>
      </c>
      <c r="U141" s="180">
        <f t="shared" si="78"/>
        <v>0</v>
      </c>
      <c r="V141" s="180">
        <f t="shared" si="78"/>
        <v>0</v>
      </c>
      <c r="W141" s="180">
        <f t="shared" si="78"/>
        <v>0</v>
      </c>
      <c r="X141" s="180">
        <f t="shared" si="78"/>
        <v>0</v>
      </c>
      <c r="Y141" s="180">
        <f t="shared" si="78"/>
        <v>0</v>
      </c>
      <c r="Z141" s="180">
        <f t="shared" si="78"/>
        <v>0</v>
      </c>
      <c r="AA141" s="180">
        <f t="shared" si="78"/>
        <v>0</v>
      </c>
      <c r="AB141" s="180">
        <f t="shared" si="78"/>
        <v>0</v>
      </c>
      <c r="AC141" s="180">
        <f t="shared" si="78"/>
        <v>0</v>
      </c>
      <c r="AD141" s="180">
        <f t="shared" si="78"/>
        <v>0</v>
      </c>
      <c r="AE141" s="180">
        <f t="shared" si="78"/>
        <v>0</v>
      </c>
      <c r="AF141" s="180">
        <f t="shared" si="78"/>
        <v>0</v>
      </c>
      <c r="AG141" s="180">
        <f t="shared" si="78"/>
        <v>0</v>
      </c>
      <c r="AH141" s="180">
        <f t="shared" si="78"/>
        <v>0</v>
      </c>
      <c r="AI141" s="180">
        <f t="shared" si="78"/>
        <v>0</v>
      </c>
      <c r="AJ141" s="180">
        <f t="shared" si="78"/>
        <v>0</v>
      </c>
      <c r="AK141" s="180">
        <f t="shared" si="78"/>
        <v>0</v>
      </c>
      <c r="AL141" s="180">
        <f t="shared" si="78"/>
        <v>0</v>
      </c>
      <c r="AM141" s="180">
        <f t="shared" si="78"/>
        <v>0</v>
      </c>
      <c r="AN141" s="180">
        <f t="shared" si="78"/>
        <v>0</v>
      </c>
      <c r="AO141" s="180">
        <f t="shared" si="78"/>
        <v>0</v>
      </c>
      <c r="AP141" s="180">
        <f t="shared" si="78"/>
        <v>0</v>
      </c>
      <c r="AQ141" s="180">
        <f t="shared" si="78"/>
        <v>0</v>
      </c>
      <c r="AR141" s="180">
        <f t="shared" si="78"/>
        <v>0</v>
      </c>
      <c r="AS141" s="180">
        <f t="shared" si="78"/>
        <v>0</v>
      </c>
      <c r="AT141" s="180">
        <f t="shared" si="78"/>
        <v>0</v>
      </c>
      <c r="AU141" s="180">
        <f t="shared" si="78"/>
        <v>0</v>
      </c>
      <c r="AV141" s="180">
        <f t="shared" si="78"/>
        <v>0</v>
      </c>
      <c r="AW141" s="180">
        <f t="shared" si="78"/>
        <v>0</v>
      </c>
      <c r="AX141" s="180">
        <f t="shared" si="78"/>
        <v>0</v>
      </c>
      <c r="AY141" s="180">
        <f t="shared" si="78"/>
        <v>0</v>
      </c>
      <c r="AZ141" s="180">
        <f t="shared" si="78"/>
        <v>0</v>
      </c>
    </row>
    <row r="142" spans="1:52" x14ac:dyDescent="0.25">
      <c r="A142" s="25"/>
      <c r="B142" s="4"/>
      <c r="C142" s="4"/>
      <c r="D142" s="9" t="str">
        <f t="shared" si="74"/>
        <v>Heavy fuel oil</v>
      </c>
      <c r="E142" s="9" t="str">
        <f t="shared" si="75"/>
        <v>Real</v>
      </c>
      <c r="F142" s="9"/>
      <c r="G142" s="56"/>
      <c r="H142" s="180">
        <f t="shared" si="77"/>
        <v>0</v>
      </c>
      <c r="I142" s="180">
        <f t="shared" si="78"/>
        <v>0</v>
      </c>
      <c r="J142" s="180">
        <f t="shared" si="78"/>
        <v>0</v>
      </c>
      <c r="K142" s="180">
        <f t="shared" si="78"/>
        <v>0</v>
      </c>
      <c r="L142" s="180">
        <f t="shared" si="78"/>
        <v>0</v>
      </c>
      <c r="M142" s="180">
        <f t="shared" si="78"/>
        <v>0</v>
      </c>
      <c r="N142" s="180">
        <f t="shared" si="78"/>
        <v>0</v>
      </c>
      <c r="O142" s="180">
        <f t="shared" si="78"/>
        <v>0</v>
      </c>
      <c r="P142" s="180">
        <f t="shared" si="78"/>
        <v>0</v>
      </c>
      <c r="Q142" s="180">
        <f t="shared" si="78"/>
        <v>0</v>
      </c>
      <c r="R142" s="180">
        <f t="shared" si="78"/>
        <v>0</v>
      </c>
      <c r="S142" s="180">
        <f t="shared" si="78"/>
        <v>0</v>
      </c>
      <c r="T142" s="180">
        <f t="shared" si="78"/>
        <v>0</v>
      </c>
      <c r="U142" s="180">
        <f t="shared" si="78"/>
        <v>0</v>
      </c>
      <c r="V142" s="180">
        <f t="shared" si="78"/>
        <v>0</v>
      </c>
      <c r="W142" s="180">
        <f t="shared" si="78"/>
        <v>0</v>
      </c>
      <c r="X142" s="180">
        <f t="shared" si="78"/>
        <v>0</v>
      </c>
      <c r="Y142" s="180">
        <f t="shared" si="78"/>
        <v>0</v>
      </c>
      <c r="Z142" s="180">
        <f t="shared" si="78"/>
        <v>0</v>
      </c>
      <c r="AA142" s="180">
        <f t="shared" si="78"/>
        <v>0</v>
      </c>
      <c r="AB142" s="180">
        <f t="shared" si="78"/>
        <v>0</v>
      </c>
      <c r="AC142" s="180">
        <f t="shared" si="78"/>
        <v>0</v>
      </c>
      <c r="AD142" s="180">
        <f t="shared" si="78"/>
        <v>0</v>
      </c>
      <c r="AE142" s="180">
        <f t="shared" si="78"/>
        <v>0</v>
      </c>
      <c r="AF142" s="180">
        <f t="shared" si="78"/>
        <v>0</v>
      </c>
      <c r="AG142" s="180">
        <f t="shared" si="78"/>
        <v>0</v>
      </c>
      <c r="AH142" s="180">
        <f t="shared" si="78"/>
        <v>0</v>
      </c>
      <c r="AI142" s="180">
        <f t="shared" si="78"/>
        <v>0</v>
      </c>
      <c r="AJ142" s="180">
        <f t="shared" si="78"/>
        <v>0</v>
      </c>
      <c r="AK142" s="180">
        <f t="shared" si="78"/>
        <v>0</v>
      </c>
      <c r="AL142" s="180">
        <f t="shared" si="78"/>
        <v>0</v>
      </c>
      <c r="AM142" s="180">
        <f t="shared" si="78"/>
        <v>0</v>
      </c>
      <c r="AN142" s="180">
        <f t="shared" si="78"/>
        <v>0</v>
      </c>
      <c r="AO142" s="180">
        <f t="shared" si="78"/>
        <v>0</v>
      </c>
      <c r="AP142" s="180">
        <f t="shared" si="78"/>
        <v>0</v>
      </c>
      <c r="AQ142" s="180">
        <f t="shared" si="78"/>
        <v>0</v>
      </c>
      <c r="AR142" s="180">
        <f t="shared" si="78"/>
        <v>0</v>
      </c>
      <c r="AS142" s="180">
        <f t="shared" si="78"/>
        <v>0</v>
      </c>
      <c r="AT142" s="180">
        <f t="shared" si="78"/>
        <v>0</v>
      </c>
      <c r="AU142" s="180">
        <f t="shared" si="78"/>
        <v>0</v>
      </c>
      <c r="AV142" s="180">
        <f t="shared" si="78"/>
        <v>0</v>
      </c>
      <c r="AW142" s="180">
        <f t="shared" si="78"/>
        <v>0</v>
      </c>
      <c r="AX142" s="180">
        <f t="shared" si="78"/>
        <v>0</v>
      </c>
      <c r="AY142" s="180">
        <f t="shared" si="78"/>
        <v>0</v>
      </c>
      <c r="AZ142" s="180">
        <f t="shared" si="78"/>
        <v>0</v>
      </c>
    </row>
    <row r="143" spans="1:52" x14ac:dyDescent="0.25">
      <c r="A143" s="25"/>
      <c r="B143" s="4"/>
      <c r="C143" s="4"/>
      <c r="D143" s="9" t="str">
        <f t="shared" si="74"/>
        <v>Geothermal</v>
      </c>
      <c r="E143" s="9" t="str">
        <f t="shared" si="75"/>
        <v>Real</v>
      </c>
      <c r="F143" s="9"/>
      <c r="G143" s="56"/>
      <c r="H143" s="180">
        <f t="shared" si="77"/>
        <v>0</v>
      </c>
      <c r="I143" s="180">
        <f t="shared" si="78"/>
        <v>0</v>
      </c>
      <c r="J143" s="180">
        <f t="shared" si="78"/>
        <v>0</v>
      </c>
      <c r="K143" s="180">
        <f t="shared" si="78"/>
        <v>0</v>
      </c>
      <c r="L143" s="180">
        <f t="shared" si="78"/>
        <v>0</v>
      </c>
      <c r="M143" s="180">
        <f t="shared" si="78"/>
        <v>0</v>
      </c>
      <c r="N143" s="180">
        <f t="shared" si="78"/>
        <v>0</v>
      </c>
      <c r="O143" s="180">
        <f t="shared" si="78"/>
        <v>0</v>
      </c>
      <c r="P143" s="180">
        <f t="shared" si="78"/>
        <v>0</v>
      </c>
      <c r="Q143" s="180">
        <f t="shared" si="78"/>
        <v>0</v>
      </c>
      <c r="R143" s="180">
        <f t="shared" si="78"/>
        <v>0</v>
      </c>
      <c r="S143" s="180">
        <f t="shared" si="78"/>
        <v>0</v>
      </c>
      <c r="T143" s="180">
        <f t="shared" si="78"/>
        <v>0</v>
      </c>
      <c r="U143" s="180">
        <f t="shared" si="78"/>
        <v>0</v>
      </c>
      <c r="V143" s="180">
        <f t="shared" si="78"/>
        <v>0</v>
      </c>
      <c r="W143" s="180">
        <f t="shared" si="78"/>
        <v>0</v>
      </c>
      <c r="X143" s="180">
        <f t="shared" si="78"/>
        <v>0</v>
      </c>
      <c r="Y143" s="180">
        <f t="shared" si="78"/>
        <v>0</v>
      </c>
      <c r="Z143" s="180">
        <f t="shared" si="78"/>
        <v>0</v>
      </c>
      <c r="AA143" s="180">
        <f t="shared" si="78"/>
        <v>0</v>
      </c>
      <c r="AB143" s="180">
        <f t="shared" si="78"/>
        <v>0</v>
      </c>
      <c r="AC143" s="180">
        <f t="shared" si="78"/>
        <v>0</v>
      </c>
      <c r="AD143" s="180">
        <f t="shared" si="78"/>
        <v>0</v>
      </c>
      <c r="AE143" s="180">
        <f t="shared" si="78"/>
        <v>0</v>
      </c>
      <c r="AF143" s="180">
        <f t="shared" si="78"/>
        <v>0</v>
      </c>
      <c r="AG143" s="180">
        <f t="shared" si="78"/>
        <v>0</v>
      </c>
      <c r="AH143" s="180">
        <f t="shared" si="78"/>
        <v>0</v>
      </c>
      <c r="AI143" s="180">
        <f t="shared" si="78"/>
        <v>0</v>
      </c>
      <c r="AJ143" s="180">
        <f t="shared" si="78"/>
        <v>0</v>
      </c>
      <c r="AK143" s="180">
        <f t="shared" si="78"/>
        <v>0</v>
      </c>
      <c r="AL143" s="180">
        <f t="shared" si="78"/>
        <v>0</v>
      </c>
      <c r="AM143" s="180">
        <f t="shared" si="78"/>
        <v>0</v>
      </c>
      <c r="AN143" s="180">
        <f t="shared" si="78"/>
        <v>0</v>
      </c>
      <c r="AO143" s="180">
        <f t="shared" si="78"/>
        <v>0</v>
      </c>
      <c r="AP143" s="180">
        <f t="shared" si="78"/>
        <v>0</v>
      </c>
      <c r="AQ143" s="180">
        <f t="shared" si="78"/>
        <v>0</v>
      </c>
      <c r="AR143" s="180">
        <f t="shared" si="78"/>
        <v>0</v>
      </c>
      <c r="AS143" s="180">
        <f t="shared" si="78"/>
        <v>0</v>
      </c>
      <c r="AT143" s="180">
        <f t="shared" si="78"/>
        <v>0</v>
      </c>
      <c r="AU143" s="180">
        <f t="shared" si="78"/>
        <v>0</v>
      </c>
      <c r="AV143" s="180">
        <f t="shared" si="78"/>
        <v>0</v>
      </c>
      <c r="AW143" s="180">
        <f t="shared" si="78"/>
        <v>0</v>
      </c>
      <c r="AX143" s="180">
        <f t="shared" si="78"/>
        <v>0</v>
      </c>
      <c r="AY143" s="180">
        <f t="shared" si="78"/>
        <v>0</v>
      </c>
      <c r="AZ143" s="180">
        <f t="shared" si="78"/>
        <v>0</v>
      </c>
    </row>
    <row r="144" spans="1:52" x14ac:dyDescent="0.25">
      <c r="A144" s="25"/>
      <c r="B144" s="4"/>
      <c r="C144" s="4"/>
      <c r="D144" s="54" t="str">
        <f t="shared" si="74"/>
        <v>Wood or wood chips</v>
      </c>
      <c r="E144" s="54" t="str">
        <f t="shared" si="75"/>
        <v>Real</v>
      </c>
      <c r="F144" s="54"/>
      <c r="G144" s="149"/>
      <c r="H144" s="181">
        <f t="shared" si="77"/>
        <v>0</v>
      </c>
      <c r="I144" s="181">
        <f t="shared" si="78"/>
        <v>0</v>
      </c>
      <c r="J144" s="181">
        <f t="shared" si="78"/>
        <v>0</v>
      </c>
      <c r="K144" s="181">
        <f t="shared" si="78"/>
        <v>0</v>
      </c>
      <c r="L144" s="181">
        <f t="shared" si="78"/>
        <v>0</v>
      </c>
      <c r="M144" s="181">
        <f t="shared" si="78"/>
        <v>0</v>
      </c>
      <c r="N144" s="181">
        <f t="shared" si="78"/>
        <v>0</v>
      </c>
      <c r="O144" s="181">
        <f t="shared" si="78"/>
        <v>0</v>
      </c>
      <c r="P144" s="181">
        <f t="shared" si="78"/>
        <v>0</v>
      </c>
      <c r="Q144" s="181">
        <f t="shared" si="78"/>
        <v>0</v>
      </c>
      <c r="R144" s="181">
        <f t="shared" si="78"/>
        <v>0</v>
      </c>
      <c r="S144" s="181">
        <f t="shared" si="78"/>
        <v>0</v>
      </c>
      <c r="T144" s="181">
        <f t="shared" si="78"/>
        <v>0</v>
      </c>
      <c r="U144" s="181">
        <f t="shared" si="78"/>
        <v>0</v>
      </c>
      <c r="V144" s="181">
        <f t="shared" si="78"/>
        <v>0</v>
      </c>
      <c r="W144" s="181">
        <f t="shared" si="78"/>
        <v>0</v>
      </c>
      <c r="X144" s="181">
        <f t="shared" si="78"/>
        <v>0</v>
      </c>
      <c r="Y144" s="181">
        <f t="shared" si="78"/>
        <v>0</v>
      </c>
      <c r="Z144" s="181">
        <f t="shared" si="78"/>
        <v>0</v>
      </c>
      <c r="AA144" s="181">
        <f t="shared" si="78"/>
        <v>0</v>
      </c>
      <c r="AB144" s="181">
        <f t="shared" si="78"/>
        <v>0</v>
      </c>
      <c r="AC144" s="181">
        <f t="shared" si="78"/>
        <v>0</v>
      </c>
      <c r="AD144" s="181">
        <f t="shared" si="78"/>
        <v>0</v>
      </c>
      <c r="AE144" s="181">
        <f t="shared" si="78"/>
        <v>0</v>
      </c>
      <c r="AF144" s="181">
        <f t="shared" si="78"/>
        <v>0</v>
      </c>
      <c r="AG144" s="181">
        <f t="shared" si="78"/>
        <v>0</v>
      </c>
      <c r="AH144" s="181">
        <f t="shared" si="78"/>
        <v>0</v>
      </c>
      <c r="AI144" s="181">
        <f t="shared" si="78"/>
        <v>0</v>
      </c>
      <c r="AJ144" s="181">
        <f t="shared" si="78"/>
        <v>0</v>
      </c>
      <c r="AK144" s="181">
        <f t="shared" si="78"/>
        <v>0</v>
      </c>
      <c r="AL144" s="181">
        <f t="shared" si="78"/>
        <v>0</v>
      </c>
      <c r="AM144" s="181">
        <f t="shared" si="78"/>
        <v>0</v>
      </c>
      <c r="AN144" s="181">
        <f t="shared" si="78"/>
        <v>0</v>
      </c>
      <c r="AO144" s="181">
        <f t="shared" si="78"/>
        <v>0</v>
      </c>
      <c r="AP144" s="181">
        <f t="shared" si="78"/>
        <v>0</v>
      </c>
      <c r="AQ144" s="181">
        <f t="shared" si="78"/>
        <v>0</v>
      </c>
      <c r="AR144" s="181">
        <f t="shared" si="78"/>
        <v>0</v>
      </c>
      <c r="AS144" s="181">
        <f t="shared" si="78"/>
        <v>0</v>
      </c>
      <c r="AT144" s="181">
        <f t="shared" si="78"/>
        <v>0</v>
      </c>
      <c r="AU144" s="181">
        <f t="shared" si="78"/>
        <v>0</v>
      </c>
      <c r="AV144" s="181">
        <f t="shared" si="78"/>
        <v>0</v>
      </c>
      <c r="AW144" s="181">
        <f t="shared" si="78"/>
        <v>0</v>
      </c>
      <c r="AX144" s="181">
        <f t="shared" si="78"/>
        <v>0</v>
      </c>
      <c r="AY144" s="181">
        <f t="shared" si="78"/>
        <v>0</v>
      </c>
      <c r="AZ144" s="181">
        <f t="shared" si="78"/>
        <v>0</v>
      </c>
    </row>
    <row r="145" spans="1:52" x14ac:dyDescent="0.25">
      <c r="A145" s="25"/>
      <c r="B145" s="4"/>
      <c r="C145" s="4"/>
      <c r="D145" s="9" t="str">
        <f ca="1">D130</f>
        <v>Total  fuel opex in 2025 dollars</v>
      </c>
      <c r="E145" s="9"/>
      <c r="F145" s="9"/>
      <c r="G145" s="9"/>
      <c r="H145" s="133">
        <f t="shared" ref="H145:AZ145" si="79">SUMIFS(H134:H144,$E$105:$E$115,"Real")+SUMIFS(H134:H144,$E$105:$E$115,"Nominal")*H$10</f>
        <v>730000</v>
      </c>
      <c r="I145" s="133">
        <f t="shared" si="79"/>
        <v>730000</v>
      </c>
      <c r="J145" s="133">
        <f t="shared" si="79"/>
        <v>730000</v>
      </c>
      <c r="K145" s="133">
        <f t="shared" si="79"/>
        <v>730000</v>
      </c>
      <c r="L145" s="133">
        <f t="shared" si="79"/>
        <v>730000</v>
      </c>
      <c r="M145" s="133">
        <f t="shared" si="79"/>
        <v>730000</v>
      </c>
      <c r="N145" s="133">
        <f t="shared" si="79"/>
        <v>730000</v>
      </c>
      <c r="O145" s="133">
        <f t="shared" si="79"/>
        <v>730000</v>
      </c>
      <c r="P145" s="133">
        <f t="shared" si="79"/>
        <v>730000</v>
      </c>
      <c r="Q145" s="133">
        <f t="shared" si="79"/>
        <v>730000</v>
      </c>
      <c r="R145" s="133">
        <f t="shared" si="79"/>
        <v>730000</v>
      </c>
      <c r="S145" s="133">
        <f t="shared" si="79"/>
        <v>730000</v>
      </c>
      <c r="T145" s="133">
        <f t="shared" si="79"/>
        <v>730000</v>
      </c>
      <c r="U145" s="133">
        <f t="shared" si="79"/>
        <v>730000</v>
      </c>
      <c r="V145" s="133">
        <f t="shared" si="79"/>
        <v>730000</v>
      </c>
      <c r="W145" s="133">
        <f t="shared" si="79"/>
        <v>730000</v>
      </c>
      <c r="X145" s="133">
        <f t="shared" si="79"/>
        <v>730000</v>
      </c>
      <c r="Y145" s="133">
        <f t="shared" si="79"/>
        <v>730000</v>
      </c>
      <c r="Z145" s="133">
        <f t="shared" si="79"/>
        <v>730000</v>
      </c>
      <c r="AA145" s="133">
        <f t="shared" si="79"/>
        <v>730000</v>
      </c>
      <c r="AB145" s="133">
        <f t="shared" si="79"/>
        <v>730000</v>
      </c>
      <c r="AC145" s="133">
        <f t="shared" si="79"/>
        <v>730000</v>
      </c>
      <c r="AD145" s="133">
        <f t="shared" si="79"/>
        <v>0</v>
      </c>
      <c r="AE145" s="133">
        <f t="shared" si="79"/>
        <v>0</v>
      </c>
      <c r="AF145" s="133">
        <f t="shared" si="79"/>
        <v>0</v>
      </c>
      <c r="AG145" s="133">
        <f t="shared" si="79"/>
        <v>0</v>
      </c>
      <c r="AH145" s="133">
        <f t="shared" si="79"/>
        <v>0</v>
      </c>
      <c r="AI145" s="133">
        <f t="shared" si="79"/>
        <v>0</v>
      </c>
      <c r="AJ145" s="133">
        <f t="shared" si="79"/>
        <v>0</v>
      </c>
      <c r="AK145" s="133">
        <f t="shared" si="79"/>
        <v>0</v>
      </c>
      <c r="AL145" s="133">
        <f t="shared" si="79"/>
        <v>0</v>
      </c>
      <c r="AM145" s="133">
        <f t="shared" si="79"/>
        <v>0</v>
      </c>
      <c r="AN145" s="133">
        <f t="shared" si="79"/>
        <v>0</v>
      </c>
      <c r="AO145" s="133">
        <f t="shared" si="79"/>
        <v>0</v>
      </c>
      <c r="AP145" s="133">
        <f t="shared" si="79"/>
        <v>0</v>
      </c>
      <c r="AQ145" s="133">
        <f t="shared" si="79"/>
        <v>0</v>
      </c>
      <c r="AR145" s="133">
        <f t="shared" si="79"/>
        <v>0</v>
      </c>
      <c r="AS145" s="133">
        <f t="shared" si="79"/>
        <v>0</v>
      </c>
      <c r="AT145" s="133">
        <f t="shared" si="79"/>
        <v>0</v>
      </c>
      <c r="AU145" s="133">
        <f t="shared" si="79"/>
        <v>0</v>
      </c>
      <c r="AV145" s="133">
        <f t="shared" si="79"/>
        <v>0</v>
      </c>
      <c r="AW145" s="133">
        <f t="shared" si="79"/>
        <v>0</v>
      </c>
      <c r="AX145" s="133">
        <f t="shared" si="79"/>
        <v>0</v>
      </c>
      <c r="AY145" s="133">
        <f t="shared" si="79"/>
        <v>0</v>
      </c>
      <c r="AZ145" s="133">
        <f t="shared" si="79"/>
        <v>0</v>
      </c>
    </row>
    <row r="146" spans="1:52" x14ac:dyDescent="0.25">
      <c r="A146" s="25"/>
      <c r="B146" s="9"/>
      <c r="C146" s="9"/>
      <c r="D146" s="9" t="str">
        <f>D131</f>
        <v>Total fuel opex in nominal dollars</v>
      </c>
      <c r="E146" s="9"/>
      <c r="F146" s="9"/>
      <c r="G146" s="9"/>
      <c r="H146" s="133">
        <f t="shared" ref="H146:AZ146" si="80">SUMIFS(H134:H144,$E$105:$E$115,"Real")*H9+SUMIFS(H134:H144,$E$105:$E$115,"Nominal")</f>
        <v>745410.29999999993</v>
      </c>
      <c r="I146" s="133">
        <f t="shared" si="80"/>
        <v>760393.0470299999</v>
      </c>
      <c r="J146" s="133">
        <f t="shared" si="80"/>
        <v>775676.94727530295</v>
      </c>
      <c r="K146" s="133">
        <f t="shared" si="80"/>
        <v>791268.0539155365</v>
      </c>
      <c r="L146" s="133">
        <f t="shared" si="80"/>
        <v>807172.54179923888</v>
      </c>
      <c r="M146" s="133">
        <f t="shared" si="80"/>
        <v>823396.70988940366</v>
      </c>
      <c r="N146" s="133">
        <f t="shared" si="80"/>
        <v>839946.98375818052</v>
      </c>
      <c r="O146" s="133">
        <f t="shared" si="80"/>
        <v>856829.91813172004</v>
      </c>
      <c r="P146" s="133">
        <f t="shared" si="80"/>
        <v>874052.19948616764</v>
      </c>
      <c r="Q146" s="133">
        <f t="shared" si="80"/>
        <v>891620.64869583969</v>
      </c>
      <c r="R146" s="133">
        <f t="shared" si="80"/>
        <v>909542.22373462608</v>
      </c>
      <c r="S146" s="133">
        <f t="shared" si="80"/>
        <v>927824.02243169199</v>
      </c>
      <c r="T146" s="133">
        <f t="shared" si="80"/>
        <v>946473.28528256901</v>
      </c>
      <c r="U146" s="133">
        <f t="shared" si="80"/>
        <v>965497.39831674867</v>
      </c>
      <c r="V146" s="133">
        <f t="shared" si="80"/>
        <v>984903.89602291526</v>
      </c>
      <c r="W146" s="133">
        <f t="shared" si="80"/>
        <v>1004700.4643329758</v>
      </c>
      <c r="X146" s="133">
        <f t="shared" si="80"/>
        <v>1024894.9436660686</v>
      </c>
      <c r="Y146" s="133">
        <f t="shared" si="80"/>
        <v>1045495.3320337565</v>
      </c>
      <c r="Z146" s="133">
        <f t="shared" si="80"/>
        <v>1066509.7882076351</v>
      </c>
      <c r="AA146" s="133">
        <f t="shared" si="80"/>
        <v>1087946.6349506087</v>
      </c>
      <c r="AB146" s="133">
        <f t="shared" si="80"/>
        <v>1109814.3623131157</v>
      </c>
      <c r="AC146" s="133">
        <f t="shared" si="80"/>
        <v>1132121.6309956093</v>
      </c>
      <c r="AD146" s="133">
        <f t="shared" si="80"/>
        <v>0</v>
      </c>
      <c r="AE146" s="133">
        <f t="shared" si="80"/>
        <v>0</v>
      </c>
      <c r="AF146" s="133">
        <f t="shared" si="80"/>
        <v>0</v>
      </c>
      <c r="AG146" s="133">
        <f t="shared" si="80"/>
        <v>0</v>
      </c>
      <c r="AH146" s="133">
        <f t="shared" si="80"/>
        <v>0</v>
      </c>
      <c r="AI146" s="133">
        <f t="shared" si="80"/>
        <v>0</v>
      </c>
      <c r="AJ146" s="133">
        <f t="shared" si="80"/>
        <v>0</v>
      </c>
      <c r="AK146" s="133">
        <f t="shared" si="80"/>
        <v>0</v>
      </c>
      <c r="AL146" s="133">
        <f t="shared" si="80"/>
        <v>0</v>
      </c>
      <c r="AM146" s="133">
        <f t="shared" si="80"/>
        <v>0</v>
      </c>
      <c r="AN146" s="133">
        <f t="shared" si="80"/>
        <v>0</v>
      </c>
      <c r="AO146" s="133">
        <f t="shared" si="80"/>
        <v>0</v>
      </c>
      <c r="AP146" s="133">
        <f t="shared" si="80"/>
        <v>0</v>
      </c>
      <c r="AQ146" s="133">
        <f t="shared" si="80"/>
        <v>0</v>
      </c>
      <c r="AR146" s="133">
        <f t="shared" si="80"/>
        <v>0</v>
      </c>
      <c r="AS146" s="133">
        <f t="shared" si="80"/>
        <v>0</v>
      </c>
      <c r="AT146" s="133">
        <f t="shared" si="80"/>
        <v>0</v>
      </c>
      <c r="AU146" s="133">
        <f t="shared" si="80"/>
        <v>0</v>
      </c>
      <c r="AV146" s="133">
        <f t="shared" si="80"/>
        <v>0</v>
      </c>
      <c r="AW146" s="133">
        <f t="shared" si="80"/>
        <v>0</v>
      </c>
      <c r="AX146" s="133">
        <f t="shared" si="80"/>
        <v>0</v>
      </c>
      <c r="AY146" s="133">
        <f t="shared" si="80"/>
        <v>0</v>
      </c>
      <c r="AZ146" s="133">
        <f t="shared" si="80"/>
        <v>0</v>
      </c>
    </row>
    <row r="147" spans="1:52" x14ac:dyDescent="0.25">
      <c r="A147" s="25"/>
      <c r="B147" s="4"/>
      <c r="C147" s="4"/>
      <c r="D147" s="4"/>
      <c r="E147" s="4"/>
      <c r="F147" s="4"/>
      <c r="G147" s="4"/>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row>
    <row r="148" spans="1:5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row>
    <row r="149" spans="1:52" ht="18.75" x14ac:dyDescent="0.3">
      <c r="A149" s="18" t="s">
        <v>128</v>
      </c>
      <c r="B149" s="18"/>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row>
    <row r="150" spans="1:52" x14ac:dyDescent="0.25">
      <c r="A150" s="52" t="s">
        <v>50</v>
      </c>
      <c r="B150" s="47" t="s">
        <v>129</v>
      </c>
      <c r="C150" s="47"/>
      <c r="D150" s="47"/>
      <c r="E150" s="47"/>
      <c r="F150" s="47"/>
      <c r="G150" s="53" t="s">
        <v>52</v>
      </c>
      <c r="H150" s="62">
        <f>Start_Yr</f>
        <v>2026</v>
      </c>
      <c r="I150" s="62">
        <f>H150+1</f>
        <v>2027</v>
      </c>
      <c r="J150" s="62">
        <f t="shared" ref="J150:AF150" si="81">I150+1</f>
        <v>2028</v>
      </c>
      <c r="K150" s="62">
        <f t="shared" si="81"/>
        <v>2029</v>
      </c>
      <c r="L150" s="62">
        <f t="shared" si="81"/>
        <v>2030</v>
      </c>
      <c r="M150" s="62">
        <f t="shared" si="81"/>
        <v>2031</v>
      </c>
      <c r="N150" s="62">
        <f t="shared" si="81"/>
        <v>2032</v>
      </c>
      <c r="O150" s="62">
        <f t="shared" si="81"/>
        <v>2033</v>
      </c>
      <c r="P150" s="62">
        <f t="shared" si="81"/>
        <v>2034</v>
      </c>
      <c r="Q150" s="62">
        <f t="shared" si="81"/>
        <v>2035</v>
      </c>
      <c r="R150" s="62">
        <f t="shared" si="81"/>
        <v>2036</v>
      </c>
      <c r="S150" s="62">
        <f t="shared" si="81"/>
        <v>2037</v>
      </c>
      <c r="T150" s="62">
        <f t="shared" si="81"/>
        <v>2038</v>
      </c>
      <c r="U150" s="62">
        <f t="shared" si="81"/>
        <v>2039</v>
      </c>
      <c r="V150" s="62">
        <f t="shared" si="81"/>
        <v>2040</v>
      </c>
      <c r="W150" s="62">
        <f t="shared" si="81"/>
        <v>2041</v>
      </c>
      <c r="X150" s="62">
        <f t="shared" si="81"/>
        <v>2042</v>
      </c>
      <c r="Y150" s="62">
        <f t="shared" si="81"/>
        <v>2043</v>
      </c>
      <c r="Z150" s="62">
        <f t="shared" si="81"/>
        <v>2044</v>
      </c>
      <c r="AA150" s="62">
        <f t="shared" si="81"/>
        <v>2045</v>
      </c>
      <c r="AB150" s="62">
        <f t="shared" si="81"/>
        <v>2046</v>
      </c>
      <c r="AC150" s="62">
        <f t="shared" si="81"/>
        <v>2047</v>
      </c>
      <c r="AD150" s="62">
        <f t="shared" si="81"/>
        <v>2048</v>
      </c>
      <c r="AE150" s="62">
        <f t="shared" si="81"/>
        <v>2049</v>
      </c>
      <c r="AF150" s="62">
        <f t="shared" si="81"/>
        <v>2050</v>
      </c>
      <c r="AG150" s="62">
        <f t="shared" ref="AG150:AZ150" si="82">AF150+1</f>
        <v>2051</v>
      </c>
      <c r="AH150" s="62">
        <f t="shared" si="82"/>
        <v>2052</v>
      </c>
      <c r="AI150" s="62">
        <f t="shared" si="82"/>
        <v>2053</v>
      </c>
      <c r="AJ150" s="62">
        <f t="shared" si="82"/>
        <v>2054</v>
      </c>
      <c r="AK150" s="62">
        <f t="shared" si="82"/>
        <v>2055</v>
      </c>
      <c r="AL150" s="62">
        <f t="shared" si="82"/>
        <v>2056</v>
      </c>
      <c r="AM150" s="62">
        <f t="shared" si="82"/>
        <v>2057</v>
      </c>
      <c r="AN150" s="62">
        <f t="shared" si="82"/>
        <v>2058</v>
      </c>
      <c r="AO150" s="62">
        <f t="shared" si="82"/>
        <v>2059</v>
      </c>
      <c r="AP150" s="62">
        <f t="shared" si="82"/>
        <v>2060</v>
      </c>
      <c r="AQ150" s="62">
        <f t="shared" si="82"/>
        <v>2061</v>
      </c>
      <c r="AR150" s="62">
        <f t="shared" si="82"/>
        <v>2062</v>
      </c>
      <c r="AS150" s="62">
        <f t="shared" si="82"/>
        <v>2063</v>
      </c>
      <c r="AT150" s="62">
        <f t="shared" si="82"/>
        <v>2064</v>
      </c>
      <c r="AU150" s="62">
        <f t="shared" si="82"/>
        <v>2065</v>
      </c>
      <c r="AV150" s="62">
        <f t="shared" si="82"/>
        <v>2066</v>
      </c>
      <c r="AW150" s="62">
        <f t="shared" si="82"/>
        <v>2067</v>
      </c>
      <c r="AX150" s="62">
        <f t="shared" si="82"/>
        <v>2068</v>
      </c>
      <c r="AY150" s="62">
        <f t="shared" si="82"/>
        <v>2069</v>
      </c>
      <c r="AZ150" s="62">
        <f t="shared" si="82"/>
        <v>2070</v>
      </c>
    </row>
    <row r="151" spans="1:52" x14ac:dyDescent="0.25">
      <c r="A151" s="30" t="s">
        <v>130</v>
      </c>
      <c r="B151" s="55" t="s">
        <v>131</v>
      </c>
      <c r="C151" s="63"/>
      <c r="D151" s="63"/>
      <c r="E151" s="63"/>
      <c r="F151" s="63"/>
      <c r="H151" s="140"/>
      <c r="I151" s="140"/>
      <c r="J151" s="140"/>
      <c r="K151" s="140"/>
      <c r="L151" s="140"/>
      <c r="M151" s="140"/>
      <c r="N151" s="140"/>
      <c r="O151" s="140"/>
      <c r="P151" s="140"/>
      <c r="Q151" s="140"/>
      <c r="R151" s="140"/>
      <c r="S151" s="140"/>
      <c r="T151" s="140"/>
      <c r="U151" s="140"/>
      <c r="V151" s="140"/>
      <c r="W151" s="141"/>
      <c r="X151" s="141"/>
      <c r="Y151" s="141"/>
      <c r="Z151" s="141"/>
      <c r="AA151" s="141"/>
      <c r="AB151" s="141"/>
      <c r="AC151" s="141"/>
      <c r="AD151" s="141"/>
      <c r="AE151" s="141"/>
      <c r="AF151" s="141"/>
      <c r="AG151" s="141"/>
      <c r="AH151" s="141"/>
      <c r="AI151" s="141"/>
      <c r="AJ151" s="141"/>
      <c r="AK151" s="141"/>
      <c r="AL151" s="141"/>
      <c r="AM151" s="141"/>
      <c r="AN151" s="141"/>
      <c r="AO151" s="141"/>
      <c r="AP151" s="141"/>
      <c r="AQ151" s="141"/>
      <c r="AR151" s="141"/>
      <c r="AS151" s="141"/>
      <c r="AT151" s="141"/>
      <c r="AU151" s="141"/>
      <c r="AV151" s="141"/>
      <c r="AW151" s="141"/>
      <c r="AX151" s="141"/>
      <c r="AY151" s="141"/>
      <c r="AZ151" s="141"/>
    </row>
    <row r="152" spans="1:52" x14ac:dyDescent="0.25">
      <c r="A152" s="4"/>
      <c r="B152" s="55" t="s">
        <v>132</v>
      </c>
      <c r="C152" s="63"/>
      <c r="D152" s="63"/>
      <c r="E152" s="63"/>
      <c r="F152" s="63"/>
      <c r="H152" s="140"/>
      <c r="I152" s="140"/>
      <c r="J152" s="140"/>
      <c r="K152" s="140"/>
      <c r="L152" s="140"/>
      <c r="M152" s="140"/>
      <c r="N152" s="140"/>
      <c r="O152" s="140"/>
      <c r="P152" s="140"/>
      <c r="Q152" s="140"/>
      <c r="R152" s="140"/>
      <c r="S152" s="140"/>
      <c r="T152" s="140"/>
      <c r="U152" s="140"/>
      <c r="V152" s="140"/>
      <c r="W152" s="140"/>
      <c r="X152" s="140"/>
      <c r="Y152" s="140"/>
      <c r="Z152" s="140"/>
      <c r="AA152" s="140"/>
      <c r="AB152" s="140"/>
      <c r="AC152" s="140"/>
      <c r="AD152" s="140"/>
      <c r="AE152" s="140"/>
      <c r="AF152" s="140"/>
      <c r="AG152" s="140"/>
      <c r="AH152" s="140"/>
      <c r="AI152" s="140"/>
      <c r="AJ152" s="140"/>
      <c r="AK152" s="140"/>
      <c r="AL152" s="140"/>
      <c r="AM152" s="140"/>
      <c r="AN152" s="140"/>
      <c r="AO152" s="140"/>
      <c r="AP152" s="140"/>
      <c r="AQ152" s="140"/>
      <c r="AR152" s="140"/>
      <c r="AS152" s="140"/>
      <c r="AT152" s="140"/>
      <c r="AU152" s="140"/>
      <c r="AV152" s="140"/>
      <c r="AW152" s="140"/>
      <c r="AX152" s="140"/>
      <c r="AY152" s="140"/>
      <c r="AZ152" s="140"/>
    </row>
    <row r="153" spans="1:52" x14ac:dyDescent="0.25">
      <c r="A153" s="4"/>
      <c r="B153" s="55" t="s">
        <v>133</v>
      </c>
      <c r="C153" s="63"/>
      <c r="D153" s="63"/>
      <c r="E153" s="63"/>
      <c r="F153" s="63"/>
      <c r="H153" s="140">
        <f>H151-H152</f>
        <v>0</v>
      </c>
      <c r="I153" s="140">
        <f t="shared" ref="I153:AF153" si="83">H153+I151-I152</f>
        <v>0</v>
      </c>
      <c r="J153" s="140">
        <f t="shared" si="83"/>
        <v>0</v>
      </c>
      <c r="K153" s="140">
        <f t="shared" si="83"/>
        <v>0</v>
      </c>
      <c r="L153" s="140">
        <f t="shared" si="83"/>
        <v>0</v>
      </c>
      <c r="M153" s="140">
        <f t="shared" si="83"/>
        <v>0</v>
      </c>
      <c r="N153" s="140">
        <f t="shared" si="83"/>
        <v>0</v>
      </c>
      <c r="O153" s="140">
        <f t="shared" si="83"/>
        <v>0</v>
      </c>
      <c r="P153" s="140">
        <f t="shared" si="83"/>
        <v>0</v>
      </c>
      <c r="Q153" s="140">
        <f t="shared" si="83"/>
        <v>0</v>
      </c>
      <c r="R153" s="140">
        <f t="shared" si="83"/>
        <v>0</v>
      </c>
      <c r="S153" s="140">
        <f t="shared" si="83"/>
        <v>0</v>
      </c>
      <c r="T153" s="140">
        <f t="shared" si="83"/>
        <v>0</v>
      </c>
      <c r="U153" s="140">
        <f t="shared" si="83"/>
        <v>0</v>
      </c>
      <c r="V153" s="140">
        <f t="shared" si="83"/>
        <v>0</v>
      </c>
      <c r="W153" s="140">
        <f t="shared" si="83"/>
        <v>0</v>
      </c>
      <c r="X153" s="140">
        <f t="shared" si="83"/>
        <v>0</v>
      </c>
      <c r="Y153" s="140">
        <f t="shared" si="83"/>
        <v>0</v>
      </c>
      <c r="Z153" s="140">
        <f t="shared" si="83"/>
        <v>0</v>
      </c>
      <c r="AA153" s="140">
        <f t="shared" si="83"/>
        <v>0</v>
      </c>
      <c r="AB153" s="140">
        <f t="shared" si="83"/>
        <v>0</v>
      </c>
      <c r="AC153" s="140">
        <f t="shared" si="83"/>
        <v>0</v>
      </c>
      <c r="AD153" s="140">
        <f t="shared" si="83"/>
        <v>0</v>
      </c>
      <c r="AE153" s="140">
        <f t="shared" si="83"/>
        <v>0</v>
      </c>
      <c r="AF153" s="140">
        <f t="shared" si="83"/>
        <v>0</v>
      </c>
      <c r="AG153" s="140">
        <f t="shared" ref="AG153:AZ153" si="84">AF153+AG151-AG152</f>
        <v>0</v>
      </c>
      <c r="AH153" s="140">
        <f t="shared" si="84"/>
        <v>0</v>
      </c>
      <c r="AI153" s="140">
        <f t="shared" si="84"/>
        <v>0</v>
      </c>
      <c r="AJ153" s="140">
        <f t="shared" si="84"/>
        <v>0</v>
      </c>
      <c r="AK153" s="140">
        <f t="shared" si="84"/>
        <v>0</v>
      </c>
      <c r="AL153" s="140">
        <f t="shared" si="84"/>
        <v>0</v>
      </c>
      <c r="AM153" s="140">
        <f t="shared" si="84"/>
        <v>0</v>
      </c>
      <c r="AN153" s="140">
        <f t="shared" si="84"/>
        <v>0</v>
      </c>
      <c r="AO153" s="140">
        <f t="shared" si="84"/>
        <v>0</v>
      </c>
      <c r="AP153" s="140">
        <f t="shared" si="84"/>
        <v>0</v>
      </c>
      <c r="AQ153" s="140">
        <f t="shared" si="84"/>
        <v>0</v>
      </c>
      <c r="AR153" s="140">
        <f t="shared" si="84"/>
        <v>0</v>
      </c>
      <c r="AS153" s="140">
        <f t="shared" si="84"/>
        <v>0</v>
      </c>
      <c r="AT153" s="140">
        <f t="shared" si="84"/>
        <v>0</v>
      </c>
      <c r="AU153" s="140">
        <f t="shared" si="84"/>
        <v>0</v>
      </c>
      <c r="AV153" s="140">
        <f t="shared" si="84"/>
        <v>0</v>
      </c>
      <c r="AW153" s="140">
        <f t="shared" si="84"/>
        <v>0</v>
      </c>
      <c r="AX153" s="140">
        <f t="shared" si="84"/>
        <v>0</v>
      </c>
      <c r="AY153" s="140">
        <f t="shared" si="84"/>
        <v>0</v>
      </c>
      <c r="AZ153" s="140">
        <f t="shared" si="84"/>
        <v>0</v>
      </c>
    </row>
    <row r="154" spans="1:52" x14ac:dyDescent="0.25">
      <c r="A154" s="4"/>
      <c r="B154" s="55" t="s">
        <v>134</v>
      </c>
      <c r="C154" s="63"/>
      <c r="D154" s="63"/>
      <c r="E154" s="63"/>
      <c r="F154" s="63"/>
      <c r="H154" s="140"/>
      <c r="I154" s="140"/>
      <c r="J154" s="140"/>
      <c r="K154" s="140"/>
      <c r="L154" s="140"/>
      <c r="M154" s="140"/>
      <c r="N154" s="140"/>
      <c r="O154" s="140"/>
      <c r="P154" s="140"/>
      <c r="Q154" s="140"/>
      <c r="R154" s="140"/>
      <c r="S154" s="140"/>
      <c r="T154" s="140"/>
      <c r="U154" s="140"/>
      <c r="V154" s="140"/>
      <c r="W154" s="140"/>
      <c r="X154" s="140"/>
      <c r="Y154" s="140"/>
      <c r="Z154" s="140"/>
      <c r="AA154" s="140"/>
      <c r="AB154" s="140"/>
      <c r="AC154" s="140"/>
      <c r="AD154" s="140"/>
      <c r="AE154" s="140"/>
      <c r="AF154" s="140"/>
      <c r="AG154" s="140"/>
      <c r="AH154" s="140"/>
      <c r="AI154" s="140"/>
      <c r="AJ154" s="140"/>
      <c r="AK154" s="140"/>
      <c r="AL154" s="140"/>
      <c r="AM154" s="140"/>
      <c r="AN154" s="140"/>
      <c r="AO154" s="140"/>
      <c r="AP154" s="140"/>
      <c r="AQ154" s="140"/>
      <c r="AR154" s="140"/>
      <c r="AS154" s="140"/>
      <c r="AT154" s="140"/>
      <c r="AU154" s="140"/>
      <c r="AV154" s="140"/>
      <c r="AW154" s="140"/>
      <c r="AX154" s="140"/>
      <c r="AY154" s="140"/>
      <c r="AZ154" s="140"/>
    </row>
    <row r="155" spans="1:52" x14ac:dyDescent="0.25">
      <c r="A155" s="4"/>
      <c r="B155" s="55" t="s">
        <v>135</v>
      </c>
      <c r="C155" s="63"/>
      <c r="D155" s="63"/>
      <c r="E155" s="63"/>
      <c r="F155" s="63"/>
      <c r="H155" s="140"/>
      <c r="I155" s="140"/>
      <c r="J155" s="140"/>
      <c r="K155" s="140"/>
      <c r="L155" s="140"/>
      <c r="M155" s="140"/>
      <c r="N155" s="140"/>
      <c r="O155" s="140"/>
      <c r="P155" s="140"/>
      <c r="Q155" s="140"/>
      <c r="R155" s="140"/>
      <c r="S155" s="140"/>
      <c r="T155" s="140"/>
      <c r="U155" s="140"/>
      <c r="V155" s="140"/>
      <c r="W155" s="140"/>
      <c r="X155" s="140"/>
      <c r="Y155" s="140"/>
      <c r="Z155" s="140"/>
      <c r="AA155" s="140"/>
      <c r="AB155" s="140"/>
      <c r="AC155" s="140"/>
      <c r="AD155" s="140"/>
      <c r="AE155" s="140"/>
      <c r="AF155" s="140"/>
      <c r="AG155" s="140"/>
      <c r="AH155" s="140"/>
      <c r="AI155" s="140"/>
      <c r="AJ155" s="140"/>
      <c r="AK155" s="140"/>
      <c r="AL155" s="140"/>
      <c r="AM155" s="140"/>
      <c r="AN155" s="140"/>
      <c r="AO155" s="140"/>
      <c r="AP155" s="140"/>
      <c r="AQ155" s="140"/>
      <c r="AR155" s="140"/>
      <c r="AS155" s="140"/>
      <c r="AT155" s="140"/>
      <c r="AU155" s="140"/>
      <c r="AV155" s="140"/>
      <c r="AW155" s="140"/>
      <c r="AX155" s="140"/>
      <c r="AY155" s="140"/>
      <c r="AZ155" s="140"/>
    </row>
    <row r="156" spans="1:52" x14ac:dyDescent="0.25">
      <c r="A156" s="4"/>
      <c r="B156" s="20" t="s">
        <v>136</v>
      </c>
      <c r="C156" s="20"/>
      <c r="D156" s="20"/>
      <c r="E156" s="20"/>
      <c r="F156" s="20"/>
      <c r="G156" s="4"/>
      <c r="H156" s="142">
        <f>H154+H155</f>
        <v>0</v>
      </c>
      <c r="I156" s="142">
        <f t="shared" ref="I156:AF156" si="85">I154+I155</f>
        <v>0</v>
      </c>
      <c r="J156" s="142">
        <f t="shared" si="85"/>
        <v>0</v>
      </c>
      <c r="K156" s="142">
        <f t="shared" si="85"/>
        <v>0</v>
      </c>
      <c r="L156" s="142">
        <f t="shared" si="85"/>
        <v>0</v>
      </c>
      <c r="M156" s="142">
        <f t="shared" si="85"/>
        <v>0</v>
      </c>
      <c r="N156" s="142">
        <f t="shared" si="85"/>
        <v>0</v>
      </c>
      <c r="O156" s="142">
        <f t="shared" si="85"/>
        <v>0</v>
      </c>
      <c r="P156" s="142">
        <f t="shared" si="85"/>
        <v>0</v>
      </c>
      <c r="Q156" s="142">
        <f t="shared" si="85"/>
        <v>0</v>
      </c>
      <c r="R156" s="142">
        <f t="shared" si="85"/>
        <v>0</v>
      </c>
      <c r="S156" s="142">
        <f t="shared" si="85"/>
        <v>0</v>
      </c>
      <c r="T156" s="142">
        <f t="shared" si="85"/>
        <v>0</v>
      </c>
      <c r="U156" s="142">
        <f t="shared" si="85"/>
        <v>0</v>
      </c>
      <c r="V156" s="142">
        <f t="shared" si="85"/>
        <v>0</v>
      </c>
      <c r="W156" s="142">
        <f t="shared" si="85"/>
        <v>0</v>
      </c>
      <c r="X156" s="142">
        <f t="shared" si="85"/>
        <v>0</v>
      </c>
      <c r="Y156" s="142">
        <f t="shared" si="85"/>
        <v>0</v>
      </c>
      <c r="Z156" s="142">
        <f t="shared" si="85"/>
        <v>0</v>
      </c>
      <c r="AA156" s="142">
        <f t="shared" si="85"/>
        <v>0</v>
      </c>
      <c r="AB156" s="142">
        <f t="shared" si="85"/>
        <v>0</v>
      </c>
      <c r="AC156" s="142">
        <f t="shared" si="85"/>
        <v>0</v>
      </c>
      <c r="AD156" s="142">
        <f t="shared" si="85"/>
        <v>0</v>
      </c>
      <c r="AE156" s="142">
        <f t="shared" si="85"/>
        <v>0</v>
      </c>
      <c r="AF156" s="142">
        <f t="shared" si="85"/>
        <v>0</v>
      </c>
      <c r="AG156" s="142">
        <f t="shared" ref="AG156" si="86">AG154+AG155</f>
        <v>0</v>
      </c>
      <c r="AH156" s="142">
        <f t="shared" ref="AH156" si="87">AH154+AH155</f>
        <v>0</v>
      </c>
      <c r="AI156" s="142">
        <f t="shared" ref="AI156" si="88">AI154+AI155</f>
        <v>0</v>
      </c>
      <c r="AJ156" s="142">
        <f t="shared" ref="AJ156" si="89">AJ154+AJ155</f>
        <v>0</v>
      </c>
      <c r="AK156" s="142">
        <f t="shared" ref="AK156" si="90">AK154+AK155</f>
        <v>0</v>
      </c>
      <c r="AL156" s="142">
        <f t="shared" ref="AL156" si="91">AL154+AL155</f>
        <v>0</v>
      </c>
      <c r="AM156" s="142">
        <f t="shared" ref="AM156" si="92">AM154+AM155</f>
        <v>0</v>
      </c>
      <c r="AN156" s="142">
        <f t="shared" ref="AN156" si="93">AN154+AN155</f>
        <v>0</v>
      </c>
      <c r="AO156" s="142">
        <f t="shared" ref="AO156" si="94">AO154+AO155</f>
        <v>0</v>
      </c>
      <c r="AP156" s="142">
        <f t="shared" ref="AP156" si="95">AP154+AP155</f>
        <v>0</v>
      </c>
      <c r="AQ156" s="142">
        <f t="shared" ref="AQ156" si="96">AQ154+AQ155</f>
        <v>0</v>
      </c>
      <c r="AR156" s="142">
        <f t="shared" ref="AR156" si="97">AR154+AR155</f>
        <v>0</v>
      </c>
      <c r="AS156" s="142">
        <f t="shared" ref="AS156" si="98">AS154+AS155</f>
        <v>0</v>
      </c>
      <c r="AT156" s="142">
        <f t="shared" ref="AT156" si="99">AT154+AT155</f>
        <v>0</v>
      </c>
      <c r="AU156" s="142">
        <f t="shared" ref="AU156" si="100">AU154+AU155</f>
        <v>0</v>
      </c>
      <c r="AV156" s="142">
        <f t="shared" ref="AV156" si="101">AV154+AV155</f>
        <v>0</v>
      </c>
      <c r="AW156" s="142">
        <f t="shared" ref="AW156" si="102">AW154+AW155</f>
        <v>0</v>
      </c>
      <c r="AX156" s="142">
        <f t="shared" ref="AX156" si="103">AX154+AX155</f>
        <v>0</v>
      </c>
      <c r="AY156" s="142">
        <f t="shared" ref="AY156" si="104">AY154+AY155</f>
        <v>0</v>
      </c>
      <c r="AZ156" s="142">
        <f t="shared" ref="AZ156" si="105">AZ154+AZ155</f>
        <v>0</v>
      </c>
    </row>
    <row r="157" spans="1:52" x14ac:dyDescent="0.25">
      <c r="A157" s="4"/>
      <c r="B157" s="62" t="str">
        <f ca="1">"Costs of debt in "&amp;Analysis_year&amp;" dollars"</f>
        <v>Costs of debt in 2025 dollars</v>
      </c>
      <c r="C157" s="62"/>
      <c r="D157" s="62"/>
      <c r="E157" s="62"/>
      <c r="F157" s="62"/>
      <c r="G157" s="49"/>
      <c r="H157" s="143">
        <f t="shared" ref="H157:AZ157" si="106">H156/H10</f>
        <v>0</v>
      </c>
      <c r="I157" s="143">
        <f t="shared" si="106"/>
        <v>0</v>
      </c>
      <c r="J157" s="143">
        <f t="shared" si="106"/>
        <v>0</v>
      </c>
      <c r="K157" s="143">
        <f t="shared" si="106"/>
        <v>0</v>
      </c>
      <c r="L157" s="143">
        <f t="shared" si="106"/>
        <v>0</v>
      </c>
      <c r="M157" s="143">
        <f t="shared" si="106"/>
        <v>0</v>
      </c>
      <c r="N157" s="143">
        <f t="shared" si="106"/>
        <v>0</v>
      </c>
      <c r="O157" s="143">
        <f t="shared" si="106"/>
        <v>0</v>
      </c>
      <c r="P157" s="143">
        <f t="shared" si="106"/>
        <v>0</v>
      </c>
      <c r="Q157" s="143">
        <f t="shared" si="106"/>
        <v>0</v>
      </c>
      <c r="R157" s="143">
        <f t="shared" si="106"/>
        <v>0</v>
      </c>
      <c r="S157" s="143">
        <f t="shared" si="106"/>
        <v>0</v>
      </c>
      <c r="T157" s="143">
        <f t="shared" si="106"/>
        <v>0</v>
      </c>
      <c r="U157" s="143">
        <f t="shared" si="106"/>
        <v>0</v>
      </c>
      <c r="V157" s="143">
        <f t="shared" si="106"/>
        <v>0</v>
      </c>
      <c r="W157" s="143">
        <f t="shared" si="106"/>
        <v>0</v>
      </c>
      <c r="X157" s="143">
        <f t="shared" si="106"/>
        <v>0</v>
      </c>
      <c r="Y157" s="143">
        <f t="shared" si="106"/>
        <v>0</v>
      </c>
      <c r="Z157" s="143">
        <f t="shared" si="106"/>
        <v>0</v>
      </c>
      <c r="AA157" s="143">
        <f t="shared" si="106"/>
        <v>0</v>
      </c>
      <c r="AB157" s="143">
        <f t="shared" si="106"/>
        <v>0</v>
      </c>
      <c r="AC157" s="143">
        <f t="shared" si="106"/>
        <v>0</v>
      </c>
      <c r="AD157" s="143">
        <f t="shared" si="106"/>
        <v>0</v>
      </c>
      <c r="AE157" s="143">
        <f t="shared" si="106"/>
        <v>0</v>
      </c>
      <c r="AF157" s="143">
        <f t="shared" si="106"/>
        <v>0</v>
      </c>
      <c r="AG157" s="143">
        <f t="shared" si="106"/>
        <v>0</v>
      </c>
      <c r="AH157" s="143">
        <f t="shared" si="106"/>
        <v>0</v>
      </c>
      <c r="AI157" s="143">
        <f t="shared" si="106"/>
        <v>0</v>
      </c>
      <c r="AJ157" s="143">
        <f t="shared" si="106"/>
        <v>0</v>
      </c>
      <c r="AK157" s="143">
        <f t="shared" si="106"/>
        <v>0</v>
      </c>
      <c r="AL157" s="143">
        <f t="shared" si="106"/>
        <v>0</v>
      </c>
      <c r="AM157" s="143">
        <f t="shared" si="106"/>
        <v>0</v>
      </c>
      <c r="AN157" s="143">
        <f t="shared" si="106"/>
        <v>0</v>
      </c>
      <c r="AO157" s="143">
        <f t="shared" si="106"/>
        <v>0</v>
      </c>
      <c r="AP157" s="143">
        <f t="shared" si="106"/>
        <v>0</v>
      </c>
      <c r="AQ157" s="143">
        <f t="shared" si="106"/>
        <v>0</v>
      </c>
      <c r="AR157" s="143">
        <f t="shared" si="106"/>
        <v>0</v>
      </c>
      <c r="AS157" s="143">
        <f t="shared" si="106"/>
        <v>0</v>
      </c>
      <c r="AT157" s="143">
        <f t="shared" si="106"/>
        <v>0</v>
      </c>
      <c r="AU157" s="143">
        <f t="shared" si="106"/>
        <v>0</v>
      </c>
      <c r="AV157" s="143">
        <f t="shared" si="106"/>
        <v>0</v>
      </c>
      <c r="AW157" s="143">
        <f t="shared" si="106"/>
        <v>0</v>
      </c>
      <c r="AX157" s="143">
        <f t="shared" si="106"/>
        <v>0</v>
      </c>
      <c r="AY157" s="143">
        <f t="shared" si="106"/>
        <v>0</v>
      </c>
      <c r="AZ157" s="143">
        <f t="shared" si="106"/>
        <v>0</v>
      </c>
    </row>
    <row r="158" spans="1:52" x14ac:dyDescent="0.25">
      <c r="A158" s="4"/>
      <c r="B158" s="20" t="s">
        <v>137</v>
      </c>
      <c r="C158" s="20"/>
      <c r="D158" s="20"/>
      <c r="E158" s="20"/>
      <c r="F158" s="20"/>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c r="AY158" s="86"/>
      <c r="AZ158" s="86"/>
    </row>
    <row r="159" spans="1:52" x14ac:dyDescent="0.25">
      <c r="A159" s="4"/>
      <c r="B159" s="62" t="s">
        <v>132</v>
      </c>
      <c r="C159" s="62"/>
      <c r="D159" s="62"/>
      <c r="E159" s="62"/>
      <c r="F159" s="62"/>
      <c r="G159" s="57"/>
      <c r="H159" s="183"/>
      <c r="I159" s="183"/>
      <c r="J159" s="183"/>
      <c r="K159" s="183"/>
      <c r="L159" s="183"/>
      <c r="M159" s="183"/>
      <c r="N159" s="183"/>
      <c r="O159" s="183"/>
      <c r="P159" s="183"/>
      <c r="Q159" s="183"/>
      <c r="R159" s="183"/>
      <c r="S159" s="183"/>
      <c r="T159" s="183"/>
      <c r="U159" s="183"/>
      <c r="V159" s="183"/>
      <c r="W159" s="183"/>
      <c r="X159" s="183"/>
      <c r="Y159" s="183"/>
      <c r="Z159" s="183"/>
      <c r="AA159" s="183"/>
      <c r="AB159" s="183"/>
      <c r="AC159" s="183"/>
      <c r="AD159" s="183"/>
      <c r="AE159" s="183"/>
      <c r="AF159" s="183"/>
      <c r="AG159" s="183"/>
      <c r="AH159" s="183"/>
      <c r="AI159" s="183"/>
      <c r="AJ159" s="183"/>
      <c r="AK159" s="183"/>
      <c r="AL159" s="183"/>
      <c r="AM159" s="183"/>
      <c r="AN159" s="183"/>
      <c r="AO159" s="183"/>
      <c r="AP159" s="183"/>
      <c r="AQ159" s="183"/>
      <c r="AR159" s="183"/>
      <c r="AS159" s="183"/>
      <c r="AT159" s="183"/>
      <c r="AU159" s="183"/>
      <c r="AV159" s="183"/>
      <c r="AW159" s="183"/>
      <c r="AX159" s="183"/>
      <c r="AY159" s="183"/>
      <c r="AZ159" s="183"/>
    </row>
    <row r="160" spans="1:52" x14ac:dyDescent="0.25">
      <c r="A160" s="4"/>
      <c r="B160" s="4"/>
      <c r="C160" s="4"/>
      <c r="D160" s="4"/>
      <c r="E160" s="4"/>
      <c r="F160" s="4"/>
      <c r="G160" s="4"/>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row>
    <row r="161" spans="1:52" x14ac:dyDescent="0.25">
      <c r="A161" s="50" t="s">
        <v>61</v>
      </c>
      <c r="B161" s="47" t="s">
        <v>129</v>
      </c>
      <c r="C161" s="54"/>
      <c r="D161" s="54"/>
      <c r="E161" s="54"/>
      <c r="F161" s="54"/>
      <c r="G161" s="51" t="s">
        <v>52</v>
      </c>
      <c r="H161" s="49">
        <f>Start_Yr</f>
        <v>2026</v>
      </c>
      <c r="I161" s="49">
        <f>H161+1</f>
        <v>2027</v>
      </c>
      <c r="J161" s="49">
        <f t="shared" ref="J161:AF161" si="107">I161+1</f>
        <v>2028</v>
      </c>
      <c r="K161" s="49">
        <f t="shared" si="107"/>
        <v>2029</v>
      </c>
      <c r="L161" s="49">
        <f t="shared" si="107"/>
        <v>2030</v>
      </c>
      <c r="M161" s="49">
        <f t="shared" si="107"/>
        <v>2031</v>
      </c>
      <c r="N161" s="49">
        <f t="shared" si="107"/>
        <v>2032</v>
      </c>
      <c r="O161" s="49">
        <f t="shared" si="107"/>
        <v>2033</v>
      </c>
      <c r="P161" s="49">
        <f t="shared" si="107"/>
        <v>2034</v>
      </c>
      <c r="Q161" s="49">
        <f t="shared" si="107"/>
        <v>2035</v>
      </c>
      <c r="R161" s="49">
        <f t="shared" si="107"/>
        <v>2036</v>
      </c>
      <c r="S161" s="49">
        <f t="shared" si="107"/>
        <v>2037</v>
      </c>
      <c r="T161" s="49">
        <f t="shared" si="107"/>
        <v>2038</v>
      </c>
      <c r="U161" s="49">
        <f t="shared" si="107"/>
        <v>2039</v>
      </c>
      <c r="V161" s="49">
        <f t="shared" si="107"/>
        <v>2040</v>
      </c>
      <c r="W161" s="49">
        <f t="shared" si="107"/>
        <v>2041</v>
      </c>
      <c r="X161" s="49">
        <f t="shared" si="107"/>
        <v>2042</v>
      </c>
      <c r="Y161" s="49">
        <f t="shared" si="107"/>
        <v>2043</v>
      </c>
      <c r="Z161" s="49">
        <f t="shared" si="107"/>
        <v>2044</v>
      </c>
      <c r="AA161" s="49">
        <f t="shared" si="107"/>
        <v>2045</v>
      </c>
      <c r="AB161" s="49">
        <f t="shared" si="107"/>
        <v>2046</v>
      </c>
      <c r="AC161" s="49">
        <f t="shared" si="107"/>
        <v>2047</v>
      </c>
      <c r="AD161" s="49">
        <f t="shared" si="107"/>
        <v>2048</v>
      </c>
      <c r="AE161" s="49">
        <f t="shared" si="107"/>
        <v>2049</v>
      </c>
      <c r="AF161" s="49">
        <f t="shared" si="107"/>
        <v>2050</v>
      </c>
      <c r="AG161" s="49">
        <f t="shared" ref="AG161:AZ161" si="108">AF161+1</f>
        <v>2051</v>
      </c>
      <c r="AH161" s="49">
        <f t="shared" si="108"/>
        <v>2052</v>
      </c>
      <c r="AI161" s="49">
        <f t="shared" si="108"/>
        <v>2053</v>
      </c>
      <c r="AJ161" s="49">
        <f t="shared" si="108"/>
        <v>2054</v>
      </c>
      <c r="AK161" s="49">
        <f t="shared" si="108"/>
        <v>2055</v>
      </c>
      <c r="AL161" s="49">
        <f t="shared" si="108"/>
        <v>2056</v>
      </c>
      <c r="AM161" s="49">
        <f t="shared" si="108"/>
        <v>2057</v>
      </c>
      <c r="AN161" s="49">
        <f t="shared" si="108"/>
        <v>2058</v>
      </c>
      <c r="AO161" s="49">
        <f t="shared" si="108"/>
        <v>2059</v>
      </c>
      <c r="AP161" s="49">
        <f t="shared" si="108"/>
        <v>2060</v>
      </c>
      <c r="AQ161" s="49">
        <f t="shared" si="108"/>
        <v>2061</v>
      </c>
      <c r="AR161" s="49">
        <f t="shared" si="108"/>
        <v>2062</v>
      </c>
      <c r="AS161" s="49">
        <f t="shared" si="108"/>
        <v>2063</v>
      </c>
      <c r="AT161" s="49">
        <f t="shared" si="108"/>
        <v>2064</v>
      </c>
      <c r="AU161" s="49">
        <f t="shared" si="108"/>
        <v>2065</v>
      </c>
      <c r="AV161" s="49">
        <f t="shared" si="108"/>
        <v>2066</v>
      </c>
      <c r="AW161" s="49">
        <f t="shared" si="108"/>
        <v>2067</v>
      </c>
      <c r="AX161" s="49">
        <f t="shared" si="108"/>
        <v>2068</v>
      </c>
      <c r="AY161" s="49">
        <f t="shared" si="108"/>
        <v>2069</v>
      </c>
      <c r="AZ161" s="49">
        <f t="shared" si="108"/>
        <v>2070</v>
      </c>
    </row>
    <row r="162" spans="1:52" x14ac:dyDescent="0.25">
      <c r="A162" s="4"/>
      <c r="B162" s="56" t="s">
        <v>138</v>
      </c>
      <c r="C162" s="56"/>
      <c r="D162" s="56"/>
      <c r="E162" s="56"/>
      <c r="F162" s="56"/>
      <c r="H162" s="138"/>
      <c r="I162" s="138"/>
      <c r="J162" s="138"/>
      <c r="K162" s="138"/>
      <c r="L162" s="138"/>
      <c r="M162" s="138"/>
      <c r="N162" s="138"/>
      <c r="O162" s="138"/>
      <c r="P162" s="138"/>
      <c r="Q162" s="138"/>
      <c r="R162" s="138"/>
      <c r="S162" s="138"/>
      <c r="T162" s="138"/>
      <c r="U162" s="138"/>
      <c r="V162" s="138"/>
      <c r="W162" s="144"/>
      <c r="X162" s="144"/>
      <c r="Y162" s="144"/>
      <c r="Z162" s="144"/>
      <c r="AA162" s="144"/>
      <c r="AB162" s="144"/>
      <c r="AC162" s="144"/>
      <c r="AD162" s="144"/>
      <c r="AE162" s="144"/>
      <c r="AF162" s="144"/>
      <c r="AG162" s="144"/>
      <c r="AH162" s="144"/>
      <c r="AI162" s="144"/>
      <c r="AJ162" s="144"/>
      <c r="AK162" s="144"/>
      <c r="AL162" s="144"/>
      <c r="AM162" s="144"/>
      <c r="AN162" s="144"/>
      <c r="AO162" s="144"/>
      <c r="AP162" s="144"/>
      <c r="AQ162" s="144"/>
      <c r="AR162" s="144"/>
      <c r="AS162" s="144"/>
      <c r="AT162" s="144"/>
      <c r="AU162" s="144"/>
      <c r="AV162" s="144"/>
      <c r="AW162" s="144"/>
      <c r="AX162" s="144"/>
      <c r="AY162" s="144"/>
      <c r="AZ162" s="144"/>
    </row>
    <row r="163" spans="1:52" x14ac:dyDescent="0.25">
      <c r="A163" s="4"/>
      <c r="B163" s="56" t="s">
        <v>132</v>
      </c>
      <c r="C163" s="56"/>
      <c r="D163" s="56"/>
      <c r="E163" s="56"/>
      <c r="F163" s="56"/>
      <c r="H163" s="138"/>
      <c r="I163" s="138"/>
      <c r="J163" s="138"/>
      <c r="K163" s="138"/>
      <c r="L163" s="138"/>
      <c r="M163" s="138"/>
      <c r="N163" s="138"/>
      <c r="O163" s="138"/>
      <c r="P163" s="138"/>
      <c r="Q163" s="138"/>
      <c r="R163" s="138"/>
      <c r="S163" s="138"/>
      <c r="T163" s="138"/>
      <c r="U163" s="138"/>
      <c r="V163" s="138"/>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row>
    <row r="164" spans="1:52" x14ac:dyDescent="0.25">
      <c r="A164" s="4"/>
      <c r="B164" s="56" t="s">
        <v>139</v>
      </c>
      <c r="C164" s="56"/>
      <c r="D164" s="56"/>
      <c r="E164" s="56"/>
      <c r="F164" s="56"/>
      <c r="H164" s="138">
        <f>H162-H163</f>
        <v>0</v>
      </c>
      <c r="I164" s="138">
        <f>H164+I162-I163</f>
        <v>0</v>
      </c>
      <c r="J164" s="138">
        <f t="shared" ref="J164" si="109">I164+J162-J163</f>
        <v>0</v>
      </c>
      <c r="K164" s="138">
        <f t="shared" ref="K164" si="110">J164+K162-K163</f>
        <v>0</v>
      </c>
      <c r="L164" s="138">
        <f t="shared" ref="L164" si="111">K164+L162-L163</f>
        <v>0</v>
      </c>
      <c r="M164" s="138">
        <f t="shared" ref="M164" si="112">L164+M162-M163</f>
        <v>0</v>
      </c>
      <c r="N164" s="138">
        <f t="shared" ref="N164" si="113">M164+N162-N163</f>
        <v>0</v>
      </c>
      <c r="O164" s="138">
        <f t="shared" ref="O164" si="114">N164+O162-O163</f>
        <v>0</v>
      </c>
      <c r="P164" s="138">
        <f t="shared" ref="P164" si="115">O164+P162-P163</f>
        <v>0</v>
      </c>
      <c r="Q164" s="138">
        <f t="shared" ref="Q164" si="116">P164+Q162-Q163</f>
        <v>0</v>
      </c>
      <c r="R164" s="138">
        <f t="shared" ref="R164" si="117">Q164+R162-R163</f>
        <v>0</v>
      </c>
      <c r="S164" s="138">
        <f t="shared" ref="S164" si="118">R164+S162-S163</f>
        <v>0</v>
      </c>
      <c r="T164" s="138">
        <f t="shared" ref="T164" si="119">S164+T162-T163</f>
        <v>0</v>
      </c>
      <c r="U164" s="138">
        <f t="shared" ref="U164" si="120">T164+U162-U163</f>
        <v>0</v>
      </c>
      <c r="V164" s="138">
        <f t="shared" ref="V164" si="121">U164+V162-V163</f>
        <v>0</v>
      </c>
      <c r="W164" s="138">
        <f t="shared" ref="W164" si="122">V164+W162-W163</f>
        <v>0</v>
      </c>
      <c r="X164" s="138">
        <f t="shared" ref="X164" si="123">W164+X162-X163</f>
        <v>0</v>
      </c>
      <c r="Y164" s="138">
        <f t="shared" ref="Y164" si="124">X164+Y162-Y163</f>
        <v>0</v>
      </c>
      <c r="Z164" s="138">
        <f t="shared" ref="Z164" si="125">Y164+Z162-Z163</f>
        <v>0</v>
      </c>
      <c r="AA164" s="138">
        <f t="shared" ref="AA164" si="126">Z164+AA162-AA163</f>
        <v>0</v>
      </c>
      <c r="AB164" s="138">
        <f t="shared" ref="AB164" si="127">AA164+AB162-AB163</f>
        <v>0</v>
      </c>
      <c r="AC164" s="138">
        <f t="shared" ref="AC164" si="128">AB164+AC162-AC163</f>
        <v>0</v>
      </c>
      <c r="AD164" s="138">
        <f t="shared" ref="AD164" si="129">AC164+AD162-AD163</f>
        <v>0</v>
      </c>
      <c r="AE164" s="138">
        <f t="shared" ref="AE164" si="130">AD164+AE162-AE163</f>
        <v>0</v>
      </c>
      <c r="AF164" s="138">
        <f t="shared" ref="AF164" si="131">AE164+AF162-AF163</f>
        <v>0</v>
      </c>
      <c r="AG164" s="138">
        <f t="shared" ref="AG164" si="132">AF164+AG162-AG163</f>
        <v>0</v>
      </c>
      <c r="AH164" s="138">
        <f t="shared" ref="AH164" si="133">AG164+AH162-AH163</f>
        <v>0</v>
      </c>
      <c r="AI164" s="138">
        <f t="shared" ref="AI164" si="134">AH164+AI162-AI163</f>
        <v>0</v>
      </c>
      <c r="AJ164" s="138">
        <f t="shared" ref="AJ164" si="135">AI164+AJ162-AJ163</f>
        <v>0</v>
      </c>
      <c r="AK164" s="138">
        <f t="shared" ref="AK164" si="136">AJ164+AK162-AK163</f>
        <v>0</v>
      </c>
      <c r="AL164" s="138">
        <f t="shared" ref="AL164" si="137">AK164+AL162-AL163</f>
        <v>0</v>
      </c>
      <c r="AM164" s="138">
        <f t="shared" ref="AM164" si="138">AL164+AM162-AM163</f>
        <v>0</v>
      </c>
      <c r="AN164" s="138">
        <f t="shared" ref="AN164" si="139">AM164+AN162-AN163</f>
        <v>0</v>
      </c>
      <c r="AO164" s="138">
        <f t="shared" ref="AO164" si="140">AN164+AO162-AO163</f>
        <v>0</v>
      </c>
      <c r="AP164" s="138">
        <f t="shared" ref="AP164" si="141">AO164+AP162-AP163</f>
        <v>0</v>
      </c>
      <c r="AQ164" s="138">
        <f t="shared" ref="AQ164" si="142">AP164+AQ162-AQ163</f>
        <v>0</v>
      </c>
      <c r="AR164" s="138">
        <f t="shared" ref="AR164" si="143">AQ164+AR162-AR163</f>
        <v>0</v>
      </c>
      <c r="AS164" s="138">
        <f t="shared" ref="AS164" si="144">AR164+AS162-AS163</f>
        <v>0</v>
      </c>
      <c r="AT164" s="138">
        <f t="shared" ref="AT164" si="145">AS164+AT162-AT163</f>
        <v>0</v>
      </c>
      <c r="AU164" s="138">
        <f t="shared" ref="AU164" si="146">AT164+AU162-AU163</f>
        <v>0</v>
      </c>
      <c r="AV164" s="138">
        <f t="shared" ref="AV164" si="147">AU164+AV162-AV163</f>
        <v>0</v>
      </c>
      <c r="AW164" s="138">
        <f t="shared" ref="AW164" si="148">AV164+AW162-AW163</f>
        <v>0</v>
      </c>
      <c r="AX164" s="138">
        <f t="shared" ref="AX164" si="149">AW164+AX162-AX163</f>
        <v>0</v>
      </c>
      <c r="AY164" s="138">
        <f t="shared" ref="AY164" si="150">AX164+AY162-AY163</f>
        <v>0</v>
      </c>
      <c r="AZ164" s="138">
        <f t="shared" ref="AZ164" si="151">AY164+AZ162-AZ163</f>
        <v>0</v>
      </c>
    </row>
    <row r="165" spans="1:52" x14ac:dyDescent="0.25">
      <c r="A165" s="4"/>
      <c r="B165" s="56" t="s">
        <v>134</v>
      </c>
      <c r="C165" s="56"/>
      <c r="D165" s="56"/>
      <c r="E165" s="56"/>
      <c r="F165" s="56"/>
      <c r="H165" s="138"/>
      <c r="I165" s="138"/>
      <c r="J165" s="138"/>
      <c r="K165" s="138"/>
      <c r="L165" s="138"/>
      <c r="M165" s="138"/>
      <c r="N165" s="138"/>
      <c r="O165" s="138"/>
      <c r="P165" s="138"/>
      <c r="Q165" s="138"/>
      <c r="R165" s="138"/>
      <c r="S165" s="138"/>
      <c r="T165" s="138"/>
      <c r="U165" s="138"/>
      <c r="V165" s="138"/>
      <c r="W165" s="138"/>
      <c r="X165" s="138"/>
      <c r="Y165" s="138"/>
      <c r="Z165" s="138"/>
      <c r="AA165" s="138"/>
      <c r="AB165" s="138"/>
      <c r="AC165" s="138"/>
      <c r="AD165" s="138"/>
      <c r="AE165" s="138"/>
      <c r="AF165" s="138"/>
      <c r="AG165" s="138"/>
      <c r="AH165" s="138"/>
      <c r="AI165" s="138"/>
      <c r="AJ165" s="138"/>
      <c r="AK165" s="138"/>
      <c r="AL165" s="138"/>
      <c r="AM165" s="138"/>
      <c r="AN165" s="138"/>
      <c r="AO165" s="138"/>
      <c r="AP165" s="138"/>
      <c r="AQ165" s="138"/>
      <c r="AR165" s="138"/>
      <c r="AS165" s="138"/>
      <c r="AT165" s="138"/>
      <c r="AU165" s="138"/>
      <c r="AV165" s="138"/>
      <c r="AW165" s="138"/>
      <c r="AX165" s="138"/>
      <c r="AY165" s="138"/>
      <c r="AZ165" s="138"/>
    </row>
    <row r="166" spans="1:52" x14ac:dyDescent="0.25">
      <c r="A166" s="4"/>
      <c r="B166" s="56" t="s">
        <v>135</v>
      </c>
      <c r="C166" s="56"/>
      <c r="D166" s="56"/>
      <c r="E166" s="56"/>
      <c r="F166" s="56"/>
      <c r="H166" s="138"/>
      <c r="I166" s="138"/>
      <c r="J166" s="138"/>
      <c r="K166" s="138"/>
      <c r="L166" s="138"/>
      <c r="M166" s="138"/>
      <c r="N166" s="138"/>
      <c r="O166" s="138"/>
      <c r="P166" s="138"/>
      <c r="Q166" s="138"/>
      <c r="R166" s="138"/>
      <c r="S166" s="138"/>
      <c r="T166" s="138"/>
      <c r="U166" s="138"/>
      <c r="V166" s="138"/>
      <c r="W166" s="138"/>
      <c r="X166" s="138"/>
      <c r="Y166" s="138"/>
      <c r="Z166" s="138"/>
      <c r="AA166" s="138"/>
      <c r="AB166" s="138"/>
      <c r="AC166" s="138"/>
      <c r="AD166" s="138"/>
      <c r="AE166" s="138"/>
      <c r="AF166" s="138"/>
      <c r="AG166" s="138"/>
      <c r="AH166" s="138"/>
      <c r="AI166" s="138"/>
      <c r="AJ166" s="138"/>
      <c r="AK166" s="138"/>
      <c r="AL166" s="138"/>
      <c r="AM166" s="138"/>
      <c r="AN166" s="138"/>
      <c r="AO166" s="138"/>
      <c r="AP166" s="138"/>
      <c r="AQ166" s="138"/>
      <c r="AR166" s="138"/>
      <c r="AS166" s="138"/>
      <c r="AT166" s="138"/>
      <c r="AU166" s="138"/>
      <c r="AV166" s="138"/>
      <c r="AW166" s="138"/>
      <c r="AX166" s="138"/>
      <c r="AY166" s="138"/>
      <c r="AZ166" s="138"/>
    </row>
    <row r="167" spans="1:52" x14ac:dyDescent="0.25">
      <c r="A167" s="4"/>
      <c r="B167" s="9" t="s">
        <v>136</v>
      </c>
      <c r="C167" s="9"/>
      <c r="D167" s="9"/>
      <c r="E167" s="9"/>
      <c r="F167" s="9"/>
      <c r="G167" s="9"/>
      <c r="H167" s="145">
        <f>H165+H166</f>
        <v>0</v>
      </c>
      <c r="I167" s="145">
        <f t="shared" ref="I167" si="152">I165+I166</f>
        <v>0</v>
      </c>
      <c r="J167" s="145">
        <f t="shared" ref="J167" si="153">J165+J166</f>
        <v>0</v>
      </c>
      <c r="K167" s="145">
        <f t="shared" ref="K167" si="154">K165+K166</f>
        <v>0</v>
      </c>
      <c r="L167" s="145">
        <f t="shared" ref="L167" si="155">L165+L166</f>
        <v>0</v>
      </c>
      <c r="M167" s="145">
        <f t="shared" ref="M167" si="156">M165+M166</f>
        <v>0</v>
      </c>
      <c r="N167" s="145">
        <f t="shared" ref="N167" si="157">N165+N166</f>
        <v>0</v>
      </c>
      <c r="O167" s="145">
        <f t="shared" ref="O167" si="158">O165+O166</f>
        <v>0</v>
      </c>
      <c r="P167" s="145">
        <f t="shared" ref="P167" si="159">P165+P166</f>
        <v>0</v>
      </c>
      <c r="Q167" s="145">
        <f t="shared" ref="Q167" si="160">Q165+Q166</f>
        <v>0</v>
      </c>
      <c r="R167" s="145">
        <f t="shared" ref="R167" si="161">R165+R166</f>
        <v>0</v>
      </c>
      <c r="S167" s="145">
        <f t="shared" ref="S167" si="162">S165+S166</f>
        <v>0</v>
      </c>
      <c r="T167" s="145">
        <f t="shared" ref="T167" si="163">T165+T166</f>
        <v>0</v>
      </c>
      <c r="U167" s="145">
        <f t="shared" ref="U167" si="164">U165+U166</f>
        <v>0</v>
      </c>
      <c r="V167" s="145">
        <f t="shared" ref="V167" si="165">V165+V166</f>
        <v>0</v>
      </c>
      <c r="W167" s="145">
        <f t="shared" ref="W167" si="166">W165+W166</f>
        <v>0</v>
      </c>
      <c r="X167" s="145">
        <f t="shared" ref="X167" si="167">X165+X166</f>
        <v>0</v>
      </c>
      <c r="Y167" s="145">
        <f t="shared" ref="Y167" si="168">Y165+Y166</f>
        <v>0</v>
      </c>
      <c r="Z167" s="145">
        <f t="shared" ref="Z167" si="169">Z165+Z166</f>
        <v>0</v>
      </c>
      <c r="AA167" s="145">
        <f t="shared" ref="AA167" si="170">AA165+AA166</f>
        <v>0</v>
      </c>
      <c r="AB167" s="145">
        <f t="shared" ref="AB167" si="171">AB165+AB166</f>
        <v>0</v>
      </c>
      <c r="AC167" s="145">
        <f t="shared" ref="AC167" si="172">AC165+AC166</f>
        <v>0</v>
      </c>
      <c r="AD167" s="145">
        <f t="shared" ref="AD167" si="173">AD165+AD166</f>
        <v>0</v>
      </c>
      <c r="AE167" s="145">
        <f t="shared" ref="AE167" si="174">AE165+AE166</f>
        <v>0</v>
      </c>
      <c r="AF167" s="145">
        <f t="shared" ref="AF167" si="175">AF165+AF166</f>
        <v>0</v>
      </c>
      <c r="AG167" s="145">
        <f t="shared" ref="AG167" si="176">AG165+AG166</f>
        <v>0</v>
      </c>
      <c r="AH167" s="145">
        <f t="shared" ref="AH167" si="177">AH165+AH166</f>
        <v>0</v>
      </c>
      <c r="AI167" s="145">
        <f t="shared" ref="AI167" si="178">AI165+AI166</f>
        <v>0</v>
      </c>
      <c r="AJ167" s="145">
        <f t="shared" ref="AJ167" si="179">AJ165+AJ166</f>
        <v>0</v>
      </c>
      <c r="AK167" s="145">
        <f t="shared" ref="AK167" si="180">AK165+AK166</f>
        <v>0</v>
      </c>
      <c r="AL167" s="145">
        <f t="shared" ref="AL167" si="181">AL165+AL166</f>
        <v>0</v>
      </c>
      <c r="AM167" s="145">
        <f t="shared" ref="AM167" si="182">AM165+AM166</f>
        <v>0</v>
      </c>
      <c r="AN167" s="145">
        <f t="shared" ref="AN167" si="183">AN165+AN166</f>
        <v>0</v>
      </c>
      <c r="AO167" s="145">
        <f t="shared" ref="AO167" si="184">AO165+AO166</f>
        <v>0</v>
      </c>
      <c r="AP167" s="145">
        <f t="shared" ref="AP167" si="185">AP165+AP166</f>
        <v>0</v>
      </c>
      <c r="AQ167" s="145">
        <f t="shared" ref="AQ167" si="186">AQ165+AQ166</f>
        <v>0</v>
      </c>
      <c r="AR167" s="145">
        <f t="shared" ref="AR167" si="187">AR165+AR166</f>
        <v>0</v>
      </c>
      <c r="AS167" s="145">
        <f t="shared" ref="AS167" si="188">AS165+AS166</f>
        <v>0</v>
      </c>
      <c r="AT167" s="145">
        <f t="shared" ref="AT167" si="189">AT165+AT166</f>
        <v>0</v>
      </c>
      <c r="AU167" s="145">
        <f t="shared" ref="AU167" si="190">AU165+AU166</f>
        <v>0</v>
      </c>
      <c r="AV167" s="145">
        <f t="shared" ref="AV167" si="191">AV165+AV166</f>
        <v>0</v>
      </c>
      <c r="AW167" s="145">
        <f t="shared" ref="AW167" si="192">AW165+AW166</f>
        <v>0</v>
      </c>
      <c r="AX167" s="145">
        <f t="shared" ref="AX167" si="193">AX165+AX166</f>
        <v>0</v>
      </c>
      <c r="AY167" s="145">
        <f t="shared" ref="AY167" si="194">AY165+AY166</f>
        <v>0</v>
      </c>
      <c r="AZ167" s="145">
        <f t="shared" ref="AZ167" si="195">AZ165+AZ166</f>
        <v>0</v>
      </c>
    </row>
    <row r="168" spans="1:52" x14ac:dyDescent="0.25">
      <c r="A168" s="4"/>
      <c r="B168" s="54" t="str">
        <f ca="1">"Costs of debt in "&amp;Analysis_year&amp;" dollars"</f>
        <v>Costs of debt in 2025 dollars</v>
      </c>
      <c r="C168" s="69"/>
      <c r="D168" s="69"/>
      <c r="E168" s="69"/>
      <c r="F168" s="69"/>
      <c r="G168" s="69"/>
      <c r="H168" s="182">
        <f t="shared" ref="H168:AZ168" si="196">H167/H10</f>
        <v>0</v>
      </c>
      <c r="I168" s="182">
        <f t="shared" si="196"/>
        <v>0</v>
      </c>
      <c r="J168" s="182">
        <f t="shared" si="196"/>
        <v>0</v>
      </c>
      <c r="K168" s="182">
        <f t="shared" si="196"/>
        <v>0</v>
      </c>
      <c r="L168" s="182">
        <f t="shared" si="196"/>
        <v>0</v>
      </c>
      <c r="M168" s="182">
        <f t="shared" si="196"/>
        <v>0</v>
      </c>
      <c r="N168" s="182">
        <f t="shared" si="196"/>
        <v>0</v>
      </c>
      <c r="O168" s="182">
        <f t="shared" si="196"/>
        <v>0</v>
      </c>
      <c r="P168" s="182">
        <f t="shared" si="196"/>
        <v>0</v>
      </c>
      <c r="Q168" s="182">
        <f t="shared" si="196"/>
        <v>0</v>
      </c>
      <c r="R168" s="182">
        <f t="shared" si="196"/>
        <v>0</v>
      </c>
      <c r="S168" s="182">
        <f t="shared" si="196"/>
        <v>0</v>
      </c>
      <c r="T168" s="182">
        <f t="shared" si="196"/>
        <v>0</v>
      </c>
      <c r="U168" s="182">
        <f t="shared" si="196"/>
        <v>0</v>
      </c>
      <c r="V168" s="182">
        <f t="shared" si="196"/>
        <v>0</v>
      </c>
      <c r="W168" s="182">
        <f t="shared" si="196"/>
        <v>0</v>
      </c>
      <c r="X168" s="182">
        <f t="shared" si="196"/>
        <v>0</v>
      </c>
      <c r="Y168" s="182">
        <f t="shared" si="196"/>
        <v>0</v>
      </c>
      <c r="Z168" s="182">
        <f t="shared" si="196"/>
        <v>0</v>
      </c>
      <c r="AA168" s="182">
        <f t="shared" si="196"/>
        <v>0</v>
      </c>
      <c r="AB168" s="182">
        <f t="shared" si="196"/>
        <v>0</v>
      </c>
      <c r="AC168" s="182">
        <f t="shared" si="196"/>
        <v>0</v>
      </c>
      <c r="AD168" s="182">
        <f t="shared" si="196"/>
        <v>0</v>
      </c>
      <c r="AE168" s="182">
        <f t="shared" si="196"/>
        <v>0</v>
      </c>
      <c r="AF168" s="182">
        <f t="shared" si="196"/>
        <v>0</v>
      </c>
      <c r="AG168" s="182">
        <f t="shared" si="196"/>
        <v>0</v>
      </c>
      <c r="AH168" s="182">
        <f t="shared" si="196"/>
        <v>0</v>
      </c>
      <c r="AI168" s="182">
        <f t="shared" si="196"/>
        <v>0</v>
      </c>
      <c r="AJ168" s="182">
        <f t="shared" si="196"/>
        <v>0</v>
      </c>
      <c r="AK168" s="182">
        <f t="shared" si="196"/>
        <v>0</v>
      </c>
      <c r="AL168" s="182">
        <f t="shared" si="196"/>
        <v>0</v>
      </c>
      <c r="AM168" s="182">
        <f t="shared" si="196"/>
        <v>0</v>
      </c>
      <c r="AN168" s="182">
        <f t="shared" si="196"/>
        <v>0</v>
      </c>
      <c r="AO168" s="182">
        <f t="shared" si="196"/>
        <v>0</v>
      </c>
      <c r="AP168" s="182">
        <f t="shared" si="196"/>
        <v>0</v>
      </c>
      <c r="AQ168" s="182">
        <f t="shared" si="196"/>
        <v>0</v>
      </c>
      <c r="AR168" s="182">
        <f t="shared" si="196"/>
        <v>0</v>
      </c>
      <c r="AS168" s="182">
        <f t="shared" si="196"/>
        <v>0</v>
      </c>
      <c r="AT168" s="182">
        <f t="shared" si="196"/>
        <v>0</v>
      </c>
      <c r="AU168" s="182">
        <f t="shared" si="196"/>
        <v>0</v>
      </c>
      <c r="AV168" s="182">
        <f t="shared" si="196"/>
        <v>0</v>
      </c>
      <c r="AW168" s="182">
        <f t="shared" si="196"/>
        <v>0</v>
      </c>
      <c r="AX168" s="182">
        <f t="shared" si="196"/>
        <v>0</v>
      </c>
      <c r="AY168" s="182">
        <f t="shared" si="196"/>
        <v>0</v>
      </c>
      <c r="AZ168" s="182">
        <f t="shared" si="196"/>
        <v>0</v>
      </c>
    </row>
    <row r="169" spans="1:52" x14ac:dyDescent="0.25">
      <c r="A169" s="4"/>
      <c r="B169" s="4"/>
      <c r="C169" s="6"/>
      <c r="D169" s="6"/>
      <c r="E169" s="6"/>
      <c r="F169" s="6"/>
      <c r="G169" s="6"/>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c r="AG169" s="42"/>
      <c r="AH169" s="42"/>
      <c r="AI169" s="42"/>
      <c r="AJ169" s="42"/>
      <c r="AK169" s="42"/>
      <c r="AL169" s="42"/>
      <c r="AM169" s="42"/>
      <c r="AN169" s="42"/>
      <c r="AO169" s="42"/>
      <c r="AP169" s="42"/>
      <c r="AQ169" s="42"/>
      <c r="AR169" s="42"/>
      <c r="AS169" s="42"/>
      <c r="AT169" s="42"/>
      <c r="AU169" s="42"/>
      <c r="AV169" s="42"/>
      <c r="AW169" s="42"/>
      <c r="AX169" s="42"/>
      <c r="AY169" s="42"/>
      <c r="AZ169" s="42"/>
    </row>
    <row r="170" spans="1:5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row>
    <row r="171" spans="1:52" ht="18.75" x14ac:dyDescent="0.3">
      <c r="A171" s="18" t="s">
        <v>140</v>
      </c>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row>
    <row r="172" spans="1:52" ht="109.35" customHeight="1" x14ac:dyDescent="0.3">
      <c r="A172" s="229" t="s">
        <v>141</v>
      </c>
      <c r="B172" s="229"/>
      <c r="C172" s="229"/>
      <c r="D172" s="229"/>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row>
    <row r="173" spans="1:52" ht="18.75" x14ac:dyDescent="0.3">
      <c r="A173" s="105"/>
      <c r="B173" s="4"/>
      <c r="C173" s="19"/>
      <c r="D173" s="19" t="s">
        <v>48</v>
      </c>
      <c r="E173" s="84" t="s">
        <v>65</v>
      </c>
      <c r="F173" s="21"/>
      <c r="G173" s="105"/>
      <c r="H173" s="10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row>
    <row r="174" spans="1:52" x14ac:dyDescent="0.25">
      <c r="A174" s="52" t="s">
        <v>50</v>
      </c>
      <c r="B174" s="49"/>
      <c r="C174" s="47"/>
      <c r="D174" s="147" t="s">
        <v>142</v>
      </c>
      <c r="E174" s="147" t="s">
        <v>48</v>
      </c>
      <c r="F174" s="147"/>
      <c r="G174" s="53" t="s">
        <v>52</v>
      </c>
      <c r="H174" s="62">
        <f>Start_Yr</f>
        <v>2026</v>
      </c>
      <c r="I174" s="62">
        <f>H174+1</f>
        <v>2027</v>
      </c>
      <c r="J174" s="62">
        <f t="shared" ref="J174:AZ174" si="197">I174+1</f>
        <v>2028</v>
      </c>
      <c r="K174" s="62">
        <f t="shared" si="197"/>
        <v>2029</v>
      </c>
      <c r="L174" s="62">
        <f t="shared" si="197"/>
        <v>2030</v>
      </c>
      <c r="M174" s="62">
        <f t="shared" si="197"/>
        <v>2031</v>
      </c>
      <c r="N174" s="62">
        <f t="shared" si="197"/>
        <v>2032</v>
      </c>
      <c r="O174" s="62">
        <f t="shared" si="197"/>
        <v>2033</v>
      </c>
      <c r="P174" s="62">
        <f t="shared" si="197"/>
        <v>2034</v>
      </c>
      <c r="Q174" s="62">
        <f t="shared" si="197"/>
        <v>2035</v>
      </c>
      <c r="R174" s="62">
        <f t="shared" si="197"/>
        <v>2036</v>
      </c>
      <c r="S174" s="62">
        <f t="shared" si="197"/>
        <v>2037</v>
      </c>
      <c r="T174" s="62">
        <f t="shared" si="197"/>
        <v>2038</v>
      </c>
      <c r="U174" s="62">
        <f t="shared" si="197"/>
        <v>2039</v>
      </c>
      <c r="V174" s="62">
        <f t="shared" si="197"/>
        <v>2040</v>
      </c>
      <c r="W174" s="62">
        <f t="shared" si="197"/>
        <v>2041</v>
      </c>
      <c r="X174" s="62">
        <f t="shared" si="197"/>
        <v>2042</v>
      </c>
      <c r="Y174" s="62">
        <f t="shared" si="197"/>
        <v>2043</v>
      </c>
      <c r="Z174" s="62">
        <f t="shared" si="197"/>
        <v>2044</v>
      </c>
      <c r="AA174" s="62">
        <f t="shared" si="197"/>
        <v>2045</v>
      </c>
      <c r="AB174" s="62">
        <f t="shared" si="197"/>
        <v>2046</v>
      </c>
      <c r="AC174" s="62">
        <f t="shared" si="197"/>
        <v>2047</v>
      </c>
      <c r="AD174" s="62">
        <f t="shared" si="197"/>
        <v>2048</v>
      </c>
      <c r="AE174" s="62">
        <f t="shared" si="197"/>
        <v>2049</v>
      </c>
      <c r="AF174" s="62">
        <f t="shared" si="197"/>
        <v>2050</v>
      </c>
      <c r="AG174" s="62">
        <f t="shared" si="197"/>
        <v>2051</v>
      </c>
      <c r="AH174" s="62">
        <f t="shared" si="197"/>
        <v>2052</v>
      </c>
      <c r="AI174" s="62">
        <f t="shared" si="197"/>
        <v>2053</v>
      </c>
      <c r="AJ174" s="62">
        <f t="shared" si="197"/>
        <v>2054</v>
      </c>
      <c r="AK174" s="62">
        <f t="shared" si="197"/>
        <v>2055</v>
      </c>
      <c r="AL174" s="62">
        <f t="shared" si="197"/>
        <v>2056</v>
      </c>
      <c r="AM174" s="62">
        <f t="shared" si="197"/>
        <v>2057</v>
      </c>
      <c r="AN174" s="62">
        <f t="shared" si="197"/>
        <v>2058</v>
      </c>
      <c r="AO174" s="62">
        <f t="shared" si="197"/>
        <v>2059</v>
      </c>
      <c r="AP174" s="62">
        <f t="shared" si="197"/>
        <v>2060</v>
      </c>
      <c r="AQ174" s="62">
        <f t="shared" si="197"/>
        <v>2061</v>
      </c>
      <c r="AR174" s="62">
        <f t="shared" si="197"/>
        <v>2062</v>
      </c>
      <c r="AS174" s="62">
        <f t="shared" si="197"/>
        <v>2063</v>
      </c>
      <c r="AT174" s="62">
        <f t="shared" si="197"/>
        <v>2064</v>
      </c>
      <c r="AU174" s="62">
        <f t="shared" si="197"/>
        <v>2065</v>
      </c>
      <c r="AV174" s="62">
        <f t="shared" si="197"/>
        <v>2066</v>
      </c>
      <c r="AW174" s="62">
        <f t="shared" si="197"/>
        <v>2067</v>
      </c>
      <c r="AX174" s="62">
        <f t="shared" si="197"/>
        <v>2068</v>
      </c>
      <c r="AY174" s="62">
        <f t="shared" si="197"/>
        <v>2069</v>
      </c>
      <c r="AZ174" s="62">
        <f t="shared" si="197"/>
        <v>2070</v>
      </c>
    </row>
    <row r="175" spans="1:52" x14ac:dyDescent="0.25">
      <c r="A175" s="25" t="str">
        <f>"Please provide data through to "&amp;FinalYear_PP</f>
        <v>Please provide data through to 2047</v>
      </c>
      <c r="B175" s="4"/>
      <c r="C175" s="55"/>
      <c r="D175" s="20" t="s">
        <v>143</v>
      </c>
      <c r="E175" s="20" t="str">
        <f>E173</f>
        <v>nominal</v>
      </c>
      <c r="F175" s="20"/>
      <c r="H175" s="80">
        <v>1000000</v>
      </c>
      <c r="I175" s="80">
        <v>1100000</v>
      </c>
      <c r="J175" s="80">
        <v>1100000</v>
      </c>
      <c r="K175" s="80">
        <v>1100000</v>
      </c>
      <c r="L175" s="80">
        <v>1100000</v>
      </c>
      <c r="M175" s="80">
        <v>1100000</v>
      </c>
      <c r="N175" s="80">
        <v>1100000</v>
      </c>
      <c r="O175" s="80">
        <v>1100000</v>
      </c>
      <c r="P175" s="80">
        <v>1100000</v>
      </c>
      <c r="Q175" s="80">
        <v>1100000</v>
      </c>
      <c r="R175" s="80">
        <v>1100000</v>
      </c>
      <c r="S175" s="80">
        <v>1100000</v>
      </c>
      <c r="T175" s="80">
        <v>1100000</v>
      </c>
      <c r="U175" s="80">
        <v>1100000</v>
      </c>
      <c r="V175" s="80">
        <v>1100000</v>
      </c>
      <c r="W175" s="80">
        <v>1100000</v>
      </c>
      <c r="X175" s="80">
        <v>1100000</v>
      </c>
      <c r="Y175" s="80">
        <v>1100000</v>
      </c>
      <c r="Z175" s="80">
        <v>1100000</v>
      </c>
      <c r="AA175" s="80">
        <v>1100000</v>
      </c>
      <c r="AB175" s="80">
        <v>1100000</v>
      </c>
      <c r="AC175" s="80">
        <v>1100000</v>
      </c>
      <c r="AD175" s="80"/>
      <c r="AE175" s="80"/>
      <c r="AF175" s="80"/>
      <c r="AG175" s="80"/>
      <c r="AH175" s="80"/>
      <c r="AI175" s="80"/>
      <c r="AJ175" s="80"/>
      <c r="AK175" s="80"/>
      <c r="AL175" s="80"/>
      <c r="AM175" s="80"/>
      <c r="AN175" s="80"/>
      <c r="AO175" s="80"/>
      <c r="AP175" s="80"/>
      <c r="AQ175" s="80"/>
      <c r="AR175" s="80"/>
      <c r="AS175" s="80"/>
      <c r="AT175" s="80"/>
      <c r="AU175" s="80"/>
      <c r="AV175" s="80"/>
      <c r="AW175" s="80"/>
      <c r="AX175" s="80"/>
      <c r="AY175" s="80"/>
      <c r="AZ175" s="80"/>
    </row>
    <row r="176" spans="1:52" x14ac:dyDescent="0.25">
      <c r="A176" s="4"/>
      <c r="B176" s="4"/>
      <c r="C176" s="4"/>
      <c r="D176" s="4"/>
      <c r="E176" s="4"/>
      <c r="F176" s="4"/>
      <c r="G176" s="4"/>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1"/>
      <c r="AG176" s="41"/>
      <c r="AH176" s="41"/>
      <c r="AI176" s="41"/>
      <c r="AJ176" s="41"/>
      <c r="AK176" s="41"/>
      <c r="AL176" s="41"/>
      <c r="AM176" s="41"/>
      <c r="AN176" s="41"/>
      <c r="AO176" s="41"/>
      <c r="AP176" s="41"/>
      <c r="AQ176" s="41"/>
      <c r="AR176" s="41"/>
      <c r="AS176" s="41"/>
      <c r="AT176" s="41"/>
      <c r="AU176" s="41"/>
      <c r="AV176" s="41"/>
      <c r="AW176" s="41"/>
      <c r="AX176" s="41"/>
      <c r="AY176" s="41"/>
      <c r="AZ176" s="41"/>
    </row>
    <row r="177" spans="1:52" x14ac:dyDescent="0.25">
      <c r="A177" s="50" t="s">
        <v>61</v>
      </c>
      <c r="B177" s="49"/>
      <c r="C177" s="50"/>
      <c r="D177" s="148" t="s">
        <v>142</v>
      </c>
      <c r="E177" s="148" t="s">
        <v>48</v>
      </c>
      <c r="F177" s="148"/>
      <c r="G177" s="51" t="s">
        <v>52</v>
      </c>
      <c r="H177" s="54">
        <f>Start_Yr</f>
        <v>2026</v>
      </c>
      <c r="I177" s="54">
        <f>H177+1</f>
        <v>2027</v>
      </c>
      <c r="J177" s="54">
        <f t="shared" ref="J177:AZ177" si="198">I177+1</f>
        <v>2028</v>
      </c>
      <c r="K177" s="54">
        <f t="shared" si="198"/>
        <v>2029</v>
      </c>
      <c r="L177" s="54">
        <f t="shared" si="198"/>
        <v>2030</v>
      </c>
      <c r="M177" s="54">
        <f t="shared" si="198"/>
        <v>2031</v>
      </c>
      <c r="N177" s="54">
        <f t="shared" si="198"/>
        <v>2032</v>
      </c>
      <c r="O177" s="54">
        <f t="shared" si="198"/>
        <v>2033</v>
      </c>
      <c r="P177" s="54">
        <f t="shared" si="198"/>
        <v>2034</v>
      </c>
      <c r="Q177" s="54">
        <f t="shared" si="198"/>
        <v>2035</v>
      </c>
      <c r="R177" s="54">
        <f t="shared" si="198"/>
        <v>2036</v>
      </c>
      <c r="S177" s="54">
        <f t="shared" si="198"/>
        <v>2037</v>
      </c>
      <c r="T177" s="54">
        <f t="shared" si="198"/>
        <v>2038</v>
      </c>
      <c r="U177" s="54">
        <f t="shared" si="198"/>
        <v>2039</v>
      </c>
      <c r="V177" s="54">
        <f t="shared" si="198"/>
        <v>2040</v>
      </c>
      <c r="W177" s="54">
        <f t="shared" si="198"/>
        <v>2041</v>
      </c>
      <c r="X177" s="54">
        <f t="shared" si="198"/>
        <v>2042</v>
      </c>
      <c r="Y177" s="54">
        <f t="shared" si="198"/>
        <v>2043</v>
      </c>
      <c r="Z177" s="54">
        <f t="shared" si="198"/>
        <v>2044</v>
      </c>
      <c r="AA177" s="54">
        <f t="shared" si="198"/>
        <v>2045</v>
      </c>
      <c r="AB177" s="54">
        <f t="shared" si="198"/>
        <v>2046</v>
      </c>
      <c r="AC177" s="54">
        <f t="shared" si="198"/>
        <v>2047</v>
      </c>
      <c r="AD177" s="54">
        <f t="shared" si="198"/>
        <v>2048</v>
      </c>
      <c r="AE177" s="54">
        <f t="shared" si="198"/>
        <v>2049</v>
      </c>
      <c r="AF177" s="54">
        <f t="shared" si="198"/>
        <v>2050</v>
      </c>
      <c r="AG177" s="54">
        <f t="shared" si="198"/>
        <v>2051</v>
      </c>
      <c r="AH177" s="54">
        <f t="shared" si="198"/>
        <v>2052</v>
      </c>
      <c r="AI177" s="54">
        <f t="shared" si="198"/>
        <v>2053</v>
      </c>
      <c r="AJ177" s="54">
        <f t="shared" si="198"/>
        <v>2054</v>
      </c>
      <c r="AK177" s="54">
        <f t="shared" si="198"/>
        <v>2055</v>
      </c>
      <c r="AL177" s="54">
        <f t="shared" si="198"/>
        <v>2056</v>
      </c>
      <c r="AM177" s="54">
        <f t="shared" si="198"/>
        <v>2057</v>
      </c>
      <c r="AN177" s="54">
        <f t="shared" si="198"/>
        <v>2058</v>
      </c>
      <c r="AO177" s="54">
        <f t="shared" si="198"/>
        <v>2059</v>
      </c>
      <c r="AP177" s="54">
        <f t="shared" si="198"/>
        <v>2060</v>
      </c>
      <c r="AQ177" s="54">
        <f t="shared" si="198"/>
        <v>2061</v>
      </c>
      <c r="AR177" s="54">
        <f t="shared" si="198"/>
        <v>2062</v>
      </c>
      <c r="AS177" s="54">
        <f t="shared" si="198"/>
        <v>2063</v>
      </c>
      <c r="AT177" s="54">
        <f t="shared" si="198"/>
        <v>2064</v>
      </c>
      <c r="AU177" s="54">
        <f t="shared" si="198"/>
        <v>2065</v>
      </c>
      <c r="AV177" s="54">
        <f t="shared" si="198"/>
        <v>2066</v>
      </c>
      <c r="AW177" s="54">
        <f t="shared" si="198"/>
        <v>2067</v>
      </c>
      <c r="AX177" s="54">
        <f t="shared" si="198"/>
        <v>2068</v>
      </c>
      <c r="AY177" s="54">
        <f t="shared" si="198"/>
        <v>2069</v>
      </c>
      <c r="AZ177" s="54">
        <f t="shared" si="198"/>
        <v>2070</v>
      </c>
    </row>
    <row r="178" spans="1:52" x14ac:dyDescent="0.25">
      <c r="A178" s="25" t="str">
        <f>"Please provide data through to "&amp;FinalYear_BC</f>
        <v>Please provide data through to 2047</v>
      </c>
      <c r="B178" s="4"/>
      <c r="C178" s="9"/>
      <c r="D178" s="9" t="s">
        <v>143</v>
      </c>
      <c r="E178" s="72" t="str">
        <f>E173</f>
        <v>nominal</v>
      </c>
      <c r="F178" s="72"/>
      <c r="H178" s="81">
        <v>1000000</v>
      </c>
      <c r="I178" s="81">
        <v>1000000</v>
      </c>
      <c r="J178" s="81">
        <v>1000000</v>
      </c>
      <c r="K178" s="81">
        <v>1000000</v>
      </c>
      <c r="L178" s="81">
        <v>1000000</v>
      </c>
      <c r="M178" s="81">
        <v>1000000</v>
      </c>
      <c r="N178" s="81">
        <v>1000000</v>
      </c>
      <c r="O178" s="81">
        <v>1000000</v>
      </c>
      <c r="P178" s="81">
        <v>1000000</v>
      </c>
      <c r="Q178" s="81">
        <v>1000000</v>
      </c>
      <c r="R178" s="81">
        <v>1000000</v>
      </c>
      <c r="S178" s="81">
        <v>1000000</v>
      </c>
      <c r="T178" s="81">
        <v>1000000</v>
      </c>
      <c r="U178" s="81">
        <v>1000000</v>
      </c>
      <c r="V178" s="81">
        <v>1000000</v>
      </c>
      <c r="W178" s="81">
        <v>1000000</v>
      </c>
      <c r="X178" s="81">
        <v>1000000</v>
      </c>
      <c r="Y178" s="81">
        <v>1000000</v>
      </c>
      <c r="Z178" s="81">
        <v>1000000</v>
      </c>
      <c r="AA178" s="81">
        <v>1000000</v>
      </c>
      <c r="AB178" s="81">
        <v>1000000</v>
      </c>
      <c r="AC178" s="81">
        <v>1000000</v>
      </c>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81"/>
      <c r="AZ178" s="81"/>
    </row>
    <row r="179" spans="1:52" x14ac:dyDescent="0.25">
      <c r="A179" s="26"/>
      <c r="B179" s="4"/>
      <c r="C179" s="9"/>
      <c r="D179" s="9"/>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c r="AM179" s="72"/>
      <c r="AN179" s="72"/>
      <c r="AO179" s="72"/>
      <c r="AP179" s="72"/>
      <c r="AQ179" s="72"/>
      <c r="AR179" s="72"/>
      <c r="AS179" s="72"/>
      <c r="AT179" s="72"/>
      <c r="AU179" s="72"/>
      <c r="AV179" s="72"/>
      <c r="AW179" s="72"/>
      <c r="AX179" s="72"/>
      <c r="AY179" s="72"/>
      <c r="AZ179" s="72"/>
    </row>
    <row r="180" spans="1:52" ht="18.75" x14ac:dyDescent="0.3">
      <c r="A180" s="18" t="s">
        <v>144</v>
      </c>
      <c r="B180" s="4"/>
      <c r="C180" s="26"/>
      <c r="D180" s="9"/>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c r="AM180" s="72"/>
      <c r="AN180" s="72"/>
      <c r="AO180" s="72"/>
      <c r="AP180" s="72"/>
      <c r="AQ180" s="72"/>
      <c r="AR180" s="72"/>
      <c r="AS180" s="72"/>
      <c r="AT180" s="72"/>
      <c r="AU180" s="72"/>
      <c r="AV180" s="72"/>
      <c r="AW180" s="72"/>
      <c r="AX180" s="72"/>
      <c r="AY180" s="72"/>
      <c r="AZ180" s="72"/>
    </row>
    <row r="181" spans="1:52" x14ac:dyDescent="0.25">
      <c r="A181" s="52" t="s">
        <v>50</v>
      </c>
      <c r="B181" s="49"/>
      <c r="C181" s="47"/>
      <c r="D181" s="47"/>
      <c r="E181" s="53" t="s">
        <v>48</v>
      </c>
      <c r="F181" s="53"/>
      <c r="G181" s="53" t="s">
        <v>52</v>
      </c>
      <c r="H181" s="49">
        <f>Start_Yr</f>
        <v>2026</v>
      </c>
      <c r="I181" s="49">
        <f>H181+1</f>
        <v>2027</v>
      </c>
      <c r="J181" s="49">
        <f t="shared" ref="J181:AF181" si="199">I181+1</f>
        <v>2028</v>
      </c>
      <c r="K181" s="49">
        <f t="shared" si="199"/>
        <v>2029</v>
      </c>
      <c r="L181" s="49">
        <f t="shared" si="199"/>
        <v>2030</v>
      </c>
      <c r="M181" s="49">
        <f t="shared" si="199"/>
        <v>2031</v>
      </c>
      <c r="N181" s="49">
        <f t="shared" si="199"/>
        <v>2032</v>
      </c>
      <c r="O181" s="49">
        <f t="shared" si="199"/>
        <v>2033</v>
      </c>
      <c r="P181" s="49">
        <f t="shared" si="199"/>
        <v>2034</v>
      </c>
      <c r="Q181" s="49">
        <f t="shared" si="199"/>
        <v>2035</v>
      </c>
      <c r="R181" s="49">
        <f t="shared" si="199"/>
        <v>2036</v>
      </c>
      <c r="S181" s="49">
        <f t="shared" si="199"/>
        <v>2037</v>
      </c>
      <c r="T181" s="49">
        <f t="shared" si="199"/>
        <v>2038</v>
      </c>
      <c r="U181" s="49">
        <f t="shared" si="199"/>
        <v>2039</v>
      </c>
      <c r="V181" s="49">
        <f t="shared" si="199"/>
        <v>2040</v>
      </c>
      <c r="W181" s="49">
        <f t="shared" si="199"/>
        <v>2041</v>
      </c>
      <c r="X181" s="49">
        <f t="shared" si="199"/>
        <v>2042</v>
      </c>
      <c r="Y181" s="49">
        <f t="shared" si="199"/>
        <v>2043</v>
      </c>
      <c r="Z181" s="49">
        <f t="shared" si="199"/>
        <v>2044</v>
      </c>
      <c r="AA181" s="49">
        <f t="shared" si="199"/>
        <v>2045</v>
      </c>
      <c r="AB181" s="49">
        <f t="shared" si="199"/>
        <v>2046</v>
      </c>
      <c r="AC181" s="49">
        <f t="shared" si="199"/>
        <v>2047</v>
      </c>
      <c r="AD181" s="49">
        <f t="shared" si="199"/>
        <v>2048</v>
      </c>
      <c r="AE181" s="49">
        <f t="shared" si="199"/>
        <v>2049</v>
      </c>
      <c r="AF181" s="49">
        <f t="shared" si="199"/>
        <v>2050</v>
      </c>
      <c r="AG181" s="49">
        <f t="shared" ref="AG181:AZ181" si="200">AF181+1</f>
        <v>2051</v>
      </c>
      <c r="AH181" s="49">
        <f t="shared" si="200"/>
        <v>2052</v>
      </c>
      <c r="AI181" s="49">
        <f t="shared" si="200"/>
        <v>2053</v>
      </c>
      <c r="AJ181" s="49">
        <f t="shared" si="200"/>
        <v>2054</v>
      </c>
      <c r="AK181" s="49">
        <f t="shared" si="200"/>
        <v>2055</v>
      </c>
      <c r="AL181" s="49">
        <f t="shared" si="200"/>
        <v>2056</v>
      </c>
      <c r="AM181" s="49">
        <f t="shared" si="200"/>
        <v>2057</v>
      </c>
      <c r="AN181" s="49">
        <f t="shared" si="200"/>
        <v>2058</v>
      </c>
      <c r="AO181" s="49">
        <f t="shared" si="200"/>
        <v>2059</v>
      </c>
      <c r="AP181" s="49">
        <f t="shared" si="200"/>
        <v>2060</v>
      </c>
      <c r="AQ181" s="49">
        <f t="shared" si="200"/>
        <v>2061</v>
      </c>
      <c r="AR181" s="49">
        <f t="shared" si="200"/>
        <v>2062</v>
      </c>
      <c r="AS181" s="49">
        <f t="shared" si="200"/>
        <v>2063</v>
      </c>
      <c r="AT181" s="49">
        <f t="shared" si="200"/>
        <v>2064</v>
      </c>
      <c r="AU181" s="49">
        <f t="shared" si="200"/>
        <v>2065</v>
      </c>
      <c r="AV181" s="49">
        <f t="shared" si="200"/>
        <v>2066</v>
      </c>
      <c r="AW181" s="49">
        <f t="shared" si="200"/>
        <v>2067</v>
      </c>
      <c r="AX181" s="49">
        <f t="shared" si="200"/>
        <v>2068</v>
      </c>
      <c r="AY181" s="49">
        <f t="shared" si="200"/>
        <v>2069</v>
      </c>
      <c r="AZ181" s="49">
        <f t="shared" si="200"/>
        <v>2070</v>
      </c>
    </row>
    <row r="182" spans="1:52" x14ac:dyDescent="0.25">
      <c r="A182" s="25" t="str">
        <f>"Please provide data through to "&amp;FinalYear_PP</f>
        <v>Please provide data through to 2047</v>
      </c>
      <c r="B182" s="4"/>
      <c r="C182" s="55" t="s">
        <v>145</v>
      </c>
      <c r="D182" s="9"/>
      <c r="E182" s="45" t="s">
        <v>49</v>
      </c>
      <c r="F182" s="45"/>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row>
    <row r="183" spans="1:52" x14ac:dyDescent="0.25">
      <c r="A183" s="26"/>
      <c r="B183" s="4"/>
      <c r="C183" s="26"/>
      <c r="D183" s="9"/>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c r="AM183" s="72"/>
      <c r="AN183" s="72"/>
      <c r="AO183" s="72"/>
      <c r="AP183" s="72"/>
      <c r="AQ183" s="72"/>
      <c r="AR183" s="72"/>
      <c r="AS183" s="72"/>
      <c r="AT183" s="72"/>
      <c r="AU183" s="72"/>
      <c r="AV183" s="72"/>
      <c r="AW183" s="72"/>
      <c r="AX183" s="72"/>
      <c r="AY183" s="72"/>
      <c r="AZ183" s="72"/>
    </row>
    <row r="184" spans="1:52" x14ac:dyDescent="0.25">
      <c r="A184" s="50" t="s">
        <v>61</v>
      </c>
      <c r="B184" s="49"/>
      <c r="C184" s="50"/>
      <c r="D184" s="54"/>
      <c r="E184" s="51" t="s">
        <v>48</v>
      </c>
      <c r="F184" s="51"/>
      <c r="G184" s="51" t="s">
        <v>52</v>
      </c>
      <c r="H184" s="49">
        <f>Start_Yr</f>
        <v>2026</v>
      </c>
      <c r="I184" s="49">
        <f>H184+1</f>
        <v>2027</v>
      </c>
      <c r="J184" s="49">
        <f t="shared" ref="J184:AZ184" si="201">I184+1</f>
        <v>2028</v>
      </c>
      <c r="K184" s="49">
        <f t="shared" si="201"/>
        <v>2029</v>
      </c>
      <c r="L184" s="49">
        <f t="shared" si="201"/>
        <v>2030</v>
      </c>
      <c r="M184" s="49">
        <f t="shared" si="201"/>
        <v>2031</v>
      </c>
      <c r="N184" s="49">
        <f t="shared" si="201"/>
        <v>2032</v>
      </c>
      <c r="O184" s="49">
        <f t="shared" si="201"/>
        <v>2033</v>
      </c>
      <c r="P184" s="49">
        <f t="shared" si="201"/>
        <v>2034</v>
      </c>
      <c r="Q184" s="49">
        <f t="shared" si="201"/>
        <v>2035</v>
      </c>
      <c r="R184" s="49">
        <f t="shared" si="201"/>
        <v>2036</v>
      </c>
      <c r="S184" s="49">
        <f t="shared" si="201"/>
        <v>2037</v>
      </c>
      <c r="T184" s="49">
        <f t="shared" si="201"/>
        <v>2038</v>
      </c>
      <c r="U184" s="49">
        <f t="shared" si="201"/>
        <v>2039</v>
      </c>
      <c r="V184" s="49">
        <f t="shared" si="201"/>
        <v>2040</v>
      </c>
      <c r="W184" s="49">
        <f t="shared" si="201"/>
        <v>2041</v>
      </c>
      <c r="X184" s="49">
        <f t="shared" si="201"/>
        <v>2042</v>
      </c>
      <c r="Y184" s="49">
        <f t="shared" si="201"/>
        <v>2043</v>
      </c>
      <c r="Z184" s="49">
        <f t="shared" si="201"/>
        <v>2044</v>
      </c>
      <c r="AA184" s="49">
        <f t="shared" si="201"/>
        <v>2045</v>
      </c>
      <c r="AB184" s="49">
        <f t="shared" si="201"/>
        <v>2046</v>
      </c>
      <c r="AC184" s="49">
        <f t="shared" si="201"/>
        <v>2047</v>
      </c>
      <c r="AD184" s="49">
        <f t="shared" si="201"/>
        <v>2048</v>
      </c>
      <c r="AE184" s="49">
        <f t="shared" si="201"/>
        <v>2049</v>
      </c>
      <c r="AF184" s="49">
        <f t="shared" si="201"/>
        <v>2050</v>
      </c>
      <c r="AG184" s="49">
        <f t="shared" si="201"/>
        <v>2051</v>
      </c>
      <c r="AH184" s="49">
        <f t="shared" si="201"/>
        <v>2052</v>
      </c>
      <c r="AI184" s="49">
        <f t="shared" si="201"/>
        <v>2053</v>
      </c>
      <c r="AJ184" s="49">
        <f t="shared" si="201"/>
        <v>2054</v>
      </c>
      <c r="AK184" s="49">
        <f t="shared" si="201"/>
        <v>2055</v>
      </c>
      <c r="AL184" s="49">
        <f t="shared" si="201"/>
        <v>2056</v>
      </c>
      <c r="AM184" s="49">
        <f t="shared" si="201"/>
        <v>2057</v>
      </c>
      <c r="AN184" s="49">
        <f t="shared" si="201"/>
        <v>2058</v>
      </c>
      <c r="AO184" s="49">
        <f t="shared" si="201"/>
        <v>2059</v>
      </c>
      <c r="AP184" s="49">
        <f t="shared" si="201"/>
        <v>2060</v>
      </c>
      <c r="AQ184" s="49">
        <f t="shared" si="201"/>
        <v>2061</v>
      </c>
      <c r="AR184" s="49">
        <f t="shared" si="201"/>
        <v>2062</v>
      </c>
      <c r="AS184" s="49">
        <f t="shared" si="201"/>
        <v>2063</v>
      </c>
      <c r="AT184" s="49">
        <f t="shared" si="201"/>
        <v>2064</v>
      </c>
      <c r="AU184" s="49">
        <f t="shared" si="201"/>
        <v>2065</v>
      </c>
      <c r="AV184" s="49">
        <f t="shared" si="201"/>
        <v>2066</v>
      </c>
      <c r="AW184" s="49">
        <f t="shared" si="201"/>
        <v>2067</v>
      </c>
      <c r="AX184" s="49">
        <f t="shared" si="201"/>
        <v>2068</v>
      </c>
      <c r="AY184" s="49">
        <f t="shared" si="201"/>
        <v>2069</v>
      </c>
      <c r="AZ184" s="49">
        <f t="shared" si="201"/>
        <v>2070</v>
      </c>
    </row>
    <row r="185" spans="1:52" x14ac:dyDescent="0.25">
      <c r="A185" s="25" t="str">
        <f>"Please provide data through to "&amp;FinalYear_BC</f>
        <v>Please provide data through to 2047</v>
      </c>
      <c r="B185" s="4"/>
      <c r="C185" s="9" t="s">
        <v>145</v>
      </c>
      <c r="D185" s="9"/>
      <c r="E185" s="72" t="s">
        <v>49</v>
      </c>
      <c r="F185" s="72"/>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81"/>
      <c r="AZ185" s="81"/>
    </row>
    <row r="186" spans="1:52" x14ac:dyDescent="0.25">
      <c r="A186" s="26"/>
      <c r="B186" s="26"/>
      <c r="C186" s="9"/>
      <c r="D186" s="9"/>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c r="AM186" s="72"/>
      <c r="AN186" s="72"/>
      <c r="AO186" s="72"/>
      <c r="AP186" s="72"/>
      <c r="AQ186" s="72"/>
      <c r="AR186" s="72"/>
      <c r="AS186" s="72"/>
      <c r="AT186" s="72"/>
      <c r="AU186" s="72"/>
      <c r="AV186" s="72"/>
      <c r="AW186" s="72"/>
      <c r="AX186" s="72"/>
      <c r="AY186" s="72"/>
      <c r="AZ186" s="72"/>
    </row>
    <row r="187" spans="1:52" ht="18.75" x14ac:dyDescent="0.3">
      <c r="A187" s="18" t="s">
        <v>146</v>
      </c>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row>
    <row r="188" spans="1:52" ht="18.75" x14ac:dyDescent="0.3">
      <c r="A188" s="18" t="s">
        <v>147</v>
      </c>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row>
    <row r="189" spans="1:52" x14ac:dyDescent="0.25">
      <c r="A189" s="52" t="s">
        <v>50</v>
      </c>
      <c r="B189" s="47"/>
      <c r="C189" s="47"/>
      <c r="D189" s="47"/>
      <c r="E189" s="47"/>
      <c r="F189" s="47"/>
      <c r="G189" s="47"/>
      <c r="H189" s="49">
        <f>Start_Yr</f>
        <v>2026</v>
      </c>
      <c r="I189" s="49">
        <f>H189+1</f>
        <v>2027</v>
      </c>
      <c r="J189" s="49">
        <f t="shared" ref="J189:AF189" si="202">I189+1</f>
        <v>2028</v>
      </c>
      <c r="K189" s="49">
        <f t="shared" si="202"/>
        <v>2029</v>
      </c>
      <c r="L189" s="49">
        <f t="shared" si="202"/>
        <v>2030</v>
      </c>
      <c r="M189" s="49">
        <f t="shared" si="202"/>
        <v>2031</v>
      </c>
      <c r="N189" s="49">
        <f t="shared" si="202"/>
        <v>2032</v>
      </c>
      <c r="O189" s="49">
        <f t="shared" si="202"/>
        <v>2033</v>
      </c>
      <c r="P189" s="49">
        <f t="shared" si="202"/>
        <v>2034</v>
      </c>
      <c r="Q189" s="49">
        <f t="shared" si="202"/>
        <v>2035</v>
      </c>
      <c r="R189" s="49">
        <f t="shared" si="202"/>
        <v>2036</v>
      </c>
      <c r="S189" s="49">
        <f t="shared" si="202"/>
        <v>2037</v>
      </c>
      <c r="T189" s="49">
        <f t="shared" si="202"/>
        <v>2038</v>
      </c>
      <c r="U189" s="49">
        <f t="shared" si="202"/>
        <v>2039</v>
      </c>
      <c r="V189" s="49">
        <f t="shared" si="202"/>
        <v>2040</v>
      </c>
      <c r="W189" s="49">
        <f t="shared" si="202"/>
        <v>2041</v>
      </c>
      <c r="X189" s="49">
        <f t="shared" si="202"/>
        <v>2042</v>
      </c>
      <c r="Y189" s="49">
        <f t="shared" si="202"/>
        <v>2043</v>
      </c>
      <c r="Z189" s="49">
        <f t="shared" si="202"/>
        <v>2044</v>
      </c>
      <c r="AA189" s="49">
        <f t="shared" si="202"/>
        <v>2045</v>
      </c>
      <c r="AB189" s="49">
        <f t="shared" si="202"/>
        <v>2046</v>
      </c>
      <c r="AC189" s="49">
        <f t="shared" si="202"/>
        <v>2047</v>
      </c>
      <c r="AD189" s="49">
        <f t="shared" si="202"/>
        <v>2048</v>
      </c>
      <c r="AE189" s="49">
        <f t="shared" si="202"/>
        <v>2049</v>
      </c>
      <c r="AF189" s="49">
        <f t="shared" si="202"/>
        <v>2050</v>
      </c>
      <c r="AG189" s="49">
        <f t="shared" ref="AG189:AZ189" si="203">AF189+1</f>
        <v>2051</v>
      </c>
      <c r="AH189" s="49">
        <f t="shared" si="203"/>
        <v>2052</v>
      </c>
      <c r="AI189" s="49">
        <f t="shared" si="203"/>
        <v>2053</v>
      </c>
      <c r="AJ189" s="49">
        <f t="shared" si="203"/>
        <v>2054</v>
      </c>
      <c r="AK189" s="49">
        <f t="shared" si="203"/>
        <v>2055</v>
      </c>
      <c r="AL189" s="49">
        <f t="shared" si="203"/>
        <v>2056</v>
      </c>
      <c r="AM189" s="49">
        <f t="shared" si="203"/>
        <v>2057</v>
      </c>
      <c r="AN189" s="49">
        <f t="shared" si="203"/>
        <v>2058</v>
      </c>
      <c r="AO189" s="49">
        <f t="shared" si="203"/>
        <v>2059</v>
      </c>
      <c r="AP189" s="49">
        <f t="shared" si="203"/>
        <v>2060</v>
      </c>
      <c r="AQ189" s="49">
        <f t="shared" si="203"/>
        <v>2061</v>
      </c>
      <c r="AR189" s="49">
        <f t="shared" si="203"/>
        <v>2062</v>
      </c>
      <c r="AS189" s="49">
        <f t="shared" si="203"/>
        <v>2063</v>
      </c>
      <c r="AT189" s="49">
        <f t="shared" si="203"/>
        <v>2064</v>
      </c>
      <c r="AU189" s="49">
        <f t="shared" si="203"/>
        <v>2065</v>
      </c>
      <c r="AV189" s="49">
        <f t="shared" si="203"/>
        <v>2066</v>
      </c>
      <c r="AW189" s="49">
        <f t="shared" si="203"/>
        <v>2067</v>
      </c>
      <c r="AX189" s="49">
        <f t="shared" si="203"/>
        <v>2068</v>
      </c>
      <c r="AY189" s="49">
        <f t="shared" si="203"/>
        <v>2069</v>
      </c>
      <c r="AZ189" s="49">
        <f t="shared" si="203"/>
        <v>2070</v>
      </c>
    </row>
    <row r="190" spans="1:52" x14ac:dyDescent="0.25">
      <c r="A190" s="4" t="s">
        <v>148</v>
      </c>
      <c r="B190" s="4"/>
      <c r="C190" s="4"/>
      <c r="D190" s="4"/>
      <c r="E190" s="4"/>
      <c r="F190" s="4"/>
      <c r="G190" s="20" t="s">
        <v>49</v>
      </c>
      <c r="H190" s="113">
        <f t="shared" ref="H190:AZ190" si="204">H49</f>
        <v>130000</v>
      </c>
      <c r="I190" s="113">
        <f t="shared" si="204"/>
        <v>130000</v>
      </c>
      <c r="J190" s="113">
        <f t="shared" si="204"/>
        <v>120000</v>
      </c>
      <c r="K190" s="113">
        <f t="shared" si="204"/>
        <v>120000</v>
      </c>
      <c r="L190" s="113">
        <f t="shared" si="204"/>
        <v>120000</v>
      </c>
      <c r="M190" s="113">
        <f t="shared" si="204"/>
        <v>120000</v>
      </c>
      <c r="N190" s="113">
        <f t="shared" si="204"/>
        <v>120000</v>
      </c>
      <c r="O190" s="113">
        <f t="shared" si="204"/>
        <v>120000</v>
      </c>
      <c r="P190" s="113">
        <f t="shared" si="204"/>
        <v>120000</v>
      </c>
      <c r="Q190" s="113">
        <f t="shared" si="204"/>
        <v>120000</v>
      </c>
      <c r="R190" s="113">
        <f t="shared" si="204"/>
        <v>120000</v>
      </c>
      <c r="S190" s="113">
        <f t="shared" si="204"/>
        <v>120000</v>
      </c>
      <c r="T190" s="113">
        <f t="shared" si="204"/>
        <v>120000</v>
      </c>
      <c r="U190" s="113">
        <f t="shared" si="204"/>
        <v>120000</v>
      </c>
      <c r="V190" s="113">
        <f t="shared" si="204"/>
        <v>120000</v>
      </c>
      <c r="W190" s="113">
        <f t="shared" si="204"/>
        <v>120000</v>
      </c>
      <c r="X190" s="113">
        <f t="shared" si="204"/>
        <v>120000</v>
      </c>
      <c r="Y190" s="113">
        <f t="shared" si="204"/>
        <v>120000</v>
      </c>
      <c r="Z190" s="113">
        <f t="shared" si="204"/>
        <v>120000</v>
      </c>
      <c r="AA190" s="113">
        <f t="shared" si="204"/>
        <v>120000</v>
      </c>
      <c r="AB190" s="113">
        <f t="shared" si="204"/>
        <v>120000</v>
      </c>
      <c r="AC190" s="113">
        <f t="shared" si="204"/>
        <v>120000</v>
      </c>
      <c r="AD190" s="113">
        <f t="shared" si="204"/>
        <v>0</v>
      </c>
      <c r="AE190" s="113">
        <f t="shared" si="204"/>
        <v>0</v>
      </c>
      <c r="AF190" s="113">
        <f t="shared" si="204"/>
        <v>0</v>
      </c>
      <c r="AG190" s="113">
        <f t="shared" si="204"/>
        <v>0</v>
      </c>
      <c r="AH190" s="113">
        <f t="shared" si="204"/>
        <v>0</v>
      </c>
      <c r="AI190" s="113">
        <f t="shared" si="204"/>
        <v>0</v>
      </c>
      <c r="AJ190" s="113">
        <f t="shared" si="204"/>
        <v>0</v>
      </c>
      <c r="AK190" s="113">
        <f t="shared" si="204"/>
        <v>0</v>
      </c>
      <c r="AL190" s="113">
        <f t="shared" si="204"/>
        <v>0</v>
      </c>
      <c r="AM190" s="113">
        <f t="shared" si="204"/>
        <v>0</v>
      </c>
      <c r="AN190" s="113">
        <f t="shared" si="204"/>
        <v>0</v>
      </c>
      <c r="AO190" s="113">
        <f t="shared" si="204"/>
        <v>0</v>
      </c>
      <c r="AP190" s="113">
        <f t="shared" si="204"/>
        <v>0</v>
      </c>
      <c r="AQ190" s="113">
        <f t="shared" si="204"/>
        <v>0</v>
      </c>
      <c r="AR190" s="113">
        <f t="shared" si="204"/>
        <v>0</v>
      </c>
      <c r="AS190" s="113">
        <f t="shared" si="204"/>
        <v>0</v>
      </c>
      <c r="AT190" s="113">
        <f t="shared" si="204"/>
        <v>0</v>
      </c>
      <c r="AU190" s="113">
        <f t="shared" si="204"/>
        <v>0</v>
      </c>
      <c r="AV190" s="113">
        <f t="shared" si="204"/>
        <v>0</v>
      </c>
      <c r="AW190" s="113">
        <f t="shared" si="204"/>
        <v>0</v>
      </c>
      <c r="AX190" s="113">
        <f t="shared" si="204"/>
        <v>0</v>
      </c>
      <c r="AY190" s="113">
        <f t="shared" si="204"/>
        <v>0</v>
      </c>
      <c r="AZ190" s="113">
        <f t="shared" si="204"/>
        <v>0</v>
      </c>
    </row>
    <row r="191" spans="1:52" x14ac:dyDescent="0.25">
      <c r="A191" s="4" t="s">
        <v>149</v>
      </c>
      <c r="B191" s="4"/>
      <c r="C191" s="4"/>
      <c r="D191" s="4"/>
      <c r="E191" s="4"/>
      <c r="F191" s="4"/>
      <c r="G191" s="20" t="s">
        <v>49</v>
      </c>
      <c r="H191" s="113">
        <f>H131</f>
        <v>745410.29999999993</v>
      </c>
      <c r="I191" s="113">
        <f t="shared" ref="I191:AZ191" si="205">I131</f>
        <v>1304358.6501502153</v>
      </c>
      <c r="J191" s="113">
        <f t="shared" si="205"/>
        <v>1330576.2590182347</v>
      </c>
      <c r="K191" s="113">
        <f t="shared" si="205"/>
        <v>1357320.8418245011</v>
      </c>
      <c r="L191" s="113">
        <f t="shared" si="205"/>
        <v>1384602.9907451738</v>
      </c>
      <c r="M191" s="113">
        <f t="shared" si="205"/>
        <v>1412433.5108591518</v>
      </c>
      <c r="N191" s="113">
        <f t="shared" si="205"/>
        <v>1440823.4244274206</v>
      </c>
      <c r="O191" s="113">
        <f t="shared" si="205"/>
        <v>1469783.9752584118</v>
      </c>
      <c r="P191" s="113">
        <f t="shared" si="205"/>
        <v>1499326.6331611059</v>
      </c>
      <c r="Q191" s="113">
        <f t="shared" si="205"/>
        <v>1529463.0984876442</v>
      </c>
      <c r="R191" s="113">
        <f t="shared" si="205"/>
        <v>1560205.306767246</v>
      </c>
      <c r="S191" s="113">
        <f t="shared" si="205"/>
        <v>1591565.4334332675</v>
      </c>
      <c r="T191" s="113">
        <f t="shared" si="205"/>
        <v>1623555.8986452762</v>
      </c>
      <c r="U191" s="113">
        <f t="shared" si="205"/>
        <v>1656189.3722080463</v>
      </c>
      <c r="V191" s="113">
        <f t="shared" si="205"/>
        <v>1689478.7785894279</v>
      </c>
      <c r="W191" s="113">
        <f t="shared" si="205"/>
        <v>1723437.3020390754</v>
      </c>
      <c r="X191" s="113">
        <f t="shared" si="205"/>
        <v>1758078.3918100607</v>
      </c>
      <c r="Y191" s="113">
        <f t="shared" si="205"/>
        <v>1793415.767485443</v>
      </c>
      <c r="Z191" s="113">
        <f t="shared" si="205"/>
        <v>1829463.4244119006</v>
      </c>
      <c r="AA191" s="113">
        <f t="shared" si="205"/>
        <v>1866235.6392425797</v>
      </c>
      <c r="AB191" s="113">
        <f t="shared" si="205"/>
        <v>1903746.9755913555</v>
      </c>
      <c r="AC191" s="113">
        <f t="shared" si="205"/>
        <v>1942012.2898007417</v>
      </c>
      <c r="AD191" s="113">
        <f t="shared" si="205"/>
        <v>0</v>
      </c>
      <c r="AE191" s="113">
        <f t="shared" si="205"/>
        <v>0</v>
      </c>
      <c r="AF191" s="113">
        <f t="shared" si="205"/>
        <v>0</v>
      </c>
      <c r="AG191" s="113">
        <f t="shared" si="205"/>
        <v>0</v>
      </c>
      <c r="AH191" s="113">
        <f t="shared" si="205"/>
        <v>0</v>
      </c>
      <c r="AI191" s="113">
        <f t="shared" si="205"/>
        <v>0</v>
      </c>
      <c r="AJ191" s="113">
        <f t="shared" si="205"/>
        <v>0</v>
      </c>
      <c r="AK191" s="113">
        <f t="shared" si="205"/>
        <v>0</v>
      </c>
      <c r="AL191" s="113">
        <f t="shared" si="205"/>
        <v>0</v>
      </c>
      <c r="AM191" s="113">
        <f t="shared" si="205"/>
        <v>0</v>
      </c>
      <c r="AN191" s="113">
        <f t="shared" si="205"/>
        <v>0</v>
      </c>
      <c r="AO191" s="113">
        <f t="shared" si="205"/>
        <v>0</v>
      </c>
      <c r="AP191" s="113">
        <f t="shared" si="205"/>
        <v>0</v>
      </c>
      <c r="AQ191" s="113">
        <f t="shared" si="205"/>
        <v>0</v>
      </c>
      <c r="AR191" s="113">
        <f t="shared" si="205"/>
        <v>0</v>
      </c>
      <c r="AS191" s="113">
        <f t="shared" si="205"/>
        <v>0</v>
      </c>
      <c r="AT191" s="113">
        <f t="shared" si="205"/>
        <v>0</v>
      </c>
      <c r="AU191" s="113">
        <f t="shared" si="205"/>
        <v>0</v>
      </c>
      <c r="AV191" s="113">
        <f t="shared" si="205"/>
        <v>0</v>
      </c>
      <c r="AW191" s="113">
        <f t="shared" si="205"/>
        <v>0</v>
      </c>
      <c r="AX191" s="113">
        <f t="shared" si="205"/>
        <v>0</v>
      </c>
      <c r="AY191" s="113">
        <f t="shared" si="205"/>
        <v>0</v>
      </c>
      <c r="AZ191" s="113">
        <f t="shared" si="205"/>
        <v>0</v>
      </c>
    </row>
    <row r="192" spans="1:52" x14ac:dyDescent="0.25">
      <c r="A192" s="4" t="s">
        <v>150</v>
      </c>
      <c r="B192" s="4"/>
      <c r="C192" s="4"/>
      <c r="D192" s="4"/>
      <c r="E192" s="4"/>
      <c r="F192" s="4"/>
      <c r="G192" s="20" t="s">
        <v>49</v>
      </c>
      <c r="H192" s="113">
        <f>H156</f>
        <v>0</v>
      </c>
      <c r="I192" s="113">
        <f t="shared" ref="I192:AZ192" si="206">I157</f>
        <v>0</v>
      </c>
      <c r="J192" s="113">
        <f t="shared" si="206"/>
        <v>0</v>
      </c>
      <c r="K192" s="113">
        <f t="shared" si="206"/>
        <v>0</v>
      </c>
      <c r="L192" s="113">
        <f t="shared" si="206"/>
        <v>0</v>
      </c>
      <c r="M192" s="113">
        <f t="shared" si="206"/>
        <v>0</v>
      </c>
      <c r="N192" s="113">
        <f t="shared" si="206"/>
        <v>0</v>
      </c>
      <c r="O192" s="113">
        <f t="shared" si="206"/>
        <v>0</v>
      </c>
      <c r="P192" s="113">
        <f t="shared" si="206"/>
        <v>0</v>
      </c>
      <c r="Q192" s="113">
        <f t="shared" si="206"/>
        <v>0</v>
      </c>
      <c r="R192" s="113">
        <f t="shared" si="206"/>
        <v>0</v>
      </c>
      <c r="S192" s="113">
        <f t="shared" si="206"/>
        <v>0</v>
      </c>
      <c r="T192" s="113">
        <f t="shared" si="206"/>
        <v>0</v>
      </c>
      <c r="U192" s="113">
        <f t="shared" si="206"/>
        <v>0</v>
      </c>
      <c r="V192" s="113">
        <f t="shared" si="206"/>
        <v>0</v>
      </c>
      <c r="W192" s="113">
        <f t="shared" si="206"/>
        <v>0</v>
      </c>
      <c r="X192" s="113">
        <f t="shared" si="206"/>
        <v>0</v>
      </c>
      <c r="Y192" s="113">
        <f t="shared" si="206"/>
        <v>0</v>
      </c>
      <c r="Z192" s="113">
        <f t="shared" si="206"/>
        <v>0</v>
      </c>
      <c r="AA192" s="113">
        <f t="shared" si="206"/>
        <v>0</v>
      </c>
      <c r="AB192" s="113">
        <f t="shared" si="206"/>
        <v>0</v>
      </c>
      <c r="AC192" s="113">
        <f t="shared" si="206"/>
        <v>0</v>
      </c>
      <c r="AD192" s="113">
        <f t="shared" si="206"/>
        <v>0</v>
      </c>
      <c r="AE192" s="113">
        <f t="shared" si="206"/>
        <v>0</v>
      </c>
      <c r="AF192" s="113">
        <f t="shared" si="206"/>
        <v>0</v>
      </c>
      <c r="AG192" s="113">
        <f t="shared" si="206"/>
        <v>0</v>
      </c>
      <c r="AH192" s="113">
        <f t="shared" si="206"/>
        <v>0</v>
      </c>
      <c r="AI192" s="113">
        <f t="shared" si="206"/>
        <v>0</v>
      </c>
      <c r="AJ192" s="113">
        <f t="shared" si="206"/>
        <v>0</v>
      </c>
      <c r="AK192" s="113">
        <f t="shared" si="206"/>
        <v>0</v>
      </c>
      <c r="AL192" s="113">
        <f t="shared" si="206"/>
        <v>0</v>
      </c>
      <c r="AM192" s="113">
        <f t="shared" si="206"/>
        <v>0</v>
      </c>
      <c r="AN192" s="113">
        <f t="shared" si="206"/>
        <v>0</v>
      </c>
      <c r="AO192" s="113">
        <f t="shared" si="206"/>
        <v>0</v>
      </c>
      <c r="AP192" s="113">
        <f t="shared" si="206"/>
        <v>0</v>
      </c>
      <c r="AQ192" s="113">
        <f t="shared" si="206"/>
        <v>0</v>
      </c>
      <c r="AR192" s="113">
        <f t="shared" si="206"/>
        <v>0</v>
      </c>
      <c r="AS192" s="113">
        <f t="shared" si="206"/>
        <v>0</v>
      </c>
      <c r="AT192" s="113">
        <f t="shared" si="206"/>
        <v>0</v>
      </c>
      <c r="AU192" s="113">
        <f t="shared" si="206"/>
        <v>0</v>
      </c>
      <c r="AV192" s="113">
        <f t="shared" si="206"/>
        <v>0</v>
      </c>
      <c r="AW192" s="113">
        <f t="shared" si="206"/>
        <v>0</v>
      </c>
      <c r="AX192" s="113">
        <f t="shared" si="206"/>
        <v>0</v>
      </c>
      <c r="AY192" s="113">
        <f t="shared" si="206"/>
        <v>0</v>
      </c>
      <c r="AZ192" s="113">
        <f t="shared" si="206"/>
        <v>0</v>
      </c>
    </row>
    <row r="193" spans="1:52" x14ac:dyDescent="0.25">
      <c r="A193" s="4" t="s">
        <v>151</v>
      </c>
      <c r="B193" s="4"/>
      <c r="C193" s="4"/>
      <c r="D193" s="4"/>
      <c r="E193" s="4"/>
      <c r="F193" s="4"/>
      <c r="G193" s="20" t="s">
        <v>49</v>
      </c>
      <c r="H193" s="114">
        <f>SUM(H190:H192)</f>
        <v>875410.29999999993</v>
      </c>
      <c r="I193" s="114">
        <f t="shared" ref="I193:AZ193" si="207">SUM(I190:I192)</f>
        <v>1434358.6501502153</v>
      </c>
      <c r="J193" s="114">
        <f t="shared" si="207"/>
        <v>1450576.2590182347</v>
      </c>
      <c r="K193" s="114">
        <f t="shared" si="207"/>
        <v>1477320.8418245011</v>
      </c>
      <c r="L193" s="114">
        <f t="shared" si="207"/>
        <v>1504602.9907451738</v>
      </c>
      <c r="M193" s="114">
        <f t="shared" si="207"/>
        <v>1532433.5108591518</v>
      </c>
      <c r="N193" s="114">
        <f t="shared" si="207"/>
        <v>1560823.4244274206</v>
      </c>
      <c r="O193" s="114">
        <f t="shared" si="207"/>
        <v>1589783.9752584118</v>
      </c>
      <c r="P193" s="114">
        <f t="shared" si="207"/>
        <v>1619326.6331611059</v>
      </c>
      <c r="Q193" s="114">
        <f t="shared" si="207"/>
        <v>1649463.0984876442</v>
      </c>
      <c r="R193" s="114">
        <f t="shared" si="207"/>
        <v>1680205.306767246</v>
      </c>
      <c r="S193" s="114">
        <f t="shared" si="207"/>
        <v>1711565.4334332675</v>
      </c>
      <c r="T193" s="114">
        <f t="shared" si="207"/>
        <v>1743555.8986452762</v>
      </c>
      <c r="U193" s="114">
        <f t="shared" si="207"/>
        <v>1776189.3722080463</v>
      </c>
      <c r="V193" s="114">
        <f t="shared" si="207"/>
        <v>1809478.7785894279</v>
      </c>
      <c r="W193" s="114">
        <f t="shared" si="207"/>
        <v>1843437.3020390754</v>
      </c>
      <c r="X193" s="114">
        <f t="shared" si="207"/>
        <v>1878078.3918100607</v>
      </c>
      <c r="Y193" s="114">
        <f t="shared" si="207"/>
        <v>1913415.767485443</v>
      </c>
      <c r="Z193" s="114">
        <f t="shared" si="207"/>
        <v>1949463.4244119006</v>
      </c>
      <c r="AA193" s="114">
        <f t="shared" si="207"/>
        <v>1986235.6392425797</v>
      </c>
      <c r="AB193" s="114">
        <f t="shared" si="207"/>
        <v>2023746.9755913555</v>
      </c>
      <c r="AC193" s="114">
        <f t="shared" si="207"/>
        <v>2062012.2898007417</v>
      </c>
      <c r="AD193" s="114">
        <f t="shared" si="207"/>
        <v>0</v>
      </c>
      <c r="AE193" s="114">
        <f t="shared" si="207"/>
        <v>0</v>
      </c>
      <c r="AF193" s="114">
        <f t="shared" si="207"/>
        <v>0</v>
      </c>
      <c r="AG193" s="114">
        <f t="shared" si="207"/>
        <v>0</v>
      </c>
      <c r="AH193" s="114">
        <f t="shared" si="207"/>
        <v>0</v>
      </c>
      <c r="AI193" s="114">
        <f t="shared" si="207"/>
        <v>0</v>
      </c>
      <c r="AJ193" s="114">
        <f t="shared" si="207"/>
        <v>0</v>
      </c>
      <c r="AK193" s="114">
        <f t="shared" si="207"/>
        <v>0</v>
      </c>
      <c r="AL193" s="114">
        <f t="shared" si="207"/>
        <v>0</v>
      </c>
      <c r="AM193" s="114">
        <f t="shared" si="207"/>
        <v>0</v>
      </c>
      <c r="AN193" s="114">
        <f t="shared" si="207"/>
        <v>0</v>
      </c>
      <c r="AO193" s="114">
        <f t="shared" si="207"/>
        <v>0</v>
      </c>
      <c r="AP193" s="114">
        <f t="shared" si="207"/>
        <v>0</v>
      </c>
      <c r="AQ193" s="114">
        <f t="shared" si="207"/>
        <v>0</v>
      </c>
      <c r="AR193" s="114">
        <f t="shared" si="207"/>
        <v>0</v>
      </c>
      <c r="AS193" s="114">
        <f t="shared" si="207"/>
        <v>0</v>
      </c>
      <c r="AT193" s="114">
        <f t="shared" si="207"/>
        <v>0</v>
      </c>
      <c r="AU193" s="114">
        <f t="shared" si="207"/>
        <v>0</v>
      </c>
      <c r="AV193" s="114">
        <f t="shared" si="207"/>
        <v>0</v>
      </c>
      <c r="AW193" s="114">
        <f t="shared" si="207"/>
        <v>0</v>
      </c>
      <c r="AX193" s="114">
        <f t="shared" si="207"/>
        <v>0</v>
      </c>
      <c r="AY193" s="114">
        <f t="shared" si="207"/>
        <v>0</v>
      </c>
      <c r="AZ193" s="114">
        <f t="shared" si="207"/>
        <v>0</v>
      </c>
    </row>
    <row r="194" spans="1:52" x14ac:dyDescent="0.25">
      <c r="A194" s="4" t="s">
        <v>142</v>
      </c>
      <c r="B194" s="4"/>
      <c r="C194" s="4"/>
      <c r="D194" s="4"/>
      <c r="E194" s="4"/>
      <c r="F194" s="4"/>
      <c r="G194" s="20" t="s">
        <v>49</v>
      </c>
      <c r="H194" s="113">
        <f t="shared" ref="H194:AZ194" si="208">H175*IF($E$175="Real",H$9,1)</f>
        <v>1000000</v>
      </c>
      <c r="I194" s="113">
        <f t="shared" si="208"/>
        <v>1100000</v>
      </c>
      <c r="J194" s="113">
        <f t="shared" si="208"/>
        <v>1100000</v>
      </c>
      <c r="K194" s="113">
        <f t="shared" si="208"/>
        <v>1100000</v>
      </c>
      <c r="L194" s="113">
        <f t="shared" si="208"/>
        <v>1100000</v>
      </c>
      <c r="M194" s="113">
        <f t="shared" si="208"/>
        <v>1100000</v>
      </c>
      <c r="N194" s="113">
        <f t="shared" si="208"/>
        <v>1100000</v>
      </c>
      <c r="O194" s="113">
        <f t="shared" si="208"/>
        <v>1100000</v>
      </c>
      <c r="P194" s="113">
        <f t="shared" si="208"/>
        <v>1100000</v>
      </c>
      <c r="Q194" s="113">
        <f t="shared" si="208"/>
        <v>1100000</v>
      </c>
      <c r="R194" s="113">
        <f t="shared" si="208"/>
        <v>1100000</v>
      </c>
      <c r="S194" s="113">
        <f t="shared" si="208"/>
        <v>1100000</v>
      </c>
      <c r="T194" s="113">
        <f t="shared" si="208"/>
        <v>1100000</v>
      </c>
      <c r="U194" s="113">
        <f t="shared" si="208"/>
        <v>1100000</v>
      </c>
      <c r="V194" s="113">
        <f t="shared" si="208"/>
        <v>1100000</v>
      </c>
      <c r="W194" s="113">
        <f t="shared" si="208"/>
        <v>1100000</v>
      </c>
      <c r="X194" s="113">
        <f t="shared" si="208"/>
        <v>1100000</v>
      </c>
      <c r="Y194" s="113">
        <f t="shared" si="208"/>
        <v>1100000</v>
      </c>
      <c r="Z194" s="113">
        <f t="shared" si="208"/>
        <v>1100000</v>
      </c>
      <c r="AA194" s="113">
        <f t="shared" si="208"/>
        <v>1100000</v>
      </c>
      <c r="AB194" s="113">
        <f t="shared" si="208"/>
        <v>1100000</v>
      </c>
      <c r="AC194" s="113">
        <f t="shared" si="208"/>
        <v>1100000</v>
      </c>
      <c r="AD194" s="113">
        <f t="shared" si="208"/>
        <v>0</v>
      </c>
      <c r="AE194" s="113">
        <f t="shared" si="208"/>
        <v>0</v>
      </c>
      <c r="AF194" s="113">
        <f t="shared" si="208"/>
        <v>0</v>
      </c>
      <c r="AG194" s="113">
        <f t="shared" si="208"/>
        <v>0</v>
      </c>
      <c r="AH194" s="113">
        <f t="shared" si="208"/>
        <v>0</v>
      </c>
      <c r="AI194" s="113">
        <f t="shared" si="208"/>
        <v>0</v>
      </c>
      <c r="AJ194" s="113">
        <f t="shared" si="208"/>
        <v>0</v>
      </c>
      <c r="AK194" s="113">
        <f t="shared" si="208"/>
        <v>0</v>
      </c>
      <c r="AL194" s="113">
        <f t="shared" si="208"/>
        <v>0</v>
      </c>
      <c r="AM194" s="113">
        <f t="shared" si="208"/>
        <v>0</v>
      </c>
      <c r="AN194" s="113">
        <f t="shared" si="208"/>
        <v>0</v>
      </c>
      <c r="AO194" s="113">
        <f t="shared" si="208"/>
        <v>0</v>
      </c>
      <c r="AP194" s="113">
        <f t="shared" si="208"/>
        <v>0</v>
      </c>
      <c r="AQ194" s="113">
        <f t="shared" si="208"/>
        <v>0</v>
      </c>
      <c r="AR194" s="113">
        <f t="shared" si="208"/>
        <v>0</v>
      </c>
      <c r="AS194" s="113">
        <f t="shared" si="208"/>
        <v>0</v>
      </c>
      <c r="AT194" s="113">
        <f t="shared" si="208"/>
        <v>0</v>
      </c>
      <c r="AU194" s="113">
        <f t="shared" si="208"/>
        <v>0</v>
      </c>
      <c r="AV194" s="113">
        <f t="shared" si="208"/>
        <v>0</v>
      </c>
      <c r="AW194" s="113">
        <f t="shared" si="208"/>
        <v>0</v>
      </c>
      <c r="AX194" s="113">
        <f t="shared" si="208"/>
        <v>0</v>
      </c>
      <c r="AY194" s="113">
        <f t="shared" si="208"/>
        <v>0</v>
      </c>
      <c r="AZ194" s="113">
        <f t="shared" si="208"/>
        <v>0</v>
      </c>
    </row>
    <row r="195" spans="1:52" x14ac:dyDescent="0.25">
      <c r="A195" s="4" t="s">
        <v>152</v>
      </c>
      <c r="B195" s="4"/>
      <c r="C195" s="4"/>
      <c r="D195" s="4"/>
      <c r="E195" s="4"/>
      <c r="F195" s="4"/>
      <c r="G195" s="20" t="s">
        <v>49</v>
      </c>
      <c r="H195" s="113">
        <f>H194-H193</f>
        <v>124589.70000000007</v>
      </c>
      <c r="I195" s="113">
        <f t="shared" ref="I195:AZ195" si="209">I194-I193</f>
        <v>-334358.65015021525</v>
      </c>
      <c r="J195" s="113">
        <f t="shared" si="209"/>
        <v>-350576.25901823468</v>
      </c>
      <c r="K195" s="113">
        <f t="shared" si="209"/>
        <v>-377320.84182450105</v>
      </c>
      <c r="L195" s="113">
        <f t="shared" si="209"/>
        <v>-404602.99074517377</v>
      </c>
      <c r="M195" s="113">
        <f t="shared" si="209"/>
        <v>-432433.51085915184</v>
      </c>
      <c r="N195" s="113">
        <f t="shared" si="209"/>
        <v>-460823.4244274206</v>
      </c>
      <c r="O195" s="113">
        <f t="shared" si="209"/>
        <v>-489783.97525841184</v>
      </c>
      <c r="P195" s="113">
        <f t="shared" si="209"/>
        <v>-519326.63316110591</v>
      </c>
      <c r="Q195" s="113">
        <f t="shared" si="209"/>
        <v>-549463.09848764422</v>
      </c>
      <c r="R195" s="113">
        <f t="shared" si="209"/>
        <v>-580205.30676724599</v>
      </c>
      <c r="S195" s="113">
        <f t="shared" si="209"/>
        <v>-611565.43343326752</v>
      </c>
      <c r="T195" s="113">
        <f t="shared" si="209"/>
        <v>-643555.8986452762</v>
      </c>
      <c r="U195" s="113">
        <f t="shared" si="209"/>
        <v>-676189.37220804626</v>
      </c>
      <c r="V195" s="113">
        <f t="shared" si="209"/>
        <v>-709478.77858942794</v>
      </c>
      <c r="W195" s="113">
        <f t="shared" si="209"/>
        <v>-743437.30203907541</v>
      </c>
      <c r="X195" s="113">
        <f t="shared" si="209"/>
        <v>-778078.39181006071</v>
      </c>
      <c r="Y195" s="113">
        <f t="shared" si="209"/>
        <v>-813415.76748544304</v>
      </c>
      <c r="Z195" s="113">
        <f t="shared" si="209"/>
        <v>-849463.42441190057</v>
      </c>
      <c r="AA195" s="113">
        <f t="shared" si="209"/>
        <v>-886235.63924257969</v>
      </c>
      <c r="AB195" s="113">
        <f t="shared" si="209"/>
        <v>-923746.97559135547</v>
      </c>
      <c r="AC195" s="113">
        <f t="shared" si="209"/>
        <v>-962012.28980074171</v>
      </c>
      <c r="AD195" s="113">
        <f t="shared" si="209"/>
        <v>0</v>
      </c>
      <c r="AE195" s="113">
        <f t="shared" si="209"/>
        <v>0</v>
      </c>
      <c r="AF195" s="113">
        <f t="shared" si="209"/>
        <v>0</v>
      </c>
      <c r="AG195" s="113">
        <f t="shared" si="209"/>
        <v>0</v>
      </c>
      <c r="AH195" s="113">
        <f t="shared" si="209"/>
        <v>0</v>
      </c>
      <c r="AI195" s="113">
        <f t="shared" si="209"/>
        <v>0</v>
      </c>
      <c r="AJ195" s="113">
        <f t="shared" si="209"/>
        <v>0</v>
      </c>
      <c r="AK195" s="113">
        <f t="shared" si="209"/>
        <v>0</v>
      </c>
      <c r="AL195" s="113">
        <f t="shared" si="209"/>
        <v>0</v>
      </c>
      <c r="AM195" s="113">
        <f t="shared" si="209"/>
        <v>0</v>
      </c>
      <c r="AN195" s="113">
        <f t="shared" si="209"/>
        <v>0</v>
      </c>
      <c r="AO195" s="113">
        <f t="shared" si="209"/>
        <v>0</v>
      </c>
      <c r="AP195" s="113">
        <f t="shared" si="209"/>
        <v>0</v>
      </c>
      <c r="AQ195" s="113">
        <f t="shared" si="209"/>
        <v>0</v>
      </c>
      <c r="AR195" s="113">
        <f t="shared" si="209"/>
        <v>0</v>
      </c>
      <c r="AS195" s="113">
        <f t="shared" si="209"/>
        <v>0</v>
      </c>
      <c r="AT195" s="113">
        <f t="shared" si="209"/>
        <v>0</v>
      </c>
      <c r="AU195" s="113">
        <f t="shared" si="209"/>
        <v>0</v>
      </c>
      <c r="AV195" s="113">
        <f t="shared" si="209"/>
        <v>0</v>
      </c>
      <c r="AW195" s="113">
        <f t="shared" si="209"/>
        <v>0</v>
      </c>
      <c r="AX195" s="113">
        <f t="shared" si="209"/>
        <v>0</v>
      </c>
      <c r="AY195" s="113">
        <f t="shared" si="209"/>
        <v>0</v>
      </c>
      <c r="AZ195" s="113">
        <f t="shared" si="209"/>
        <v>0</v>
      </c>
    </row>
    <row r="196" spans="1:52" x14ac:dyDescent="0.25">
      <c r="A196" s="4" t="s">
        <v>153</v>
      </c>
      <c r="B196" s="4"/>
      <c r="C196" s="4"/>
      <c r="D196" s="4"/>
      <c r="E196" s="4"/>
      <c r="F196" s="4"/>
      <c r="G196" s="20" t="s">
        <v>49</v>
      </c>
      <c r="H196" s="113">
        <f>H195-H182</f>
        <v>124589.70000000007</v>
      </c>
      <c r="I196" s="113">
        <f t="shared" ref="I196:AZ196" si="210">I195-I182</f>
        <v>-334358.65015021525</v>
      </c>
      <c r="J196" s="113">
        <f t="shared" si="210"/>
        <v>-350576.25901823468</v>
      </c>
      <c r="K196" s="113">
        <f t="shared" si="210"/>
        <v>-377320.84182450105</v>
      </c>
      <c r="L196" s="113">
        <f t="shared" si="210"/>
        <v>-404602.99074517377</v>
      </c>
      <c r="M196" s="113">
        <f t="shared" si="210"/>
        <v>-432433.51085915184</v>
      </c>
      <c r="N196" s="113">
        <f t="shared" si="210"/>
        <v>-460823.4244274206</v>
      </c>
      <c r="O196" s="113">
        <f t="shared" si="210"/>
        <v>-489783.97525841184</v>
      </c>
      <c r="P196" s="113">
        <f t="shared" si="210"/>
        <v>-519326.63316110591</v>
      </c>
      <c r="Q196" s="113">
        <f t="shared" si="210"/>
        <v>-549463.09848764422</v>
      </c>
      <c r="R196" s="113">
        <f t="shared" si="210"/>
        <v>-580205.30676724599</v>
      </c>
      <c r="S196" s="113">
        <f t="shared" si="210"/>
        <v>-611565.43343326752</v>
      </c>
      <c r="T196" s="113">
        <f t="shared" si="210"/>
        <v>-643555.8986452762</v>
      </c>
      <c r="U196" s="113">
        <f t="shared" si="210"/>
        <v>-676189.37220804626</v>
      </c>
      <c r="V196" s="113">
        <f t="shared" si="210"/>
        <v>-709478.77858942794</v>
      </c>
      <c r="W196" s="113">
        <f t="shared" si="210"/>
        <v>-743437.30203907541</v>
      </c>
      <c r="X196" s="113">
        <f t="shared" si="210"/>
        <v>-778078.39181006071</v>
      </c>
      <c r="Y196" s="113">
        <f t="shared" si="210"/>
        <v>-813415.76748544304</v>
      </c>
      <c r="Z196" s="113">
        <f t="shared" si="210"/>
        <v>-849463.42441190057</v>
      </c>
      <c r="AA196" s="113">
        <f t="shared" si="210"/>
        <v>-886235.63924257969</v>
      </c>
      <c r="AB196" s="113">
        <f t="shared" si="210"/>
        <v>-923746.97559135547</v>
      </c>
      <c r="AC196" s="113">
        <f t="shared" si="210"/>
        <v>-962012.28980074171</v>
      </c>
      <c r="AD196" s="113">
        <f t="shared" si="210"/>
        <v>0</v>
      </c>
      <c r="AE196" s="113">
        <f t="shared" si="210"/>
        <v>0</v>
      </c>
      <c r="AF196" s="113">
        <f t="shared" si="210"/>
        <v>0</v>
      </c>
      <c r="AG196" s="113">
        <f t="shared" si="210"/>
        <v>0</v>
      </c>
      <c r="AH196" s="113">
        <f t="shared" si="210"/>
        <v>0</v>
      </c>
      <c r="AI196" s="113">
        <f t="shared" si="210"/>
        <v>0</v>
      </c>
      <c r="AJ196" s="113">
        <f t="shared" si="210"/>
        <v>0</v>
      </c>
      <c r="AK196" s="113">
        <f t="shared" si="210"/>
        <v>0</v>
      </c>
      <c r="AL196" s="113">
        <f t="shared" si="210"/>
        <v>0</v>
      </c>
      <c r="AM196" s="113">
        <f t="shared" si="210"/>
        <v>0</v>
      </c>
      <c r="AN196" s="113">
        <f t="shared" si="210"/>
        <v>0</v>
      </c>
      <c r="AO196" s="113">
        <f t="shared" si="210"/>
        <v>0</v>
      </c>
      <c r="AP196" s="113">
        <f t="shared" si="210"/>
        <v>0</v>
      </c>
      <c r="AQ196" s="113">
        <f t="shared" si="210"/>
        <v>0</v>
      </c>
      <c r="AR196" s="113">
        <f t="shared" si="210"/>
        <v>0</v>
      </c>
      <c r="AS196" s="113">
        <f t="shared" si="210"/>
        <v>0</v>
      </c>
      <c r="AT196" s="113">
        <f t="shared" si="210"/>
        <v>0</v>
      </c>
      <c r="AU196" s="113">
        <f t="shared" si="210"/>
        <v>0</v>
      </c>
      <c r="AV196" s="113">
        <f t="shared" si="210"/>
        <v>0</v>
      </c>
      <c r="AW196" s="113">
        <f t="shared" si="210"/>
        <v>0</v>
      </c>
      <c r="AX196" s="113">
        <f t="shared" si="210"/>
        <v>0</v>
      </c>
      <c r="AY196" s="113">
        <f t="shared" si="210"/>
        <v>0</v>
      </c>
      <c r="AZ196" s="113">
        <f t="shared" si="210"/>
        <v>0</v>
      </c>
    </row>
    <row r="197" spans="1:52" x14ac:dyDescent="0.25">
      <c r="A197" s="4"/>
      <c r="B197" s="4"/>
      <c r="C197" s="4"/>
      <c r="D197" s="4"/>
      <c r="E197" s="4"/>
      <c r="F197" s="4"/>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row>
    <row r="198" spans="1:52" x14ac:dyDescent="0.25">
      <c r="A198" s="50" t="s">
        <v>61</v>
      </c>
      <c r="B198" s="50"/>
      <c r="C198" s="54"/>
      <c r="D198" s="54"/>
      <c r="E198" s="54"/>
      <c r="F198" s="54"/>
      <c r="G198" s="54"/>
      <c r="H198" s="49">
        <f>Start_Yr</f>
        <v>2026</v>
      </c>
      <c r="I198" s="49">
        <f>H198+1</f>
        <v>2027</v>
      </c>
      <c r="J198" s="49">
        <f t="shared" ref="J198:AZ198" si="211">I198+1</f>
        <v>2028</v>
      </c>
      <c r="K198" s="49">
        <f t="shared" si="211"/>
        <v>2029</v>
      </c>
      <c r="L198" s="49">
        <f t="shared" si="211"/>
        <v>2030</v>
      </c>
      <c r="M198" s="49">
        <f t="shared" si="211"/>
        <v>2031</v>
      </c>
      <c r="N198" s="49">
        <f t="shared" si="211"/>
        <v>2032</v>
      </c>
      <c r="O198" s="49">
        <f t="shared" si="211"/>
        <v>2033</v>
      </c>
      <c r="P198" s="49">
        <f t="shared" si="211"/>
        <v>2034</v>
      </c>
      <c r="Q198" s="49">
        <f t="shared" si="211"/>
        <v>2035</v>
      </c>
      <c r="R198" s="49">
        <f t="shared" si="211"/>
        <v>2036</v>
      </c>
      <c r="S198" s="49">
        <f t="shared" si="211"/>
        <v>2037</v>
      </c>
      <c r="T198" s="49">
        <f t="shared" si="211"/>
        <v>2038</v>
      </c>
      <c r="U198" s="49">
        <f t="shared" si="211"/>
        <v>2039</v>
      </c>
      <c r="V198" s="49">
        <f t="shared" si="211"/>
        <v>2040</v>
      </c>
      <c r="W198" s="49">
        <f t="shared" si="211"/>
        <v>2041</v>
      </c>
      <c r="X198" s="49">
        <f t="shared" si="211"/>
        <v>2042</v>
      </c>
      <c r="Y198" s="49">
        <f t="shared" si="211"/>
        <v>2043</v>
      </c>
      <c r="Z198" s="49">
        <f t="shared" si="211"/>
        <v>2044</v>
      </c>
      <c r="AA198" s="49">
        <f t="shared" si="211"/>
        <v>2045</v>
      </c>
      <c r="AB198" s="49">
        <f t="shared" si="211"/>
        <v>2046</v>
      </c>
      <c r="AC198" s="49">
        <f t="shared" si="211"/>
        <v>2047</v>
      </c>
      <c r="AD198" s="49">
        <f t="shared" si="211"/>
        <v>2048</v>
      </c>
      <c r="AE198" s="49">
        <f t="shared" si="211"/>
        <v>2049</v>
      </c>
      <c r="AF198" s="49">
        <f t="shared" si="211"/>
        <v>2050</v>
      </c>
      <c r="AG198" s="49">
        <f t="shared" si="211"/>
        <v>2051</v>
      </c>
      <c r="AH198" s="49">
        <f t="shared" si="211"/>
        <v>2052</v>
      </c>
      <c r="AI198" s="49">
        <f t="shared" si="211"/>
        <v>2053</v>
      </c>
      <c r="AJ198" s="49">
        <f t="shared" si="211"/>
        <v>2054</v>
      </c>
      <c r="AK198" s="49">
        <f t="shared" si="211"/>
        <v>2055</v>
      </c>
      <c r="AL198" s="49">
        <f t="shared" si="211"/>
        <v>2056</v>
      </c>
      <c r="AM198" s="49">
        <f t="shared" si="211"/>
        <v>2057</v>
      </c>
      <c r="AN198" s="49">
        <f t="shared" si="211"/>
        <v>2058</v>
      </c>
      <c r="AO198" s="49">
        <f t="shared" si="211"/>
        <v>2059</v>
      </c>
      <c r="AP198" s="49">
        <f t="shared" si="211"/>
        <v>2060</v>
      </c>
      <c r="AQ198" s="49">
        <f t="shared" si="211"/>
        <v>2061</v>
      </c>
      <c r="AR198" s="49">
        <f t="shared" si="211"/>
        <v>2062</v>
      </c>
      <c r="AS198" s="49">
        <f t="shared" si="211"/>
        <v>2063</v>
      </c>
      <c r="AT198" s="49">
        <f t="shared" si="211"/>
        <v>2064</v>
      </c>
      <c r="AU198" s="49">
        <f t="shared" si="211"/>
        <v>2065</v>
      </c>
      <c r="AV198" s="49">
        <f t="shared" si="211"/>
        <v>2066</v>
      </c>
      <c r="AW198" s="49">
        <f t="shared" si="211"/>
        <v>2067</v>
      </c>
      <c r="AX198" s="49">
        <f t="shared" si="211"/>
        <v>2068</v>
      </c>
      <c r="AY198" s="49">
        <f t="shared" si="211"/>
        <v>2069</v>
      </c>
      <c r="AZ198" s="49">
        <f t="shared" si="211"/>
        <v>2070</v>
      </c>
    </row>
    <row r="199" spans="1:52" x14ac:dyDescent="0.25">
      <c r="A199" s="4" t="s">
        <v>148</v>
      </c>
      <c r="B199" s="4"/>
      <c r="C199" s="4"/>
      <c r="D199" s="4"/>
      <c r="E199" s="4"/>
      <c r="F199" s="4"/>
      <c r="G199" s="9" t="s">
        <v>49</v>
      </c>
      <c r="H199" s="116">
        <f>H61</f>
        <v>190000</v>
      </c>
      <c r="I199" s="116">
        <f t="shared" ref="I199:AZ199" si="212">I60</f>
        <v>182405.66578264337</v>
      </c>
      <c r="J199" s="116">
        <f t="shared" si="212"/>
        <v>178811.55355616449</v>
      </c>
      <c r="K199" s="116">
        <f t="shared" si="212"/>
        <v>175288.25953942208</v>
      </c>
      <c r="L199" s="116">
        <f t="shared" si="212"/>
        <v>171834.38833391047</v>
      </c>
      <c r="M199" s="116">
        <f t="shared" si="212"/>
        <v>168448.57203598713</v>
      </c>
      <c r="N199" s="116">
        <f t="shared" si="212"/>
        <v>165129.46969511535</v>
      </c>
      <c r="O199" s="116">
        <f t="shared" si="212"/>
        <v>161875.76678278143</v>
      </c>
      <c r="P199" s="116">
        <f t="shared" si="212"/>
        <v>158686.17467187668</v>
      </c>
      <c r="Q199" s="116">
        <f t="shared" si="212"/>
        <v>155559.43012633731</v>
      </c>
      <c r="R199" s="116">
        <f t="shared" si="212"/>
        <v>152494.29480084041</v>
      </c>
      <c r="S199" s="116">
        <f t="shared" si="212"/>
        <v>149489.55475035822</v>
      </c>
      <c r="T199" s="116">
        <f t="shared" si="212"/>
        <v>146544.01994937577</v>
      </c>
      <c r="U199" s="116">
        <f t="shared" si="212"/>
        <v>143656.52382058205</v>
      </c>
      <c r="V199" s="116">
        <f t="shared" si="212"/>
        <v>140825.92277284781</v>
      </c>
      <c r="W199" s="116">
        <f t="shared" si="212"/>
        <v>138051.09574830686</v>
      </c>
      <c r="X199" s="116">
        <f t="shared" si="212"/>
        <v>135330.94377836181</v>
      </c>
      <c r="Y199" s="116">
        <f t="shared" si="212"/>
        <v>132664.38954843819</v>
      </c>
      <c r="Z199" s="116">
        <f t="shared" si="212"/>
        <v>130050.37697131476</v>
      </c>
      <c r="AA199" s="116">
        <f t="shared" si="212"/>
        <v>127487.87076886067</v>
      </c>
      <c r="AB199" s="116">
        <f t="shared" si="212"/>
        <v>124975.85606201418</v>
      </c>
      <c r="AC199" s="116">
        <f t="shared" si="212"/>
        <v>122513.33796884048</v>
      </c>
      <c r="AD199" s="116">
        <f t="shared" si="212"/>
        <v>0</v>
      </c>
      <c r="AE199" s="116">
        <f t="shared" si="212"/>
        <v>0</v>
      </c>
      <c r="AF199" s="116">
        <f t="shared" si="212"/>
        <v>0</v>
      </c>
      <c r="AG199" s="116">
        <f t="shared" si="212"/>
        <v>0</v>
      </c>
      <c r="AH199" s="116">
        <f t="shared" si="212"/>
        <v>0</v>
      </c>
      <c r="AI199" s="116">
        <f t="shared" si="212"/>
        <v>0</v>
      </c>
      <c r="AJ199" s="116">
        <f t="shared" si="212"/>
        <v>0</v>
      </c>
      <c r="AK199" s="116">
        <f t="shared" si="212"/>
        <v>0</v>
      </c>
      <c r="AL199" s="116">
        <f t="shared" si="212"/>
        <v>0</v>
      </c>
      <c r="AM199" s="116">
        <f t="shared" si="212"/>
        <v>0</v>
      </c>
      <c r="AN199" s="116">
        <f t="shared" si="212"/>
        <v>0</v>
      </c>
      <c r="AO199" s="116">
        <f t="shared" si="212"/>
        <v>0</v>
      </c>
      <c r="AP199" s="116">
        <f t="shared" si="212"/>
        <v>0</v>
      </c>
      <c r="AQ199" s="116">
        <f t="shared" si="212"/>
        <v>0</v>
      </c>
      <c r="AR199" s="116">
        <f t="shared" si="212"/>
        <v>0</v>
      </c>
      <c r="AS199" s="116">
        <f t="shared" si="212"/>
        <v>0</v>
      </c>
      <c r="AT199" s="116">
        <f t="shared" si="212"/>
        <v>0</v>
      </c>
      <c r="AU199" s="116">
        <f t="shared" si="212"/>
        <v>0</v>
      </c>
      <c r="AV199" s="116">
        <f t="shared" si="212"/>
        <v>0</v>
      </c>
      <c r="AW199" s="116">
        <f t="shared" si="212"/>
        <v>0</v>
      </c>
      <c r="AX199" s="116">
        <f t="shared" si="212"/>
        <v>0</v>
      </c>
      <c r="AY199" s="116">
        <f t="shared" si="212"/>
        <v>0</v>
      </c>
      <c r="AZ199" s="116">
        <f t="shared" si="212"/>
        <v>0</v>
      </c>
    </row>
    <row r="200" spans="1:52" x14ac:dyDescent="0.25">
      <c r="A200" s="4" t="s">
        <v>149</v>
      </c>
      <c r="B200" s="4"/>
      <c r="C200" s="4"/>
      <c r="D200" s="4"/>
      <c r="E200" s="4"/>
      <c r="F200" s="4"/>
      <c r="G200" s="9" t="s">
        <v>49</v>
      </c>
      <c r="H200" s="116">
        <f>H146</f>
        <v>745410.29999999993</v>
      </c>
      <c r="I200" s="116">
        <f t="shared" ref="I200:AZ200" si="213">I145</f>
        <v>730000</v>
      </c>
      <c r="J200" s="116">
        <f t="shared" si="213"/>
        <v>730000</v>
      </c>
      <c r="K200" s="116">
        <f t="shared" si="213"/>
        <v>730000</v>
      </c>
      <c r="L200" s="116">
        <f t="shared" si="213"/>
        <v>730000</v>
      </c>
      <c r="M200" s="116">
        <f t="shared" si="213"/>
        <v>730000</v>
      </c>
      <c r="N200" s="116">
        <f t="shared" si="213"/>
        <v>730000</v>
      </c>
      <c r="O200" s="116">
        <f t="shared" si="213"/>
        <v>730000</v>
      </c>
      <c r="P200" s="116">
        <f t="shared" si="213"/>
        <v>730000</v>
      </c>
      <c r="Q200" s="116">
        <f t="shared" si="213"/>
        <v>730000</v>
      </c>
      <c r="R200" s="116">
        <f t="shared" si="213"/>
        <v>730000</v>
      </c>
      <c r="S200" s="116">
        <f t="shared" si="213"/>
        <v>730000</v>
      </c>
      <c r="T200" s="116">
        <f t="shared" si="213"/>
        <v>730000</v>
      </c>
      <c r="U200" s="116">
        <f t="shared" si="213"/>
        <v>730000</v>
      </c>
      <c r="V200" s="116">
        <f t="shared" si="213"/>
        <v>730000</v>
      </c>
      <c r="W200" s="116">
        <f t="shared" si="213"/>
        <v>730000</v>
      </c>
      <c r="X200" s="116">
        <f t="shared" si="213"/>
        <v>730000</v>
      </c>
      <c r="Y200" s="116">
        <f t="shared" si="213"/>
        <v>730000</v>
      </c>
      <c r="Z200" s="116">
        <f t="shared" si="213"/>
        <v>730000</v>
      </c>
      <c r="AA200" s="116">
        <f t="shared" si="213"/>
        <v>730000</v>
      </c>
      <c r="AB200" s="116">
        <f t="shared" si="213"/>
        <v>730000</v>
      </c>
      <c r="AC200" s="116">
        <f t="shared" si="213"/>
        <v>730000</v>
      </c>
      <c r="AD200" s="116">
        <f t="shared" si="213"/>
        <v>0</v>
      </c>
      <c r="AE200" s="116">
        <f t="shared" si="213"/>
        <v>0</v>
      </c>
      <c r="AF200" s="116">
        <f t="shared" si="213"/>
        <v>0</v>
      </c>
      <c r="AG200" s="116">
        <f t="shared" si="213"/>
        <v>0</v>
      </c>
      <c r="AH200" s="116">
        <f t="shared" si="213"/>
        <v>0</v>
      </c>
      <c r="AI200" s="116">
        <f t="shared" si="213"/>
        <v>0</v>
      </c>
      <c r="AJ200" s="116">
        <f t="shared" si="213"/>
        <v>0</v>
      </c>
      <c r="AK200" s="116">
        <f t="shared" si="213"/>
        <v>0</v>
      </c>
      <c r="AL200" s="116">
        <f t="shared" si="213"/>
        <v>0</v>
      </c>
      <c r="AM200" s="116">
        <f t="shared" si="213"/>
        <v>0</v>
      </c>
      <c r="AN200" s="116">
        <f t="shared" si="213"/>
        <v>0</v>
      </c>
      <c r="AO200" s="116">
        <f t="shared" si="213"/>
        <v>0</v>
      </c>
      <c r="AP200" s="116">
        <f t="shared" si="213"/>
        <v>0</v>
      </c>
      <c r="AQ200" s="116">
        <f t="shared" si="213"/>
        <v>0</v>
      </c>
      <c r="AR200" s="116">
        <f t="shared" si="213"/>
        <v>0</v>
      </c>
      <c r="AS200" s="116">
        <f t="shared" si="213"/>
        <v>0</v>
      </c>
      <c r="AT200" s="116">
        <f t="shared" si="213"/>
        <v>0</v>
      </c>
      <c r="AU200" s="116">
        <f t="shared" si="213"/>
        <v>0</v>
      </c>
      <c r="AV200" s="116">
        <f t="shared" si="213"/>
        <v>0</v>
      </c>
      <c r="AW200" s="116">
        <f t="shared" si="213"/>
        <v>0</v>
      </c>
      <c r="AX200" s="116">
        <f t="shared" si="213"/>
        <v>0</v>
      </c>
      <c r="AY200" s="116">
        <f t="shared" si="213"/>
        <v>0</v>
      </c>
      <c r="AZ200" s="116">
        <f t="shared" si="213"/>
        <v>0</v>
      </c>
    </row>
    <row r="201" spans="1:52" x14ac:dyDescent="0.25">
      <c r="A201" s="4" t="s">
        <v>150</v>
      </c>
      <c r="B201" s="4"/>
      <c r="C201" s="4"/>
      <c r="D201" s="4"/>
      <c r="E201" s="4"/>
      <c r="F201" s="4"/>
      <c r="G201" s="9" t="s">
        <v>49</v>
      </c>
      <c r="H201" s="116">
        <f>H167</f>
        <v>0</v>
      </c>
      <c r="I201" s="116">
        <f t="shared" ref="I201:AZ201" si="214">I168</f>
        <v>0</v>
      </c>
      <c r="J201" s="116">
        <f t="shared" si="214"/>
        <v>0</v>
      </c>
      <c r="K201" s="116">
        <f t="shared" si="214"/>
        <v>0</v>
      </c>
      <c r="L201" s="116">
        <f t="shared" si="214"/>
        <v>0</v>
      </c>
      <c r="M201" s="116">
        <f t="shared" si="214"/>
        <v>0</v>
      </c>
      <c r="N201" s="116">
        <f t="shared" si="214"/>
        <v>0</v>
      </c>
      <c r="O201" s="116">
        <f t="shared" si="214"/>
        <v>0</v>
      </c>
      <c r="P201" s="116">
        <f t="shared" si="214"/>
        <v>0</v>
      </c>
      <c r="Q201" s="116">
        <f t="shared" si="214"/>
        <v>0</v>
      </c>
      <c r="R201" s="116">
        <f t="shared" si="214"/>
        <v>0</v>
      </c>
      <c r="S201" s="116">
        <f t="shared" si="214"/>
        <v>0</v>
      </c>
      <c r="T201" s="116">
        <f t="shared" si="214"/>
        <v>0</v>
      </c>
      <c r="U201" s="116">
        <f t="shared" si="214"/>
        <v>0</v>
      </c>
      <c r="V201" s="116">
        <f t="shared" si="214"/>
        <v>0</v>
      </c>
      <c r="W201" s="116">
        <f t="shared" si="214"/>
        <v>0</v>
      </c>
      <c r="X201" s="116">
        <f t="shared" si="214"/>
        <v>0</v>
      </c>
      <c r="Y201" s="116">
        <f t="shared" si="214"/>
        <v>0</v>
      </c>
      <c r="Z201" s="116">
        <f t="shared" si="214"/>
        <v>0</v>
      </c>
      <c r="AA201" s="116">
        <f t="shared" si="214"/>
        <v>0</v>
      </c>
      <c r="AB201" s="116">
        <f t="shared" si="214"/>
        <v>0</v>
      </c>
      <c r="AC201" s="116">
        <f t="shared" si="214"/>
        <v>0</v>
      </c>
      <c r="AD201" s="116">
        <f t="shared" si="214"/>
        <v>0</v>
      </c>
      <c r="AE201" s="116">
        <f t="shared" si="214"/>
        <v>0</v>
      </c>
      <c r="AF201" s="116">
        <f t="shared" si="214"/>
        <v>0</v>
      </c>
      <c r="AG201" s="116">
        <f t="shared" si="214"/>
        <v>0</v>
      </c>
      <c r="AH201" s="116">
        <f t="shared" si="214"/>
        <v>0</v>
      </c>
      <c r="AI201" s="116">
        <f t="shared" si="214"/>
        <v>0</v>
      </c>
      <c r="AJ201" s="116">
        <f t="shared" si="214"/>
        <v>0</v>
      </c>
      <c r="AK201" s="116">
        <f t="shared" si="214"/>
        <v>0</v>
      </c>
      <c r="AL201" s="116">
        <f t="shared" si="214"/>
        <v>0</v>
      </c>
      <c r="AM201" s="116">
        <f t="shared" si="214"/>
        <v>0</v>
      </c>
      <c r="AN201" s="116">
        <f t="shared" si="214"/>
        <v>0</v>
      </c>
      <c r="AO201" s="116">
        <f t="shared" si="214"/>
        <v>0</v>
      </c>
      <c r="AP201" s="116">
        <f t="shared" si="214"/>
        <v>0</v>
      </c>
      <c r="AQ201" s="116">
        <f t="shared" si="214"/>
        <v>0</v>
      </c>
      <c r="AR201" s="116">
        <f t="shared" si="214"/>
        <v>0</v>
      </c>
      <c r="AS201" s="116">
        <f t="shared" si="214"/>
        <v>0</v>
      </c>
      <c r="AT201" s="116">
        <f t="shared" si="214"/>
        <v>0</v>
      </c>
      <c r="AU201" s="116">
        <f t="shared" si="214"/>
        <v>0</v>
      </c>
      <c r="AV201" s="116">
        <f t="shared" si="214"/>
        <v>0</v>
      </c>
      <c r="AW201" s="116">
        <f t="shared" si="214"/>
        <v>0</v>
      </c>
      <c r="AX201" s="116">
        <f t="shared" si="214"/>
        <v>0</v>
      </c>
      <c r="AY201" s="116">
        <f t="shared" si="214"/>
        <v>0</v>
      </c>
      <c r="AZ201" s="116">
        <f t="shared" si="214"/>
        <v>0</v>
      </c>
    </row>
    <row r="202" spans="1:52" x14ac:dyDescent="0.25">
      <c r="A202" s="4" t="s">
        <v>151</v>
      </c>
      <c r="B202" s="4"/>
      <c r="C202" s="4"/>
      <c r="D202" s="4"/>
      <c r="E202" s="4"/>
      <c r="F202" s="4"/>
      <c r="G202" s="9" t="s">
        <v>49</v>
      </c>
      <c r="H202" s="117">
        <f>SUM(H199:H201)</f>
        <v>935410.29999999993</v>
      </c>
      <c r="I202" s="117">
        <f t="shared" ref="I202:AZ202" si="215">SUM(I199:I201)</f>
        <v>912405.66578264337</v>
      </c>
      <c r="J202" s="117">
        <f t="shared" si="215"/>
        <v>908811.55355616449</v>
      </c>
      <c r="K202" s="117">
        <f t="shared" si="215"/>
        <v>905288.25953942211</v>
      </c>
      <c r="L202" s="117">
        <f t="shared" si="215"/>
        <v>901834.38833391049</v>
      </c>
      <c r="M202" s="117">
        <f t="shared" si="215"/>
        <v>898448.57203598716</v>
      </c>
      <c r="N202" s="117">
        <f t="shared" si="215"/>
        <v>895129.46969511535</v>
      </c>
      <c r="O202" s="117">
        <f t="shared" si="215"/>
        <v>891875.76678278146</v>
      </c>
      <c r="P202" s="117">
        <f t="shared" si="215"/>
        <v>888686.17467187671</v>
      </c>
      <c r="Q202" s="117">
        <f t="shared" si="215"/>
        <v>885559.43012633733</v>
      </c>
      <c r="R202" s="117">
        <f t="shared" si="215"/>
        <v>882494.29480084043</v>
      </c>
      <c r="S202" s="117">
        <f t="shared" si="215"/>
        <v>879489.55475035822</v>
      </c>
      <c r="T202" s="117">
        <f t="shared" si="215"/>
        <v>876544.01994937577</v>
      </c>
      <c r="U202" s="117">
        <f t="shared" si="215"/>
        <v>873656.52382058208</v>
      </c>
      <c r="V202" s="117">
        <f t="shared" si="215"/>
        <v>870825.92277284781</v>
      </c>
      <c r="W202" s="117">
        <f t="shared" si="215"/>
        <v>868051.09574830683</v>
      </c>
      <c r="X202" s="117">
        <f t="shared" si="215"/>
        <v>865330.94377836178</v>
      </c>
      <c r="Y202" s="117">
        <f t="shared" si="215"/>
        <v>862664.38954843814</v>
      </c>
      <c r="Z202" s="117">
        <f t="shared" si="215"/>
        <v>860050.37697131478</v>
      </c>
      <c r="AA202" s="117">
        <f t="shared" si="215"/>
        <v>857487.87076886068</v>
      </c>
      <c r="AB202" s="117">
        <f t="shared" si="215"/>
        <v>854975.85606201412</v>
      </c>
      <c r="AC202" s="117">
        <f t="shared" si="215"/>
        <v>852513.3379688405</v>
      </c>
      <c r="AD202" s="117">
        <f t="shared" si="215"/>
        <v>0</v>
      </c>
      <c r="AE202" s="117">
        <f t="shared" si="215"/>
        <v>0</v>
      </c>
      <c r="AF202" s="117">
        <f t="shared" si="215"/>
        <v>0</v>
      </c>
      <c r="AG202" s="117">
        <f t="shared" si="215"/>
        <v>0</v>
      </c>
      <c r="AH202" s="117">
        <f t="shared" si="215"/>
        <v>0</v>
      </c>
      <c r="AI202" s="117">
        <f t="shared" si="215"/>
        <v>0</v>
      </c>
      <c r="AJ202" s="117">
        <f t="shared" si="215"/>
        <v>0</v>
      </c>
      <c r="AK202" s="117">
        <f t="shared" si="215"/>
        <v>0</v>
      </c>
      <c r="AL202" s="117">
        <f t="shared" si="215"/>
        <v>0</v>
      </c>
      <c r="AM202" s="117">
        <f t="shared" si="215"/>
        <v>0</v>
      </c>
      <c r="AN202" s="117">
        <f t="shared" si="215"/>
        <v>0</v>
      </c>
      <c r="AO202" s="117">
        <f t="shared" si="215"/>
        <v>0</v>
      </c>
      <c r="AP202" s="117">
        <f t="shared" si="215"/>
        <v>0</v>
      </c>
      <c r="AQ202" s="117">
        <f t="shared" si="215"/>
        <v>0</v>
      </c>
      <c r="AR202" s="117">
        <f t="shared" si="215"/>
        <v>0</v>
      </c>
      <c r="AS202" s="117">
        <f t="shared" si="215"/>
        <v>0</v>
      </c>
      <c r="AT202" s="117">
        <f t="shared" si="215"/>
        <v>0</v>
      </c>
      <c r="AU202" s="117">
        <f t="shared" si="215"/>
        <v>0</v>
      </c>
      <c r="AV202" s="117">
        <f t="shared" si="215"/>
        <v>0</v>
      </c>
      <c r="AW202" s="117">
        <f t="shared" si="215"/>
        <v>0</v>
      </c>
      <c r="AX202" s="117">
        <f t="shared" si="215"/>
        <v>0</v>
      </c>
      <c r="AY202" s="117">
        <f t="shared" si="215"/>
        <v>0</v>
      </c>
      <c r="AZ202" s="117">
        <f t="shared" si="215"/>
        <v>0</v>
      </c>
    </row>
    <row r="203" spans="1:52" x14ac:dyDescent="0.25">
      <c r="A203" s="4" t="s">
        <v>142</v>
      </c>
      <c r="B203" s="4"/>
      <c r="C203" s="4"/>
      <c r="D203" s="4"/>
      <c r="E203" s="4"/>
      <c r="F203" s="4"/>
      <c r="G203" s="9" t="s">
        <v>49</v>
      </c>
      <c r="H203" s="116">
        <f t="shared" ref="H203:AZ203" si="216">H178*IF($E$178="Real",H$9,1)</f>
        <v>1000000</v>
      </c>
      <c r="I203" s="116">
        <f t="shared" si="216"/>
        <v>1000000</v>
      </c>
      <c r="J203" s="116">
        <f t="shared" si="216"/>
        <v>1000000</v>
      </c>
      <c r="K203" s="116">
        <f t="shared" si="216"/>
        <v>1000000</v>
      </c>
      <c r="L203" s="116">
        <f t="shared" si="216"/>
        <v>1000000</v>
      </c>
      <c r="M203" s="116">
        <f t="shared" si="216"/>
        <v>1000000</v>
      </c>
      <c r="N203" s="116">
        <f t="shared" si="216"/>
        <v>1000000</v>
      </c>
      <c r="O203" s="116">
        <f t="shared" si="216"/>
        <v>1000000</v>
      </c>
      <c r="P203" s="116">
        <f t="shared" si="216"/>
        <v>1000000</v>
      </c>
      <c r="Q203" s="116">
        <f t="shared" si="216"/>
        <v>1000000</v>
      </c>
      <c r="R203" s="116">
        <f t="shared" si="216"/>
        <v>1000000</v>
      </c>
      <c r="S203" s="116">
        <f t="shared" si="216"/>
        <v>1000000</v>
      </c>
      <c r="T203" s="116">
        <f t="shared" si="216"/>
        <v>1000000</v>
      </c>
      <c r="U203" s="116">
        <f t="shared" si="216"/>
        <v>1000000</v>
      </c>
      <c r="V203" s="116">
        <f t="shared" si="216"/>
        <v>1000000</v>
      </c>
      <c r="W203" s="116">
        <f t="shared" si="216"/>
        <v>1000000</v>
      </c>
      <c r="X203" s="116">
        <f t="shared" si="216"/>
        <v>1000000</v>
      </c>
      <c r="Y203" s="116">
        <f t="shared" si="216"/>
        <v>1000000</v>
      </c>
      <c r="Z203" s="116">
        <f t="shared" si="216"/>
        <v>1000000</v>
      </c>
      <c r="AA203" s="116">
        <f t="shared" si="216"/>
        <v>1000000</v>
      </c>
      <c r="AB203" s="116">
        <f t="shared" si="216"/>
        <v>1000000</v>
      </c>
      <c r="AC203" s="116">
        <f t="shared" si="216"/>
        <v>1000000</v>
      </c>
      <c r="AD203" s="116">
        <f t="shared" si="216"/>
        <v>0</v>
      </c>
      <c r="AE203" s="116">
        <f t="shared" si="216"/>
        <v>0</v>
      </c>
      <c r="AF203" s="116">
        <f t="shared" si="216"/>
        <v>0</v>
      </c>
      <c r="AG203" s="116">
        <f t="shared" si="216"/>
        <v>0</v>
      </c>
      <c r="AH203" s="116">
        <f t="shared" si="216"/>
        <v>0</v>
      </c>
      <c r="AI203" s="116">
        <f t="shared" si="216"/>
        <v>0</v>
      </c>
      <c r="AJ203" s="116">
        <f t="shared" si="216"/>
        <v>0</v>
      </c>
      <c r="AK203" s="116">
        <f t="shared" si="216"/>
        <v>0</v>
      </c>
      <c r="AL203" s="116">
        <f t="shared" si="216"/>
        <v>0</v>
      </c>
      <c r="AM203" s="116">
        <f t="shared" si="216"/>
        <v>0</v>
      </c>
      <c r="AN203" s="116">
        <f t="shared" si="216"/>
        <v>0</v>
      </c>
      <c r="AO203" s="116">
        <f t="shared" si="216"/>
        <v>0</v>
      </c>
      <c r="AP203" s="116">
        <f t="shared" si="216"/>
        <v>0</v>
      </c>
      <c r="AQ203" s="116">
        <f t="shared" si="216"/>
        <v>0</v>
      </c>
      <c r="AR203" s="116">
        <f t="shared" si="216"/>
        <v>0</v>
      </c>
      <c r="AS203" s="116">
        <f t="shared" si="216"/>
        <v>0</v>
      </c>
      <c r="AT203" s="116">
        <f t="shared" si="216"/>
        <v>0</v>
      </c>
      <c r="AU203" s="116">
        <f t="shared" si="216"/>
        <v>0</v>
      </c>
      <c r="AV203" s="116">
        <f t="shared" si="216"/>
        <v>0</v>
      </c>
      <c r="AW203" s="116">
        <f t="shared" si="216"/>
        <v>0</v>
      </c>
      <c r="AX203" s="116">
        <f t="shared" si="216"/>
        <v>0</v>
      </c>
      <c r="AY203" s="116">
        <f t="shared" si="216"/>
        <v>0</v>
      </c>
      <c r="AZ203" s="116">
        <f t="shared" si="216"/>
        <v>0</v>
      </c>
    </row>
    <row r="204" spans="1:52" x14ac:dyDescent="0.25">
      <c r="A204" s="4" t="s">
        <v>152</v>
      </c>
      <c r="B204" s="4"/>
      <c r="C204" s="4"/>
      <c r="D204" s="4"/>
      <c r="E204" s="4"/>
      <c r="F204" s="4"/>
      <c r="G204" s="9" t="s">
        <v>49</v>
      </c>
      <c r="H204" s="116">
        <f>H203-H202</f>
        <v>64589.70000000007</v>
      </c>
      <c r="I204" s="116">
        <f t="shared" ref="I204:AZ204" si="217">I203-I202</f>
        <v>87594.334217356634</v>
      </c>
      <c r="J204" s="116">
        <f t="shared" si="217"/>
        <v>91188.446443835506</v>
      </c>
      <c r="K204" s="116">
        <f t="shared" si="217"/>
        <v>94711.740460577887</v>
      </c>
      <c r="L204" s="116">
        <f t="shared" si="217"/>
        <v>98165.611666089506</v>
      </c>
      <c r="M204" s="116">
        <f t="shared" si="217"/>
        <v>101551.42796401284</v>
      </c>
      <c r="N204" s="116">
        <f t="shared" si="217"/>
        <v>104870.53030488465</v>
      </c>
      <c r="O204" s="116">
        <f t="shared" si="217"/>
        <v>108124.23321721854</v>
      </c>
      <c r="P204" s="116">
        <f t="shared" si="217"/>
        <v>111313.82532812329</v>
      </c>
      <c r="Q204" s="116">
        <f t="shared" si="217"/>
        <v>114440.56987366267</v>
      </c>
      <c r="R204" s="116">
        <f t="shared" si="217"/>
        <v>117505.70519915957</v>
      </c>
      <c r="S204" s="116">
        <f t="shared" si="217"/>
        <v>120510.44524964178</v>
      </c>
      <c r="T204" s="116">
        <f t="shared" si="217"/>
        <v>123455.98005062423</v>
      </c>
      <c r="U204" s="116">
        <f t="shared" si="217"/>
        <v>126343.47617941792</v>
      </c>
      <c r="V204" s="116">
        <f t="shared" si="217"/>
        <v>129174.07722715219</v>
      </c>
      <c r="W204" s="116">
        <f t="shared" si="217"/>
        <v>131948.90425169317</v>
      </c>
      <c r="X204" s="116">
        <f t="shared" si="217"/>
        <v>134669.05622163822</v>
      </c>
      <c r="Y204" s="116">
        <f t="shared" si="217"/>
        <v>137335.61045156186</v>
      </c>
      <c r="Z204" s="116">
        <f t="shared" si="217"/>
        <v>139949.62302868522</v>
      </c>
      <c r="AA204" s="116">
        <f t="shared" si="217"/>
        <v>142512.12923113932</v>
      </c>
      <c r="AB204" s="116">
        <f t="shared" si="217"/>
        <v>145024.14393798588</v>
      </c>
      <c r="AC204" s="116">
        <f t="shared" si="217"/>
        <v>147486.6620311595</v>
      </c>
      <c r="AD204" s="116">
        <f t="shared" si="217"/>
        <v>0</v>
      </c>
      <c r="AE204" s="116">
        <f t="shared" si="217"/>
        <v>0</v>
      </c>
      <c r="AF204" s="116">
        <f t="shared" si="217"/>
        <v>0</v>
      </c>
      <c r="AG204" s="116">
        <f t="shared" si="217"/>
        <v>0</v>
      </c>
      <c r="AH204" s="116">
        <f t="shared" si="217"/>
        <v>0</v>
      </c>
      <c r="AI204" s="116">
        <f t="shared" si="217"/>
        <v>0</v>
      </c>
      <c r="AJ204" s="116">
        <f t="shared" si="217"/>
        <v>0</v>
      </c>
      <c r="AK204" s="116">
        <f t="shared" si="217"/>
        <v>0</v>
      </c>
      <c r="AL204" s="116">
        <f t="shared" si="217"/>
        <v>0</v>
      </c>
      <c r="AM204" s="116">
        <f t="shared" si="217"/>
        <v>0</v>
      </c>
      <c r="AN204" s="116">
        <f t="shared" si="217"/>
        <v>0</v>
      </c>
      <c r="AO204" s="116">
        <f t="shared" si="217"/>
        <v>0</v>
      </c>
      <c r="AP204" s="116">
        <f t="shared" si="217"/>
        <v>0</v>
      </c>
      <c r="AQ204" s="116">
        <f t="shared" si="217"/>
        <v>0</v>
      </c>
      <c r="AR204" s="116">
        <f t="shared" si="217"/>
        <v>0</v>
      </c>
      <c r="AS204" s="116">
        <f t="shared" si="217"/>
        <v>0</v>
      </c>
      <c r="AT204" s="116">
        <f t="shared" si="217"/>
        <v>0</v>
      </c>
      <c r="AU204" s="116">
        <f t="shared" si="217"/>
        <v>0</v>
      </c>
      <c r="AV204" s="116">
        <f t="shared" si="217"/>
        <v>0</v>
      </c>
      <c r="AW204" s="116">
        <f t="shared" si="217"/>
        <v>0</v>
      </c>
      <c r="AX204" s="116">
        <f t="shared" si="217"/>
        <v>0</v>
      </c>
      <c r="AY204" s="116">
        <f t="shared" si="217"/>
        <v>0</v>
      </c>
      <c r="AZ204" s="116">
        <f t="shared" si="217"/>
        <v>0</v>
      </c>
    </row>
    <row r="205" spans="1:52" x14ac:dyDescent="0.25">
      <c r="A205" s="4" t="s">
        <v>153</v>
      </c>
      <c r="B205" s="4"/>
      <c r="C205" s="4"/>
      <c r="D205" s="4"/>
      <c r="E205" s="4"/>
      <c r="F205" s="4"/>
      <c r="G205" s="9" t="s">
        <v>49</v>
      </c>
      <c r="H205" s="116">
        <f>H204-H185</f>
        <v>64589.70000000007</v>
      </c>
      <c r="I205" s="116">
        <f t="shared" ref="I205:AZ205" si="218">I204-I185</f>
        <v>87594.334217356634</v>
      </c>
      <c r="J205" s="116">
        <f t="shared" si="218"/>
        <v>91188.446443835506</v>
      </c>
      <c r="K205" s="116">
        <f t="shared" si="218"/>
        <v>94711.740460577887</v>
      </c>
      <c r="L205" s="116">
        <f t="shared" si="218"/>
        <v>98165.611666089506</v>
      </c>
      <c r="M205" s="116">
        <f t="shared" si="218"/>
        <v>101551.42796401284</v>
      </c>
      <c r="N205" s="116">
        <f t="shared" si="218"/>
        <v>104870.53030488465</v>
      </c>
      <c r="O205" s="116">
        <f t="shared" si="218"/>
        <v>108124.23321721854</v>
      </c>
      <c r="P205" s="116">
        <f t="shared" si="218"/>
        <v>111313.82532812329</v>
      </c>
      <c r="Q205" s="116">
        <f t="shared" si="218"/>
        <v>114440.56987366267</v>
      </c>
      <c r="R205" s="116">
        <f t="shared" si="218"/>
        <v>117505.70519915957</v>
      </c>
      <c r="S205" s="116">
        <f t="shared" si="218"/>
        <v>120510.44524964178</v>
      </c>
      <c r="T205" s="116">
        <f t="shared" si="218"/>
        <v>123455.98005062423</v>
      </c>
      <c r="U205" s="116">
        <f t="shared" si="218"/>
        <v>126343.47617941792</v>
      </c>
      <c r="V205" s="116">
        <f t="shared" si="218"/>
        <v>129174.07722715219</v>
      </c>
      <c r="W205" s="116">
        <f t="shared" si="218"/>
        <v>131948.90425169317</v>
      </c>
      <c r="X205" s="116">
        <f t="shared" si="218"/>
        <v>134669.05622163822</v>
      </c>
      <c r="Y205" s="116">
        <f t="shared" si="218"/>
        <v>137335.61045156186</v>
      </c>
      <c r="Z205" s="116">
        <f t="shared" si="218"/>
        <v>139949.62302868522</v>
      </c>
      <c r="AA205" s="116">
        <f t="shared" si="218"/>
        <v>142512.12923113932</v>
      </c>
      <c r="AB205" s="116">
        <f t="shared" si="218"/>
        <v>145024.14393798588</v>
      </c>
      <c r="AC205" s="116">
        <f t="shared" si="218"/>
        <v>147486.6620311595</v>
      </c>
      <c r="AD205" s="116">
        <f t="shared" si="218"/>
        <v>0</v>
      </c>
      <c r="AE205" s="116">
        <f t="shared" si="218"/>
        <v>0</v>
      </c>
      <c r="AF205" s="116">
        <f t="shared" si="218"/>
        <v>0</v>
      </c>
      <c r="AG205" s="116">
        <f t="shared" si="218"/>
        <v>0</v>
      </c>
      <c r="AH205" s="116">
        <f t="shared" si="218"/>
        <v>0</v>
      </c>
      <c r="AI205" s="116">
        <f t="shared" si="218"/>
        <v>0</v>
      </c>
      <c r="AJ205" s="116">
        <f t="shared" si="218"/>
        <v>0</v>
      </c>
      <c r="AK205" s="116">
        <f t="shared" si="218"/>
        <v>0</v>
      </c>
      <c r="AL205" s="116">
        <f t="shared" si="218"/>
        <v>0</v>
      </c>
      <c r="AM205" s="116">
        <f t="shared" si="218"/>
        <v>0</v>
      </c>
      <c r="AN205" s="116">
        <f t="shared" si="218"/>
        <v>0</v>
      </c>
      <c r="AO205" s="116">
        <f t="shared" si="218"/>
        <v>0</v>
      </c>
      <c r="AP205" s="116">
        <f t="shared" si="218"/>
        <v>0</v>
      </c>
      <c r="AQ205" s="116">
        <f t="shared" si="218"/>
        <v>0</v>
      </c>
      <c r="AR205" s="116">
        <f t="shared" si="218"/>
        <v>0</v>
      </c>
      <c r="AS205" s="116">
        <f t="shared" si="218"/>
        <v>0</v>
      </c>
      <c r="AT205" s="116">
        <f t="shared" si="218"/>
        <v>0</v>
      </c>
      <c r="AU205" s="116">
        <f t="shared" si="218"/>
        <v>0</v>
      </c>
      <c r="AV205" s="116">
        <f t="shared" si="218"/>
        <v>0</v>
      </c>
      <c r="AW205" s="116">
        <f t="shared" si="218"/>
        <v>0</v>
      </c>
      <c r="AX205" s="116">
        <f t="shared" si="218"/>
        <v>0</v>
      </c>
      <c r="AY205" s="116">
        <f t="shared" si="218"/>
        <v>0</v>
      </c>
      <c r="AZ205" s="116">
        <f t="shared" si="218"/>
        <v>0</v>
      </c>
    </row>
    <row r="206" spans="1:5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row>
    <row r="207" spans="1:52" ht="18.75" x14ac:dyDescent="0.3">
      <c r="A207" s="18" t="s">
        <v>154</v>
      </c>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c r="AA207" s="115"/>
      <c r="AB207" s="115"/>
      <c r="AC207" s="115"/>
      <c r="AD207" s="115"/>
      <c r="AE207" s="115"/>
      <c r="AF207" s="115"/>
      <c r="AG207" s="115"/>
      <c r="AH207" s="115"/>
      <c r="AI207" s="115"/>
      <c r="AJ207" s="115"/>
      <c r="AK207" s="115"/>
      <c r="AL207" s="115"/>
      <c r="AM207" s="115"/>
      <c r="AN207" s="115"/>
      <c r="AO207" s="115"/>
      <c r="AP207" s="115"/>
      <c r="AQ207" s="115"/>
      <c r="AR207" s="115"/>
      <c r="AS207" s="115"/>
      <c r="AT207" s="115"/>
      <c r="AU207" s="115"/>
      <c r="AV207" s="115"/>
      <c r="AW207" s="115"/>
      <c r="AX207" s="115"/>
      <c r="AY207" s="115"/>
      <c r="AZ207" s="115"/>
    </row>
    <row r="208" spans="1:52" x14ac:dyDescent="0.25">
      <c r="A208" s="52" t="s">
        <v>50</v>
      </c>
      <c r="B208" s="47"/>
      <c r="C208" s="47"/>
      <c r="D208" s="47"/>
      <c r="E208" s="47"/>
      <c r="F208" s="47"/>
      <c r="G208" s="47"/>
      <c r="H208" s="49">
        <f>Start_Yr</f>
        <v>2026</v>
      </c>
      <c r="I208" s="49">
        <f>H208+1</f>
        <v>2027</v>
      </c>
      <c r="J208" s="49">
        <f t="shared" ref="J208:AZ208" si="219">I208+1</f>
        <v>2028</v>
      </c>
      <c r="K208" s="49">
        <f t="shared" si="219"/>
        <v>2029</v>
      </c>
      <c r="L208" s="49">
        <f t="shared" si="219"/>
        <v>2030</v>
      </c>
      <c r="M208" s="49">
        <f t="shared" si="219"/>
        <v>2031</v>
      </c>
      <c r="N208" s="49">
        <f t="shared" si="219"/>
        <v>2032</v>
      </c>
      <c r="O208" s="49">
        <f t="shared" si="219"/>
        <v>2033</v>
      </c>
      <c r="P208" s="49">
        <f t="shared" si="219"/>
        <v>2034</v>
      </c>
      <c r="Q208" s="49">
        <f t="shared" si="219"/>
        <v>2035</v>
      </c>
      <c r="R208" s="49">
        <f t="shared" si="219"/>
        <v>2036</v>
      </c>
      <c r="S208" s="49">
        <f t="shared" si="219"/>
        <v>2037</v>
      </c>
      <c r="T208" s="49">
        <f t="shared" si="219"/>
        <v>2038</v>
      </c>
      <c r="U208" s="49">
        <f t="shared" si="219"/>
        <v>2039</v>
      </c>
      <c r="V208" s="49">
        <f t="shared" si="219"/>
        <v>2040</v>
      </c>
      <c r="W208" s="49">
        <f t="shared" si="219"/>
        <v>2041</v>
      </c>
      <c r="X208" s="49">
        <f t="shared" si="219"/>
        <v>2042</v>
      </c>
      <c r="Y208" s="49">
        <f t="shared" si="219"/>
        <v>2043</v>
      </c>
      <c r="Z208" s="49">
        <f t="shared" si="219"/>
        <v>2044</v>
      </c>
      <c r="AA208" s="49">
        <f t="shared" si="219"/>
        <v>2045</v>
      </c>
      <c r="AB208" s="49">
        <f t="shared" si="219"/>
        <v>2046</v>
      </c>
      <c r="AC208" s="49">
        <f t="shared" si="219"/>
        <v>2047</v>
      </c>
      <c r="AD208" s="49">
        <f t="shared" si="219"/>
        <v>2048</v>
      </c>
      <c r="AE208" s="49">
        <f t="shared" si="219"/>
        <v>2049</v>
      </c>
      <c r="AF208" s="49">
        <f t="shared" si="219"/>
        <v>2050</v>
      </c>
      <c r="AG208" s="49">
        <f t="shared" si="219"/>
        <v>2051</v>
      </c>
      <c r="AH208" s="49">
        <f t="shared" si="219"/>
        <v>2052</v>
      </c>
      <c r="AI208" s="49">
        <f t="shared" si="219"/>
        <v>2053</v>
      </c>
      <c r="AJ208" s="49">
        <f t="shared" si="219"/>
        <v>2054</v>
      </c>
      <c r="AK208" s="49">
        <f t="shared" si="219"/>
        <v>2055</v>
      </c>
      <c r="AL208" s="49">
        <f t="shared" si="219"/>
        <v>2056</v>
      </c>
      <c r="AM208" s="49">
        <f t="shared" si="219"/>
        <v>2057</v>
      </c>
      <c r="AN208" s="49">
        <f t="shared" si="219"/>
        <v>2058</v>
      </c>
      <c r="AO208" s="49">
        <f t="shared" si="219"/>
        <v>2059</v>
      </c>
      <c r="AP208" s="49">
        <f t="shared" si="219"/>
        <v>2060</v>
      </c>
      <c r="AQ208" s="49">
        <f t="shared" si="219"/>
        <v>2061</v>
      </c>
      <c r="AR208" s="49">
        <f t="shared" si="219"/>
        <v>2062</v>
      </c>
      <c r="AS208" s="49">
        <f t="shared" si="219"/>
        <v>2063</v>
      </c>
      <c r="AT208" s="49">
        <f t="shared" si="219"/>
        <v>2064</v>
      </c>
      <c r="AU208" s="49">
        <f t="shared" si="219"/>
        <v>2065</v>
      </c>
      <c r="AV208" s="49">
        <f t="shared" si="219"/>
        <v>2066</v>
      </c>
      <c r="AW208" s="49">
        <f t="shared" si="219"/>
        <v>2067</v>
      </c>
      <c r="AX208" s="49">
        <f t="shared" si="219"/>
        <v>2068</v>
      </c>
      <c r="AY208" s="49">
        <f t="shared" si="219"/>
        <v>2069</v>
      </c>
      <c r="AZ208" s="49">
        <f t="shared" si="219"/>
        <v>2070</v>
      </c>
    </row>
    <row r="209" spans="1:52" x14ac:dyDescent="0.25">
      <c r="A209" s="4" t="s">
        <v>148</v>
      </c>
      <c r="B209" s="4"/>
      <c r="C209" s="4"/>
      <c r="D209" s="4"/>
      <c r="E209" s="4"/>
      <c r="F209" s="4"/>
      <c r="G209" s="20" t="s">
        <v>124</v>
      </c>
      <c r="H209" s="113">
        <f t="shared" ref="H209:AZ209" si="220">H48</f>
        <v>127312.43450754571</v>
      </c>
      <c r="I209" s="113">
        <f t="shared" si="220"/>
        <v>124803.87658812442</v>
      </c>
      <c r="J209" s="113">
        <f t="shared" si="220"/>
        <v>112933.6127723144</v>
      </c>
      <c r="K209" s="113">
        <f t="shared" si="220"/>
        <v>110708.37444595079</v>
      </c>
      <c r="L209" s="113">
        <f t="shared" si="220"/>
        <v>108526.98210562766</v>
      </c>
      <c r="M209" s="113">
        <f t="shared" si="220"/>
        <v>106388.5718122024</v>
      </c>
      <c r="N209" s="113">
        <f t="shared" si="220"/>
        <v>104292.29664954652</v>
      </c>
      <c r="O209" s="113">
        <f t="shared" si="220"/>
        <v>102237.32638912511</v>
      </c>
      <c r="P209" s="113">
        <f t="shared" si="220"/>
        <v>100222.84716118527</v>
      </c>
      <c r="Q209" s="113">
        <f t="shared" si="220"/>
        <v>98248.061132423565</v>
      </c>
      <c r="R209" s="113">
        <f t="shared" si="220"/>
        <v>96312.186190004461</v>
      </c>
      <c r="S209" s="113">
        <f t="shared" si="220"/>
        <v>94414.455631805191</v>
      </c>
      <c r="T209" s="113">
        <f t="shared" si="220"/>
        <v>92554.11786276364</v>
      </c>
      <c r="U209" s="113">
        <f t="shared" si="220"/>
        <v>90730.43609720972</v>
      </c>
      <c r="V209" s="113">
        <f t="shared" si="220"/>
        <v>88942.688067061783</v>
      </c>
      <c r="W209" s="113">
        <f t="shared" si="220"/>
        <v>87190.165735772753</v>
      </c>
      <c r="X209" s="113">
        <f t="shared" si="220"/>
        <v>85472.175017912712</v>
      </c>
      <c r="Y209" s="113">
        <f t="shared" si="220"/>
        <v>83788.035504276748</v>
      </c>
      <c r="Z209" s="113">
        <f t="shared" si="220"/>
        <v>82137.080192409325</v>
      </c>
      <c r="AA209" s="113">
        <f t="shared" si="220"/>
        <v>80518.655222438305</v>
      </c>
      <c r="AB209" s="113">
        <f t="shared" si="220"/>
        <v>78932.119618114215</v>
      </c>
      <c r="AC209" s="113">
        <f t="shared" si="220"/>
        <v>77376.845032951882</v>
      </c>
      <c r="AD209" s="113">
        <f t="shared" si="220"/>
        <v>0</v>
      </c>
      <c r="AE209" s="113">
        <f t="shared" si="220"/>
        <v>0</v>
      </c>
      <c r="AF209" s="113">
        <f t="shared" si="220"/>
        <v>0</v>
      </c>
      <c r="AG209" s="113">
        <f t="shared" si="220"/>
        <v>0</v>
      </c>
      <c r="AH209" s="113">
        <f t="shared" si="220"/>
        <v>0</v>
      </c>
      <c r="AI209" s="113">
        <f t="shared" si="220"/>
        <v>0</v>
      </c>
      <c r="AJ209" s="113">
        <f t="shared" si="220"/>
        <v>0</v>
      </c>
      <c r="AK209" s="113">
        <f t="shared" si="220"/>
        <v>0</v>
      </c>
      <c r="AL209" s="113">
        <f t="shared" si="220"/>
        <v>0</v>
      </c>
      <c r="AM209" s="113">
        <f t="shared" si="220"/>
        <v>0</v>
      </c>
      <c r="AN209" s="113">
        <f t="shared" si="220"/>
        <v>0</v>
      </c>
      <c r="AO209" s="113">
        <f t="shared" si="220"/>
        <v>0</v>
      </c>
      <c r="AP209" s="113">
        <f t="shared" si="220"/>
        <v>0</v>
      </c>
      <c r="AQ209" s="113">
        <f t="shared" si="220"/>
        <v>0</v>
      </c>
      <c r="AR209" s="113">
        <f t="shared" si="220"/>
        <v>0</v>
      </c>
      <c r="AS209" s="113">
        <f t="shared" si="220"/>
        <v>0</v>
      </c>
      <c r="AT209" s="113">
        <f t="shared" si="220"/>
        <v>0</v>
      </c>
      <c r="AU209" s="113">
        <f t="shared" si="220"/>
        <v>0</v>
      </c>
      <c r="AV209" s="113">
        <f t="shared" si="220"/>
        <v>0</v>
      </c>
      <c r="AW209" s="113">
        <f t="shared" si="220"/>
        <v>0</v>
      </c>
      <c r="AX209" s="113">
        <f t="shared" si="220"/>
        <v>0</v>
      </c>
      <c r="AY209" s="113">
        <f t="shared" si="220"/>
        <v>0</v>
      </c>
      <c r="AZ209" s="113">
        <f t="shared" si="220"/>
        <v>0</v>
      </c>
    </row>
    <row r="210" spans="1:52" x14ac:dyDescent="0.25">
      <c r="A210" s="4" t="s">
        <v>149</v>
      </c>
      <c r="B210" s="4"/>
      <c r="C210" s="4"/>
      <c r="D210" s="4"/>
      <c r="E210" s="4"/>
      <c r="F210" s="4"/>
      <c r="G210" s="20" t="s">
        <v>124</v>
      </c>
      <c r="H210" s="113">
        <f>H130</f>
        <v>730000</v>
      </c>
      <c r="I210" s="113">
        <f t="shared" ref="I210:AZ210" si="221">I130</f>
        <v>1252223.2000000002</v>
      </c>
      <c r="J210" s="113">
        <f t="shared" si="221"/>
        <v>1252223.2000000002</v>
      </c>
      <c r="K210" s="113">
        <f t="shared" si="221"/>
        <v>1252223.2000000002</v>
      </c>
      <c r="L210" s="113">
        <f t="shared" si="221"/>
        <v>1252223.2000000002</v>
      </c>
      <c r="M210" s="113">
        <f t="shared" si="221"/>
        <v>1252223.2000000002</v>
      </c>
      <c r="N210" s="113">
        <f t="shared" si="221"/>
        <v>1252223.2000000002</v>
      </c>
      <c r="O210" s="113">
        <f t="shared" si="221"/>
        <v>1252223.2000000002</v>
      </c>
      <c r="P210" s="113">
        <f t="shared" si="221"/>
        <v>1252223.2000000002</v>
      </c>
      <c r="Q210" s="113">
        <f t="shared" si="221"/>
        <v>1252223.2000000002</v>
      </c>
      <c r="R210" s="113">
        <f t="shared" si="221"/>
        <v>1252223.2000000002</v>
      </c>
      <c r="S210" s="113">
        <f t="shared" si="221"/>
        <v>1252223.2000000002</v>
      </c>
      <c r="T210" s="113">
        <f t="shared" si="221"/>
        <v>1252223.2000000002</v>
      </c>
      <c r="U210" s="113">
        <f t="shared" si="221"/>
        <v>1252223.2000000002</v>
      </c>
      <c r="V210" s="113">
        <f t="shared" si="221"/>
        <v>1252223.2000000002</v>
      </c>
      <c r="W210" s="113">
        <f t="shared" si="221"/>
        <v>1252223.2000000002</v>
      </c>
      <c r="X210" s="113">
        <f t="shared" si="221"/>
        <v>1252223.2000000002</v>
      </c>
      <c r="Y210" s="113">
        <f t="shared" si="221"/>
        <v>1252223.2000000002</v>
      </c>
      <c r="Z210" s="113">
        <f t="shared" si="221"/>
        <v>1252223.2000000002</v>
      </c>
      <c r="AA210" s="113">
        <f t="shared" si="221"/>
        <v>1252223.2000000002</v>
      </c>
      <c r="AB210" s="113">
        <f t="shared" si="221"/>
        <v>1252223.2000000002</v>
      </c>
      <c r="AC210" s="113">
        <f t="shared" si="221"/>
        <v>1252223.2000000002</v>
      </c>
      <c r="AD210" s="113">
        <f t="shared" si="221"/>
        <v>0</v>
      </c>
      <c r="AE210" s="113">
        <f t="shared" si="221"/>
        <v>0</v>
      </c>
      <c r="AF210" s="113">
        <f t="shared" si="221"/>
        <v>0</v>
      </c>
      <c r="AG210" s="113">
        <f t="shared" si="221"/>
        <v>0</v>
      </c>
      <c r="AH210" s="113">
        <f t="shared" si="221"/>
        <v>0</v>
      </c>
      <c r="AI210" s="113">
        <f t="shared" si="221"/>
        <v>0</v>
      </c>
      <c r="AJ210" s="113">
        <f t="shared" si="221"/>
        <v>0</v>
      </c>
      <c r="AK210" s="113">
        <f t="shared" si="221"/>
        <v>0</v>
      </c>
      <c r="AL210" s="113">
        <f t="shared" si="221"/>
        <v>0</v>
      </c>
      <c r="AM210" s="113">
        <f t="shared" si="221"/>
        <v>0</v>
      </c>
      <c r="AN210" s="113">
        <f t="shared" si="221"/>
        <v>0</v>
      </c>
      <c r="AO210" s="113">
        <f t="shared" si="221"/>
        <v>0</v>
      </c>
      <c r="AP210" s="113">
        <f t="shared" si="221"/>
        <v>0</v>
      </c>
      <c r="AQ210" s="113">
        <f t="shared" si="221"/>
        <v>0</v>
      </c>
      <c r="AR210" s="113">
        <f t="shared" si="221"/>
        <v>0</v>
      </c>
      <c r="AS210" s="113">
        <f t="shared" si="221"/>
        <v>0</v>
      </c>
      <c r="AT210" s="113">
        <f t="shared" si="221"/>
        <v>0</v>
      </c>
      <c r="AU210" s="113">
        <f t="shared" si="221"/>
        <v>0</v>
      </c>
      <c r="AV210" s="113">
        <f t="shared" si="221"/>
        <v>0</v>
      </c>
      <c r="AW210" s="113">
        <f t="shared" si="221"/>
        <v>0</v>
      </c>
      <c r="AX210" s="113">
        <f t="shared" si="221"/>
        <v>0</v>
      </c>
      <c r="AY210" s="113">
        <f t="shared" si="221"/>
        <v>0</v>
      </c>
      <c r="AZ210" s="113">
        <f t="shared" si="221"/>
        <v>0</v>
      </c>
    </row>
    <row r="211" spans="1:52" x14ac:dyDescent="0.25">
      <c r="A211" s="4" t="s">
        <v>150</v>
      </c>
      <c r="B211" s="4"/>
      <c r="C211" s="4"/>
      <c r="D211" s="4"/>
      <c r="E211" s="4"/>
      <c r="F211" s="4"/>
      <c r="G211" s="20" t="s">
        <v>124</v>
      </c>
      <c r="H211" s="113">
        <f>H157</f>
        <v>0</v>
      </c>
      <c r="I211" s="113">
        <f t="shared" ref="I211:AZ211" si="222">I157</f>
        <v>0</v>
      </c>
      <c r="J211" s="113">
        <f t="shared" si="222"/>
        <v>0</v>
      </c>
      <c r="K211" s="113">
        <f t="shared" si="222"/>
        <v>0</v>
      </c>
      <c r="L211" s="113">
        <f t="shared" si="222"/>
        <v>0</v>
      </c>
      <c r="M211" s="113">
        <f t="shared" si="222"/>
        <v>0</v>
      </c>
      <c r="N211" s="113">
        <f t="shared" si="222"/>
        <v>0</v>
      </c>
      <c r="O211" s="113">
        <f t="shared" si="222"/>
        <v>0</v>
      </c>
      <c r="P211" s="113">
        <f t="shared" si="222"/>
        <v>0</v>
      </c>
      <c r="Q211" s="113">
        <f t="shared" si="222"/>
        <v>0</v>
      </c>
      <c r="R211" s="113">
        <f t="shared" si="222"/>
        <v>0</v>
      </c>
      <c r="S211" s="113">
        <f t="shared" si="222"/>
        <v>0</v>
      </c>
      <c r="T211" s="113">
        <f t="shared" si="222"/>
        <v>0</v>
      </c>
      <c r="U211" s="113">
        <f t="shared" si="222"/>
        <v>0</v>
      </c>
      <c r="V211" s="113">
        <f t="shared" si="222"/>
        <v>0</v>
      </c>
      <c r="W211" s="113">
        <f t="shared" si="222"/>
        <v>0</v>
      </c>
      <c r="X211" s="113">
        <f t="shared" si="222"/>
        <v>0</v>
      </c>
      <c r="Y211" s="113">
        <f t="shared" si="222"/>
        <v>0</v>
      </c>
      <c r="Z211" s="113">
        <f t="shared" si="222"/>
        <v>0</v>
      </c>
      <c r="AA211" s="113">
        <f t="shared" si="222"/>
        <v>0</v>
      </c>
      <c r="AB211" s="113">
        <f t="shared" si="222"/>
        <v>0</v>
      </c>
      <c r="AC211" s="113">
        <f t="shared" si="222"/>
        <v>0</v>
      </c>
      <c r="AD211" s="113">
        <f t="shared" si="222"/>
        <v>0</v>
      </c>
      <c r="AE211" s="113">
        <f t="shared" si="222"/>
        <v>0</v>
      </c>
      <c r="AF211" s="113">
        <f t="shared" si="222"/>
        <v>0</v>
      </c>
      <c r="AG211" s="113">
        <f t="shared" si="222"/>
        <v>0</v>
      </c>
      <c r="AH211" s="113">
        <f t="shared" si="222"/>
        <v>0</v>
      </c>
      <c r="AI211" s="113">
        <f t="shared" si="222"/>
        <v>0</v>
      </c>
      <c r="AJ211" s="113">
        <f t="shared" si="222"/>
        <v>0</v>
      </c>
      <c r="AK211" s="113">
        <f t="shared" si="222"/>
        <v>0</v>
      </c>
      <c r="AL211" s="113">
        <f t="shared" si="222"/>
        <v>0</v>
      </c>
      <c r="AM211" s="113">
        <f t="shared" si="222"/>
        <v>0</v>
      </c>
      <c r="AN211" s="113">
        <f t="shared" si="222"/>
        <v>0</v>
      </c>
      <c r="AO211" s="113">
        <f t="shared" si="222"/>
        <v>0</v>
      </c>
      <c r="AP211" s="113">
        <f t="shared" si="222"/>
        <v>0</v>
      </c>
      <c r="AQ211" s="113">
        <f t="shared" si="222"/>
        <v>0</v>
      </c>
      <c r="AR211" s="113">
        <f t="shared" si="222"/>
        <v>0</v>
      </c>
      <c r="AS211" s="113">
        <f t="shared" si="222"/>
        <v>0</v>
      </c>
      <c r="AT211" s="113">
        <f t="shared" si="222"/>
        <v>0</v>
      </c>
      <c r="AU211" s="113">
        <f t="shared" si="222"/>
        <v>0</v>
      </c>
      <c r="AV211" s="113">
        <f t="shared" si="222"/>
        <v>0</v>
      </c>
      <c r="AW211" s="113">
        <f t="shared" si="222"/>
        <v>0</v>
      </c>
      <c r="AX211" s="113">
        <f t="shared" si="222"/>
        <v>0</v>
      </c>
      <c r="AY211" s="113">
        <f t="shared" si="222"/>
        <v>0</v>
      </c>
      <c r="AZ211" s="113">
        <f t="shared" si="222"/>
        <v>0</v>
      </c>
    </row>
    <row r="212" spans="1:52" x14ac:dyDescent="0.25">
      <c r="A212" s="4" t="s">
        <v>151</v>
      </c>
      <c r="B212" s="4"/>
      <c r="C212" s="4"/>
      <c r="D212" s="4"/>
      <c r="E212" s="4"/>
      <c r="F212" s="4"/>
      <c r="G212" s="20" t="s">
        <v>124</v>
      </c>
      <c r="H212" s="114">
        <f>SUM(H209:H211)</f>
        <v>857312.43450754567</v>
      </c>
      <c r="I212" s="114">
        <f t="shared" ref="I212:AZ212" si="223">SUM(I209:I211)</f>
        <v>1377027.0765881245</v>
      </c>
      <c r="J212" s="114">
        <f t="shared" si="223"/>
        <v>1365156.8127723145</v>
      </c>
      <c r="K212" s="114">
        <f t="shared" si="223"/>
        <v>1362931.574445951</v>
      </c>
      <c r="L212" s="114">
        <f t="shared" si="223"/>
        <v>1360750.1821056278</v>
      </c>
      <c r="M212" s="114">
        <f t="shared" si="223"/>
        <v>1358611.7718122026</v>
      </c>
      <c r="N212" s="114">
        <f t="shared" si="223"/>
        <v>1356515.4966495468</v>
      </c>
      <c r="O212" s="114">
        <f t="shared" si="223"/>
        <v>1354460.5263891253</v>
      </c>
      <c r="P212" s="114">
        <f t="shared" si="223"/>
        <v>1352446.0471611854</v>
      </c>
      <c r="Q212" s="114">
        <f t="shared" si="223"/>
        <v>1350471.2611324238</v>
      </c>
      <c r="R212" s="114">
        <f t="shared" si="223"/>
        <v>1348535.3861900046</v>
      </c>
      <c r="S212" s="114">
        <f t="shared" si="223"/>
        <v>1346637.6556318053</v>
      </c>
      <c r="T212" s="114">
        <f t="shared" si="223"/>
        <v>1344777.3178627638</v>
      </c>
      <c r="U212" s="114">
        <f t="shared" si="223"/>
        <v>1342953.63609721</v>
      </c>
      <c r="V212" s="114">
        <f t="shared" si="223"/>
        <v>1341165.888067062</v>
      </c>
      <c r="W212" s="114">
        <f t="shared" si="223"/>
        <v>1339413.365735773</v>
      </c>
      <c r="X212" s="114">
        <f t="shared" si="223"/>
        <v>1337695.3750179128</v>
      </c>
      <c r="Y212" s="114">
        <f t="shared" si="223"/>
        <v>1336011.2355042771</v>
      </c>
      <c r="Z212" s="114">
        <f t="shared" si="223"/>
        <v>1334360.2801924094</v>
      </c>
      <c r="AA212" s="114">
        <f t="shared" si="223"/>
        <v>1332741.8552224385</v>
      </c>
      <c r="AB212" s="114">
        <f t="shared" si="223"/>
        <v>1331155.3196181145</v>
      </c>
      <c r="AC212" s="114">
        <f t="shared" si="223"/>
        <v>1329600.045032952</v>
      </c>
      <c r="AD212" s="114">
        <f t="shared" si="223"/>
        <v>0</v>
      </c>
      <c r="AE212" s="114">
        <f t="shared" si="223"/>
        <v>0</v>
      </c>
      <c r="AF212" s="114">
        <f t="shared" si="223"/>
        <v>0</v>
      </c>
      <c r="AG212" s="114">
        <f t="shared" si="223"/>
        <v>0</v>
      </c>
      <c r="AH212" s="114">
        <f t="shared" si="223"/>
        <v>0</v>
      </c>
      <c r="AI212" s="114">
        <f t="shared" si="223"/>
        <v>0</v>
      </c>
      <c r="AJ212" s="114">
        <f t="shared" si="223"/>
        <v>0</v>
      </c>
      <c r="AK212" s="114">
        <f t="shared" si="223"/>
        <v>0</v>
      </c>
      <c r="AL212" s="114">
        <f t="shared" si="223"/>
        <v>0</v>
      </c>
      <c r="AM212" s="114">
        <f t="shared" si="223"/>
        <v>0</v>
      </c>
      <c r="AN212" s="114">
        <f t="shared" si="223"/>
        <v>0</v>
      </c>
      <c r="AO212" s="114">
        <f t="shared" si="223"/>
        <v>0</v>
      </c>
      <c r="AP212" s="114">
        <f t="shared" si="223"/>
        <v>0</v>
      </c>
      <c r="AQ212" s="114">
        <f t="shared" si="223"/>
        <v>0</v>
      </c>
      <c r="AR212" s="114">
        <f t="shared" si="223"/>
        <v>0</v>
      </c>
      <c r="AS212" s="114">
        <f t="shared" si="223"/>
        <v>0</v>
      </c>
      <c r="AT212" s="114">
        <f t="shared" si="223"/>
        <v>0</v>
      </c>
      <c r="AU212" s="114">
        <f t="shared" si="223"/>
        <v>0</v>
      </c>
      <c r="AV212" s="114">
        <f t="shared" si="223"/>
        <v>0</v>
      </c>
      <c r="AW212" s="114">
        <f t="shared" si="223"/>
        <v>0</v>
      </c>
      <c r="AX212" s="114">
        <f t="shared" si="223"/>
        <v>0</v>
      </c>
      <c r="AY212" s="114">
        <f t="shared" si="223"/>
        <v>0</v>
      </c>
      <c r="AZ212" s="114">
        <f t="shared" si="223"/>
        <v>0</v>
      </c>
    </row>
    <row r="213" spans="1:52" x14ac:dyDescent="0.25">
      <c r="A213" s="4" t="s">
        <v>142</v>
      </c>
      <c r="B213" s="4"/>
      <c r="C213" s="4"/>
      <c r="D213" s="4"/>
      <c r="E213" s="4"/>
      <c r="F213" s="4"/>
      <c r="G213" s="20" t="s">
        <v>124</v>
      </c>
      <c r="H213" s="113">
        <f t="shared" ref="H213:AZ213" si="224">H175*IF($E$175="Real",1,H$10)</f>
        <v>979326.41928881314</v>
      </c>
      <c r="I213" s="113">
        <f t="shared" si="224"/>
        <v>1056032.8018995142</v>
      </c>
      <c r="J213" s="113">
        <f t="shared" si="224"/>
        <v>1035224.7837462154</v>
      </c>
      <c r="K213" s="113">
        <f t="shared" si="224"/>
        <v>1014826.7657545489</v>
      </c>
      <c r="L213" s="113">
        <f t="shared" si="224"/>
        <v>994830.66930158692</v>
      </c>
      <c r="M213" s="113">
        <f t="shared" si="224"/>
        <v>975228.57494518859</v>
      </c>
      <c r="N213" s="113">
        <f t="shared" si="224"/>
        <v>956012.7192875098</v>
      </c>
      <c r="O213" s="113">
        <f t="shared" si="224"/>
        <v>937175.49190031341</v>
      </c>
      <c r="P213" s="113">
        <f t="shared" si="224"/>
        <v>918709.43231086503</v>
      </c>
      <c r="Q213" s="113">
        <f t="shared" si="224"/>
        <v>900607.22704721603</v>
      </c>
      <c r="R213" s="113">
        <f t="shared" si="224"/>
        <v>882861.70674170763</v>
      </c>
      <c r="S213" s="113">
        <f t="shared" si="224"/>
        <v>865465.8432915475</v>
      </c>
      <c r="T213" s="113">
        <f t="shared" si="224"/>
        <v>848412.74707533338</v>
      </c>
      <c r="U213" s="113">
        <f t="shared" si="224"/>
        <v>831695.66422442242</v>
      </c>
      <c r="V213" s="113">
        <f t="shared" si="224"/>
        <v>815307.97394806624</v>
      </c>
      <c r="W213" s="113">
        <f t="shared" si="224"/>
        <v>799243.18591125018</v>
      </c>
      <c r="X213" s="113">
        <f t="shared" si="224"/>
        <v>783494.93766419985</v>
      </c>
      <c r="Y213" s="113">
        <f t="shared" si="224"/>
        <v>768056.99212253687</v>
      </c>
      <c r="Z213" s="113">
        <f t="shared" si="224"/>
        <v>752923.23509708547</v>
      </c>
      <c r="AA213" s="113">
        <f t="shared" si="224"/>
        <v>738087.67287235113</v>
      </c>
      <c r="AB213" s="113">
        <f t="shared" si="224"/>
        <v>723544.42983271368</v>
      </c>
      <c r="AC213" s="113">
        <f t="shared" si="224"/>
        <v>709287.74613539223</v>
      </c>
      <c r="AD213" s="113">
        <f t="shared" si="224"/>
        <v>0</v>
      </c>
      <c r="AE213" s="113">
        <f t="shared" si="224"/>
        <v>0</v>
      </c>
      <c r="AF213" s="113">
        <f t="shared" si="224"/>
        <v>0</v>
      </c>
      <c r="AG213" s="113">
        <f t="shared" si="224"/>
        <v>0</v>
      </c>
      <c r="AH213" s="113">
        <f t="shared" si="224"/>
        <v>0</v>
      </c>
      <c r="AI213" s="113">
        <f t="shared" si="224"/>
        <v>0</v>
      </c>
      <c r="AJ213" s="113">
        <f t="shared" si="224"/>
        <v>0</v>
      </c>
      <c r="AK213" s="113">
        <f t="shared" si="224"/>
        <v>0</v>
      </c>
      <c r="AL213" s="113">
        <f t="shared" si="224"/>
        <v>0</v>
      </c>
      <c r="AM213" s="113">
        <f t="shared" si="224"/>
        <v>0</v>
      </c>
      <c r="AN213" s="113">
        <f t="shared" si="224"/>
        <v>0</v>
      </c>
      <c r="AO213" s="113">
        <f t="shared" si="224"/>
        <v>0</v>
      </c>
      <c r="AP213" s="113">
        <f t="shared" si="224"/>
        <v>0</v>
      </c>
      <c r="AQ213" s="113">
        <f t="shared" si="224"/>
        <v>0</v>
      </c>
      <c r="AR213" s="113">
        <f t="shared" si="224"/>
        <v>0</v>
      </c>
      <c r="AS213" s="113">
        <f t="shared" si="224"/>
        <v>0</v>
      </c>
      <c r="AT213" s="113">
        <f t="shared" si="224"/>
        <v>0</v>
      </c>
      <c r="AU213" s="113">
        <f t="shared" si="224"/>
        <v>0</v>
      </c>
      <c r="AV213" s="113">
        <f t="shared" si="224"/>
        <v>0</v>
      </c>
      <c r="AW213" s="113">
        <f t="shared" si="224"/>
        <v>0</v>
      </c>
      <c r="AX213" s="113">
        <f t="shared" si="224"/>
        <v>0</v>
      </c>
      <c r="AY213" s="113">
        <f t="shared" si="224"/>
        <v>0</v>
      </c>
      <c r="AZ213" s="113">
        <f t="shared" si="224"/>
        <v>0</v>
      </c>
    </row>
    <row r="214" spans="1:52" x14ac:dyDescent="0.25">
      <c r="A214" s="4" t="s">
        <v>152</v>
      </c>
      <c r="B214" s="4"/>
      <c r="C214" s="4"/>
      <c r="D214" s="4"/>
      <c r="E214" s="4"/>
      <c r="F214" s="4"/>
      <c r="G214" s="20" t="s">
        <v>124</v>
      </c>
      <c r="H214" s="113">
        <f>H213-H212</f>
        <v>122013.98478126747</v>
      </c>
      <c r="I214" s="113">
        <f t="shared" ref="I214:AZ214" si="225">I213-I212</f>
        <v>-320994.27468861034</v>
      </c>
      <c r="J214" s="113">
        <f t="shared" si="225"/>
        <v>-329932.02902609913</v>
      </c>
      <c r="K214" s="113">
        <f t="shared" si="225"/>
        <v>-348104.80869140208</v>
      </c>
      <c r="L214" s="113">
        <f t="shared" si="225"/>
        <v>-365919.51280404092</v>
      </c>
      <c r="M214" s="113">
        <f t="shared" si="225"/>
        <v>-383383.19686701405</v>
      </c>
      <c r="N214" s="113">
        <f t="shared" si="225"/>
        <v>-400502.77736203698</v>
      </c>
      <c r="O214" s="113">
        <f t="shared" si="225"/>
        <v>-417285.03448881186</v>
      </c>
      <c r="P214" s="113">
        <f t="shared" si="225"/>
        <v>-433736.61485032039</v>
      </c>
      <c r="Q214" s="113">
        <f t="shared" si="225"/>
        <v>-449864.03408520774</v>
      </c>
      <c r="R214" s="113">
        <f t="shared" si="225"/>
        <v>-465673.67944829701</v>
      </c>
      <c r="S214" s="113">
        <f t="shared" si="225"/>
        <v>-481171.81234025781</v>
      </c>
      <c r="T214" s="113">
        <f t="shared" si="225"/>
        <v>-496364.57078743039</v>
      </c>
      <c r="U214" s="113">
        <f t="shared" si="225"/>
        <v>-511257.97187278757</v>
      </c>
      <c r="V214" s="113">
        <f t="shared" si="225"/>
        <v>-525857.91411899577</v>
      </c>
      <c r="W214" s="113">
        <f t="shared" si="225"/>
        <v>-540170.17982452281</v>
      </c>
      <c r="X214" s="113">
        <f t="shared" si="225"/>
        <v>-554200.43735371297</v>
      </c>
      <c r="Y214" s="113">
        <f t="shared" si="225"/>
        <v>-567954.24338174018</v>
      </c>
      <c r="Z214" s="113">
        <f t="shared" si="225"/>
        <v>-581437.04509532393</v>
      </c>
      <c r="AA214" s="113">
        <f t="shared" si="225"/>
        <v>-594654.18235008733</v>
      </c>
      <c r="AB214" s="113">
        <f t="shared" si="225"/>
        <v>-607610.88978540082</v>
      </c>
      <c r="AC214" s="113">
        <f t="shared" si="225"/>
        <v>-620312.29889755975</v>
      </c>
      <c r="AD214" s="113">
        <f t="shared" si="225"/>
        <v>0</v>
      </c>
      <c r="AE214" s="113">
        <f t="shared" si="225"/>
        <v>0</v>
      </c>
      <c r="AF214" s="113">
        <f t="shared" si="225"/>
        <v>0</v>
      </c>
      <c r="AG214" s="113">
        <f t="shared" si="225"/>
        <v>0</v>
      </c>
      <c r="AH214" s="113">
        <f t="shared" si="225"/>
        <v>0</v>
      </c>
      <c r="AI214" s="113">
        <f t="shared" si="225"/>
        <v>0</v>
      </c>
      <c r="AJ214" s="113">
        <f t="shared" si="225"/>
        <v>0</v>
      </c>
      <c r="AK214" s="113">
        <f t="shared" si="225"/>
        <v>0</v>
      </c>
      <c r="AL214" s="113">
        <f t="shared" si="225"/>
        <v>0</v>
      </c>
      <c r="AM214" s="113">
        <f t="shared" si="225"/>
        <v>0</v>
      </c>
      <c r="AN214" s="113">
        <f t="shared" si="225"/>
        <v>0</v>
      </c>
      <c r="AO214" s="113">
        <f t="shared" si="225"/>
        <v>0</v>
      </c>
      <c r="AP214" s="113">
        <f t="shared" si="225"/>
        <v>0</v>
      </c>
      <c r="AQ214" s="113">
        <f t="shared" si="225"/>
        <v>0</v>
      </c>
      <c r="AR214" s="113">
        <f t="shared" si="225"/>
        <v>0</v>
      </c>
      <c r="AS214" s="113">
        <f t="shared" si="225"/>
        <v>0</v>
      </c>
      <c r="AT214" s="113">
        <f t="shared" si="225"/>
        <v>0</v>
      </c>
      <c r="AU214" s="113">
        <f t="shared" si="225"/>
        <v>0</v>
      </c>
      <c r="AV214" s="113">
        <f t="shared" si="225"/>
        <v>0</v>
      </c>
      <c r="AW214" s="113">
        <f t="shared" si="225"/>
        <v>0</v>
      </c>
      <c r="AX214" s="113">
        <f t="shared" si="225"/>
        <v>0</v>
      </c>
      <c r="AY214" s="113">
        <f t="shared" si="225"/>
        <v>0</v>
      </c>
      <c r="AZ214" s="113">
        <f t="shared" si="225"/>
        <v>0</v>
      </c>
    </row>
    <row r="215" spans="1:52" x14ac:dyDescent="0.25">
      <c r="A215" s="4" t="s">
        <v>153</v>
      </c>
      <c r="B215" s="4"/>
      <c r="C215" s="4"/>
      <c r="D215" s="4"/>
      <c r="E215" s="4"/>
      <c r="F215" s="4"/>
      <c r="G215" s="20" t="s">
        <v>124</v>
      </c>
      <c r="H215" s="113">
        <f t="shared" ref="H215:AZ215" si="226">H214-H182*H10</f>
        <v>122013.98478126747</v>
      </c>
      <c r="I215" s="113">
        <f t="shared" si="226"/>
        <v>-320994.27468861034</v>
      </c>
      <c r="J215" s="113">
        <f t="shared" si="226"/>
        <v>-329932.02902609913</v>
      </c>
      <c r="K215" s="113">
        <f t="shared" si="226"/>
        <v>-348104.80869140208</v>
      </c>
      <c r="L215" s="113">
        <f t="shared" si="226"/>
        <v>-365919.51280404092</v>
      </c>
      <c r="M215" s="113">
        <f t="shared" si="226"/>
        <v>-383383.19686701405</v>
      </c>
      <c r="N215" s="113">
        <f t="shared" si="226"/>
        <v>-400502.77736203698</v>
      </c>
      <c r="O215" s="113">
        <f t="shared" si="226"/>
        <v>-417285.03448881186</v>
      </c>
      <c r="P215" s="113">
        <f t="shared" si="226"/>
        <v>-433736.61485032039</v>
      </c>
      <c r="Q215" s="113">
        <f t="shared" si="226"/>
        <v>-449864.03408520774</v>
      </c>
      <c r="R215" s="113">
        <f t="shared" si="226"/>
        <v>-465673.67944829701</v>
      </c>
      <c r="S215" s="113">
        <f t="shared" si="226"/>
        <v>-481171.81234025781</v>
      </c>
      <c r="T215" s="113">
        <f t="shared" si="226"/>
        <v>-496364.57078743039</v>
      </c>
      <c r="U215" s="113">
        <f t="shared" si="226"/>
        <v>-511257.97187278757</v>
      </c>
      <c r="V215" s="113">
        <f t="shared" si="226"/>
        <v>-525857.91411899577</v>
      </c>
      <c r="W215" s="113">
        <f t="shared" si="226"/>
        <v>-540170.17982452281</v>
      </c>
      <c r="X215" s="113">
        <f t="shared" si="226"/>
        <v>-554200.43735371297</v>
      </c>
      <c r="Y215" s="113">
        <f t="shared" si="226"/>
        <v>-567954.24338174018</v>
      </c>
      <c r="Z215" s="113">
        <f t="shared" si="226"/>
        <v>-581437.04509532393</v>
      </c>
      <c r="AA215" s="113">
        <f t="shared" si="226"/>
        <v>-594654.18235008733</v>
      </c>
      <c r="AB215" s="113">
        <f t="shared" si="226"/>
        <v>-607610.88978540082</v>
      </c>
      <c r="AC215" s="113">
        <f t="shared" si="226"/>
        <v>-620312.29889755975</v>
      </c>
      <c r="AD215" s="113">
        <f t="shared" si="226"/>
        <v>0</v>
      </c>
      <c r="AE215" s="113">
        <f t="shared" si="226"/>
        <v>0</v>
      </c>
      <c r="AF215" s="113">
        <f t="shared" si="226"/>
        <v>0</v>
      </c>
      <c r="AG215" s="113">
        <f t="shared" si="226"/>
        <v>0</v>
      </c>
      <c r="AH215" s="113">
        <f t="shared" si="226"/>
        <v>0</v>
      </c>
      <c r="AI215" s="113">
        <f t="shared" si="226"/>
        <v>0</v>
      </c>
      <c r="AJ215" s="113">
        <f t="shared" si="226"/>
        <v>0</v>
      </c>
      <c r="AK215" s="113">
        <f t="shared" si="226"/>
        <v>0</v>
      </c>
      <c r="AL215" s="113">
        <f t="shared" si="226"/>
        <v>0</v>
      </c>
      <c r="AM215" s="113">
        <f t="shared" si="226"/>
        <v>0</v>
      </c>
      <c r="AN215" s="113">
        <f t="shared" si="226"/>
        <v>0</v>
      </c>
      <c r="AO215" s="113">
        <f t="shared" si="226"/>
        <v>0</v>
      </c>
      <c r="AP215" s="113">
        <f t="shared" si="226"/>
        <v>0</v>
      </c>
      <c r="AQ215" s="113">
        <f t="shared" si="226"/>
        <v>0</v>
      </c>
      <c r="AR215" s="113">
        <f t="shared" si="226"/>
        <v>0</v>
      </c>
      <c r="AS215" s="113">
        <f t="shared" si="226"/>
        <v>0</v>
      </c>
      <c r="AT215" s="113">
        <f t="shared" si="226"/>
        <v>0</v>
      </c>
      <c r="AU215" s="113">
        <f t="shared" si="226"/>
        <v>0</v>
      </c>
      <c r="AV215" s="113">
        <f t="shared" si="226"/>
        <v>0</v>
      </c>
      <c r="AW215" s="113">
        <f t="shared" si="226"/>
        <v>0</v>
      </c>
      <c r="AX215" s="113">
        <f t="shared" si="226"/>
        <v>0</v>
      </c>
      <c r="AY215" s="113">
        <f t="shared" si="226"/>
        <v>0</v>
      </c>
      <c r="AZ215" s="113">
        <f t="shared" si="226"/>
        <v>0</v>
      </c>
    </row>
    <row r="216" spans="1:52" x14ac:dyDescent="0.25">
      <c r="A216" s="4"/>
      <c r="B216" s="4"/>
      <c r="C216" s="4"/>
      <c r="D216" s="4"/>
      <c r="E216" s="4"/>
      <c r="F216" s="4"/>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row>
    <row r="217" spans="1:52" x14ac:dyDescent="0.25">
      <c r="A217" s="50" t="s">
        <v>61</v>
      </c>
      <c r="B217" s="50"/>
      <c r="C217" s="54"/>
      <c r="D217" s="54"/>
      <c r="E217" s="54"/>
      <c r="F217" s="54"/>
      <c r="G217" s="54"/>
      <c r="H217" s="49">
        <f>Start_Yr</f>
        <v>2026</v>
      </c>
      <c r="I217" s="49">
        <f>H217+1</f>
        <v>2027</v>
      </c>
      <c r="J217" s="49">
        <f t="shared" ref="J217:AZ217" si="227">I217+1</f>
        <v>2028</v>
      </c>
      <c r="K217" s="49">
        <f t="shared" si="227"/>
        <v>2029</v>
      </c>
      <c r="L217" s="49">
        <f t="shared" si="227"/>
        <v>2030</v>
      </c>
      <c r="M217" s="49">
        <f t="shared" si="227"/>
        <v>2031</v>
      </c>
      <c r="N217" s="49">
        <f t="shared" si="227"/>
        <v>2032</v>
      </c>
      <c r="O217" s="49">
        <f t="shared" si="227"/>
        <v>2033</v>
      </c>
      <c r="P217" s="49">
        <f t="shared" si="227"/>
        <v>2034</v>
      </c>
      <c r="Q217" s="49">
        <f t="shared" si="227"/>
        <v>2035</v>
      </c>
      <c r="R217" s="49">
        <f t="shared" si="227"/>
        <v>2036</v>
      </c>
      <c r="S217" s="49">
        <f t="shared" si="227"/>
        <v>2037</v>
      </c>
      <c r="T217" s="49">
        <f t="shared" si="227"/>
        <v>2038</v>
      </c>
      <c r="U217" s="49">
        <f t="shared" si="227"/>
        <v>2039</v>
      </c>
      <c r="V217" s="49">
        <f t="shared" si="227"/>
        <v>2040</v>
      </c>
      <c r="W217" s="49">
        <f t="shared" si="227"/>
        <v>2041</v>
      </c>
      <c r="X217" s="49">
        <f t="shared" si="227"/>
        <v>2042</v>
      </c>
      <c r="Y217" s="49">
        <f t="shared" si="227"/>
        <v>2043</v>
      </c>
      <c r="Z217" s="49">
        <f t="shared" si="227"/>
        <v>2044</v>
      </c>
      <c r="AA217" s="49">
        <f t="shared" si="227"/>
        <v>2045</v>
      </c>
      <c r="AB217" s="49">
        <f t="shared" si="227"/>
        <v>2046</v>
      </c>
      <c r="AC217" s="49">
        <f t="shared" si="227"/>
        <v>2047</v>
      </c>
      <c r="AD217" s="49">
        <f t="shared" si="227"/>
        <v>2048</v>
      </c>
      <c r="AE217" s="49">
        <f t="shared" si="227"/>
        <v>2049</v>
      </c>
      <c r="AF217" s="49">
        <f t="shared" si="227"/>
        <v>2050</v>
      </c>
      <c r="AG217" s="49">
        <f t="shared" si="227"/>
        <v>2051</v>
      </c>
      <c r="AH217" s="49">
        <f t="shared" si="227"/>
        <v>2052</v>
      </c>
      <c r="AI217" s="49">
        <f t="shared" si="227"/>
        <v>2053</v>
      </c>
      <c r="AJ217" s="49">
        <f t="shared" si="227"/>
        <v>2054</v>
      </c>
      <c r="AK217" s="49">
        <f t="shared" si="227"/>
        <v>2055</v>
      </c>
      <c r="AL217" s="49">
        <f t="shared" si="227"/>
        <v>2056</v>
      </c>
      <c r="AM217" s="49">
        <f t="shared" si="227"/>
        <v>2057</v>
      </c>
      <c r="AN217" s="49">
        <f t="shared" si="227"/>
        <v>2058</v>
      </c>
      <c r="AO217" s="49">
        <f t="shared" si="227"/>
        <v>2059</v>
      </c>
      <c r="AP217" s="49">
        <f t="shared" si="227"/>
        <v>2060</v>
      </c>
      <c r="AQ217" s="49">
        <f t="shared" si="227"/>
        <v>2061</v>
      </c>
      <c r="AR217" s="49">
        <f t="shared" si="227"/>
        <v>2062</v>
      </c>
      <c r="AS217" s="49">
        <f t="shared" si="227"/>
        <v>2063</v>
      </c>
      <c r="AT217" s="49">
        <f t="shared" si="227"/>
        <v>2064</v>
      </c>
      <c r="AU217" s="49">
        <f t="shared" si="227"/>
        <v>2065</v>
      </c>
      <c r="AV217" s="49">
        <f t="shared" si="227"/>
        <v>2066</v>
      </c>
      <c r="AW217" s="49">
        <f t="shared" si="227"/>
        <v>2067</v>
      </c>
      <c r="AX217" s="49">
        <f t="shared" si="227"/>
        <v>2068</v>
      </c>
      <c r="AY217" s="49">
        <f t="shared" si="227"/>
        <v>2069</v>
      </c>
      <c r="AZ217" s="49">
        <f t="shared" si="227"/>
        <v>2070</v>
      </c>
    </row>
    <row r="218" spans="1:52" x14ac:dyDescent="0.25">
      <c r="A218" s="4" t="s">
        <v>148</v>
      </c>
      <c r="B218" s="4"/>
      <c r="C218" s="4"/>
      <c r="D218" s="4"/>
      <c r="E218" s="4"/>
      <c r="F218" s="4"/>
      <c r="G218" s="9" t="s">
        <v>124</v>
      </c>
      <c r="H218" s="116">
        <f>H61</f>
        <v>190000</v>
      </c>
      <c r="I218" s="116">
        <f>I61</f>
        <v>190000</v>
      </c>
      <c r="J218" s="116">
        <f t="shared" ref="J218:AZ218" si="228">J60</f>
        <v>178811.55355616449</v>
      </c>
      <c r="K218" s="116">
        <f t="shared" si="228"/>
        <v>175288.25953942208</v>
      </c>
      <c r="L218" s="116">
        <f t="shared" si="228"/>
        <v>171834.38833391047</v>
      </c>
      <c r="M218" s="116">
        <f t="shared" si="228"/>
        <v>168448.57203598713</v>
      </c>
      <c r="N218" s="116">
        <f t="shared" si="228"/>
        <v>165129.46969511535</v>
      </c>
      <c r="O218" s="116">
        <f t="shared" si="228"/>
        <v>161875.76678278143</v>
      </c>
      <c r="P218" s="116">
        <f t="shared" si="228"/>
        <v>158686.17467187668</v>
      </c>
      <c r="Q218" s="116">
        <f t="shared" si="228"/>
        <v>155559.43012633731</v>
      </c>
      <c r="R218" s="116">
        <f t="shared" si="228"/>
        <v>152494.29480084041</v>
      </c>
      <c r="S218" s="116">
        <f t="shared" si="228"/>
        <v>149489.55475035822</v>
      </c>
      <c r="T218" s="116">
        <f t="shared" si="228"/>
        <v>146544.01994937577</v>
      </c>
      <c r="U218" s="116">
        <f t="shared" si="228"/>
        <v>143656.52382058205</v>
      </c>
      <c r="V218" s="116">
        <f t="shared" si="228"/>
        <v>140825.92277284781</v>
      </c>
      <c r="W218" s="116">
        <f t="shared" si="228"/>
        <v>138051.09574830686</v>
      </c>
      <c r="X218" s="116">
        <f t="shared" si="228"/>
        <v>135330.94377836181</v>
      </c>
      <c r="Y218" s="116">
        <f t="shared" si="228"/>
        <v>132664.38954843819</v>
      </c>
      <c r="Z218" s="116">
        <f t="shared" si="228"/>
        <v>130050.37697131476</v>
      </c>
      <c r="AA218" s="116">
        <f t="shared" si="228"/>
        <v>127487.87076886067</v>
      </c>
      <c r="AB218" s="116">
        <f t="shared" si="228"/>
        <v>124975.85606201418</v>
      </c>
      <c r="AC218" s="116">
        <f t="shared" si="228"/>
        <v>122513.33796884048</v>
      </c>
      <c r="AD218" s="116">
        <f t="shared" si="228"/>
        <v>0</v>
      </c>
      <c r="AE218" s="116">
        <f t="shared" si="228"/>
        <v>0</v>
      </c>
      <c r="AF218" s="116">
        <f t="shared" si="228"/>
        <v>0</v>
      </c>
      <c r="AG218" s="116">
        <f t="shared" si="228"/>
        <v>0</v>
      </c>
      <c r="AH218" s="116">
        <f t="shared" si="228"/>
        <v>0</v>
      </c>
      <c r="AI218" s="116">
        <f t="shared" si="228"/>
        <v>0</v>
      </c>
      <c r="AJ218" s="116">
        <f t="shared" si="228"/>
        <v>0</v>
      </c>
      <c r="AK218" s="116">
        <f t="shared" si="228"/>
        <v>0</v>
      </c>
      <c r="AL218" s="116">
        <f t="shared" si="228"/>
        <v>0</v>
      </c>
      <c r="AM218" s="116">
        <f t="shared" si="228"/>
        <v>0</v>
      </c>
      <c r="AN218" s="116">
        <f t="shared" si="228"/>
        <v>0</v>
      </c>
      <c r="AO218" s="116">
        <f t="shared" si="228"/>
        <v>0</v>
      </c>
      <c r="AP218" s="116">
        <f t="shared" si="228"/>
        <v>0</v>
      </c>
      <c r="AQ218" s="116">
        <f t="shared" si="228"/>
        <v>0</v>
      </c>
      <c r="AR218" s="116">
        <f t="shared" si="228"/>
        <v>0</v>
      </c>
      <c r="AS218" s="116">
        <f t="shared" si="228"/>
        <v>0</v>
      </c>
      <c r="AT218" s="116">
        <f t="shared" si="228"/>
        <v>0</v>
      </c>
      <c r="AU218" s="116">
        <f t="shared" si="228"/>
        <v>0</v>
      </c>
      <c r="AV218" s="116">
        <f t="shared" si="228"/>
        <v>0</v>
      </c>
      <c r="AW218" s="116">
        <f t="shared" si="228"/>
        <v>0</v>
      </c>
      <c r="AX218" s="116">
        <f t="shared" si="228"/>
        <v>0</v>
      </c>
      <c r="AY218" s="116">
        <f t="shared" si="228"/>
        <v>0</v>
      </c>
      <c r="AZ218" s="116">
        <f t="shared" si="228"/>
        <v>0</v>
      </c>
    </row>
    <row r="219" spans="1:52" x14ac:dyDescent="0.25">
      <c r="A219" s="4" t="s">
        <v>149</v>
      </c>
      <c r="B219" s="4"/>
      <c r="C219" s="4"/>
      <c r="D219" s="4"/>
      <c r="E219" s="4"/>
      <c r="F219" s="4"/>
      <c r="G219" s="9" t="s">
        <v>124</v>
      </c>
      <c r="H219" s="116">
        <f>H145</f>
        <v>730000</v>
      </c>
      <c r="I219" s="116">
        <f t="shared" ref="I219:AZ219" si="229">I145</f>
        <v>730000</v>
      </c>
      <c r="J219" s="116">
        <f t="shared" si="229"/>
        <v>730000</v>
      </c>
      <c r="K219" s="116">
        <f t="shared" si="229"/>
        <v>730000</v>
      </c>
      <c r="L219" s="116">
        <f t="shared" si="229"/>
        <v>730000</v>
      </c>
      <c r="M219" s="116">
        <f t="shared" si="229"/>
        <v>730000</v>
      </c>
      <c r="N219" s="116">
        <f t="shared" si="229"/>
        <v>730000</v>
      </c>
      <c r="O219" s="116">
        <f t="shared" si="229"/>
        <v>730000</v>
      </c>
      <c r="P219" s="116">
        <f t="shared" si="229"/>
        <v>730000</v>
      </c>
      <c r="Q219" s="116">
        <f t="shared" si="229"/>
        <v>730000</v>
      </c>
      <c r="R219" s="116">
        <f t="shared" si="229"/>
        <v>730000</v>
      </c>
      <c r="S219" s="116">
        <f t="shared" si="229"/>
        <v>730000</v>
      </c>
      <c r="T219" s="116">
        <f t="shared" si="229"/>
        <v>730000</v>
      </c>
      <c r="U219" s="116">
        <f t="shared" si="229"/>
        <v>730000</v>
      </c>
      <c r="V219" s="116">
        <f t="shared" si="229"/>
        <v>730000</v>
      </c>
      <c r="W219" s="116">
        <f t="shared" si="229"/>
        <v>730000</v>
      </c>
      <c r="X219" s="116">
        <f t="shared" si="229"/>
        <v>730000</v>
      </c>
      <c r="Y219" s="116">
        <f t="shared" si="229"/>
        <v>730000</v>
      </c>
      <c r="Z219" s="116">
        <f t="shared" si="229"/>
        <v>730000</v>
      </c>
      <c r="AA219" s="116">
        <f t="shared" si="229"/>
        <v>730000</v>
      </c>
      <c r="AB219" s="116">
        <f t="shared" si="229"/>
        <v>730000</v>
      </c>
      <c r="AC219" s="116">
        <f t="shared" si="229"/>
        <v>730000</v>
      </c>
      <c r="AD219" s="116">
        <f t="shared" si="229"/>
        <v>0</v>
      </c>
      <c r="AE219" s="116">
        <f t="shared" si="229"/>
        <v>0</v>
      </c>
      <c r="AF219" s="116">
        <f t="shared" si="229"/>
        <v>0</v>
      </c>
      <c r="AG219" s="116">
        <f t="shared" si="229"/>
        <v>0</v>
      </c>
      <c r="AH219" s="116">
        <f t="shared" si="229"/>
        <v>0</v>
      </c>
      <c r="AI219" s="116">
        <f t="shared" si="229"/>
        <v>0</v>
      </c>
      <c r="AJ219" s="116">
        <f t="shared" si="229"/>
        <v>0</v>
      </c>
      <c r="AK219" s="116">
        <f t="shared" si="229"/>
        <v>0</v>
      </c>
      <c r="AL219" s="116">
        <f t="shared" si="229"/>
        <v>0</v>
      </c>
      <c r="AM219" s="116">
        <f t="shared" si="229"/>
        <v>0</v>
      </c>
      <c r="AN219" s="116">
        <f t="shared" si="229"/>
        <v>0</v>
      </c>
      <c r="AO219" s="116">
        <f t="shared" si="229"/>
        <v>0</v>
      </c>
      <c r="AP219" s="116">
        <f t="shared" si="229"/>
        <v>0</v>
      </c>
      <c r="AQ219" s="116">
        <f t="shared" si="229"/>
        <v>0</v>
      </c>
      <c r="AR219" s="116">
        <f t="shared" si="229"/>
        <v>0</v>
      </c>
      <c r="AS219" s="116">
        <f t="shared" si="229"/>
        <v>0</v>
      </c>
      <c r="AT219" s="116">
        <f t="shared" si="229"/>
        <v>0</v>
      </c>
      <c r="AU219" s="116">
        <f t="shared" si="229"/>
        <v>0</v>
      </c>
      <c r="AV219" s="116">
        <f t="shared" si="229"/>
        <v>0</v>
      </c>
      <c r="AW219" s="116">
        <f t="shared" si="229"/>
        <v>0</v>
      </c>
      <c r="AX219" s="116">
        <f t="shared" si="229"/>
        <v>0</v>
      </c>
      <c r="AY219" s="116">
        <f t="shared" si="229"/>
        <v>0</v>
      </c>
      <c r="AZ219" s="116">
        <f t="shared" si="229"/>
        <v>0</v>
      </c>
    </row>
    <row r="220" spans="1:52" x14ac:dyDescent="0.25">
      <c r="A220" s="4" t="s">
        <v>150</v>
      </c>
      <c r="B220" s="4"/>
      <c r="C220" s="4"/>
      <c r="D220" s="4"/>
      <c r="E220" s="4"/>
      <c r="F220" s="4"/>
      <c r="G220" s="9" t="s">
        <v>124</v>
      </c>
      <c r="H220" s="116">
        <f>H187</f>
        <v>0</v>
      </c>
      <c r="I220" s="116">
        <f t="shared" ref="I220:AZ220" si="230">I187</f>
        <v>0</v>
      </c>
      <c r="J220" s="116">
        <f t="shared" si="230"/>
        <v>0</v>
      </c>
      <c r="K220" s="116">
        <f t="shared" si="230"/>
        <v>0</v>
      </c>
      <c r="L220" s="116">
        <f t="shared" si="230"/>
        <v>0</v>
      </c>
      <c r="M220" s="116">
        <f t="shared" si="230"/>
        <v>0</v>
      </c>
      <c r="N220" s="116">
        <f t="shared" si="230"/>
        <v>0</v>
      </c>
      <c r="O220" s="116">
        <f t="shared" si="230"/>
        <v>0</v>
      </c>
      <c r="P220" s="116">
        <f t="shared" si="230"/>
        <v>0</v>
      </c>
      <c r="Q220" s="116">
        <f t="shared" si="230"/>
        <v>0</v>
      </c>
      <c r="R220" s="116">
        <f t="shared" si="230"/>
        <v>0</v>
      </c>
      <c r="S220" s="116">
        <f t="shared" si="230"/>
        <v>0</v>
      </c>
      <c r="T220" s="116">
        <f t="shared" si="230"/>
        <v>0</v>
      </c>
      <c r="U220" s="116">
        <f t="shared" si="230"/>
        <v>0</v>
      </c>
      <c r="V220" s="116">
        <f t="shared" si="230"/>
        <v>0</v>
      </c>
      <c r="W220" s="116">
        <f t="shared" si="230"/>
        <v>0</v>
      </c>
      <c r="X220" s="116">
        <f t="shared" si="230"/>
        <v>0</v>
      </c>
      <c r="Y220" s="116">
        <f t="shared" si="230"/>
        <v>0</v>
      </c>
      <c r="Z220" s="116">
        <f t="shared" si="230"/>
        <v>0</v>
      </c>
      <c r="AA220" s="116">
        <f t="shared" si="230"/>
        <v>0</v>
      </c>
      <c r="AB220" s="116">
        <f t="shared" si="230"/>
        <v>0</v>
      </c>
      <c r="AC220" s="116">
        <f t="shared" si="230"/>
        <v>0</v>
      </c>
      <c r="AD220" s="116">
        <f t="shared" si="230"/>
        <v>0</v>
      </c>
      <c r="AE220" s="116">
        <f t="shared" si="230"/>
        <v>0</v>
      </c>
      <c r="AF220" s="116">
        <f t="shared" si="230"/>
        <v>0</v>
      </c>
      <c r="AG220" s="116">
        <f t="shared" si="230"/>
        <v>0</v>
      </c>
      <c r="AH220" s="116">
        <f t="shared" si="230"/>
        <v>0</v>
      </c>
      <c r="AI220" s="116">
        <f t="shared" si="230"/>
        <v>0</v>
      </c>
      <c r="AJ220" s="116">
        <f t="shared" si="230"/>
        <v>0</v>
      </c>
      <c r="AK220" s="116">
        <f t="shared" si="230"/>
        <v>0</v>
      </c>
      <c r="AL220" s="116">
        <f t="shared" si="230"/>
        <v>0</v>
      </c>
      <c r="AM220" s="116">
        <f t="shared" si="230"/>
        <v>0</v>
      </c>
      <c r="AN220" s="116">
        <f t="shared" si="230"/>
        <v>0</v>
      </c>
      <c r="AO220" s="116">
        <f t="shared" si="230"/>
        <v>0</v>
      </c>
      <c r="AP220" s="116">
        <f t="shared" si="230"/>
        <v>0</v>
      </c>
      <c r="AQ220" s="116">
        <f t="shared" si="230"/>
        <v>0</v>
      </c>
      <c r="AR220" s="116">
        <f t="shared" si="230"/>
        <v>0</v>
      </c>
      <c r="AS220" s="116">
        <f t="shared" si="230"/>
        <v>0</v>
      </c>
      <c r="AT220" s="116">
        <f t="shared" si="230"/>
        <v>0</v>
      </c>
      <c r="AU220" s="116">
        <f t="shared" si="230"/>
        <v>0</v>
      </c>
      <c r="AV220" s="116">
        <f t="shared" si="230"/>
        <v>0</v>
      </c>
      <c r="AW220" s="116">
        <f t="shared" si="230"/>
        <v>0</v>
      </c>
      <c r="AX220" s="116">
        <f t="shared" si="230"/>
        <v>0</v>
      </c>
      <c r="AY220" s="116">
        <f t="shared" si="230"/>
        <v>0</v>
      </c>
      <c r="AZ220" s="116">
        <f t="shared" si="230"/>
        <v>0</v>
      </c>
    </row>
    <row r="221" spans="1:52" x14ac:dyDescent="0.25">
      <c r="A221" s="4" t="s">
        <v>151</v>
      </c>
      <c r="B221" s="4"/>
      <c r="C221" s="4"/>
      <c r="D221" s="4"/>
      <c r="E221" s="4"/>
      <c r="F221" s="4"/>
      <c r="G221" s="9" t="s">
        <v>124</v>
      </c>
      <c r="H221" s="117">
        <f>SUM(H218:H220)</f>
        <v>920000</v>
      </c>
      <c r="I221" s="117">
        <f t="shared" ref="I221:AZ221" si="231">SUM(I218:I220)</f>
        <v>920000</v>
      </c>
      <c r="J221" s="117">
        <f t="shared" si="231"/>
        <v>908811.55355616449</v>
      </c>
      <c r="K221" s="117">
        <f t="shared" si="231"/>
        <v>905288.25953942211</v>
      </c>
      <c r="L221" s="117">
        <f t="shared" si="231"/>
        <v>901834.38833391049</v>
      </c>
      <c r="M221" s="117">
        <f t="shared" si="231"/>
        <v>898448.57203598716</v>
      </c>
      <c r="N221" s="117">
        <f t="shared" si="231"/>
        <v>895129.46969511535</v>
      </c>
      <c r="O221" s="117">
        <f t="shared" si="231"/>
        <v>891875.76678278146</v>
      </c>
      <c r="P221" s="117">
        <f t="shared" si="231"/>
        <v>888686.17467187671</v>
      </c>
      <c r="Q221" s="117">
        <f t="shared" si="231"/>
        <v>885559.43012633733</v>
      </c>
      <c r="R221" s="117">
        <f t="shared" si="231"/>
        <v>882494.29480084043</v>
      </c>
      <c r="S221" s="117">
        <f t="shared" si="231"/>
        <v>879489.55475035822</v>
      </c>
      <c r="T221" s="117">
        <f t="shared" si="231"/>
        <v>876544.01994937577</v>
      </c>
      <c r="U221" s="117">
        <f t="shared" si="231"/>
        <v>873656.52382058208</v>
      </c>
      <c r="V221" s="117">
        <f t="shared" si="231"/>
        <v>870825.92277284781</v>
      </c>
      <c r="W221" s="117">
        <f t="shared" si="231"/>
        <v>868051.09574830683</v>
      </c>
      <c r="X221" s="117">
        <f t="shared" si="231"/>
        <v>865330.94377836178</v>
      </c>
      <c r="Y221" s="117">
        <f t="shared" si="231"/>
        <v>862664.38954843814</v>
      </c>
      <c r="Z221" s="117">
        <f t="shared" si="231"/>
        <v>860050.37697131478</v>
      </c>
      <c r="AA221" s="117">
        <f t="shared" si="231"/>
        <v>857487.87076886068</v>
      </c>
      <c r="AB221" s="117">
        <f t="shared" si="231"/>
        <v>854975.85606201412</v>
      </c>
      <c r="AC221" s="117">
        <f t="shared" si="231"/>
        <v>852513.3379688405</v>
      </c>
      <c r="AD221" s="117">
        <f t="shared" si="231"/>
        <v>0</v>
      </c>
      <c r="AE221" s="117">
        <f t="shared" si="231"/>
        <v>0</v>
      </c>
      <c r="AF221" s="117">
        <f t="shared" si="231"/>
        <v>0</v>
      </c>
      <c r="AG221" s="117">
        <f t="shared" si="231"/>
        <v>0</v>
      </c>
      <c r="AH221" s="117">
        <f t="shared" si="231"/>
        <v>0</v>
      </c>
      <c r="AI221" s="117">
        <f t="shared" si="231"/>
        <v>0</v>
      </c>
      <c r="AJ221" s="117">
        <f t="shared" si="231"/>
        <v>0</v>
      </c>
      <c r="AK221" s="117">
        <f t="shared" si="231"/>
        <v>0</v>
      </c>
      <c r="AL221" s="117">
        <f t="shared" si="231"/>
        <v>0</v>
      </c>
      <c r="AM221" s="117">
        <f t="shared" si="231"/>
        <v>0</v>
      </c>
      <c r="AN221" s="117">
        <f t="shared" si="231"/>
        <v>0</v>
      </c>
      <c r="AO221" s="117">
        <f t="shared" si="231"/>
        <v>0</v>
      </c>
      <c r="AP221" s="117">
        <f t="shared" si="231"/>
        <v>0</v>
      </c>
      <c r="AQ221" s="117">
        <f t="shared" si="231"/>
        <v>0</v>
      </c>
      <c r="AR221" s="117">
        <f t="shared" si="231"/>
        <v>0</v>
      </c>
      <c r="AS221" s="117">
        <f t="shared" si="231"/>
        <v>0</v>
      </c>
      <c r="AT221" s="117">
        <f t="shared" si="231"/>
        <v>0</v>
      </c>
      <c r="AU221" s="117">
        <f t="shared" si="231"/>
        <v>0</v>
      </c>
      <c r="AV221" s="117">
        <f t="shared" si="231"/>
        <v>0</v>
      </c>
      <c r="AW221" s="117">
        <f t="shared" si="231"/>
        <v>0</v>
      </c>
      <c r="AX221" s="117">
        <f t="shared" si="231"/>
        <v>0</v>
      </c>
      <c r="AY221" s="117">
        <f t="shared" si="231"/>
        <v>0</v>
      </c>
      <c r="AZ221" s="117">
        <f t="shared" si="231"/>
        <v>0</v>
      </c>
    </row>
    <row r="222" spans="1:52" x14ac:dyDescent="0.25">
      <c r="A222" s="4" t="s">
        <v>142</v>
      </c>
      <c r="B222" s="4"/>
      <c r="C222" s="4"/>
      <c r="D222" s="4"/>
      <c r="E222" s="4"/>
      <c r="F222" s="4"/>
      <c r="G222" s="9" t="s">
        <v>124</v>
      </c>
      <c r="H222" s="116">
        <f>H178*IF($E$178="Real",1,H$9)</f>
        <v>1021110</v>
      </c>
      <c r="I222" s="116">
        <f t="shared" ref="I222:AC222" si="232">I178*IF($E$178="Real",1,I$9)</f>
        <v>1041634.3109999999</v>
      </c>
      <c r="J222" s="116">
        <f t="shared" si="232"/>
        <v>1062571.1606510999</v>
      </c>
      <c r="K222" s="116">
        <f t="shared" si="232"/>
        <v>1083928.8409801871</v>
      </c>
      <c r="L222" s="116">
        <f t="shared" si="232"/>
        <v>1105715.8106838888</v>
      </c>
      <c r="M222" s="116">
        <f t="shared" si="232"/>
        <v>1127940.6984786352</v>
      </c>
      <c r="N222" s="116">
        <f t="shared" si="232"/>
        <v>1150612.3065180555</v>
      </c>
      <c r="O222" s="116">
        <f t="shared" si="232"/>
        <v>1173739.6138790685</v>
      </c>
      <c r="P222" s="116">
        <f t="shared" si="232"/>
        <v>1197331.7801180379</v>
      </c>
      <c r="Q222" s="116">
        <f t="shared" si="232"/>
        <v>1221398.1488984104</v>
      </c>
      <c r="R222" s="116">
        <f t="shared" si="232"/>
        <v>1245948.2516912685</v>
      </c>
      <c r="S222" s="116">
        <f t="shared" si="232"/>
        <v>1270991.8115502631</v>
      </c>
      <c r="T222" s="116">
        <f t="shared" si="232"/>
        <v>1296538.7469624232</v>
      </c>
      <c r="U222" s="116">
        <f t="shared" si="232"/>
        <v>1322599.175776368</v>
      </c>
      <c r="V222" s="116">
        <f t="shared" si="232"/>
        <v>1349183.4192094728</v>
      </c>
      <c r="W222" s="116">
        <f t="shared" si="232"/>
        <v>1376302.0059355833</v>
      </c>
      <c r="X222" s="116">
        <f t="shared" si="232"/>
        <v>1403965.6762548885</v>
      </c>
      <c r="Y222" s="116">
        <f t="shared" si="232"/>
        <v>1432185.3863476117</v>
      </c>
      <c r="Z222" s="116">
        <f t="shared" si="232"/>
        <v>1460972.3126131988</v>
      </c>
      <c r="AA222" s="116">
        <f t="shared" si="232"/>
        <v>1490337.8560967243</v>
      </c>
      <c r="AB222" s="116">
        <f t="shared" si="232"/>
        <v>1520293.6470042684</v>
      </c>
      <c r="AC222" s="116">
        <f t="shared" si="232"/>
        <v>1550851.5493090539</v>
      </c>
      <c r="AD222" s="116">
        <f t="shared" ref="AD222:AZ222" si="233">AD178*IF($E$178="Real",AD$9,1)</f>
        <v>0</v>
      </c>
      <c r="AE222" s="116">
        <f t="shared" si="233"/>
        <v>0</v>
      </c>
      <c r="AF222" s="116">
        <f t="shared" si="233"/>
        <v>0</v>
      </c>
      <c r="AG222" s="116">
        <f t="shared" si="233"/>
        <v>0</v>
      </c>
      <c r="AH222" s="116">
        <f t="shared" si="233"/>
        <v>0</v>
      </c>
      <c r="AI222" s="116">
        <f t="shared" si="233"/>
        <v>0</v>
      </c>
      <c r="AJ222" s="116">
        <f t="shared" si="233"/>
        <v>0</v>
      </c>
      <c r="AK222" s="116">
        <f t="shared" si="233"/>
        <v>0</v>
      </c>
      <c r="AL222" s="116">
        <f t="shared" si="233"/>
        <v>0</v>
      </c>
      <c r="AM222" s="116">
        <f t="shared" si="233"/>
        <v>0</v>
      </c>
      <c r="AN222" s="116">
        <f t="shared" si="233"/>
        <v>0</v>
      </c>
      <c r="AO222" s="116">
        <f t="shared" si="233"/>
        <v>0</v>
      </c>
      <c r="AP222" s="116">
        <f t="shared" si="233"/>
        <v>0</v>
      </c>
      <c r="AQ222" s="116">
        <f t="shared" si="233"/>
        <v>0</v>
      </c>
      <c r="AR222" s="116">
        <f t="shared" si="233"/>
        <v>0</v>
      </c>
      <c r="AS222" s="116">
        <f t="shared" si="233"/>
        <v>0</v>
      </c>
      <c r="AT222" s="116">
        <f t="shared" si="233"/>
        <v>0</v>
      </c>
      <c r="AU222" s="116">
        <f t="shared" si="233"/>
        <v>0</v>
      </c>
      <c r="AV222" s="116">
        <f t="shared" si="233"/>
        <v>0</v>
      </c>
      <c r="AW222" s="116">
        <f t="shared" si="233"/>
        <v>0</v>
      </c>
      <c r="AX222" s="116">
        <f t="shared" si="233"/>
        <v>0</v>
      </c>
      <c r="AY222" s="116">
        <f t="shared" si="233"/>
        <v>0</v>
      </c>
      <c r="AZ222" s="116">
        <f t="shared" si="233"/>
        <v>0</v>
      </c>
    </row>
    <row r="223" spans="1:52" x14ac:dyDescent="0.25">
      <c r="A223" s="4" t="s">
        <v>152</v>
      </c>
      <c r="B223" s="4"/>
      <c r="C223" s="4"/>
      <c r="D223" s="4"/>
      <c r="E223" s="4"/>
      <c r="F223" s="4"/>
      <c r="G223" s="9" t="s">
        <v>124</v>
      </c>
      <c r="H223" s="116">
        <f>H222-H221</f>
        <v>101110</v>
      </c>
      <c r="I223" s="116">
        <f t="shared" ref="I223:AZ223" si="234">I222-I221</f>
        <v>121634.31099999987</v>
      </c>
      <c r="J223" s="116">
        <f t="shared" si="234"/>
        <v>153759.60709493537</v>
      </c>
      <c r="K223" s="116">
        <f t="shared" si="234"/>
        <v>178640.58144076495</v>
      </c>
      <c r="L223" s="116">
        <f t="shared" si="234"/>
        <v>203881.42234997835</v>
      </c>
      <c r="M223" s="116">
        <f t="shared" si="234"/>
        <v>229492.126442648</v>
      </c>
      <c r="N223" s="116">
        <f t="shared" si="234"/>
        <v>255482.83682294015</v>
      </c>
      <c r="O223" s="116">
        <f t="shared" si="234"/>
        <v>281863.84709628706</v>
      </c>
      <c r="P223" s="116">
        <f t="shared" si="234"/>
        <v>308645.60544616124</v>
      </c>
      <c r="Q223" s="116">
        <f t="shared" si="234"/>
        <v>335838.71877207304</v>
      </c>
      <c r="R223" s="116">
        <f t="shared" si="234"/>
        <v>363453.95689042809</v>
      </c>
      <c r="S223" s="116">
        <f t="shared" si="234"/>
        <v>391502.25679990486</v>
      </c>
      <c r="T223" s="116">
        <f t="shared" si="234"/>
        <v>419994.72701304744</v>
      </c>
      <c r="U223" s="116">
        <f t="shared" si="234"/>
        <v>448942.65195578593</v>
      </c>
      <c r="V223" s="116">
        <f t="shared" si="234"/>
        <v>478357.49643662502</v>
      </c>
      <c r="W223" s="116">
        <f t="shared" si="234"/>
        <v>508250.91018727643</v>
      </c>
      <c r="X223" s="116">
        <f t="shared" si="234"/>
        <v>538634.73247652675</v>
      </c>
      <c r="Y223" s="116">
        <f t="shared" si="234"/>
        <v>569520.99679917353</v>
      </c>
      <c r="Z223" s="116">
        <f t="shared" si="234"/>
        <v>600921.93564188399</v>
      </c>
      <c r="AA223" s="116">
        <f t="shared" si="234"/>
        <v>632849.9853278636</v>
      </c>
      <c r="AB223" s="116">
        <f t="shared" si="234"/>
        <v>665317.79094225424</v>
      </c>
      <c r="AC223" s="116">
        <f t="shared" si="234"/>
        <v>698338.21134021343</v>
      </c>
      <c r="AD223" s="116">
        <f t="shared" si="234"/>
        <v>0</v>
      </c>
      <c r="AE223" s="116">
        <f t="shared" si="234"/>
        <v>0</v>
      </c>
      <c r="AF223" s="116">
        <f t="shared" si="234"/>
        <v>0</v>
      </c>
      <c r="AG223" s="116">
        <f t="shared" si="234"/>
        <v>0</v>
      </c>
      <c r="AH223" s="116">
        <f t="shared" si="234"/>
        <v>0</v>
      </c>
      <c r="AI223" s="116">
        <f t="shared" si="234"/>
        <v>0</v>
      </c>
      <c r="AJ223" s="116">
        <f t="shared" si="234"/>
        <v>0</v>
      </c>
      <c r="AK223" s="116">
        <f t="shared" si="234"/>
        <v>0</v>
      </c>
      <c r="AL223" s="116">
        <f t="shared" si="234"/>
        <v>0</v>
      </c>
      <c r="AM223" s="116">
        <f t="shared" si="234"/>
        <v>0</v>
      </c>
      <c r="AN223" s="116">
        <f t="shared" si="234"/>
        <v>0</v>
      </c>
      <c r="AO223" s="116">
        <f t="shared" si="234"/>
        <v>0</v>
      </c>
      <c r="AP223" s="116">
        <f t="shared" si="234"/>
        <v>0</v>
      </c>
      <c r="AQ223" s="116">
        <f t="shared" si="234"/>
        <v>0</v>
      </c>
      <c r="AR223" s="116">
        <f t="shared" si="234"/>
        <v>0</v>
      </c>
      <c r="AS223" s="116">
        <f t="shared" si="234"/>
        <v>0</v>
      </c>
      <c r="AT223" s="116">
        <f t="shared" si="234"/>
        <v>0</v>
      </c>
      <c r="AU223" s="116">
        <f t="shared" si="234"/>
        <v>0</v>
      </c>
      <c r="AV223" s="116">
        <f t="shared" si="234"/>
        <v>0</v>
      </c>
      <c r="AW223" s="116">
        <f t="shared" si="234"/>
        <v>0</v>
      </c>
      <c r="AX223" s="116">
        <f t="shared" si="234"/>
        <v>0</v>
      </c>
      <c r="AY223" s="116">
        <f t="shared" si="234"/>
        <v>0</v>
      </c>
      <c r="AZ223" s="116">
        <f t="shared" si="234"/>
        <v>0</v>
      </c>
    </row>
    <row r="224" spans="1:52" x14ac:dyDescent="0.25">
      <c r="A224" s="4" t="s">
        <v>153</v>
      </c>
      <c r="B224" s="4"/>
      <c r="C224" s="4"/>
      <c r="D224" s="4"/>
      <c r="E224" s="4"/>
      <c r="F224" s="4"/>
      <c r="G224" s="9" t="s">
        <v>124</v>
      </c>
      <c r="H224" s="116">
        <f t="shared" ref="H224:AZ224" si="235">H223-H185*H10</f>
        <v>101110</v>
      </c>
      <c r="I224" s="116">
        <f t="shared" si="235"/>
        <v>121634.31099999987</v>
      </c>
      <c r="J224" s="116">
        <f t="shared" si="235"/>
        <v>153759.60709493537</v>
      </c>
      <c r="K224" s="116">
        <f t="shared" si="235"/>
        <v>178640.58144076495</v>
      </c>
      <c r="L224" s="116">
        <f t="shared" si="235"/>
        <v>203881.42234997835</v>
      </c>
      <c r="M224" s="116">
        <f t="shared" si="235"/>
        <v>229492.126442648</v>
      </c>
      <c r="N224" s="116">
        <f t="shared" si="235"/>
        <v>255482.83682294015</v>
      </c>
      <c r="O224" s="116">
        <f t="shared" si="235"/>
        <v>281863.84709628706</v>
      </c>
      <c r="P224" s="116">
        <f t="shared" si="235"/>
        <v>308645.60544616124</v>
      </c>
      <c r="Q224" s="116">
        <f t="shared" si="235"/>
        <v>335838.71877207304</v>
      </c>
      <c r="R224" s="116">
        <f t="shared" si="235"/>
        <v>363453.95689042809</v>
      </c>
      <c r="S224" s="116">
        <f t="shared" si="235"/>
        <v>391502.25679990486</v>
      </c>
      <c r="T224" s="116">
        <f t="shared" si="235"/>
        <v>419994.72701304744</v>
      </c>
      <c r="U224" s="116">
        <f t="shared" si="235"/>
        <v>448942.65195578593</v>
      </c>
      <c r="V224" s="116">
        <f t="shared" si="235"/>
        <v>478357.49643662502</v>
      </c>
      <c r="W224" s="116">
        <f t="shared" si="235"/>
        <v>508250.91018727643</v>
      </c>
      <c r="X224" s="116">
        <f t="shared" si="235"/>
        <v>538634.73247652675</v>
      </c>
      <c r="Y224" s="116">
        <f t="shared" si="235"/>
        <v>569520.99679917353</v>
      </c>
      <c r="Z224" s="116">
        <f t="shared" si="235"/>
        <v>600921.93564188399</v>
      </c>
      <c r="AA224" s="116">
        <f t="shared" si="235"/>
        <v>632849.9853278636</v>
      </c>
      <c r="AB224" s="116">
        <f t="shared" si="235"/>
        <v>665317.79094225424</v>
      </c>
      <c r="AC224" s="116">
        <f t="shared" si="235"/>
        <v>698338.21134021343</v>
      </c>
      <c r="AD224" s="116">
        <f t="shared" si="235"/>
        <v>0</v>
      </c>
      <c r="AE224" s="116">
        <f t="shared" si="235"/>
        <v>0</v>
      </c>
      <c r="AF224" s="116">
        <f t="shared" si="235"/>
        <v>0</v>
      </c>
      <c r="AG224" s="116">
        <f t="shared" si="235"/>
        <v>0</v>
      </c>
      <c r="AH224" s="116">
        <f t="shared" si="235"/>
        <v>0</v>
      </c>
      <c r="AI224" s="116">
        <f t="shared" si="235"/>
        <v>0</v>
      </c>
      <c r="AJ224" s="116">
        <f t="shared" si="235"/>
        <v>0</v>
      </c>
      <c r="AK224" s="116">
        <f t="shared" si="235"/>
        <v>0</v>
      </c>
      <c r="AL224" s="116">
        <f t="shared" si="235"/>
        <v>0</v>
      </c>
      <c r="AM224" s="116">
        <f t="shared" si="235"/>
        <v>0</v>
      </c>
      <c r="AN224" s="116">
        <f t="shared" si="235"/>
        <v>0</v>
      </c>
      <c r="AO224" s="116">
        <f t="shared" si="235"/>
        <v>0</v>
      </c>
      <c r="AP224" s="116">
        <f t="shared" si="235"/>
        <v>0</v>
      </c>
      <c r="AQ224" s="116">
        <f t="shared" si="235"/>
        <v>0</v>
      </c>
      <c r="AR224" s="116">
        <f t="shared" si="235"/>
        <v>0</v>
      </c>
      <c r="AS224" s="116">
        <f t="shared" si="235"/>
        <v>0</v>
      </c>
      <c r="AT224" s="116">
        <f t="shared" si="235"/>
        <v>0</v>
      </c>
      <c r="AU224" s="116">
        <f t="shared" si="235"/>
        <v>0</v>
      </c>
      <c r="AV224" s="116">
        <f t="shared" si="235"/>
        <v>0</v>
      </c>
      <c r="AW224" s="116">
        <f t="shared" si="235"/>
        <v>0</v>
      </c>
      <c r="AX224" s="116">
        <f t="shared" si="235"/>
        <v>0</v>
      </c>
      <c r="AY224" s="116">
        <f t="shared" si="235"/>
        <v>0</v>
      </c>
      <c r="AZ224" s="116">
        <f t="shared" si="235"/>
        <v>0</v>
      </c>
    </row>
    <row r="225" spans="1:5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row>
    <row r="227" spans="1:52" x14ac:dyDescent="0.25">
      <c r="D227" t="s">
        <v>155</v>
      </c>
      <c r="H227" t="b">
        <f>H190=H209</f>
        <v>0</v>
      </c>
      <c r="I227" t="b">
        <f t="shared" ref="I227:AC233" si="236">I190=I209</f>
        <v>0</v>
      </c>
      <c r="J227" t="b">
        <f t="shared" si="236"/>
        <v>0</v>
      </c>
      <c r="K227" t="b">
        <f t="shared" si="236"/>
        <v>0</v>
      </c>
      <c r="L227" t="b">
        <f t="shared" si="236"/>
        <v>0</v>
      </c>
      <c r="M227" t="b">
        <f t="shared" si="236"/>
        <v>0</v>
      </c>
      <c r="N227" t="b">
        <f t="shared" si="236"/>
        <v>0</v>
      </c>
      <c r="O227" t="b">
        <f t="shared" si="236"/>
        <v>0</v>
      </c>
      <c r="P227" t="b">
        <f t="shared" si="236"/>
        <v>0</v>
      </c>
      <c r="Q227" t="b">
        <f t="shared" si="236"/>
        <v>0</v>
      </c>
      <c r="R227" t="b">
        <f t="shared" si="236"/>
        <v>0</v>
      </c>
      <c r="S227" t="b">
        <f t="shared" si="236"/>
        <v>0</v>
      </c>
      <c r="T227" t="b">
        <f t="shared" si="236"/>
        <v>0</v>
      </c>
      <c r="U227" t="b">
        <f t="shared" si="236"/>
        <v>0</v>
      </c>
      <c r="V227" t="b">
        <f t="shared" si="236"/>
        <v>0</v>
      </c>
      <c r="W227" t="b">
        <f t="shared" si="236"/>
        <v>0</v>
      </c>
      <c r="X227" t="b">
        <f t="shared" si="236"/>
        <v>0</v>
      </c>
      <c r="Y227" t="b">
        <f t="shared" si="236"/>
        <v>0</v>
      </c>
      <c r="Z227" t="b">
        <f t="shared" si="236"/>
        <v>0</v>
      </c>
      <c r="AA227" t="b">
        <f t="shared" si="236"/>
        <v>0</v>
      </c>
      <c r="AB227" t="b">
        <f t="shared" si="236"/>
        <v>0</v>
      </c>
      <c r="AC227" t="b">
        <f t="shared" si="236"/>
        <v>0</v>
      </c>
    </row>
    <row r="228" spans="1:52" x14ac:dyDescent="0.25">
      <c r="H228" t="b">
        <f t="shared" ref="H228:W233" si="237">H191=H210</f>
        <v>0</v>
      </c>
      <c r="I228" t="b">
        <f t="shared" si="237"/>
        <v>0</v>
      </c>
      <c r="J228" t="b">
        <f t="shared" si="237"/>
        <v>0</v>
      </c>
      <c r="K228" t="b">
        <f t="shared" si="237"/>
        <v>0</v>
      </c>
      <c r="L228" t="b">
        <f t="shared" si="237"/>
        <v>0</v>
      </c>
      <c r="M228" t="b">
        <f t="shared" si="237"/>
        <v>0</v>
      </c>
      <c r="N228" t="b">
        <f t="shared" si="237"/>
        <v>0</v>
      </c>
      <c r="O228" t="b">
        <f t="shared" si="237"/>
        <v>0</v>
      </c>
      <c r="P228" t="b">
        <f t="shared" si="237"/>
        <v>0</v>
      </c>
      <c r="Q228" t="b">
        <f t="shared" si="237"/>
        <v>0</v>
      </c>
      <c r="R228" t="b">
        <f t="shared" si="237"/>
        <v>0</v>
      </c>
      <c r="S228" t="b">
        <f t="shared" si="237"/>
        <v>0</v>
      </c>
      <c r="T228" t="b">
        <f t="shared" si="237"/>
        <v>0</v>
      </c>
      <c r="U228" t="b">
        <f t="shared" si="237"/>
        <v>0</v>
      </c>
      <c r="V228" t="b">
        <f t="shared" si="237"/>
        <v>0</v>
      </c>
      <c r="W228" t="b">
        <f t="shared" si="237"/>
        <v>0</v>
      </c>
      <c r="X228" t="b">
        <f t="shared" si="236"/>
        <v>0</v>
      </c>
      <c r="Y228" t="b">
        <f t="shared" si="236"/>
        <v>0</v>
      </c>
      <c r="Z228" t="b">
        <f t="shared" si="236"/>
        <v>0</v>
      </c>
      <c r="AA228" t="b">
        <f t="shared" si="236"/>
        <v>0</v>
      </c>
      <c r="AB228" t="b">
        <f t="shared" si="236"/>
        <v>0</v>
      </c>
      <c r="AC228" t="b">
        <f t="shared" si="236"/>
        <v>0</v>
      </c>
    </row>
    <row r="229" spans="1:52" x14ac:dyDescent="0.25">
      <c r="H229" t="b">
        <f t="shared" si="237"/>
        <v>1</v>
      </c>
      <c r="I229" t="b">
        <f t="shared" si="236"/>
        <v>1</v>
      </c>
      <c r="J229" t="b">
        <f t="shared" si="236"/>
        <v>1</v>
      </c>
      <c r="K229" t="b">
        <f t="shared" si="236"/>
        <v>1</v>
      </c>
      <c r="L229" t="b">
        <f t="shared" si="236"/>
        <v>1</v>
      </c>
      <c r="M229" t="b">
        <f t="shared" si="236"/>
        <v>1</v>
      </c>
      <c r="N229" t="b">
        <f t="shared" si="236"/>
        <v>1</v>
      </c>
      <c r="O229" t="b">
        <f t="shared" si="236"/>
        <v>1</v>
      </c>
      <c r="P229" t="b">
        <f t="shared" si="236"/>
        <v>1</v>
      </c>
      <c r="Q229" t="b">
        <f t="shared" si="236"/>
        <v>1</v>
      </c>
      <c r="R229" t="b">
        <f t="shared" si="236"/>
        <v>1</v>
      </c>
      <c r="S229" t="b">
        <f t="shared" si="236"/>
        <v>1</v>
      </c>
      <c r="T229" t="b">
        <f t="shared" si="236"/>
        <v>1</v>
      </c>
      <c r="U229" t="b">
        <f t="shared" si="236"/>
        <v>1</v>
      </c>
      <c r="V229" t="b">
        <f t="shared" si="236"/>
        <v>1</v>
      </c>
      <c r="W229" t="b">
        <f t="shared" si="236"/>
        <v>1</v>
      </c>
      <c r="X229" t="b">
        <f t="shared" si="236"/>
        <v>1</v>
      </c>
      <c r="Y229" t="b">
        <f t="shared" si="236"/>
        <v>1</v>
      </c>
      <c r="Z229" t="b">
        <f t="shared" si="236"/>
        <v>1</v>
      </c>
      <c r="AA229" t="b">
        <f t="shared" si="236"/>
        <v>1</v>
      </c>
      <c r="AB229" t="b">
        <f t="shared" si="236"/>
        <v>1</v>
      </c>
      <c r="AC229" t="b">
        <f t="shared" si="236"/>
        <v>1</v>
      </c>
    </row>
    <row r="230" spans="1:52" x14ac:dyDescent="0.25">
      <c r="H230" t="b">
        <f t="shared" si="237"/>
        <v>0</v>
      </c>
      <c r="I230" t="b">
        <f t="shared" si="236"/>
        <v>0</v>
      </c>
      <c r="J230" t="b">
        <f t="shared" si="236"/>
        <v>0</v>
      </c>
      <c r="K230" t="b">
        <f t="shared" si="236"/>
        <v>0</v>
      </c>
      <c r="L230" t="b">
        <f t="shared" si="236"/>
        <v>0</v>
      </c>
      <c r="M230" t="b">
        <f t="shared" si="236"/>
        <v>0</v>
      </c>
      <c r="N230" t="b">
        <f t="shared" si="236"/>
        <v>0</v>
      </c>
      <c r="O230" t="b">
        <f t="shared" si="236"/>
        <v>0</v>
      </c>
      <c r="P230" t="b">
        <f t="shared" si="236"/>
        <v>0</v>
      </c>
      <c r="Q230" t="b">
        <f t="shared" si="236"/>
        <v>0</v>
      </c>
      <c r="R230" t="b">
        <f t="shared" si="236"/>
        <v>0</v>
      </c>
      <c r="S230" t="b">
        <f t="shared" si="236"/>
        <v>0</v>
      </c>
      <c r="T230" t="b">
        <f t="shared" si="236"/>
        <v>0</v>
      </c>
      <c r="U230" t="b">
        <f t="shared" si="236"/>
        <v>0</v>
      </c>
      <c r="V230" t="b">
        <f t="shared" si="236"/>
        <v>0</v>
      </c>
      <c r="W230" t="b">
        <f t="shared" si="236"/>
        <v>0</v>
      </c>
      <c r="X230" t="b">
        <f t="shared" si="236"/>
        <v>0</v>
      </c>
      <c r="Y230" t="b">
        <f t="shared" si="236"/>
        <v>0</v>
      </c>
      <c r="Z230" t="b">
        <f t="shared" si="236"/>
        <v>0</v>
      </c>
      <c r="AA230" t="b">
        <f t="shared" si="236"/>
        <v>0</v>
      </c>
      <c r="AB230" t="b">
        <f t="shared" si="236"/>
        <v>0</v>
      </c>
      <c r="AC230" t="b">
        <f t="shared" si="236"/>
        <v>0</v>
      </c>
    </row>
    <row r="231" spans="1:52" x14ac:dyDescent="0.25">
      <c r="H231" t="b">
        <f t="shared" si="237"/>
        <v>0</v>
      </c>
      <c r="I231" t="b">
        <f t="shared" si="236"/>
        <v>0</v>
      </c>
      <c r="J231" t="b">
        <f t="shared" si="236"/>
        <v>0</v>
      </c>
      <c r="K231" t="b">
        <f t="shared" si="236"/>
        <v>0</v>
      </c>
      <c r="L231" t="b">
        <f t="shared" si="236"/>
        <v>0</v>
      </c>
      <c r="M231" t="b">
        <f t="shared" si="236"/>
        <v>0</v>
      </c>
      <c r="N231" t="b">
        <f t="shared" si="236"/>
        <v>0</v>
      </c>
      <c r="O231" t="b">
        <f t="shared" si="236"/>
        <v>0</v>
      </c>
      <c r="P231" t="b">
        <f t="shared" si="236"/>
        <v>0</v>
      </c>
      <c r="Q231" t="b">
        <f t="shared" si="236"/>
        <v>0</v>
      </c>
      <c r="R231" t="b">
        <f t="shared" si="236"/>
        <v>0</v>
      </c>
      <c r="S231" t="b">
        <f t="shared" si="236"/>
        <v>0</v>
      </c>
      <c r="T231" t="b">
        <f t="shared" si="236"/>
        <v>0</v>
      </c>
      <c r="U231" t="b">
        <f t="shared" si="236"/>
        <v>0</v>
      </c>
      <c r="V231" t="b">
        <f t="shared" si="236"/>
        <v>0</v>
      </c>
      <c r="W231" t="b">
        <f t="shared" si="236"/>
        <v>0</v>
      </c>
      <c r="X231" t="b">
        <f t="shared" si="236"/>
        <v>0</v>
      </c>
      <c r="Y231" t="b">
        <f t="shared" si="236"/>
        <v>0</v>
      </c>
      <c r="Z231" t="b">
        <f t="shared" si="236"/>
        <v>0</v>
      </c>
      <c r="AA231" t="b">
        <f t="shared" si="236"/>
        <v>0</v>
      </c>
      <c r="AB231" t="b">
        <f t="shared" si="236"/>
        <v>0</v>
      </c>
      <c r="AC231" t="b">
        <f t="shared" si="236"/>
        <v>0</v>
      </c>
    </row>
    <row r="232" spans="1:52" x14ac:dyDescent="0.25">
      <c r="H232" t="b">
        <f t="shared" si="237"/>
        <v>0</v>
      </c>
      <c r="I232" t="b">
        <f t="shared" si="236"/>
        <v>0</v>
      </c>
      <c r="J232" t="b">
        <f t="shared" si="236"/>
        <v>0</v>
      </c>
      <c r="K232" t="b">
        <f t="shared" si="236"/>
        <v>0</v>
      </c>
      <c r="L232" t="b">
        <f t="shared" si="236"/>
        <v>0</v>
      </c>
      <c r="M232" t="b">
        <f t="shared" si="236"/>
        <v>0</v>
      </c>
      <c r="N232" t="b">
        <f t="shared" si="236"/>
        <v>0</v>
      </c>
      <c r="O232" t="b">
        <f t="shared" si="236"/>
        <v>0</v>
      </c>
      <c r="P232" t="b">
        <f t="shared" si="236"/>
        <v>0</v>
      </c>
      <c r="Q232" t="b">
        <f t="shared" si="236"/>
        <v>0</v>
      </c>
      <c r="R232" t="b">
        <f t="shared" si="236"/>
        <v>0</v>
      </c>
      <c r="S232" t="b">
        <f t="shared" si="236"/>
        <v>0</v>
      </c>
      <c r="T232" t="b">
        <f t="shared" si="236"/>
        <v>0</v>
      </c>
      <c r="U232" t="b">
        <f t="shared" si="236"/>
        <v>0</v>
      </c>
      <c r="V232" t="b">
        <f t="shared" si="236"/>
        <v>0</v>
      </c>
      <c r="W232" t="b">
        <f t="shared" si="236"/>
        <v>0</v>
      </c>
      <c r="X232" t="b">
        <f t="shared" si="236"/>
        <v>0</v>
      </c>
      <c r="Y232" t="b">
        <f t="shared" si="236"/>
        <v>0</v>
      </c>
      <c r="Z232" t="b">
        <f t="shared" si="236"/>
        <v>0</v>
      </c>
      <c r="AA232" t="b">
        <f t="shared" si="236"/>
        <v>0</v>
      </c>
      <c r="AB232" t="b">
        <f t="shared" si="236"/>
        <v>0</v>
      </c>
      <c r="AC232" t="b">
        <f t="shared" si="236"/>
        <v>0</v>
      </c>
    </row>
    <row r="233" spans="1:52" x14ac:dyDescent="0.25">
      <c r="H233" t="b">
        <f t="shared" si="237"/>
        <v>0</v>
      </c>
      <c r="I233" t="b">
        <f t="shared" si="236"/>
        <v>0</v>
      </c>
      <c r="J233" t="b">
        <f t="shared" si="236"/>
        <v>0</v>
      </c>
      <c r="K233" t="b">
        <f t="shared" si="236"/>
        <v>0</v>
      </c>
      <c r="L233" t="b">
        <f t="shared" si="236"/>
        <v>0</v>
      </c>
      <c r="M233" t="b">
        <f t="shared" si="236"/>
        <v>0</v>
      </c>
      <c r="N233" t="b">
        <f t="shared" si="236"/>
        <v>0</v>
      </c>
      <c r="O233" t="b">
        <f t="shared" si="236"/>
        <v>0</v>
      </c>
      <c r="P233" t="b">
        <f t="shared" si="236"/>
        <v>0</v>
      </c>
      <c r="Q233" t="b">
        <f t="shared" si="236"/>
        <v>0</v>
      </c>
      <c r="R233" t="b">
        <f t="shared" si="236"/>
        <v>0</v>
      </c>
      <c r="S233" t="b">
        <f t="shared" si="236"/>
        <v>0</v>
      </c>
      <c r="T233" t="b">
        <f t="shared" si="236"/>
        <v>0</v>
      </c>
      <c r="U233" t="b">
        <f t="shared" si="236"/>
        <v>0</v>
      </c>
      <c r="V233" t="b">
        <f t="shared" si="236"/>
        <v>0</v>
      </c>
      <c r="W233" t="b">
        <f t="shared" si="236"/>
        <v>0</v>
      </c>
      <c r="X233" t="b">
        <f t="shared" si="236"/>
        <v>0</v>
      </c>
      <c r="Y233" t="b">
        <f t="shared" si="236"/>
        <v>0</v>
      </c>
      <c r="Z233" t="b">
        <f t="shared" si="236"/>
        <v>0</v>
      </c>
      <c r="AA233" t="b">
        <f t="shared" si="236"/>
        <v>0</v>
      </c>
      <c r="AB233" t="b">
        <f t="shared" si="236"/>
        <v>0</v>
      </c>
      <c r="AC233" t="b">
        <f t="shared" si="236"/>
        <v>0</v>
      </c>
    </row>
    <row r="235" spans="1:52" x14ac:dyDescent="0.25">
      <c r="H235" t="b">
        <f>H199=H218</f>
        <v>1</v>
      </c>
      <c r="I235" t="b">
        <f t="shared" ref="I235:AC235" si="238">I199=I218</f>
        <v>0</v>
      </c>
      <c r="J235" t="b">
        <f t="shared" si="238"/>
        <v>1</v>
      </c>
      <c r="K235" t="b">
        <f t="shared" si="238"/>
        <v>1</v>
      </c>
      <c r="L235" t="b">
        <f t="shared" si="238"/>
        <v>1</v>
      </c>
      <c r="M235" t="b">
        <f t="shared" si="238"/>
        <v>1</v>
      </c>
      <c r="N235" t="b">
        <f t="shared" si="238"/>
        <v>1</v>
      </c>
      <c r="O235" t="b">
        <f t="shared" si="238"/>
        <v>1</v>
      </c>
      <c r="P235" t="b">
        <f t="shared" si="238"/>
        <v>1</v>
      </c>
      <c r="Q235" t="b">
        <f t="shared" si="238"/>
        <v>1</v>
      </c>
      <c r="R235" t="b">
        <f t="shared" si="238"/>
        <v>1</v>
      </c>
      <c r="S235" t="b">
        <f t="shared" si="238"/>
        <v>1</v>
      </c>
      <c r="T235" t="b">
        <f t="shared" si="238"/>
        <v>1</v>
      </c>
      <c r="U235" t="b">
        <f t="shared" si="238"/>
        <v>1</v>
      </c>
      <c r="V235" t="b">
        <f t="shared" si="238"/>
        <v>1</v>
      </c>
      <c r="W235" t="b">
        <f t="shared" si="238"/>
        <v>1</v>
      </c>
      <c r="X235" t="b">
        <f t="shared" si="238"/>
        <v>1</v>
      </c>
      <c r="Y235" t="b">
        <f t="shared" si="238"/>
        <v>1</v>
      </c>
      <c r="Z235" t="b">
        <f t="shared" si="238"/>
        <v>1</v>
      </c>
      <c r="AA235" t="b">
        <f t="shared" si="238"/>
        <v>1</v>
      </c>
      <c r="AB235" t="b">
        <f t="shared" si="238"/>
        <v>1</v>
      </c>
      <c r="AC235" t="b">
        <f t="shared" si="238"/>
        <v>1</v>
      </c>
    </row>
    <row r="236" spans="1:52" x14ac:dyDescent="0.25">
      <c r="H236" t="b">
        <f t="shared" ref="H236:H240" si="239">H200=H219</f>
        <v>0</v>
      </c>
      <c r="I236" t="b">
        <f t="shared" ref="I236:AC236" si="240">I200=I219</f>
        <v>1</v>
      </c>
      <c r="J236" t="b">
        <f t="shared" si="240"/>
        <v>1</v>
      </c>
      <c r="K236" t="b">
        <f t="shared" si="240"/>
        <v>1</v>
      </c>
      <c r="L236" t="b">
        <f t="shared" si="240"/>
        <v>1</v>
      </c>
      <c r="M236" t="b">
        <f t="shared" si="240"/>
        <v>1</v>
      </c>
      <c r="N236" t="b">
        <f t="shared" si="240"/>
        <v>1</v>
      </c>
      <c r="O236" t="b">
        <f t="shared" si="240"/>
        <v>1</v>
      </c>
      <c r="P236" t="b">
        <f t="shared" si="240"/>
        <v>1</v>
      </c>
      <c r="Q236" t="b">
        <f t="shared" si="240"/>
        <v>1</v>
      </c>
      <c r="R236" t="b">
        <f t="shared" si="240"/>
        <v>1</v>
      </c>
      <c r="S236" t="b">
        <f t="shared" si="240"/>
        <v>1</v>
      </c>
      <c r="T236" t="b">
        <f t="shared" si="240"/>
        <v>1</v>
      </c>
      <c r="U236" t="b">
        <f t="shared" si="240"/>
        <v>1</v>
      </c>
      <c r="V236" t="b">
        <f t="shared" si="240"/>
        <v>1</v>
      </c>
      <c r="W236" t="b">
        <f t="shared" si="240"/>
        <v>1</v>
      </c>
      <c r="X236" t="b">
        <f t="shared" si="240"/>
        <v>1</v>
      </c>
      <c r="Y236" t="b">
        <f t="shared" si="240"/>
        <v>1</v>
      </c>
      <c r="Z236" t="b">
        <f t="shared" si="240"/>
        <v>1</v>
      </c>
      <c r="AA236" t="b">
        <f t="shared" si="240"/>
        <v>1</v>
      </c>
      <c r="AB236" t="b">
        <f t="shared" si="240"/>
        <v>1</v>
      </c>
      <c r="AC236" t="b">
        <f t="shared" si="240"/>
        <v>1</v>
      </c>
    </row>
    <row r="237" spans="1:52" x14ac:dyDescent="0.25">
      <c r="H237" t="b">
        <f t="shared" si="239"/>
        <v>1</v>
      </c>
      <c r="I237" t="b">
        <f t="shared" ref="I237:AC237" si="241">I201=I220</f>
        <v>1</v>
      </c>
      <c r="J237" t="b">
        <f t="shared" si="241"/>
        <v>1</v>
      </c>
      <c r="K237" t="b">
        <f t="shared" si="241"/>
        <v>1</v>
      </c>
      <c r="L237" t="b">
        <f t="shared" si="241"/>
        <v>1</v>
      </c>
      <c r="M237" t="b">
        <f t="shared" si="241"/>
        <v>1</v>
      </c>
      <c r="N237" t="b">
        <f t="shared" si="241"/>
        <v>1</v>
      </c>
      <c r="O237" t="b">
        <f t="shared" si="241"/>
        <v>1</v>
      </c>
      <c r="P237" t="b">
        <f t="shared" si="241"/>
        <v>1</v>
      </c>
      <c r="Q237" t="b">
        <f t="shared" si="241"/>
        <v>1</v>
      </c>
      <c r="R237" t="b">
        <f t="shared" si="241"/>
        <v>1</v>
      </c>
      <c r="S237" t="b">
        <f t="shared" si="241"/>
        <v>1</v>
      </c>
      <c r="T237" t="b">
        <f t="shared" si="241"/>
        <v>1</v>
      </c>
      <c r="U237" t="b">
        <f t="shared" si="241"/>
        <v>1</v>
      </c>
      <c r="V237" t="b">
        <f t="shared" si="241"/>
        <v>1</v>
      </c>
      <c r="W237" t="b">
        <f t="shared" si="241"/>
        <v>1</v>
      </c>
      <c r="X237" t="b">
        <f t="shared" si="241"/>
        <v>1</v>
      </c>
      <c r="Y237" t="b">
        <f t="shared" si="241"/>
        <v>1</v>
      </c>
      <c r="Z237" t="b">
        <f t="shared" si="241"/>
        <v>1</v>
      </c>
      <c r="AA237" t="b">
        <f t="shared" si="241"/>
        <v>1</v>
      </c>
      <c r="AB237" t="b">
        <f t="shared" si="241"/>
        <v>1</v>
      </c>
      <c r="AC237" t="b">
        <f t="shared" si="241"/>
        <v>1</v>
      </c>
    </row>
    <row r="238" spans="1:52" x14ac:dyDescent="0.25">
      <c r="H238" t="b">
        <f t="shared" si="239"/>
        <v>0</v>
      </c>
      <c r="I238" t="b">
        <f t="shared" ref="I238:AC238" si="242">I202=I221</f>
        <v>0</v>
      </c>
      <c r="J238" t="b">
        <f t="shared" si="242"/>
        <v>1</v>
      </c>
      <c r="K238" t="b">
        <f t="shared" si="242"/>
        <v>1</v>
      </c>
      <c r="L238" t="b">
        <f t="shared" si="242"/>
        <v>1</v>
      </c>
      <c r="M238" t="b">
        <f t="shared" si="242"/>
        <v>1</v>
      </c>
      <c r="N238" t="b">
        <f t="shared" si="242"/>
        <v>1</v>
      </c>
      <c r="O238" t="b">
        <f t="shared" si="242"/>
        <v>1</v>
      </c>
      <c r="P238" t="b">
        <f t="shared" si="242"/>
        <v>1</v>
      </c>
      <c r="Q238" t="b">
        <f t="shared" si="242"/>
        <v>1</v>
      </c>
      <c r="R238" t="b">
        <f t="shared" si="242"/>
        <v>1</v>
      </c>
      <c r="S238" t="b">
        <f t="shared" si="242"/>
        <v>1</v>
      </c>
      <c r="T238" t="b">
        <f t="shared" si="242"/>
        <v>1</v>
      </c>
      <c r="U238" t="b">
        <f t="shared" si="242"/>
        <v>1</v>
      </c>
      <c r="V238" t="b">
        <f t="shared" si="242"/>
        <v>1</v>
      </c>
      <c r="W238" t="b">
        <f t="shared" si="242"/>
        <v>1</v>
      </c>
      <c r="X238" t="b">
        <f t="shared" si="242"/>
        <v>1</v>
      </c>
      <c r="Y238" t="b">
        <f t="shared" si="242"/>
        <v>1</v>
      </c>
      <c r="Z238" t="b">
        <f t="shared" si="242"/>
        <v>1</v>
      </c>
      <c r="AA238" t="b">
        <f t="shared" si="242"/>
        <v>1</v>
      </c>
      <c r="AB238" t="b">
        <f t="shared" si="242"/>
        <v>1</v>
      </c>
      <c r="AC238" t="b">
        <f t="shared" si="242"/>
        <v>1</v>
      </c>
    </row>
    <row r="239" spans="1:52" x14ac:dyDescent="0.25">
      <c r="H239" t="b">
        <f t="shared" si="239"/>
        <v>0</v>
      </c>
      <c r="I239" t="b">
        <f t="shared" ref="I239:AC239" si="243">I203=I222</f>
        <v>0</v>
      </c>
      <c r="J239" t="b">
        <f t="shared" si="243"/>
        <v>0</v>
      </c>
      <c r="K239" t="b">
        <f t="shared" si="243"/>
        <v>0</v>
      </c>
      <c r="L239" t="b">
        <f t="shared" si="243"/>
        <v>0</v>
      </c>
      <c r="M239" t="b">
        <f t="shared" si="243"/>
        <v>0</v>
      </c>
      <c r="N239" t="b">
        <f t="shared" si="243"/>
        <v>0</v>
      </c>
      <c r="O239" t="b">
        <f t="shared" si="243"/>
        <v>0</v>
      </c>
      <c r="P239" t="b">
        <f t="shared" si="243"/>
        <v>0</v>
      </c>
      <c r="Q239" t="b">
        <f t="shared" si="243"/>
        <v>0</v>
      </c>
      <c r="R239" t="b">
        <f t="shared" si="243"/>
        <v>0</v>
      </c>
      <c r="S239" t="b">
        <f t="shared" si="243"/>
        <v>0</v>
      </c>
      <c r="T239" t="b">
        <f t="shared" si="243"/>
        <v>0</v>
      </c>
      <c r="U239" t="b">
        <f t="shared" si="243"/>
        <v>0</v>
      </c>
      <c r="V239" t="b">
        <f t="shared" si="243"/>
        <v>0</v>
      </c>
      <c r="W239" t="b">
        <f t="shared" si="243"/>
        <v>0</v>
      </c>
      <c r="X239" t="b">
        <f t="shared" si="243"/>
        <v>0</v>
      </c>
      <c r="Y239" t="b">
        <f t="shared" si="243"/>
        <v>0</v>
      </c>
      <c r="Z239" t="b">
        <f t="shared" si="243"/>
        <v>0</v>
      </c>
      <c r="AA239" t="b">
        <f t="shared" si="243"/>
        <v>0</v>
      </c>
      <c r="AB239" t="b">
        <f t="shared" si="243"/>
        <v>0</v>
      </c>
      <c r="AC239" t="b">
        <f t="shared" si="243"/>
        <v>0</v>
      </c>
    </row>
    <row r="240" spans="1:52" x14ac:dyDescent="0.25">
      <c r="H240" t="b">
        <f t="shared" si="239"/>
        <v>0</v>
      </c>
      <c r="I240" t="b">
        <f t="shared" ref="I240:AC240" si="244">I204=I223</f>
        <v>0</v>
      </c>
      <c r="J240" t="b">
        <f t="shared" si="244"/>
        <v>0</v>
      </c>
      <c r="K240" t="b">
        <f t="shared" si="244"/>
        <v>0</v>
      </c>
      <c r="L240" t="b">
        <f t="shared" si="244"/>
        <v>0</v>
      </c>
      <c r="M240" t="b">
        <f t="shared" si="244"/>
        <v>0</v>
      </c>
      <c r="N240" t="b">
        <f t="shared" si="244"/>
        <v>0</v>
      </c>
      <c r="O240" t="b">
        <f t="shared" si="244"/>
        <v>0</v>
      </c>
      <c r="P240" t="b">
        <f t="shared" si="244"/>
        <v>0</v>
      </c>
      <c r="Q240" t="b">
        <f t="shared" si="244"/>
        <v>0</v>
      </c>
      <c r="R240" t="b">
        <f t="shared" si="244"/>
        <v>0</v>
      </c>
      <c r="S240" t="b">
        <f t="shared" si="244"/>
        <v>0</v>
      </c>
      <c r="T240" t="b">
        <f t="shared" si="244"/>
        <v>0</v>
      </c>
      <c r="U240" t="b">
        <f t="shared" si="244"/>
        <v>0</v>
      </c>
      <c r="V240" t="b">
        <f t="shared" si="244"/>
        <v>0</v>
      </c>
      <c r="W240" t="b">
        <f t="shared" si="244"/>
        <v>0</v>
      </c>
      <c r="X240" t="b">
        <f t="shared" si="244"/>
        <v>0</v>
      </c>
      <c r="Y240" t="b">
        <f t="shared" si="244"/>
        <v>0</v>
      </c>
      <c r="Z240" t="b">
        <f t="shared" si="244"/>
        <v>0</v>
      </c>
      <c r="AA240" t="b">
        <f t="shared" si="244"/>
        <v>0</v>
      </c>
      <c r="AB240" t="b">
        <f t="shared" si="244"/>
        <v>0</v>
      </c>
      <c r="AC240" t="b">
        <f t="shared" si="244"/>
        <v>0</v>
      </c>
    </row>
    <row r="241" spans="8:29" x14ac:dyDescent="0.25">
      <c r="H241" t="b">
        <f>H205=H224</f>
        <v>0</v>
      </c>
      <c r="I241" t="b">
        <f t="shared" ref="I241:AC241" si="245">I205=I224</f>
        <v>0</v>
      </c>
      <c r="J241" t="b">
        <f t="shared" si="245"/>
        <v>0</v>
      </c>
      <c r="K241" t="b">
        <f t="shared" si="245"/>
        <v>0</v>
      </c>
      <c r="L241" t="b">
        <f t="shared" si="245"/>
        <v>0</v>
      </c>
      <c r="M241" t="b">
        <f t="shared" si="245"/>
        <v>0</v>
      </c>
      <c r="N241" t="b">
        <f t="shared" si="245"/>
        <v>0</v>
      </c>
      <c r="O241" t="b">
        <f t="shared" si="245"/>
        <v>0</v>
      </c>
      <c r="P241" t="b">
        <f t="shared" si="245"/>
        <v>0</v>
      </c>
      <c r="Q241" t="b">
        <f t="shared" si="245"/>
        <v>0</v>
      </c>
      <c r="R241" t="b">
        <f t="shared" si="245"/>
        <v>0</v>
      </c>
      <c r="S241" t="b">
        <f t="shared" si="245"/>
        <v>0</v>
      </c>
      <c r="T241" t="b">
        <f t="shared" si="245"/>
        <v>0</v>
      </c>
      <c r="U241" t="b">
        <f t="shared" si="245"/>
        <v>0</v>
      </c>
      <c r="V241" t="b">
        <f t="shared" si="245"/>
        <v>0</v>
      </c>
      <c r="W241" t="b">
        <f t="shared" si="245"/>
        <v>0</v>
      </c>
      <c r="X241" t="b">
        <f t="shared" si="245"/>
        <v>0</v>
      </c>
      <c r="Y241" t="b">
        <f t="shared" si="245"/>
        <v>0</v>
      </c>
      <c r="Z241" t="b">
        <f t="shared" si="245"/>
        <v>0</v>
      </c>
      <c r="AA241" t="b">
        <f t="shared" si="245"/>
        <v>0</v>
      </c>
      <c r="AB241" t="b">
        <f t="shared" si="245"/>
        <v>0</v>
      </c>
      <c r="AC241" t="b">
        <f t="shared" si="245"/>
        <v>0</v>
      </c>
    </row>
  </sheetData>
  <mergeCells count="1">
    <mergeCell ref="A172:D172"/>
  </mergeCells>
  <phoneticPr fontId="20" type="noConversion"/>
  <conditionalFormatting sqref="D92:D102">
    <cfRule type="expression" dxfId="10" priority="22">
      <formula>SUM($H65:$AZ65)&gt;0</formula>
    </cfRule>
  </conditionalFormatting>
  <conditionalFormatting sqref="D105:AZ115">
    <cfRule type="expression" dxfId="9" priority="8">
      <formula>SUM($H78:$AZ78)&gt;0</formula>
    </cfRule>
  </conditionalFormatting>
  <conditionalFormatting sqref="E92:G102">
    <cfRule type="expression" dxfId="8" priority="17">
      <formula>SUM($H65:$AZ65)&gt;0</formula>
    </cfRule>
  </conditionalFormatting>
  <conditionalFormatting sqref="G119:AZ129">
    <cfRule type="expression" dxfId="7" priority="3">
      <formula>SUM($H65:$AZ65)&gt;0</formula>
    </cfRule>
  </conditionalFormatting>
  <conditionalFormatting sqref="G134:AZ144">
    <cfRule type="expression" dxfId="6" priority="1">
      <formula>SUM($H78:$AZ78)&gt;0</formula>
    </cfRule>
  </conditionalFormatting>
  <conditionalFormatting sqref="H92:AZ102">
    <cfRule type="expression" dxfId="5" priority="19">
      <formula>SUM($H78:$AZ78)&gt;0</formula>
    </cfRule>
  </conditionalFormatting>
  <dataValidations count="4">
    <dataValidation type="list" allowBlank="1" showInputMessage="1" showErrorMessage="1" sqref="D92:D102 D105:D115" xr:uid="{36EA1D3A-A304-4673-A319-C64F01A3F2CC}">
      <formula1>"Yes,No"</formula1>
    </dataValidation>
    <dataValidation type="list" allowBlank="1" showInputMessage="1" showErrorMessage="1" sqref="E92:F102 E173:F173 E39:F39 E51:F51 E105:F115" xr:uid="{E620158E-C2D4-49E7-B335-27C3A4E7330D}">
      <formula1>"Real,nominal"</formula1>
    </dataValidation>
    <dataValidation type="list" allowBlank="1" showInputMessage="1" showErrorMessage="1" sqref="E13:F13 E25:F25" xr:uid="{5DACEAA4-0AA3-48D1-B22C-2C75CAEF34A3}">
      <formula1>"Real,Nominal"</formula1>
    </dataValidation>
    <dataValidation type="list" allowBlank="1" showInputMessage="1" showErrorMessage="1" sqref="B5" xr:uid="{B565E6E8-2E4F-451D-BB2A-4970B770FCCD}">
      <formula1>"&lt;Select&gt;,Yes,No"</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960824D-0E32-489B-B8EB-35DCF99871A6}">
          <x14:formula1>
            <xm:f>Data!$D$2:$D$15</xm:f>
          </x14:formula1>
          <xm:sqref>E65:F75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E6A28-0E28-44E3-B337-39809CA67940}">
  <sheetPr>
    <tabColor rgb="FFFFC000"/>
  </sheetPr>
  <dimension ref="A3:L18"/>
  <sheetViews>
    <sheetView tabSelected="1" workbookViewId="0">
      <selection activeCell="L12" sqref="L12"/>
    </sheetView>
  </sheetViews>
  <sheetFormatPr defaultRowHeight="15" x14ac:dyDescent="0.25"/>
  <cols>
    <col min="1" max="1" width="21.85546875" bestFit="1" customWidth="1"/>
    <col min="11" max="11" width="35" bestFit="1" customWidth="1"/>
    <col min="12" max="12" width="19" customWidth="1"/>
  </cols>
  <sheetData>
    <row r="3" spans="1:12" x14ac:dyDescent="0.25">
      <c r="A3" s="10" t="s">
        <v>156</v>
      </c>
      <c r="F3" s="10" t="s">
        <v>157</v>
      </c>
      <c r="K3" s="10" t="s">
        <v>158</v>
      </c>
    </row>
    <row r="5" spans="1:12" x14ac:dyDescent="0.25">
      <c r="A5" t="s">
        <v>159</v>
      </c>
      <c r="B5" s="78">
        <v>70000</v>
      </c>
      <c r="F5">
        <f>B5*B15</f>
        <v>56000</v>
      </c>
      <c r="K5" t="s">
        <v>160</v>
      </c>
      <c r="L5">
        <f>F5/B14</f>
        <v>16000</v>
      </c>
    </row>
    <row r="6" spans="1:12" x14ac:dyDescent="0.25">
      <c r="A6" t="s">
        <v>161</v>
      </c>
      <c r="B6">
        <v>120</v>
      </c>
      <c r="K6" t="s">
        <v>162</v>
      </c>
      <c r="L6">
        <f>L5*B18</f>
        <v>4444.4480000000003</v>
      </c>
    </row>
    <row r="7" spans="1:12" x14ac:dyDescent="0.25">
      <c r="K7" t="s">
        <v>163</v>
      </c>
      <c r="L7" s="226">
        <v>1.1000000000000001</v>
      </c>
    </row>
    <row r="9" spans="1:12" x14ac:dyDescent="0.25">
      <c r="K9" t="s">
        <v>164</v>
      </c>
      <c r="L9">
        <f>(L6*L7)+B6</f>
        <v>5008.8928000000005</v>
      </c>
    </row>
    <row r="14" spans="1:12" x14ac:dyDescent="0.25">
      <c r="A14" t="s">
        <v>165</v>
      </c>
      <c r="B14">
        <v>3.5</v>
      </c>
    </row>
    <row r="15" spans="1:12" x14ac:dyDescent="0.25">
      <c r="A15" t="s">
        <v>166</v>
      </c>
      <c r="B15">
        <f>0.8</f>
        <v>0.8</v>
      </c>
    </row>
    <row r="18" spans="1:2" x14ac:dyDescent="0.25">
      <c r="A18" t="s">
        <v>167</v>
      </c>
      <c r="B18">
        <f>0.277778</f>
        <v>0.27777800000000002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39AB-58B8-42F1-81AF-D97BC6EDEC49}">
  <dimension ref="A2:AZ172"/>
  <sheetViews>
    <sheetView topLeftCell="A32" zoomScale="90" zoomScaleNormal="90" workbookViewId="0">
      <selection activeCell="H11" sqref="H11"/>
    </sheetView>
  </sheetViews>
  <sheetFormatPr defaultRowHeight="15" x14ac:dyDescent="0.25"/>
  <cols>
    <col min="1" max="1" width="30.85546875" customWidth="1"/>
    <col min="2" max="2" width="11.42578125" customWidth="1"/>
    <col min="4" max="4" width="19.140625" customWidth="1"/>
    <col min="5" max="5" width="12.85546875" customWidth="1"/>
    <col min="6" max="6" width="19.42578125" customWidth="1"/>
  </cols>
  <sheetData>
    <row r="2" spans="1:52" ht="18.75" x14ac:dyDescent="0.3">
      <c r="A2" s="18" t="s">
        <v>168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x14ac:dyDescent="0.25">
      <c r="A3" s="28"/>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row>
    <row r="4" spans="1:52" x14ac:dyDescent="0.25">
      <c r="A4" s="6" t="s">
        <v>45</v>
      </c>
      <c r="B4" s="4"/>
      <c r="C4" s="4"/>
      <c r="D4" s="4"/>
      <c r="E4" s="4"/>
      <c r="F4" s="4"/>
      <c r="G4" s="127">
        <f>Inputs!G9</f>
        <v>1</v>
      </c>
      <c r="H4" s="127">
        <f>Inputs!H9</f>
        <v>1.02111</v>
      </c>
      <c r="I4" s="127">
        <f>Inputs!I9</f>
        <v>1.0416343109999999</v>
      </c>
      <c r="J4" s="127">
        <f>Inputs!J9</f>
        <v>1.0625711606510999</v>
      </c>
      <c r="K4" s="127">
        <f>Inputs!K9</f>
        <v>1.083928840980187</v>
      </c>
      <c r="L4" s="127">
        <f>Inputs!L9</f>
        <v>1.1057158106838889</v>
      </c>
      <c r="M4" s="127">
        <f>Inputs!M9</f>
        <v>1.1279406984786351</v>
      </c>
      <c r="N4" s="127">
        <f>Inputs!N9</f>
        <v>1.1506123065180556</v>
      </c>
      <c r="O4" s="127">
        <f>Inputs!O9</f>
        <v>1.1737396138790686</v>
      </c>
      <c r="P4" s="127">
        <f>Inputs!P9</f>
        <v>1.1973317801180379</v>
      </c>
      <c r="Q4" s="127">
        <f>Inputs!Q9</f>
        <v>1.2213981488984105</v>
      </c>
      <c r="R4" s="127">
        <f>Inputs!R9</f>
        <v>1.2459482516912685</v>
      </c>
      <c r="S4" s="127">
        <f>Inputs!S9</f>
        <v>1.270991811550263</v>
      </c>
      <c r="T4" s="127">
        <f>Inputs!T9</f>
        <v>1.2965387469624232</v>
      </c>
      <c r="U4" s="127">
        <f>Inputs!U9</f>
        <v>1.322599175776368</v>
      </c>
      <c r="V4" s="127">
        <f>Inputs!V9</f>
        <v>1.3491834192094729</v>
      </c>
      <c r="W4" s="127">
        <f>Inputs!W9</f>
        <v>1.3763020059355833</v>
      </c>
      <c r="X4" s="127">
        <f>Inputs!X9</f>
        <v>1.4039656762548884</v>
      </c>
      <c r="Y4" s="127">
        <f>Inputs!Y9</f>
        <v>1.4321853863476117</v>
      </c>
      <c r="Z4" s="127">
        <f>Inputs!Z9</f>
        <v>1.4609723126131988</v>
      </c>
      <c r="AA4" s="127">
        <f>Inputs!AA9</f>
        <v>1.4903378560967242</v>
      </c>
      <c r="AB4" s="127">
        <f>Inputs!AB9</f>
        <v>1.5202936470042683</v>
      </c>
      <c r="AC4" s="127">
        <f>Inputs!AC9</f>
        <v>1.550851549309054</v>
      </c>
      <c r="AD4" s="127">
        <f>Inputs!AD9</f>
        <v>1.582023665450166</v>
      </c>
      <c r="AE4" s="127">
        <f>Inputs!AE9</f>
        <v>1.6138223411257144</v>
      </c>
      <c r="AF4" s="127">
        <f>Inputs!AF9</f>
        <v>1.6462601701823414</v>
      </c>
      <c r="AG4" s="127">
        <f>Inputs!AG9</f>
        <v>1.6793499996030063</v>
      </c>
      <c r="AH4" s="127">
        <f>Inputs!AH9</f>
        <v>1.7131049345950269</v>
      </c>
      <c r="AI4" s="127">
        <f>Inputs!AI9</f>
        <v>1.7475383437803869</v>
      </c>
      <c r="AJ4" s="127">
        <f>Inputs!AJ9</f>
        <v>1.7826638644903727</v>
      </c>
      <c r="AK4" s="127">
        <f>Inputs!AK9</f>
        <v>1.8184954081666291</v>
      </c>
      <c r="AL4" s="127">
        <f>Inputs!AL9</f>
        <v>1.8550471658707783</v>
      </c>
      <c r="AM4" s="127">
        <f>Inputs!AM9</f>
        <v>1.8923336139047811</v>
      </c>
      <c r="AN4" s="127">
        <f>Inputs!AN9</f>
        <v>1.9303695195442672</v>
      </c>
      <c r="AO4" s="127">
        <f>Inputs!AO9</f>
        <v>1.9691699468871069</v>
      </c>
      <c r="AP4" s="127">
        <f>Inputs!AP9</f>
        <v>2.0087502628195377</v>
      </c>
      <c r="AQ4" s="127">
        <f>Inputs!AQ9</f>
        <v>2.0491261431022103</v>
      </c>
      <c r="AR4" s="127">
        <f>Inputs!AR9</f>
        <v>2.0903135785785647</v>
      </c>
      <c r="AS4" s="127">
        <f>Inputs!AS9</f>
        <v>2.1323288815079939</v>
      </c>
      <c r="AT4" s="127">
        <f>Inputs!AT9</f>
        <v>2.1751886920263046</v>
      </c>
      <c r="AU4" s="127">
        <f>Inputs!AU9</f>
        <v>2.2189099847360332</v>
      </c>
      <c r="AV4" s="127">
        <f>Inputs!AV9</f>
        <v>2.2635100754292274</v>
      </c>
      <c r="AW4" s="127">
        <f>Inputs!AW9</f>
        <v>2.3090066279453549</v>
      </c>
      <c r="AX4" s="127">
        <f>Inputs!AX9</f>
        <v>2.3554176611670568</v>
      </c>
      <c r="AY4" s="127">
        <f>Inputs!AY9</f>
        <v>2.4027615561565145</v>
      </c>
      <c r="AZ4" s="127">
        <f>Inputs!AZ9</f>
        <v>2.4510570634352606</v>
      </c>
    </row>
    <row r="5" spans="1:52" x14ac:dyDescent="0.25">
      <c r="A5" s="6" t="s">
        <v>46</v>
      </c>
      <c r="B5" s="4"/>
      <c r="C5" s="4"/>
      <c r="D5" s="4"/>
      <c r="E5" s="4"/>
      <c r="F5" s="4"/>
      <c r="G5" s="127">
        <f>Inputs!G10</f>
        <v>1</v>
      </c>
      <c r="H5" s="127">
        <f>Inputs!H10</f>
        <v>0.97932641928881314</v>
      </c>
      <c r="I5" s="127">
        <f>Inputs!I10</f>
        <v>0.96002981990864933</v>
      </c>
      <c r="J5" s="127">
        <f>Inputs!J10</f>
        <v>0.94111343976928674</v>
      </c>
      <c r="K5" s="127">
        <f>Inputs!K10</f>
        <v>0.92256978704958992</v>
      </c>
      <c r="L5" s="127">
        <f>Inputs!L10</f>
        <v>0.90439151754689717</v>
      </c>
      <c r="M5" s="127">
        <f>Inputs!M10</f>
        <v>0.88657143176835329</v>
      </c>
      <c r="N5" s="127">
        <f>Inputs!N10</f>
        <v>0.86910247207955438</v>
      </c>
      <c r="O5" s="127">
        <f>Inputs!O10</f>
        <v>0.85197771990937587</v>
      </c>
      <c r="P5" s="127">
        <f>Inputs!P10</f>
        <v>0.8351903930098773</v>
      </c>
      <c r="Q5" s="127">
        <f>Inputs!Q10</f>
        <v>0.81873384277019634</v>
      </c>
      <c r="R5" s="127">
        <f>Inputs!R10</f>
        <v>0.80260155158337054</v>
      </c>
      <c r="S5" s="127">
        <f>Inputs!S10</f>
        <v>0.78678713026504321</v>
      </c>
      <c r="T5" s="127">
        <f>Inputs!T10</f>
        <v>0.77128431552303034</v>
      </c>
      <c r="U5" s="127">
        <f>Inputs!U10</f>
        <v>0.75608696747674764</v>
      </c>
      <c r="V5" s="127">
        <f>Inputs!V10</f>
        <v>0.74118906722551481</v>
      </c>
      <c r="W5" s="127">
        <f>Inputs!W10</f>
        <v>0.72658471446477291</v>
      </c>
      <c r="X5" s="127">
        <f>Inputs!X10</f>
        <v>0.71226812514927262</v>
      </c>
      <c r="Y5" s="127">
        <f>Inputs!Y10</f>
        <v>0.69823362920230625</v>
      </c>
      <c r="Z5" s="127">
        <f>Inputs!Z10</f>
        <v>0.68447566827007766</v>
      </c>
      <c r="AA5" s="127">
        <f>Inputs!AA10</f>
        <v>0.67098879352031926</v>
      </c>
      <c r="AB5" s="127">
        <f>Inputs!AB10</f>
        <v>0.65776766348428517</v>
      </c>
      <c r="AC5" s="127">
        <f>Inputs!AC10</f>
        <v>0.6448070419412657</v>
      </c>
      <c r="AD5" s="127">
        <f>Inputs!AD10</f>
        <v>0.63210179584478554</v>
      </c>
      <c r="AE5" s="127">
        <f>Inputs!AE10</f>
        <v>0.61964689328966327</v>
      </c>
      <c r="AF5" s="127">
        <f>Inputs!AF10</f>
        <v>0.60743740151912873</v>
      </c>
      <c r="AG5" s="127">
        <f>Inputs!AG10</f>
        <v>0.59546848497120752</v>
      </c>
      <c r="AH5" s="127">
        <f>Inputs!AH10</f>
        <v>0.58373540336359908</v>
      </c>
      <c r="AI5" s="127">
        <f>Inputs!AI10</f>
        <v>0.57223350981629162</v>
      </c>
      <c r="AJ5" s="127">
        <f>Inputs!AJ10</f>
        <v>0.56095824901116709</v>
      </c>
      <c r="AK5" s="127">
        <f>Inputs!AK10</f>
        <v>0.54990515538787088</v>
      </c>
      <c r="AL5" s="127">
        <f>Inputs!AL10</f>
        <v>0.53906985137522878</v>
      </c>
      <c r="AM5" s="127">
        <f>Inputs!AM10</f>
        <v>0.5284480456575128</v>
      </c>
      <c r="AN5" s="127">
        <f>Inputs!AN10</f>
        <v>0.51803553147486792</v>
      </c>
      <c r="AO5" s="127">
        <f>Inputs!AO10</f>
        <v>0.5078281849572277</v>
      </c>
      <c r="AP5" s="127">
        <f>Inputs!AP10</f>
        <v>0.49782196349105745</v>
      </c>
      <c r="AQ5" s="127">
        <f>Inputs!AQ10</f>
        <v>0.48801290411828008</v>
      </c>
      <c r="AR5" s="127">
        <f>Inputs!AR10</f>
        <v>0.47839712196674844</v>
      </c>
      <c r="AS5" s="127">
        <f>Inputs!AS10</f>
        <v>0.46897080871164437</v>
      </c>
      <c r="AT5" s="127">
        <f>Inputs!AT10</f>
        <v>0.4597302310671938</v>
      </c>
      <c r="AU5" s="127">
        <f>Inputs!AU10</f>
        <v>0.45067172930810095</v>
      </c>
      <c r="AV5" s="127">
        <f>Inputs!AV10</f>
        <v>0.44179171582011662</v>
      </c>
      <c r="AW5" s="127">
        <f>Inputs!AW10</f>
        <v>0.43308667367916542</v>
      </c>
      <c r="AX5" s="127">
        <f>Inputs!AX10</f>
        <v>0.42455315525847009</v>
      </c>
      <c r="AY5" s="127">
        <f>Inputs!AY10</f>
        <v>0.41618778086312136</v>
      </c>
      <c r="AZ5" s="127">
        <f>Inputs!AZ10</f>
        <v>0.40798723739155118</v>
      </c>
    </row>
    <row r="6" spans="1:52" x14ac:dyDescent="0.25">
      <c r="A6" s="4"/>
      <c r="B6" s="4"/>
      <c r="C6" s="4"/>
      <c r="D6" s="4"/>
      <c r="E6" s="4"/>
      <c r="F6" s="4"/>
      <c r="G6" s="4"/>
      <c r="H6" s="4"/>
      <c r="I6" s="70"/>
      <c r="J6" s="70"/>
      <c r="K6" s="70"/>
      <c r="L6" s="70"/>
      <c r="M6" s="70"/>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c r="AT6" s="70"/>
      <c r="AU6" s="70"/>
      <c r="AV6" s="70"/>
      <c r="AW6" s="70"/>
      <c r="AX6" s="70"/>
      <c r="AY6" s="70"/>
      <c r="AZ6" s="70"/>
    </row>
    <row r="7" spans="1:52" ht="18.75" x14ac:dyDescent="0.3">
      <c r="A7" s="18" t="s">
        <v>47</v>
      </c>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row>
    <row r="8" spans="1:52" ht="18.75" x14ac:dyDescent="0.3">
      <c r="A8" s="18"/>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row>
    <row r="9" spans="1:52" ht="60" x14ac:dyDescent="0.25">
      <c r="A9" s="52" t="s">
        <v>50</v>
      </c>
      <c r="B9" s="49"/>
      <c r="C9" s="49"/>
      <c r="D9" s="61" t="s">
        <v>51</v>
      </c>
      <c r="E9" s="61" t="s">
        <v>48</v>
      </c>
      <c r="F9" s="61" t="s">
        <v>319</v>
      </c>
      <c r="G9" s="61" t="s">
        <v>52</v>
      </c>
      <c r="H9" s="62" t="s">
        <v>77</v>
      </c>
      <c r="I9" s="62" t="s">
        <v>78</v>
      </c>
      <c r="J9" s="62" t="s">
        <v>79</v>
      </c>
      <c r="K9" s="62" t="s">
        <v>80</v>
      </c>
      <c r="L9" s="62" t="s">
        <v>81</v>
      </c>
      <c r="M9" s="62" t="s">
        <v>82</v>
      </c>
      <c r="N9" s="62" t="s">
        <v>83</v>
      </c>
      <c r="O9" s="62" t="s">
        <v>84</v>
      </c>
      <c r="P9" s="62" t="s">
        <v>85</v>
      </c>
      <c r="Q9" s="62" t="s">
        <v>86</v>
      </c>
      <c r="R9" s="62" t="s">
        <v>87</v>
      </c>
      <c r="S9" s="62" t="s">
        <v>88</v>
      </c>
      <c r="T9" s="62" t="s">
        <v>89</v>
      </c>
      <c r="U9" s="62" t="s">
        <v>90</v>
      </c>
      <c r="V9" s="62" t="s">
        <v>91</v>
      </c>
      <c r="W9" s="62" t="s">
        <v>92</v>
      </c>
      <c r="X9" s="62" t="s">
        <v>93</v>
      </c>
      <c r="Y9" s="62" t="s">
        <v>94</v>
      </c>
      <c r="Z9" s="62" t="s">
        <v>95</v>
      </c>
      <c r="AA9" s="62" t="s">
        <v>96</v>
      </c>
      <c r="AB9" s="62" t="s">
        <v>97</v>
      </c>
      <c r="AC9" s="62" t="s">
        <v>98</v>
      </c>
      <c r="AD9" s="62" t="s">
        <v>99</v>
      </c>
      <c r="AE9" s="62" t="s">
        <v>100</v>
      </c>
      <c r="AF9" s="62" t="s">
        <v>101</v>
      </c>
      <c r="AG9" s="62" t="s">
        <v>102</v>
      </c>
      <c r="AH9" s="62" t="s">
        <v>103</v>
      </c>
      <c r="AI9" s="62" t="s">
        <v>104</v>
      </c>
      <c r="AJ9" s="62" t="s">
        <v>105</v>
      </c>
      <c r="AK9" s="62" t="s">
        <v>106</v>
      </c>
      <c r="AL9" s="62" t="s">
        <v>107</v>
      </c>
      <c r="AM9" s="62" t="s">
        <v>108</v>
      </c>
      <c r="AN9" s="62" t="s">
        <v>109</v>
      </c>
      <c r="AO9" s="62" t="s">
        <v>110</v>
      </c>
      <c r="AP9" s="62" t="s">
        <v>111</v>
      </c>
      <c r="AQ9" s="62" t="s">
        <v>112</v>
      </c>
      <c r="AR9" s="62" t="s">
        <v>113</v>
      </c>
      <c r="AS9" s="62" t="s">
        <v>114</v>
      </c>
      <c r="AT9" s="62" t="s">
        <v>115</v>
      </c>
      <c r="AU9" s="62" t="s">
        <v>116</v>
      </c>
      <c r="AV9" s="62" t="s">
        <v>117</v>
      </c>
      <c r="AW9" s="62" t="s">
        <v>118</v>
      </c>
      <c r="AX9" s="62" t="s">
        <v>119</v>
      </c>
      <c r="AY9" s="62" t="s">
        <v>120</v>
      </c>
      <c r="AZ9" s="62" t="s">
        <v>121</v>
      </c>
    </row>
    <row r="10" spans="1:52" x14ac:dyDescent="0.25">
      <c r="A10" s="25"/>
      <c r="B10" s="4"/>
      <c r="C10" s="4"/>
      <c r="D10" s="106" t="s">
        <v>53</v>
      </c>
      <c r="E10" s="21" t="s">
        <v>124</v>
      </c>
      <c r="F10" s="21">
        <f t="shared" ref="F10:F16" ca="1" si="0">Analysis_year</f>
        <v>2025</v>
      </c>
      <c r="G10" s="157">
        <f>Inputs!G15</f>
        <v>0</v>
      </c>
      <c r="H10" s="129">
        <f>Inputs!H15*IF(Inputs!$E15="Real",1,H$5)</f>
        <v>783461.13543105056</v>
      </c>
      <c r="I10" s="129">
        <f>Inputs!I15*IF(Inputs!$E15="Real",1,I$5)</f>
        <v>768023.8559269195</v>
      </c>
      <c r="J10" s="129">
        <f>Inputs!J15*IF(Inputs!$E15="Real",1,J$5)</f>
        <v>0</v>
      </c>
      <c r="K10" s="129">
        <f>Inputs!K15*IF(Inputs!$E15="Real",1,K$5)</f>
        <v>0</v>
      </c>
      <c r="L10" s="129">
        <f>Inputs!L15*IF(Inputs!$E15="Real",1,L$5)</f>
        <v>0</v>
      </c>
      <c r="M10" s="129">
        <f>Inputs!M15*IF(Inputs!$E15="Real",1,M$5)</f>
        <v>0</v>
      </c>
      <c r="N10" s="129">
        <f>Inputs!N15*IF(Inputs!$E15="Real",1,N$5)</f>
        <v>0</v>
      </c>
      <c r="O10" s="129">
        <f>Inputs!O15*IF(Inputs!$E15="Real",1,O$5)</f>
        <v>0</v>
      </c>
      <c r="P10" s="129">
        <f>Inputs!P15*IF(Inputs!$E15="Real",1,P$5)</f>
        <v>0</v>
      </c>
      <c r="Q10" s="129">
        <f>Inputs!Q15*IF(Inputs!$E15="Real",1,Q$5)</f>
        <v>0</v>
      </c>
      <c r="R10" s="129">
        <f>Inputs!R15*IF(Inputs!$E15="Real",1,R$5)</f>
        <v>0</v>
      </c>
      <c r="S10" s="129">
        <f>Inputs!S15*IF(Inputs!$E15="Real",1,S$5)</f>
        <v>0</v>
      </c>
      <c r="T10" s="129">
        <f>Inputs!T15*IF(Inputs!$E15="Real",1,T$5)</f>
        <v>0</v>
      </c>
      <c r="U10" s="129">
        <f>Inputs!U15*IF(Inputs!$E15="Real",1,U$5)</f>
        <v>0</v>
      </c>
      <c r="V10" s="129">
        <f>Inputs!V15*IF(Inputs!$E15="Real",1,V$5)</f>
        <v>0</v>
      </c>
      <c r="W10" s="129">
        <f>Inputs!W15*IF(Inputs!$E15="Real",1,W$5)</f>
        <v>0</v>
      </c>
      <c r="X10" s="129">
        <f>Inputs!X15*IF(Inputs!$E15="Real",1,X$5)</f>
        <v>0</v>
      </c>
      <c r="Y10" s="129">
        <f>Inputs!Y15*IF(Inputs!$E15="Real",1,Y$5)</f>
        <v>0</v>
      </c>
      <c r="Z10" s="129">
        <f>Inputs!Z15*IF(Inputs!$E15="Real",1,Z$5)</f>
        <v>0</v>
      </c>
      <c r="AA10" s="129">
        <f>Inputs!AA15*IF(Inputs!$E15="Real",1,AA$5)</f>
        <v>0</v>
      </c>
      <c r="AB10" s="129">
        <f>Inputs!AB15*IF(Inputs!$E15="Real",1,AB$5)</f>
        <v>0</v>
      </c>
      <c r="AC10" s="129">
        <f>Inputs!AC15*IF(Inputs!$E15="Real",1,AC$5)</f>
        <v>0</v>
      </c>
      <c r="AD10" s="129">
        <f>Inputs!AD15*IF(Inputs!$E15="Real",1,AD$5)</f>
        <v>0</v>
      </c>
      <c r="AE10" s="129">
        <f>Inputs!AE15*IF(Inputs!$E15="Real",1,AE$5)</f>
        <v>0</v>
      </c>
      <c r="AF10" s="129">
        <f>Inputs!AF15*IF(Inputs!$E15="Real",1,AF$5)</f>
        <v>0</v>
      </c>
      <c r="AG10" s="129">
        <f>Inputs!AG15*IF(Inputs!$E15="Real",1,AG$5)</f>
        <v>0</v>
      </c>
      <c r="AH10" s="129">
        <f>Inputs!AH15*IF(Inputs!$E15="Real",1,AH$5)</f>
        <v>0</v>
      </c>
      <c r="AI10" s="129">
        <f>Inputs!AI15*IF(Inputs!$E15="Real",1,AI$5)</f>
        <v>0</v>
      </c>
      <c r="AJ10" s="129">
        <f>Inputs!AJ15*IF(Inputs!$E15="Real",1,AJ$5)</f>
        <v>0</v>
      </c>
      <c r="AK10" s="129">
        <f>Inputs!AK15*IF(Inputs!$E15="Real",1,AK$5)</f>
        <v>0</v>
      </c>
      <c r="AL10" s="129">
        <f>Inputs!AL15*IF(Inputs!$E15="Real",1,AL$5)</f>
        <v>0</v>
      </c>
      <c r="AM10" s="129">
        <f>Inputs!AM15*IF(Inputs!$E15="Real",1,AM$5)</f>
        <v>0</v>
      </c>
      <c r="AN10" s="129">
        <f>Inputs!AN15*IF(Inputs!$E15="Real",1,AN$5)</f>
        <v>0</v>
      </c>
      <c r="AO10" s="129">
        <f>Inputs!AO15*IF(Inputs!$E15="Real",1,AO$5)</f>
        <v>0</v>
      </c>
      <c r="AP10" s="129">
        <f>Inputs!AP15*IF(Inputs!$E15="Real",1,AP$5)</f>
        <v>0</v>
      </c>
      <c r="AQ10" s="129">
        <f>Inputs!AQ15*IF(Inputs!$E15="Real",1,AQ$5)</f>
        <v>0</v>
      </c>
      <c r="AR10" s="129">
        <f>Inputs!AR15*IF(Inputs!$E15="Real",1,AR$5)</f>
        <v>0</v>
      </c>
      <c r="AS10" s="129">
        <f>Inputs!AS15*IF(Inputs!$E15="Real",1,AS$5)</f>
        <v>0</v>
      </c>
      <c r="AT10" s="129">
        <f>Inputs!AT15*IF(Inputs!$E15="Real",1,AT$5)</f>
        <v>0</v>
      </c>
      <c r="AU10" s="129">
        <f>Inputs!AU15*IF(Inputs!$E15="Real",1,AU$5)</f>
        <v>0</v>
      </c>
      <c r="AV10" s="129">
        <f>Inputs!AV15*IF(Inputs!$E15="Real",1,AV$5)</f>
        <v>0</v>
      </c>
      <c r="AW10" s="129">
        <f>Inputs!AW15*IF(Inputs!$E15="Real",1,AW$5)</f>
        <v>0</v>
      </c>
      <c r="AX10" s="129">
        <f>Inputs!AX15*IF(Inputs!$E15="Real",1,AX$5)</f>
        <v>0</v>
      </c>
      <c r="AY10" s="129">
        <f>Inputs!AY15*IF(Inputs!$E15="Real",1,AY$5)</f>
        <v>0</v>
      </c>
      <c r="AZ10" s="129">
        <f>Inputs!AZ15*IF(Inputs!$E15="Real",1,AZ$5)</f>
        <v>0</v>
      </c>
    </row>
    <row r="11" spans="1:52" x14ac:dyDescent="0.25">
      <c r="A11" s="25"/>
      <c r="B11" s="4"/>
      <c r="C11" s="4"/>
      <c r="D11" s="106" t="s">
        <v>54</v>
      </c>
      <c r="E11" s="21" t="s">
        <v>124</v>
      </c>
      <c r="F11" s="21">
        <f t="shared" ca="1" si="0"/>
        <v>2025</v>
      </c>
      <c r="G11" s="157">
        <f>Inputs!G16</f>
        <v>0</v>
      </c>
      <c r="H11" s="129">
        <f>Inputs!H16*IF(Inputs!$E16="Real",1,H$5)</f>
        <v>78346.11354310505</v>
      </c>
      <c r="I11" s="129">
        <f>Inputs!I16*IF(Inputs!$E16="Real",1,I$5)</f>
        <v>0</v>
      </c>
      <c r="J11" s="129">
        <f>Inputs!J16*IF(Inputs!$E16="Real",1,J$5)</f>
        <v>0</v>
      </c>
      <c r="K11" s="129">
        <f>Inputs!K16*IF(Inputs!$E16="Real",1,K$5)</f>
        <v>0</v>
      </c>
      <c r="L11" s="129">
        <f>Inputs!L16*IF(Inputs!$E16="Real",1,L$5)</f>
        <v>0</v>
      </c>
      <c r="M11" s="129">
        <f>Inputs!M16*IF(Inputs!$E16="Real",1,M$5)</f>
        <v>0</v>
      </c>
      <c r="N11" s="129">
        <f>Inputs!N16*IF(Inputs!$E16="Real",1,N$5)</f>
        <v>0</v>
      </c>
      <c r="O11" s="129">
        <f>Inputs!O16*IF(Inputs!$E16="Real",1,O$5)</f>
        <v>0</v>
      </c>
      <c r="P11" s="129">
        <f>Inputs!P16*IF(Inputs!$E16="Real",1,P$5)</f>
        <v>0</v>
      </c>
      <c r="Q11" s="129">
        <f>Inputs!Q16*IF(Inputs!$E16="Real",1,Q$5)</f>
        <v>0</v>
      </c>
      <c r="R11" s="129">
        <f>Inputs!R16*IF(Inputs!$E16="Real",1,R$5)</f>
        <v>0</v>
      </c>
      <c r="S11" s="129">
        <f>Inputs!S16*IF(Inputs!$E16="Real",1,S$5)</f>
        <v>0</v>
      </c>
      <c r="T11" s="129">
        <f>Inputs!T16*IF(Inputs!$E16="Real",1,T$5)</f>
        <v>0</v>
      </c>
      <c r="U11" s="129">
        <f>Inputs!U16*IF(Inputs!$E16="Real",1,U$5)</f>
        <v>0</v>
      </c>
      <c r="V11" s="129">
        <f>Inputs!V16*IF(Inputs!$E16="Real",1,V$5)</f>
        <v>0</v>
      </c>
      <c r="W11" s="129">
        <f>Inputs!W16*IF(Inputs!$E16="Real",1,W$5)</f>
        <v>0</v>
      </c>
      <c r="X11" s="129">
        <f>Inputs!X16*IF(Inputs!$E16="Real",1,X$5)</f>
        <v>0</v>
      </c>
      <c r="Y11" s="129">
        <f>Inputs!Y16*IF(Inputs!$E16="Real",1,Y$5)</f>
        <v>0</v>
      </c>
      <c r="Z11" s="129">
        <f>Inputs!Z16*IF(Inputs!$E16="Real",1,Z$5)</f>
        <v>0</v>
      </c>
      <c r="AA11" s="129">
        <f>Inputs!AA16*IF(Inputs!$E16="Real",1,AA$5)</f>
        <v>0</v>
      </c>
      <c r="AB11" s="129">
        <f>Inputs!AB16*IF(Inputs!$E16="Real",1,AB$5)</f>
        <v>0</v>
      </c>
      <c r="AC11" s="129">
        <f>Inputs!AC16*IF(Inputs!$E16="Real",1,AC$5)</f>
        <v>0</v>
      </c>
      <c r="AD11" s="129">
        <f>Inputs!AD16*IF(Inputs!$E16="Real",1,AD$5)</f>
        <v>0</v>
      </c>
      <c r="AE11" s="129">
        <f>Inputs!AE16*IF(Inputs!$E16="Real",1,AE$5)</f>
        <v>0</v>
      </c>
      <c r="AF11" s="129">
        <f>Inputs!AF16*IF(Inputs!$E16="Real",1,AF$5)</f>
        <v>0</v>
      </c>
      <c r="AG11" s="129">
        <f>Inputs!AG16*IF(Inputs!$E16="Real",1,AG$5)</f>
        <v>0</v>
      </c>
      <c r="AH11" s="129">
        <f>Inputs!AH16*IF(Inputs!$E16="Real",1,AH$5)</f>
        <v>0</v>
      </c>
      <c r="AI11" s="129">
        <f>Inputs!AI16*IF(Inputs!$E16="Real",1,AI$5)</f>
        <v>0</v>
      </c>
      <c r="AJ11" s="129">
        <f>Inputs!AJ16*IF(Inputs!$E16="Real",1,AJ$5)</f>
        <v>0</v>
      </c>
      <c r="AK11" s="129">
        <f>Inputs!AK16*IF(Inputs!$E16="Real",1,AK$5)</f>
        <v>0</v>
      </c>
      <c r="AL11" s="129">
        <f>Inputs!AL16*IF(Inputs!$E16="Real",1,AL$5)</f>
        <v>0</v>
      </c>
      <c r="AM11" s="129">
        <f>Inputs!AM16*IF(Inputs!$E16="Real",1,AM$5)</f>
        <v>0</v>
      </c>
      <c r="AN11" s="129">
        <f>Inputs!AN16*IF(Inputs!$E16="Real",1,AN$5)</f>
        <v>0</v>
      </c>
      <c r="AO11" s="129">
        <f>Inputs!AO16*IF(Inputs!$E16="Real",1,AO$5)</f>
        <v>0</v>
      </c>
      <c r="AP11" s="129">
        <f>Inputs!AP16*IF(Inputs!$E16="Real",1,AP$5)</f>
        <v>0</v>
      </c>
      <c r="AQ11" s="129">
        <f>Inputs!AQ16*IF(Inputs!$E16="Real",1,AQ$5)</f>
        <v>0</v>
      </c>
      <c r="AR11" s="129">
        <f>Inputs!AR16*IF(Inputs!$E16="Real",1,AR$5)</f>
        <v>0</v>
      </c>
      <c r="AS11" s="129">
        <f>Inputs!AS16*IF(Inputs!$E16="Real",1,AS$5)</f>
        <v>0</v>
      </c>
      <c r="AT11" s="129">
        <f>Inputs!AT16*IF(Inputs!$E16="Real",1,AT$5)</f>
        <v>0</v>
      </c>
      <c r="AU11" s="129">
        <f>Inputs!AU16*IF(Inputs!$E16="Real",1,AU$5)</f>
        <v>0</v>
      </c>
      <c r="AV11" s="129">
        <f>Inputs!AV16*IF(Inputs!$E16="Real",1,AV$5)</f>
        <v>0</v>
      </c>
      <c r="AW11" s="129">
        <f>Inputs!AW16*IF(Inputs!$E16="Real",1,AW$5)</f>
        <v>0</v>
      </c>
      <c r="AX11" s="129">
        <f>Inputs!AX16*IF(Inputs!$E16="Real",1,AX$5)</f>
        <v>0</v>
      </c>
      <c r="AY11" s="129">
        <f>Inputs!AY16*IF(Inputs!$E16="Real",1,AY$5)</f>
        <v>0</v>
      </c>
      <c r="AZ11" s="129">
        <f>Inputs!AZ16*IF(Inputs!$E16="Real",1,AZ$5)</f>
        <v>0</v>
      </c>
    </row>
    <row r="12" spans="1:52" x14ac:dyDescent="0.25">
      <c r="A12" s="25"/>
      <c r="B12" s="4"/>
      <c r="C12" s="4"/>
      <c r="D12" s="106" t="s">
        <v>55</v>
      </c>
      <c r="E12" s="21" t="s">
        <v>124</v>
      </c>
      <c r="F12" s="21">
        <f t="shared" ca="1" si="0"/>
        <v>2025</v>
      </c>
      <c r="G12" s="157">
        <f>Inputs!G17</f>
        <v>0</v>
      </c>
      <c r="H12" s="129">
        <f>Inputs!H17*IF(Inputs!$E17="Real",1,H$5)</f>
        <v>244831.60482220328</v>
      </c>
      <c r="I12" s="129">
        <f>Inputs!I17*IF(Inputs!$E17="Real",1,I$5)</f>
        <v>0</v>
      </c>
      <c r="J12" s="129">
        <f>Inputs!J17*IF(Inputs!$E17="Real",1,J$5)</f>
        <v>0</v>
      </c>
      <c r="K12" s="129">
        <f>Inputs!K17*IF(Inputs!$E17="Real",1,K$5)</f>
        <v>0</v>
      </c>
      <c r="L12" s="129">
        <f>Inputs!L17*IF(Inputs!$E17="Real",1,L$5)</f>
        <v>0</v>
      </c>
      <c r="M12" s="129">
        <f>Inputs!M17*IF(Inputs!$E17="Real",1,M$5)</f>
        <v>0</v>
      </c>
      <c r="N12" s="129">
        <f>Inputs!N17*IF(Inputs!$E17="Real",1,N$5)</f>
        <v>0</v>
      </c>
      <c r="O12" s="129">
        <f>Inputs!O17*IF(Inputs!$E17="Real",1,O$5)</f>
        <v>0</v>
      </c>
      <c r="P12" s="129">
        <f>Inputs!P17*IF(Inputs!$E17="Real",1,P$5)</f>
        <v>0</v>
      </c>
      <c r="Q12" s="129">
        <f>Inputs!Q17*IF(Inputs!$E17="Real",1,Q$5)</f>
        <v>0</v>
      </c>
      <c r="R12" s="129">
        <f>Inputs!R17*IF(Inputs!$E17="Real",1,R$5)</f>
        <v>0</v>
      </c>
      <c r="S12" s="129">
        <f>Inputs!S17*IF(Inputs!$E17="Real",1,S$5)</f>
        <v>0</v>
      </c>
      <c r="T12" s="129">
        <f>Inputs!T17*IF(Inputs!$E17="Real",1,T$5)</f>
        <v>0</v>
      </c>
      <c r="U12" s="129">
        <f>Inputs!U17*IF(Inputs!$E17="Real",1,U$5)</f>
        <v>0</v>
      </c>
      <c r="V12" s="129">
        <f>Inputs!V17*IF(Inputs!$E17="Real",1,V$5)</f>
        <v>0</v>
      </c>
      <c r="W12" s="129">
        <f>Inputs!W17*IF(Inputs!$E17="Real",1,W$5)</f>
        <v>0</v>
      </c>
      <c r="X12" s="129">
        <f>Inputs!X17*IF(Inputs!$E17="Real",1,X$5)</f>
        <v>0</v>
      </c>
      <c r="Y12" s="129">
        <f>Inputs!Y17*IF(Inputs!$E17="Real",1,Y$5)</f>
        <v>0</v>
      </c>
      <c r="Z12" s="129">
        <f>Inputs!Z17*IF(Inputs!$E17="Real",1,Z$5)</f>
        <v>0</v>
      </c>
      <c r="AA12" s="129">
        <f>Inputs!AA17*IF(Inputs!$E17="Real",1,AA$5)</f>
        <v>0</v>
      </c>
      <c r="AB12" s="129">
        <f>Inputs!AB17*IF(Inputs!$E17="Real",1,AB$5)</f>
        <v>0</v>
      </c>
      <c r="AC12" s="129">
        <f>Inputs!AC17*IF(Inputs!$E17="Real",1,AC$5)</f>
        <v>0</v>
      </c>
      <c r="AD12" s="129">
        <f>Inputs!AD17*IF(Inputs!$E17="Real",1,AD$5)</f>
        <v>0</v>
      </c>
      <c r="AE12" s="129">
        <f>Inputs!AE17*IF(Inputs!$E17="Real",1,AE$5)</f>
        <v>0</v>
      </c>
      <c r="AF12" s="129">
        <f>Inputs!AF17*IF(Inputs!$E17="Real",1,AF$5)</f>
        <v>0</v>
      </c>
      <c r="AG12" s="129">
        <f>Inputs!AG17*IF(Inputs!$E17="Real",1,AG$5)</f>
        <v>0</v>
      </c>
      <c r="AH12" s="129">
        <f>Inputs!AH17*IF(Inputs!$E17="Real",1,AH$5)</f>
        <v>0</v>
      </c>
      <c r="AI12" s="129">
        <f>Inputs!AI17*IF(Inputs!$E17="Real",1,AI$5)</f>
        <v>0</v>
      </c>
      <c r="AJ12" s="129">
        <f>Inputs!AJ17*IF(Inputs!$E17="Real",1,AJ$5)</f>
        <v>0</v>
      </c>
      <c r="AK12" s="129">
        <f>Inputs!AK17*IF(Inputs!$E17="Real",1,AK$5)</f>
        <v>0</v>
      </c>
      <c r="AL12" s="129">
        <f>Inputs!AL17*IF(Inputs!$E17="Real",1,AL$5)</f>
        <v>0</v>
      </c>
      <c r="AM12" s="129">
        <f>Inputs!AM17*IF(Inputs!$E17="Real",1,AM$5)</f>
        <v>0</v>
      </c>
      <c r="AN12" s="129">
        <f>Inputs!AN17*IF(Inputs!$E17="Real",1,AN$5)</f>
        <v>0</v>
      </c>
      <c r="AO12" s="129">
        <f>Inputs!AO17*IF(Inputs!$E17="Real",1,AO$5)</f>
        <v>0</v>
      </c>
      <c r="AP12" s="129">
        <f>Inputs!AP17*IF(Inputs!$E17="Real",1,AP$5)</f>
        <v>0</v>
      </c>
      <c r="AQ12" s="129">
        <f>Inputs!AQ17*IF(Inputs!$E17="Real",1,AQ$5)</f>
        <v>0</v>
      </c>
      <c r="AR12" s="129">
        <f>Inputs!AR17*IF(Inputs!$E17="Real",1,AR$5)</f>
        <v>0</v>
      </c>
      <c r="AS12" s="129">
        <f>Inputs!AS17*IF(Inputs!$E17="Real",1,AS$5)</f>
        <v>0</v>
      </c>
      <c r="AT12" s="129">
        <f>Inputs!AT17*IF(Inputs!$E17="Real",1,AT$5)</f>
        <v>0</v>
      </c>
      <c r="AU12" s="129">
        <f>Inputs!AU17*IF(Inputs!$E17="Real",1,AU$5)</f>
        <v>0</v>
      </c>
      <c r="AV12" s="129">
        <f>Inputs!AV17*IF(Inputs!$E17="Real",1,AV$5)</f>
        <v>0</v>
      </c>
      <c r="AW12" s="129">
        <f>Inputs!AW17*IF(Inputs!$E17="Real",1,AW$5)</f>
        <v>0</v>
      </c>
      <c r="AX12" s="129">
        <f>Inputs!AX17*IF(Inputs!$E17="Real",1,AX$5)</f>
        <v>0</v>
      </c>
      <c r="AY12" s="129">
        <f>Inputs!AY17*IF(Inputs!$E17="Real",1,AY$5)</f>
        <v>0</v>
      </c>
      <c r="AZ12" s="129">
        <f>Inputs!AZ17*IF(Inputs!$E17="Real",1,AZ$5)</f>
        <v>0</v>
      </c>
    </row>
    <row r="13" spans="1:52" x14ac:dyDescent="0.25">
      <c r="A13" s="25"/>
      <c r="B13" s="4"/>
      <c r="C13" s="4"/>
      <c r="D13" s="106" t="s">
        <v>56</v>
      </c>
      <c r="E13" s="21" t="s">
        <v>124</v>
      </c>
      <c r="F13" s="21">
        <f t="shared" ca="1" si="0"/>
        <v>2025</v>
      </c>
      <c r="G13" s="157">
        <f>Inputs!G18</f>
        <v>0</v>
      </c>
      <c r="H13" s="129">
        <f>Inputs!H18*IF(Inputs!$E18="Real",1,H$5)</f>
        <v>97932.641928881319</v>
      </c>
      <c r="I13" s="129">
        <f>Inputs!I18*IF(Inputs!$E18="Real",1,I$5)</f>
        <v>0</v>
      </c>
      <c r="J13" s="129">
        <f>Inputs!J18*IF(Inputs!$E18="Real",1,J$5)</f>
        <v>0</v>
      </c>
      <c r="K13" s="129">
        <f>Inputs!K18*IF(Inputs!$E18="Real",1,K$5)</f>
        <v>0</v>
      </c>
      <c r="L13" s="129">
        <f>Inputs!L18*IF(Inputs!$E18="Real",1,L$5)</f>
        <v>0</v>
      </c>
      <c r="M13" s="129">
        <f>Inputs!M18*IF(Inputs!$E18="Real",1,M$5)</f>
        <v>0</v>
      </c>
      <c r="N13" s="129">
        <f>Inputs!N18*IF(Inputs!$E18="Real",1,N$5)</f>
        <v>0</v>
      </c>
      <c r="O13" s="129">
        <f>Inputs!O18*IF(Inputs!$E18="Real",1,O$5)</f>
        <v>0</v>
      </c>
      <c r="P13" s="129">
        <f>Inputs!P18*IF(Inputs!$E18="Real",1,P$5)</f>
        <v>0</v>
      </c>
      <c r="Q13" s="129">
        <f>Inputs!Q18*IF(Inputs!$E18="Real",1,Q$5)</f>
        <v>0</v>
      </c>
      <c r="R13" s="129">
        <f>Inputs!R18*IF(Inputs!$E18="Real",1,R$5)</f>
        <v>0</v>
      </c>
      <c r="S13" s="129">
        <f>Inputs!S18*IF(Inputs!$E18="Real",1,S$5)</f>
        <v>0</v>
      </c>
      <c r="T13" s="129">
        <f>Inputs!T18*IF(Inputs!$E18="Real",1,T$5)</f>
        <v>0</v>
      </c>
      <c r="U13" s="129">
        <f>Inputs!U18*IF(Inputs!$E18="Real",1,U$5)</f>
        <v>0</v>
      </c>
      <c r="V13" s="129">
        <f>Inputs!V18*IF(Inputs!$E18="Real",1,V$5)</f>
        <v>0</v>
      </c>
      <c r="W13" s="129">
        <f>Inputs!W18*IF(Inputs!$E18="Real",1,W$5)</f>
        <v>0</v>
      </c>
      <c r="X13" s="129">
        <f>Inputs!X18*IF(Inputs!$E18="Real",1,X$5)</f>
        <v>0</v>
      </c>
      <c r="Y13" s="129">
        <f>Inputs!Y18*IF(Inputs!$E18="Real",1,Y$5)</f>
        <v>0</v>
      </c>
      <c r="Z13" s="129">
        <f>Inputs!Z18*IF(Inputs!$E18="Real",1,Z$5)</f>
        <v>0</v>
      </c>
      <c r="AA13" s="129">
        <f>Inputs!AA18*IF(Inputs!$E18="Real",1,AA$5)</f>
        <v>0</v>
      </c>
      <c r="AB13" s="129">
        <f>Inputs!AB18*IF(Inputs!$E18="Real",1,AB$5)</f>
        <v>0</v>
      </c>
      <c r="AC13" s="129">
        <f>Inputs!AC18*IF(Inputs!$E18="Real",1,AC$5)</f>
        <v>0</v>
      </c>
      <c r="AD13" s="129">
        <f>Inputs!AD18*IF(Inputs!$E18="Real",1,AD$5)</f>
        <v>0</v>
      </c>
      <c r="AE13" s="129">
        <f>Inputs!AE18*IF(Inputs!$E18="Real",1,AE$5)</f>
        <v>0</v>
      </c>
      <c r="AF13" s="129">
        <f>Inputs!AF18*IF(Inputs!$E18="Real",1,AF$5)</f>
        <v>0</v>
      </c>
      <c r="AG13" s="129">
        <f>Inputs!AG18*IF(Inputs!$E18="Real",1,AG$5)</f>
        <v>0</v>
      </c>
      <c r="AH13" s="129">
        <f>Inputs!AH18*IF(Inputs!$E18="Real",1,AH$5)</f>
        <v>0</v>
      </c>
      <c r="AI13" s="129">
        <f>Inputs!AI18*IF(Inputs!$E18="Real",1,AI$5)</f>
        <v>0</v>
      </c>
      <c r="AJ13" s="129">
        <f>Inputs!AJ18*IF(Inputs!$E18="Real",1,AJ$5)</f>
        <v>0</v>
      </c>
      <c r="AK13" s="129">
        <f>Inputs!AK18*IF(Inputs!$E18="Real",1,AK$5)</f>
        <v>0</v>
      </c>
      <c r="AL13" s="129">
        <f>Inputs!AL18*IF(Inputs!$E18="Real",1,AL$5)</f>
        <v>0</v>
      </c>
      <c r="AM13" s="129">
        <f>Inputs!AM18*IF(Inputs!$E18="Real",1,AM$5)</f>
        <v>0</v>
      </c>
      <c r="AN13" s="129">
        <f>Inputs!AN18*IF(Inputs!$E18="Real",1,AN$5)</f>
        <v>0</v>
      </c>
      <c r="AO13" s="129">
        <f>Inputs!AO18*IF(Inputs!$E18="Real",1,AO$5)</f>
        <v>0</v>
      </c>
      <c r="AP13" s="129">
        <f>Inputs!AP18*IF(Inputs!$E18="Real",1,AP$5)</f>
        <v>0</v>
      </c>
      <c r="AQ13" s="129">
        <f>Inputs!AQ18*IF(Inputs!$E18="Real",1,AQ$5)</f>
        <v>0</v>
      </c>
      <c r="AR13" s="129">
        <f>Inputs!AR18*IF(Inputs!$E18="Real",1,AR$5)</f>
        <v>0</v>
      </c>
      <c r="AS13" s="129">
        <f>Inputs!AS18*IF(Inputs!$E18="Real",1,AS$5)</f>
        <v>0</v>
      </c>
      <c r="AT13" s="129">
        <f>Inputs!AT18*IF(Inputs!$E18="Real",1,AT$5)</f>
        <v>0</v>
      </c>
      <c r="AU13" s="129">
        <f>Inputs!AU18*IF(Inputs!$E18="Real",1,AU$5)</f>
        <v>0</v>
      </c>
      <c r="AV13" s="129">
        <f>Inputs!AV18*IF(Inputs!$E18="Real",1,AV$5)</f>
        <v>0</v>
      </c>
      <c r="AW13" s="129">
        <f>Inputs!AW18*IF(Inputs!$E18="Real",1,AW$5)</f>
        <v>0</v>
      </c>
      <c r="AX13" s="129">
        <f>Inputs!AX18*IF(Inputs!$E18="Real",1,AX$5)</f>
        <v>0</v>
      </c>
      <c r="AY13" s="129">
        <f>Inputs!AY18*IF(Inputs!$E18="Real",1,AY$5)</f>
        <v>0</v>
      </c>
      <c r="AZ13" s="129">
        <f>Inputs!AZ18*IF(Inputs!$E18="Real",1,AZ$5)</f>
        <v>0</v>
      </c>
    </row>
    <row r="14" spans="1:52" x14ac:dyDescent="0.25">
      <c r="A14" s="25"/>
      <c r="B14" s="4"/>
      <c r="C14" s="4"/>
      <c r="D14" s="106" t="s">
        <v>57</v>
      </c>
      <c r="E14" s="21" t="s">
        <v>124</v>
      </c>
      <c r="F14" s="21">
        <f t="shared" ca="1" si="0"/>
        <v>2025</v>
      </c>
      <c r="G14" s="157">
        <f>Inputs!G19</f>
        <v>0</v>
      </c>
      <c r="H14" s="129">
        <f>Inputs!H19*IF(Inputs!$E19="Real",1,H$5)</f>
        <v>48966.32096444066</v>
      </c>
      <c r="I14" s="129">
        <f>Inputs!I19*IF(Inputs!$E19="Real",1,I$5)</f>
        <v>48001.490995432468</v>
      </c>
      <c r="J14" s="129">
        <f>Inputs!J19*IF(Inputs!$E19="Real",1,J$5)</f>
        <v>0</v>
      </c>
      <c r="K14" s="129">
        <f>Inputs!K19*IF(Inputs!$E19="Real",1,K$5)</f>
        <v>0</v>
      </c>
      <c r="L14" s="129">
        <f>Inputs!L19*IF(Inputs!$E19="Real",1,L$5)</f>
        <v>0</v>
      </c>
      <c r="M14" s="129">
        <f>Inputs!M19*IF(Inputs!$E19="Real",1,M$5)</f>
        <v>0</v>
      </c>
      <c r="N14" s="129">
        <f>Inputs!N19*IF(Inputs!$E19="Real",1,N$5)</f>
        <v>0</v>
      </c>
      <c r="O14" s="129">
        <f>Inputs!O19*IF(Inputs!$E19="Real",1,O$5)</f>
        <v>0</v>
      </c>
      <c r="P14" s="129">
        <f>Inputs!P19*IF(Inputs!$E19="Real",1,P$5)</f>
        <v>0</v>
      </c>
      <c r="Q14" s="129">
        <f>Inputs!Q19*IF(Inputs!$E19="Real",1,Q$5)</f>
        <v>0</v>
      </c>
      <c r="R14" s="129">
        <f>Inputs!R19*IF(Inputs!$E19="Real",1,R$5)</f>
        <v>0</v>
      </c>
      <c r="S14" s="129">
        <f>Inputs!S19*IF(Inputs!$E19="Real",1,S$5)</f>
        <v>0</v>
      </c>
      <c r="T14" s="129">
        <f>Inputs!T19*IF(Inputs!$E19="Real",1,T$5)</f>
        <v>0</v>
      </c>
      <c r="U14" s="129">
        <f>Inputs!U19*IF(Inputs!$E19="Real",1,U$5)</f>
        <v>0</v>
      </c>
      <c r="V14" s="129">
        <f>Inputs!V19*IF(Inputs!$E19="Real",1,V$5)</f>
        <v>0</v>
      </c>
      <c r="W14" s="129">
        <f>Inputs!W19*IF(Inputs!$E19="Real",1,W$5)</f>
        <v>0</v>
      </c>
      <c r="X14" s="129">
        <f>Inputs!X19*IF(Inputs!$E19="Real",1,X$5)</f>
        <v>0</v>
      </c>
      <c r="Y14" s="129">
        <f>Inputs!Y19*IF(Inputs!$E19="Real",1,Y$5)</f>
        <v>0</v>
      </c>
      <c r="Z14" s="129">
        <f>Inputs!Z19*IF(Inputs!$E19="Real",1,Z$5)</f>
        <v>0</v>
      </c>
      <c r="AA14" s="129">
        <f>Inputs!AA19*IF(Inputs!$E19="Real",1,AA$5)</f>
        <v>0</v>
      </c>
      <c r="AB14" s="129">
        <f>Inputs!AB19*IF(Inputs!$E19="Real",1,AB$5)</f>
        <v>0</v>
      </c>
      <c r="AC14" s="129">
        <f>Inputs!AC19*IF(Inputs!$E19="Real",1,AC$5)</f>
        <v>0</v>
      </c>
      <c r="AD14" s="129">
        <f>Inputs!AD19*IF(Inputs!$E19="Real",1,AD$5)</f>
        <v>0</v>
      </c>
      <c r="AE14" s="129">
        <f>Inputs!AE19*IF(Inputs!$E19="Real",1,AE$5)</f>
        <v>0</v>
      </c>
      <c r="AF14" s="129">
        <f>Inputs!AF19*IF(Inputs!$E19="Real",1,AF$5)</f>
        <v>0</v>
      </c>
      <c r="AG14" s="129">
        <f>Inputs!AG19*IF(Inputs!$E19="Real",1,AG$5)</f>
        <v>0</v>
      </c>
      <c r="AH14" s="129">
        <f>Inputs!AH19*IF(Inputs!$E19="Real",1,AH$5)</f>
        <v>0</v>
      </c>
      <c r="AI14" s="129">
        <f>Inputs!AI19*IF(Inputs!$E19="Real",1,AI$5)</f>
        <v>0</v>
      </c>
      <c r="AJ14" s="129">
        <f>Inputs!AJ19*IF(Inputs!$E19="Real",1,AJ$5)</f>
        <v>0</v>
      </c>
      <c r="AK14" s="129">
        <f>Inputs!AK19*IF(Inputs!$E19="Real",1,AK$5)</f>
        <v>0</v>
      </c>
      <c r="AL14" s="129">
        <f>Inputs!AL19*IF(Inputs!$E19="Real",1,AL$5)</f>
        <v>0</v>
      </c>
      <c r="AM14" s="129">
        <f>Inputs!AM19*IF(Inputs!$E19="Real",1,AM$5)</f>
        <v>0</v>
      </c>
      <c r="AN14" s="129">
        <f>Inputs!AN19*IF(Inputs!$E19="Real",1,AN$5)</f>
        <v>0</v>
      </c>
      <c r="AO14" s="129">
        <f>Inputs!AO19*IF(Inputs!$E19="Real",1,AO$5)</f>
        <v>0</v>
      </c>
      <c r="AP14" s="129">
        <f>Inputs!AP19*IF(Inputs!$E19="Real",1,AP$5)</f>
        <v>0</v>
      </c>
      <c r="AQ14" s="129">
        <f>Inputs!AQ19*IF(Inputs!$E19="Real",1,AQ$5)</f>
        <v>0</v>
      </c>
      <c r="AR14" s="129">
        <f>Inputs!AR19*IF(Inputs!$E19="Real",1,AR$5)</f>
        <v>0</v>
      </c>
      <c r="AS14" s="129">
        <f>Inputs!AS19*IF(Inputs!$E19="Real",1,AS$5)</f>
        <v>0</v>
      </c>
      <c r="AT14" s="129">
        <f>Inputs!AT19*IF(Inputs!$E19="Real",1,AT$5)</f>
        <v>0</v>
      </c>
      <c r="AU14" s="129">
        <f>Inputs!AU19*IF(Inputs!$E19="Real",1,AU$5)</f>
        <v>0</v>
      </c>
      <c r="AV14" s="129">
        <f>Inputs!AV19*IF(Inputs!$E19="Real",1,AV$5)</f>
        <v>0</v>
      </c>
      <c r="AW14" s="129">
        <f>Inputs!AW19*IF(Inputs!$E19="Real",1,AW$5)</f>
        <v>0</v>
      </c>
      <c r="AX14" s="129">
        <f>Inputs!AX19*IF(Inputs!$E19="Real",1,AX$5)</f>
        <v>0</v>
      </c>
      <c r="AY14" s="129">
        <f>Inputs!AY19*IF(Inputs!$E19="Real",1,AY$5)</f>
        <v>0</v>
      </c>
      <c r="AZ14" s="129">
        <f>Inputs!AZ19*IF(Inputs!$E19="Real",1,AZ$5)</f>
        <v>0</v>
      </c>
    </row>
    <row r="15" spans="1:52" x14ac:dyDescent="0.25">
      <c r="A15" s="25"/>
      <c r="B15" s="4"/>
      <c r="C15" s="4"/>
      <c r="D15" s="106" t="s">
        <v>58</v>
      </c>
      <c r="E15" s="21" t="s">
        <v>124</v>
      </c>
      <c r="F15" s="21">
        <f t="shared" ca="1" si="0"/>
        <v>2025</v>
      </c>
      <c r="G15" s="157">
        <f>Inputs!G20</f>
        <v>0</v>
      </c>
      <c r="H15" s="129">
        <f>Inputs!H20*IF(Inputs!$E20="Real",1,H$5)</f>
        <v>0</v>
      </c>
      <c r="I15" s="129">
        <f>Inputs!I20*IF(Inputs!$E20="Real",1,I$5)</f>
        <v>0</v>
      </c>
      <c r="J15" s="129">
        <f>Inputs!J20*IF(Inputs!$E20="Real",1,J$5)</f>
        <v>0</v>
      </c>
      <c r="K15" s="129">
        <f>Inputs!K20*IF(Inputs!$E20="Real",1,K$5)</f>
        <v>0</v>
      </c>
      <c r="L15" s="129">
        <f>Inputs!L20*IF(Inputs!$E20="Real",1,L$5)</f>
        <v>0</v>
      </c>
      <c r="M15" s="129">
        <f>Inputs!M20*IF(Inputs!$E20="Real",1,M$5)</f>
        <v>0</v>
      </c>
      <c r="N15" s="129">
        <f>Inputs!N20*IF(Inputs!$E20="Real",1,N$5)</f>
        <v>0</v>
      </c>
      <c r="O15" s="129">
        <f>Inputs!O20*IF(Inputs!$E20="Real",1,O$5)</f>
        <v>0</v>
      </c>
      <c r="P15" s="129">
        <f>Inputs!P20*IF(Inputs!$E20="Real",1,P$5)</f>
        <v>0</v>
      </c>
      <c r="Q15" s="129">
        <f>Inputs!Q20*IF(Inputs!$E20="Real",1,Q$5)</f>
        <v>0</v>
      </c>
      <c r="R15" s="129">
        <f>Inputs!R20*IF(Inputs!$E20="Real",1,R$5)</f>
        <v>0</v>
      </c>
      <c r="S15" s="129">
        <f>Inputs!S20*IF(Inputs!$E20="Real",1,S$5)</f>
        <v>0</v>
      </c>
      <c r="T15" s="129">
        <f>Inputs!T20*IF(Inputs!$E20="Real",1,T$5)</f>
        <v>0</v>
      </c>
      <c r="U15" s="129">
        <f>Inputs!U20*IF(Inputs!$E20="Real",1,U$5)</f>
        <v>0</v>
      </c>
      <c r="V15" s="129">
        <f>Inputs!V20*IF(Inputs!$E20="Real",1,V$5)</f>
        <v>0</v>
      </c>
      <c r="W15" s="129">
        <f>Inputs!W20*IF(Inputs!$E20="Real",1,W$5)</f>
        <v>0</v>
      </c>
      <c r="X15" s="129">
        <f>Inputs!X20*IF(Inputs!$E20="Real",1,X$5)</f>
        <v>0</v>
      </c>
      <c r="Y15" s="129">
        <f>Inputs!Y20*IF(Inputs!$E20="Real",1,Y$5)</f>
        <v>0</v>
      </c>
      <c r="Z15" s="129">
        <f>Inputs!Z20*IF(Inputs!$E20="Real",1,Z$5)</f>
        <v>0</v>
      </c>
      <c r="AA15" s="129">
        <f>Inputs!AA20*IF(Inputs!$E20="Real",1,AA$5)</f>
        <v>0</v>
      </c>
      <c r="AB15" s="129">
        <f>Inputs!AB20*IF(Inputs!$E20="Real",1,AB$5)</f>
        <v>0</v>
      </c>
      <c r="AC15" s="129">
        <f>Inputs!AC20*IF(Inputs!$E20="Real",1,AC$5)</f>
        <v>0</v>
      </c>
      <c r="AD15" s="129">
        <f>Inputs!AD20*IF(Inputs!$E20="Real",1,AD$5)</f>
        <v>0</v>
      </c>
      <c r="AE15" s="129">
        <f>Inputs!AE20*IF(Inputs!$E20="Real",1,AE$5)</f>
        <v>0</v>
      </c>
      <c r="AF15" s="129">
        <f>Inputs!AF20*IF(Inputs!$E20="Real",1,AF$5)</f>
        <v>0</v>
      </c>
      <c r="AG15" s="129">
        <f>Inputs!AG20*IF(Inputs!$E20="Real",1,AG$5)</f>
        <v>0</v>
      </c>
      <c r="AH15" s="129">
        <f>Inputs!AH20*IF(Inputs!$E20="Real",1,AH$5)</f>
        <v>0</v>
      </c>
      <c r="AI15" s="129">
        <f>Inputs!AI20*IF(Inputs!$E20="Real",1,AI$5)</f>
        <v>0</v>
      </c>
      <c r="AJ15" s="129">
        <f>Inputs!AJ20*IF(Inputs!$E20="Real",1,AJ$5)</f>
        <v>0</v>
      </c>
      <c r="AK15" s="129">
        <f>Inputs!AK20*IF(Inputs!$E20="Real",1,AK$5)</f>
        <v>0</v>
      </c>
      <c r="AL15" s="129">
        <f>Inputs!AL20*IF(Inputs!$E20="Real",1,AL$5)</f>
        <v>0</v>
      </c>
      <c r="AM15" s="129">
        <f>Inputs!AM20*IF(Inputs!$E20="Real",1,AM$5)</f>
        <v>0</v>
      </c>
      <c r="AN15" s="129">
        <f>Inputs!AN20*IF(Inputs!$E20="Real",1,AN$5)</f>
        <v>0</v>
      </c>
      <c r="AO15" s="129">
        <f>Inputs!AO20*IF(Inputs!$E20="Real",1,AO$5)</f>
        <v>0</v>
      </c>
      <c r="AP15" s="129">
        <f>Inputs!AP20*IF(Inputs!$E20="Real",1,AP$5)</f>
        <v>0</v>
      </c>
      <c r="AQ15" s="129">
        <f>Inputs!AQ20*IF(Inputs!$E20="Real",1,AQ$5)</f>
        <v>0</v>
      </c>
      <c r="AR15" s="129">
        <f>Inputs!AR20*IF(Inputs!$E20="Real",1,AR$5)</f>
        <v>0</v>
      </c>
      <c r="AS15" s="129">
        <f>Inputs!AS20*IF(Inputs!$E20="Real",1,AS$5)</f>
        <v>0</v>
      </c>
      <c r="AT15" s="129">
        <f>Inputs!AT20*IF(Inputs!$E20="Real",1,AT$5)</f>
        <v>0</v>
      </c>
      <c r="AU15" s="129">
        <f>Inputs!AU20*IF(Inputs!$E20="Real",1,AU$5)</f>
        <v>0</v>
      </c>
      <c r="AV15" s="129">
        <f>Inputs!AV20*IF(Inputs!$E20="Real",1,AV$5)</f>
        <v>0</v>
      </c>
      <c r="AW15" s="129">
        <f>Inputs!AW20*IF(Inputs!$E20="Real",1,AW$5)</f>
        <v>0</v>
      </c>
      <c r="AX15" s="129">
        <f>Inputs!AX20*IF(Inputs!$E20="Real",1,AX$5)</f>
        <v>0</v>
      </c>
      <c r="AY15" s="129">
        <f>Inputs!AY20*IF(Inputs!$E20="Real",1,AY$5)</f>
        <v>0</v>
      </c>
      <c r="AZ15" s="129">
        <f>Inputs!AZ20*IF(Inputs!$E20="Real",1,AZ$5)</f>
        <v>0</v>
      </c>
    </row>
    <row r="16" spans="1:52" x14ac:dyDescent="0.25">
      <c r="A16" s="25"/>
      <c r="B16" s="4"/>
      <c r="C16" s="4"/>
      <c r="D16" s="21" t="s">
        <v>59</v>
      </c>
      <c r="E16" s="187" t="s">
        <v>124</v>
      </c>
      <c r="F16" s="21">
        <f t="shared" ca="1" si="0"/>
        <v>2025</v>
      </c>
      <c r="G16" s="157">
        <f>Inputs!G21</f>
        <v>0</v>
      </c>
      <c r="H16" s="129">
        <f>Inputs!H21*IF(Inputs!$E21="Real",1,H$5)</f>
        <v>0</v>
      </c>
      <c r="I16" s="129">
        <f>Inputs!I21*IF(Inputs!$E21="Real",1,I$5)</f>
        <v>0</v>
      </c>
      <c r="J16" s="129">
        <f>Inputs!J21*IF(Inputs!$E21="Real",1,J$5)</f>
        <v>0</v>
      </c>
      <c r="K16" s="129">
        <f>Inputs!K21*IF(Inputs!$E21="Real",1,K$5)</f>
        <v>0</v>
      </c>
      <c r="L16" s="129">
        <f>Inputs!L21*IF(Inputs!$E21="Real",1,L$5)</f>
        <v>0</v>
      </c>
      <c r="M16" s="129">
        <f>Inputs!M21*IF(Inputs!$E21="Real",1,M$5)</f>
        <v>0</v>
      </c>
      <c r="N16" s="129">
        <f>Inputs!N21*IF(Inputs!$E21="Real",1,N$5)</f>
        <v>0</v>
      </c>
      <c r="O16" s="129">
        <f>Inputs!O21*IF(Inputs!$E21="Real",1,O$5)</f>
        <v>0</v>
      </c>
      <c r="P16" s="129">
        <f>Inputs!P21*IF(Inputs!$E21="Real",1,P$5)</f>
        <v>0</v>
      </c>
      <c r="Q16" s="129">
        <f>Inputs!Q21*IF(Inputs!$E21="Real",1,Q$5)</f>
        <v>0</v>
      </c>
      <c r="R16" s="129">
        <f>Inputs!R21*IF(Inputs!$E21="Real",1,R$5)</f>
        <v>0</v>
      </c>
      <c r="S16" s="129">
        <f>Inputs!S21*IF(Inputs!$E21="Real",1,S$5)</f>
        <v>0</v>
      </c>
      <c r="T16" s="129">
        <f>Inputs!T21*IF(Inputs!$E21="Real",1,T$5)</f>
        <v>0</v>
      </c>
      <c r="U16" s="129">
        <f>Inputs!U21*IF(Inputs!$E21="Real",1,U$5)</f>
        <v>0</v>
      </c>
      <c r="V16" s="129">
        <f>Inputs!V21*IF(Inputs!$E21="Real",1,V$5)</f>
        <v>0</v>
      </c>
      <c r="W16" s="129">
        <f>Inputs!W21*IF(Inputs!$E21="Real",1,W$5)</f>
        <v>0</v>
      </c>
      <c r="X16" s="129">
        <f>Inputs!X21*IF(Inputs!$E21="Real",1,X$5)</f>
        <v>0</v>
      </c>
      <c r="Y16" s="129">
        <f>Inputs!Y21*IF(Inputs!$E21="Real",1,Y$5)</f>
        <v>0</v>
      </c>
      <c r="Z16" s="129">
        <f>Inputs!Z21*IF(Inputs!$E21="Real",1,Z$5)</f>
        <v>0</v>
      </c>
      <c r="AA16" s="129">
        <f>Inputs!AA21*IF(Inputs!$E21="Real",1,AA$5)</f>
        <v>0</v>
      </c>
      <c r="AB16" s="129">
        <f>Inputs!AB21*IF(Inputs!$E21="Real",1,AB$5)</f>
        <v>0</v>
      </c>
      <c r="AC16" s="129">
        <f>Inputs!AC21*IF(Inputs!$E21="Real",1,AC$5)</f>
        <v>0</v>
      </c>
      <c r="AD16" s="129">
        <f>Inputs!AD21*IF(Inputs!$E21="Real",1,AD$5)</f>
        <v>0</v>
      </c>
      <c r="AE16" s="129">
        <f>Inputs!AE21*IF(Inputs!$E21="Real",1,AE$5)</f>
        <v>0</v>
      </c>
      <c r="AF16" s="129">
        <f>Inputs!AF21*IF(Inputs!$E21="Real",1,AF$5)</f>
        <v>0</v>
      </c>
      <c r="AG16" s="129">
        <f>Inputs!AG21*IF(Inputs!$E21="Real",1,AG$5)</f>
        <v>0</v>
      </c>
      <c r="AH16" s="129">
        <f>Inputs!AH21*IF(Inputs!$E21="Real",1,AH$5)</f>
        <v>0</v>
      </c>
      <c r="AI16" s="129">
        <f>Inputs!AI21*IF(Inputs!$E21="Real",1,AI$5)</f>
        <v>0</v>
      </c>
      <c r="AJ16" s="129">
        <f>Inputs!AJ21*IF(Inputs!$E21="Real",1,AJ$5)</f>
        <v>0</v>
      </c>
      <c r="AK16" s="129">
        <f>Inputs!AK21*IF(Inputs!$E21="Real",1,AK$5)</f>
        <v>0</v>
      </c>
      <c r="AL16" s="129">
        <f>Inputs!AL21*IF(Inputs!$E21="Real",1,AL$5)</f>
        <v>0</v>
      </c>
      <c r="AM16" s="129">
        <f>Inputs!AM21*IF(Inputs!$E21="Real",1,AM$5)</f>
        <v>0</v>
      </c>
      <c r="AN16" s="129">
        <f>Inputs!AN21*IF(Inputs!$E21="Real",1,AN$5)</f>
        <v>0</v>
      </c>
      <c r="AO16" s="129">
        <f>Inputs!AO21*IF(Inputs!$E21="Real",1,AO$5)</f>
        <v>0</v>
      </c>
      <c r="AP16" s="129">
        <f>Inputs!AP21*IF(Inputs!$E21="Real",1,AP$5)</f>
        <v>0</v>
      </c>
      <c r="AQ16" s="129">
        <f>Inputs!AQ21*IF(Inputs!$E21="Real",1,AQ$5)</f>
        <v>0</v>
      </c>
      <c r="AR16" s="129">
        <f>Inputs!AR21*IF(Inputs!$E21="Real",1,AR$5)</f>
        <v>0</v>
      </c>
      <c r="AS16" s="129">
        <f>Inputs!AS21*IF(Inputs!$E21="Real",1,AS$5)</f>
        <v>0</v>
      </c>
      <c r="AT16" s="129">
        <f>Inputs!AT21*IF(Inputs!$E21="Real",1,AT$5)</f>
        <v>0</v>
      </c>
      <c r="AU16" s="129">
        <f>Inputs!AU21*IF(Inputs!$E21="Real",1,AU$5)</f>
        <v>0</v>
      </c>
      <c r="AV16" s="129">
        <f>Inputs!AV21*IF(Inputs!$E21="Real",1,AV$5)</f>
        <v>0</v>
      </c>
      <c r="AW16" s="129">
        <f>Inputs!AW21*IF(Inputs!$E21="Real",1,AW$5)</f>
        <v>0</v>
      </c>
      <c r="AX16" s="129">
        <f>Inputs!AX21*IF(Inputs!$E21="Real",1,AX$5)</f>
        <v>0</v>
      </c>
      <c r="AY16" s="129">
        <f>Inputs!AY21*IF(Inputs!$E21="Real",1,AY$5)</f>
        <v>0</v>
      </c>
      <c r="AZ16" s="129">
        <f>Inputs!AZ21*IF(Inputs!$E21="Real",1,AZ$5)</f>
        <v>0</v>
      </c>
    </row>
    <row r="17" spans="1:52" x14ac:dyDescent="0.25">
      <c r="A17" s="25"/>
      <c r="B17" s="4"/>
      <c r="C17" s="4"/>
      <c r="D17" s="23" t="str">
        <f ca="1">"Total capex in "&amp;Analysis_year&amp;" dollars"</f>
        <v>Total capex in 2025 dollars</v>
      </c>
      <c r="E17" s="4"/>
      <c r="F17" s="24"/>
      <c r="H17" s="77">
        <f>SUBTOTAL(109,Capex_PP[2026])</f>
        <v>1253537.816689681</v>
      </c>
      <c r="I17" s="77">
        <f t="shared" ref="I17:AZ17" si="1">SUM(I10:I16)*IF($E$8="Real",1,I$5)</f>
        <v>783408.66684675869</v>
      </c>
      <c r="J17" s="77">
        <f t="shared" si="1"/>
        <v>0</v>
      </c>
      <c r="K17" s="77">
        <f t="shared" si="1"/>
        <v>0</v>
      </c>
      <c r="L17" s="77">
        <f t="shared" si="1"/>
        <v>0</v>
      </c>
      <c r="M17" s="77">
        <f t="shared" si="1"/>
        <v>0</v>
      </c>
      <c r="N17" s="77">
        <f t="shared" si="1"/>
        <v>0</v>
      </c>
      <c r="O17" s="77">
        <f t="shared" si="1"/>
        <v>0</v>
      </c>
      <c r="P17" s="77">
        <f t="shared" si="1"/>
        <v>0</v>
      </c>
      <c r="Q17" s="77">
        <f t="shared" si="1"/>
        <v>0</v>
      </c>
      <c r="R17" s="77">
        <f t="shared" si="1"/>
        <v>0</v>
      </c>
      <c r="S17" s="77">
        <f t="shared" si="1"/>
        <v>0</v>
      </c>
      <c r="T17" s="77">
        <f t="shared" si="1"/>
        <v>0</v>
      </c>
      <c r="U17" s="77">
        <f t="shared" si="1"/>
        <v>0</v>
      </c>
      <c r="V17" s="77">
        <f t="shared" si="1"/>
        <v>0</v>
      </c>
      <c r="W17" s="77">
        <f t="shared" si="1"/>
        <v>0</v>
      </c>
      <c r="X17" s="77">
        <f t="shared" si="1"/>
        <v>0</v>
      </c>
      <c r="Y17" s="77">
        <f t="shared" si="1"/>
        <v>0</v>
      </c>
      <c r="Z17" s="77">
        <f t="shared" si="1"/>
        <v>0</v>
      </c>
      <c r="AA17" s="77">
        <f t="shared" si="1"/>
        <v>0</v>
      </c>
      <c r="AB17" s="77">
        <f t="shared" si="1"/>
        <v>0</v>
      </c>
      <c r="AC17" s="77">
        <f t="shared" si="1"/>
        <v>0</v>
      </c>
      <c r="AD17" s="77">
        <f t="shared" si="1"/>
        <v>0</v>
      </c>
      <c r="AE17" s="77">
        <f t="shared" si="1"/>
        <v>0</v>
      </c>
      <c r="AF17" s="77">
        <f t="shared" si="1"/>
        <v>0</v>
      </c>
      <c r="AG17" s="77">
        <f t="shared" si="1"/>
        <v>0</v>
      </c>
      <c r="AH17" s="77">
        <f t="shared" si="1"/>
        <v>0</v>
      </c>
      <c r="AI17" s="77">
        <f t="shared" si="1"/>
        <v>0</v>
      </c>
      <c r="AJ17" s="77">
        <f t="shared" si="1"/>
        <v>0</v>
      </c>
      <c r="AK17" s="77">
        <f t="shared" si="1"/>
        <v>0</v>
      </c>
      <c r="AL17" s="77">
        <f t="shared" si="1"/>
        <v>0</v>
      </c>
      <c r="AM17" s="77">
        <f t="shared" si="1"/>
        <v>0</v>
      </c>
      <c r="AN17" s="77">
        <f t="shared" si="1"/>
        <v>0</v>
      </c>
      <c r="AO17" s="77">
        <f t="shared" si="1"/>
        <v>0</v>
      </c>
      <c r="AP17" s="77">
        <f t="shared" si="1"/>
        <v>0</v>
      </c>
      <c r="AQ17" s="77">
        <f t="shared" si="1"/>
        <v>0</v>
      </c>
      <c r="AR17" s="77">
        <f t="shared" si="1"/>
        <v>0</v>
      </c>
      <c r="AS17" s="77">
        <f t="shared" si="1"/>
        <v>0</v>
      </c>
      <c r="AT17" s="77">
        <f t="shared" si="1"/>
        <v>0</v>
      </c>
      <c r="AU17" s="77">
        <f t="shared" si="1"/>
        <v>0</v>
      </c>
      <c r="AV17" s="77">
        <f t="shared" si="1"/>
        <v>0</v>
      </c>
      <c r="AW17" s="77">
        <f t="shared" si="1"/>
        <v>0</v>
      </c>
      <c r="AX17" s="77">
        <f t="shared" si="1"/>
        <v>0</v>
      </c>
      <c r="AY17" s="77">
        <f t="shared" si="1"/>
        <v>0</v>
      </c>
      <c r="AZ17" s="77">
        <f t="shared" si="1"/>
        <v>0</v>
      </c>
    </row>
    <row r="18" spans="1:52" x14ac:dyDescent="0.25">
      <c r="A18" s="25"/>
      <c r="B18" s="4"/>
      <c r="C18" s="4"/>
      <c r="D18" s="20"/>
      <c r="E18" s="4"/>
      <c r="F18" s="4"/>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103"/>
      <c r="AI18" s="103"/>
      <c r="AJ18" s="103"/>
      <c r="AK18" s="103"/>
      <c r="AL18" s="103"/>
      <c r="AM18" s="103"/>
      <c r="AN18" s="103"/>
      <c r="AO18" s="103"/>
      <c r="AP18" s="103"/>
      <c r="AQ18" s="103"/>
      <c r="AR18" s="103"/>
      <c r="AS18" s="103"/>
      <c r="AT18" s="103"/>
      <c r="AU18" s="103"/>
      <c r="AV18" s="103"/>
      <c r="AW18" s="103"/>
      <c r="AX18" s="103"/>
      <c r="AY18" s="103"/>
    </row>
    <row r="19" spans="1:52" ht="60" x14ac:dyDescent="0.25">
      <c r="A19" s="50" t="s">
        <v>61</v>
      </c>
      <c r="B19" s="49"/>
      <c r="C19" s="49"/>
      <c r="D19" s="50" t="s">
        <v>51</v>
      </c>
      <c r="E19" s="60" t="s">
        <v>48</v>
      </c>
      <c r="F19" s="60" t="s">
        <v>319</v>
      </c>
      <c r="G19" s="51" t="s">
        <v>52</v>
      </c>
      <c r="H19" s="54" t="s">
        <v>77</v>
      </c>
      <c r="I19" s="54" t="s">
        <v>78</v>
      </c>
      <c r="J19" s="54" t="s">
        <v>79</v>
      </c>
      <c r="K19" s="54" t="s">
        <v>80</v>
      </c>
      <c r="L19" s="54" t="s">
        <v>81</v>
      </c>
      <c r="M19" s="54" t="s">
        <v>82</v>
      </c>
      <c r="N19" s="54" t="s">
        <v>83</v>
      </c>
      <c r="O19" s="54" t="s">
        <v>84</v>
      </c>
      <c r="P19" s="54" t="s">
        <v>85</v>
      </c>
      <c r="Q19" s="54" t="s">
        <v>86</v>
      </c>
      <c r="R19" s="54" t="s">
        <v>87</v>
      </c>
      <c r="S19" s="54" t="s">
        <v>88</v>
      </c>
      <c r="T19" s="54" t="s">
        <v>89</v>
      </c>
      <c r="U19" s="54" t="s">
        <v>90</v>
      </c>
      <c r="V19" s="54" t="s">
        <v>91</v>
      </c>
      <c r="W19" s="54" t="s">
        <v>92</v>
      </c>
      <c r="X19" s="54" t="s">
        <v>93</v>
      </c>
      <c r="Y19" s="54" t="s">
        <v>94</v>
      </c>
      <c r="Z19" s="54" t="s">
        <v>95</v>
      </c>
      <c r="AA19" s="54" t="s">
        <v>96</v>
      </c>
      <c r="AB19" s="54" t="s">
        <v>97</v>
      </c>
      <c r="AC19" s="54" t="s">
        <v>98</v>
      </c>
      <c r="AD19" s="54" t="s">
        <v>99</v>
      </c>
      <c r="AE19" s="54" t="s">
        <v>100</v>
      </c>
      <c r="AF19" s="54" t="s">
        <v>101</v>
      </c>
      <c r="AG19" s="54" t="s">
        <v>102</v>
      </c>
      <c r="AH19" s="54" t="s">
        <v>103</v>
      </c>
      <c r="AI19" s="54" t="s">
        <v>104</v>
      </c>
      <c r="AJ19" s="54" t="s">
        <v>105</v>
      </c>
      <c r="AK19" s="54" t="s">
        <v>106</v>
      </c>
      <c r="AL19" s="54" t="s">
        <v>107</v>
      </c>
      <c r="AM19" s="54" t="s">
        <v>108</v>
      </c>
      <c r="AN19" s="54" t="s">
        <v>109</v>
      </c>
      <c r="AO19" s="54" t="s">
        <v>110</v>
      </c>
      <c r="AP19" s="54" t="s">
        <v>111</v>
      </c>
      <c r="AQ19" s="54" t="s">
        <v>112</v>
      </c>
      <c r="AR19" s="54" t="s">
        <v>113</v>
      </c>
      <c r="AS19" s="54" t="s">
        <v>114</v>
      </c>
      <c r="AT19" s="54" t="s">
        <v>115</v>
      </c>
      <c r="AU19" s="54" t="s">
        <v>116</v>
      </c>
      <c r="AV19" s="54" t="s">
        <v>117</v>
      </c>
      <c r="AW19" s="54" t="s">
        <v>118</v>
      </c>
      <c r="AX19" s="54" t="s">
        <v>119</v>
      </c>
      <c r="AY19" s="54" t="s">
        <v>120</v>
      </c>
      <c r="AZ19" s="54" t="s">
        <v>121</v>
      </c>
    </row>
    <row r="20" spans="1:52" x14ac:dyDescent="0.25">
      <c r="A20" s="25" t="s">
        <v>62</v>
      </c>
      <c r="B20" s="121"/>
      <c r="C20" s="121"/>
      <c r="D20" s="108" t="s">
        <v>53</v>
      </c>
      <c r="E20" s="27" t="s">
        <v>124</v>
      </c>
      <c r="F20" s="27">
        <f t="shared" ref="F20:F26" ca="1" si="2">Analysis_year</f>
        <v>2025</v>
      </c>
      <c r="G20" s="158">
        <f>Inputs!G27</f>
        <v>0</v>
      </c>
      <c r="H20" s="132">
        <f>Inputs!H27*IF(Inputs!$E27="Real",1,H$5)</f>
        <v>0</v>
      </c>
      <c r="I20" s="132">
        <f>Inputs!I27*IF(Inputs!$E27="Real",1,I$5)</f>
        <v>0</v>
      </c>
      <c r="J20" s="132">
        <f>Inputs!J27*IF(Inputs!$E27="Real",1,J$5)</f>
        <v>0</v>
      </c>
      <c r="K20" s="132">
        <f>Inputs!K27*IF(Inputs!$E27="Real",1,K$5)</f>
        <v>0</v>
      </c>
      <c r="L20" s="132">
        <f>Inputs!L27*IF(Inputs!$E27="Real",1,L$5)</f>
        <v>0</v>
      </c>
      <c r="M20" s="132">
        <f>Inputs!M27*IF(Inputs!$E27="Real",1,M$5)</f>
        <v>0</v>
      </c>
      <c r="N20" s="132">
        <f>Inputs!N27*IF(Inputs!$E27="Real",1,N$5)</f>
        <v>0</v>
      </c>
      <c r="O20" s="132">
        <f>Inputs!O27*IF(Inputs!$E27="Real",1,O$5)</f>
        <v>0</v>
      </c>
      <c r="P20" s="132">
        <f>Inputs!P27*IF(Inputs!$E27="Real",1,P$5)</f>
        <v>0</v>
      </c>
      <c r="Q20" s="132">
        <f>Inputs!Q27*IF(Inputs!$E27="Real",1,Q$5)</f>
        <v>0</v>
      </c>
      <c r="R20" s="132">
        <f>Inputs!R27*IF(Inputs!$E27="Real",1,R$5)</f>
        <v>0</v>
      </c>
      <c r="S20" s="132">
        <f>Inputs!S27*IF(Inputs!$E27="Real",1,S$5)</f>
        <v>0</v>
      </c>
      <c r="T20" s="132">
        <f>Inputs!T27*IF(Inputs!$E27="Real",1,T$5)</f>
        <v>0</v>
      </c>
      <c r="U20" s="132">
        <f>Inputs!U27*IF(Inputs!$E27="Real",1,U$5)</f>
        <v>0</v>
      </c>
      <c r="V20" s="132">
        <f>Inputs!V27*IF(Inputs!$E27="Real",1,V$5)</f>
        <v>0</v>
      </c>
      <c r="W20" s="132">
        <f>Inputs!W27*IF(Inputs!$E27="Real",1,W$5)</f>
        <v>0</v>
      </c>
      <c r="X20" s="132">
        <f>Inputs!X27*IF(Inputs!$E27="Real",1,X$5)</f>
        <v>0</v>
      </c>
      <c r="Y20" s="132">
        <f>Inputs!Y27*IF(Inputs!$E27="Real",1,Y$5)</f>
        <v>0</v>
      </c>
      <c r="Z20" s="132">
        <f>Inputs!Z27*IF(Inputs!$E27="Real",1,Z$5)</f>
        <v>0</v>
      </c>
      <c r="AA20" s="132">
        <f>Inputs!AA27*IF(Inputs!$E27="Real",1,AA$5)</f>
        <v>0</v>
      </c>
      <c r="AB20" s="132">
        <f>Inputs!AB27*IF(Inputs!$E27="Real",1,AB$5)</f>
        <v>0</v>
      </c>
      <c r="AC20" s="132">
        <f>Inputs!AC27*IF(Inputs!$E27="Real",1,AC$5)</f>
        <v>0</v>
      </c>
      <c r="AD20" s="132">
        <f>Inputs!AD27*IF(Inputs!$E27="Real",1,AD$5)</f>
        <v>0</v>
      </c>
      <c r="AE20" s="132">
        <f>Inputs!AE27*IF(Inputs!$E27="Real",1,AE$5)</f>
        <v>0</v>
      </c>
      <c r="AF20" s="132">
        <f>Inputs!AF27*IF(Inputs!$E27="Real",1,AF$5)</f>
        <v>0</v>
      </c>
      <c r="AG20" s="132">
        <f>Inputs!AG27*IF(Inputs!$E27="Real",1,AG$5)</f>
        <v>0</v>
      </c>
      <c r="AH20" s="132">
        <f>Inputs!AH27*IF(Inputs!$E27="Real",1,AH$5)</f>
        <v>0</v>
      </c>
      <c r="AI20" s="132">
        <f>Inputs!AI27*IF(Inputs!$E27="Real",1,AI$5)</f>
        <v>0</v>
      </c>
      <c r="AJ20" s="132">
        <f>Inputs!AJ27*IF(Inputs!$E27="Real",1,AJ$5)</f>
        <v>0</v>
      </c>
      <c r="AK20" s="132">
        <f>Inputs!AK27*IF(Inputs!$E27="Real",1,AK$5)</f>
        <v>0</v>
      </c>
      <c r="AL20" s="132">
        <f>Inputs!AL27*IF(Inputs!$E27="Real",1,AL$5)</f>
        <v>0</v>
      </c>
      <c r="AM20" s="132">
        <f>Inputs!AM27*IF(Inputs!$E27="Real",1,AM$5)</f>
        <v>0</v>
      </c>
      <c r="AN20" s="132">
        <f>Inputs!AN27*IF(Inputs!$E27="Real",1,AN$5)</f>
        <v>0</v>
      </c>
      <c r="AO20" s="132">
        <f>Inputs!AO27*IF(Inputs!$E27="Real",1,AO$5)</f>
        <v>0</v>
      </c>
      <c r="AP20" s="132">
        <f>Inputs!AP27*IF(Inputs!$E27="Real",1,AP$5)</f>
        <v>0</v>
      </c>
      <c r="AQ20" s="132">
        <f>Inputs!AQ27*IF(Inputs!$E27="Real",1,AQ$5)</f>
        <v>0</v>
      </c>
      <c r="AR20" s="132">
        <f>Inputs!AR27*IF(Inputs!$E27="Real",1,AR$5)</f>
        <v>0</v>
      </c>
      <c r="AS20" s="132">
        <f>Inputs!AS27*IF(Inputs!$E27="Real",1,AS$5)</f>
        <v>0</v>
      </c>
      <c r="AT20" s="132">
        <f>Inputs!AT27*IF(Inputs!$E27="Real",1,AT$5)</f>
        <v>0</v>
      </c>
      <c r="AU20" s="132">
        <f>Inputs!AU27*IF(Inputs!$E27="Real",1,AU$5)</f>
        <v>0</v>
      </c>
      <c r="AV20" s="132">
        <f>Inputs!AV27*IF(Inputs!$E27="Real",1,AV$5)</f>
        <v>0</v>
      </c>
      <c r="AW20" s="132">
        <f>Inputs!AW27*IF(Inputs!$E27="Real",1,AW$5)</f>
        <v>0</v>
      </c>
      <c r="AX20" s="132">
        <f>Inputs!AX27*IF(Inputs!$E27="Real",1,AX$5)</f>
        <v>0</v>
      </c>
      <c r="AY20" s="132">
        <f>Inputs!AY27*IF(Inputs!$E27="Real",1,AY$5)</f>
        <v>0</v>
      </c>
      <c r="AZ20" s="132">
        <f>Inputs!AZ27*IF(Inputs!$E27="Real",1,AZ$5)</f>
        <v>0</v>
      </c>
    </row>
    <row r="21" spans="1:52" x14ac:dyDescent="0.25">
      <c r="A21" s="25"/>
      <c r="B21" s="121"/>
      <c r="C21" s="121"/>
      <c r="D21" s="108" t="s">
        <v>54</v>
      </c>
      <c r="E21" s="27" t="s">
        <v>124</v>
      </c>
      <c r="F21" s="27">
        <f t="shared" ca="1" si="2"/>
        <v>2025</v>
      </c>
      <c r="G21" s="158">
        <f>Inputs!G28</f>
        <v>0</v>
      </c>
      <c r="H21" s="132">
        <f>Inputs!H28*IF(Inputs!$E28="Real",1,H$5)</f>
        <v>0</v>
      </c>
      <c r="I21" s="132">
        <f>Inputs!I28*IF(Inputs!$E28="Real",1,I$5)</f>
        <v>0</v>
      </c>
      <c r="J21" s="132">
        <f>Inputs!J28*IF(Inputs!$E28="Real",1,J$5)</f>
        <v>0</v>
      </c>
      <c r="K21" s="132">
        <f>Inputs!K28*IF(Inputs!$E28="Real",1,K$5)</f>
        <v>0</v>
      </c>
      <c r="L21" s="132">
        <f>Inputs!L28*IF(Inputs!$E28="Real",1,L$5)</f>
        <v>0</v>
      </c>
      <c r="M21" s="132">
        <f>Inputs!M28*IF(Inputs!$E28="Real",1,M$5)</f>
        <v>0</v>
      </c>
      <c r="N21" s="132">
        <f>Inputs!N28*IF(Inputs!$E28="Real",1,N$5)</f>
        <v>0</v>
      </c>
      <c r="O21" s="132">
        <f>Inputs!O28*IF(Inputs!$E28="Real",1,O$5)</f>
        <v>0</v>
      </c>
      <c r="P21" s="132">
        <f>Inputs!P28*IF(Inputs!$E28="Real",1,P$5)</f>
        <v>0</v>
      </c>
      <c r="Q21" s="132">
        <f>Inputs!Q28*IF(Inputs!$E28="Real",1,Q$5)</f>
        <v>0</v>
      </c>
      <c r="R21" s="132">
        <f>Inputs!R28*IF(Inputs!$E28="Real",1,R$5)</f>
        <v>0</v>
      </c>
      <c r="S21" s="132">
        <f>Inputs!S28*IF(Inputs!$E28="Real",1,S$5)</f>
        <v>0</v>
      </c>
      <c r="T21" s="132">
        <f>Inputs!T28*IF(Inputs!$E28="Real",1,T$5)</f>
        <v>0</v>
      </c>
      <c r="U21" s="132">
        <f>Inputs!U28*IF(Inputs!$E28="Real",1,U$5)</f>
        <v>0</v>
      </c>
      <c r="V21" s="132">
        <f>Inputs!V28*IF(Inputs!$E28="Real",1,V$5)</f>
        <v>0</v>
      </c>
      <c r="W21" s="132">
        <f>Inputs!W28*IF(Inputs!$E28="Real",1,W$5)</f>
        <v>0</v>
      </c>
      <c r="X21" s="132">
        <f>Inputs!X28*IF(Inputs!$E28="Real",1,X$5)</f>
        <v>0</v>
      </c>
      <c r="Y21" s="132">
        <f>Inputs!Y28*IF(Inputs!$E28="Real",1,Y$5)</f>
        <v>0</v>
      </c>
      <c r="Z21" s="132">
        <f>Inputs!Z28*IF(Inputs!$E28="Real",1,Z$5)</f>
        <v>0</v>
      </c>
      <c r="AA21" s="132">
        <f>Inputs!AA28*IF(Inputs!$E28="Real",1,AA$5)</f>
        <v>0</v>
      </c>
      <c r="AB21" s="132">
        <f>Inputs!AB28*IF(Inputs!$E28="Real",1,AB$5)</f>
        <v>0</v>
      </c>
      <c r="AC21" s="132">
        <f>Inputs!AC28*IF(Inputs!$E28="Real",1,AC$5)</f>
        <v>0</v>
      </c>
      <c r="AD21" s="132">
        <f>Inputs!AD28*IF(Inputs!$E28="Real",1,AD$5)</f>
        <v>0</v>
      </c>
      <c r="AE21" s="132">
        <f>Inputs!AE28*IF(Inputs!$E28="Real",1,AE$5)</f>
        <v>0</v>
      </c>
      <c r="AF21" s="132">
        <f>Inputs!AF28*IF(Inputs!$E28="Real",1,AF$5)</f>
        <v>0</v>
      </c>
      <c r="AG21" s="132">
        <f>Inputs!AG28*IF(Inputs!$E28="Real",1,AG$5)</f>
        <v>0</v>
      </c>
      <c r="AH21" s="132">
        <f>Inputs!AH28*IF(Inputs!$E28="Real",1,AH$5)</f>
        <v>0</v>
      </c>
      <c r="AI21" s="132">
        <f>Inputs!AI28*IF(Inputs!$E28="Real",1,AI$5)</f>
        <v>0</v>
      </c>
      <c r="AJ21" s="132">
        <f>Inputs!AJ28*IF(Inputs!$E28="Real",1,AJ$5)</f>
        <v>0</v>
      </c>
      <c r="AK21" s="132">
        <f>Inputs!AK28*IF(Inputs!$E28="Real",1,AK$5)</f>
        <v>0</v>
      </c>
      <c r="AL21" s="132">
        <f>Inputs!AL28*IF(Inputs!$E28="Real",1,AL$5)</f>
        <v>0</v>
      </c>
      <c r="AM21" s="132">
        <f>Inputs!AM28*IF(Inputs!$E28="Real",1,AM$5)</f>
        <v>0</v>
      </c>
      <c r="AN21" s="132">
        <f>Inputs!AN28*IF(Inputs!$E28="Real",1,AN$5)</f>
        <v>0</v>
      </c>
      <c r="AO21" s="132">
        <f>Inputs!AO28*IF(Inputs!$E28="Real",1,AO$5)</f>
        <v>0</v>
      </c>
      <c r="AP21" s="132">
        <f>Inputs!AP28*IF(Inputs!$E28="Real",1,AP$5)</f>
        <v>0</v>
      </c>
      <c r="AQ21" s="132">
        <f>Inputs!AQ28*IF(Inputs!$E28="Real",1,AQ$5)</f>
        <v>0</v>
      </c>
      <c r="AR21" s="132">
        <f>Inputs!AR28*IF(Inputs!$E28="Real",1,AR$5)</f>
        <v>0</v>
      </c>
      <c r="AS21" s="132">
        <f>Inputs!AS28*IF(Inputs!$E28="Real",1,AS$5)</f>
        <v>0</v>
      </c>
      <c r="AT21" s="132">
        <f>Inputs!AT28*IF(Inputs!$E28="Real",1,AT$5)</f>
        <v>0</v>
      </c>
      <c r="AU21" s="132">
        <f>Inputs!AU28*IF(Inputs!$E28="Real",1,AU$5)</f>
        <v>0</v>
      </c>
      <c r="AV21" s="132">
        <f>Inputs!AV28*IF(Inputs!$E28="Real",1,AV$5)</f>
        <v>0</v>
      </c>
      <c r="AW21" s="132">
        <f>Inputs!AW28*IF(Inputs!$E28="Real",1,AW$5)</f>
        <v>0</v>
      </c>
      <c r="AX21" s="132">
        <f>Inputs!AX28*IF(Inputs!$E28="Real",1,AX$5)</f>
        <v>0</v>
      </c>
      <c r="AY21" s="132">
        <f>Inputs!AY28*IF(Inputs!$E28="Real",1,AY$5)</f>
        <v>0</v>
      </c>
      <c r="AZ21" s="132">
        <f>Inputs!AZ28*IF(Inputs!$E28="Real",1,AZ$5)</f>
        <v>0</v>
      </c>
    </row>
    <row r="22" spans="1:52" x14ac:dyDescent="0.25">
      <c r="A22" s="25"/>
      <c r="B22" s="121"/>
      <c r="C22" s="121"/>
      <c r="D22" s="108" t="s">
        <v>55</v>
      </c>
      <c r="E22" s="27" t="s">
        <v>124</v>
      </c>
      <c r="F22" s="27">
        <f t="shared" ca="1" si="2"/>
        <v>2025</v>
      </c>
      <c r="G22" s="158">
        <f>Inputs!G29</f>
        <v>0</v>
      </c>
      <c r="H22" s="132">
        <f>Inputs!H29*IF(Inputs!$E29="Real",1,H$5)</f>
        <v>0</v>
      </c>
      <c r="I22" s="132">
        <f>Inputs!I29*IF(Inputs!$E29="Real",1,I$5)</f>
        <v>0</v>
      </c>
      <c r="J22" s="132">
        <f>Inputs!J29*IF(Inputs!$E29="Real",1,J$5)</f>
        <v>0</v>
      </c>
      <c r="K22" s="132">
        <f>Inputs!K29*IF(Inputs!$E29="Real",1,K$5)</f>
        <v>0</v>
      </c>
      <c r="L22" s="132">
        <f>Inputs!L29*IF(Inputs!$E29="Real",1,L$5)</f>
        <v>0</v>
      </c>
      <c r="M22" s="132">
        <f>Inputs!M29*IF(Inputs!$E29="Real",1,M$5)</f>
        <v>0</v>
      </c>
      <c r="N22" s="132">
        <f>Inputs!N29*IF(Inputs!$E29="Real",1,N$5)</f>
        <v>0</v>
      </c>
      <c r="O22" s="132">
        <f>Inputs!O29*IF(Inputs!$E29="Real",1,O$5)</f>
        <v>0</v>
      </c>
      <c r="P22" s="132">
        <f>Inputs!P29*IF(Inputs!$E29="Real",1,P$5)</f>
        <v>0</v>
      </c>
      <c r="Q22" s="132">
        <f>Inputs!Q29*IF(Inputs!$E29="Real",1,Q$5)</f>
        <v>0</v>
      </c>
      <c r="R22" s="132">
        <f>Inputs!R29*IF(Inputs!$E29="Real",1,R$5)</f>
        <v>0</v>
      </c>
      <c r="S22" s="132">
        <f>Inputs!S29*IF(Inputs!$E29="Real",1,S$5)</f>
        <v>0</v>
      </c>
      <c r="T22" s="132">
        <f>Inputs!T29*IF(Inputs!$E29="Real",1,T$5)</f>
        <v>0</v>
      </c>
      <c r="U22" s="132">
        <f>Inputs!U29*IF(Inputs!$E29="Real",1,U$5)</f>
        <v>0</v>
      </c>
      <c r="V22" s="132">
        <f>Inputs!V29*IF(Inputs!$E29="Real",1,V$5)</f>
        <v>0</v>
      </c>
      <c r="W22" s="132">
        <f>Inputs!W29*IF(Inputs!$E29="Real",1,W$5)</f>
        <v>0</v>
      </c>
      <c r="X22" s="132">
        <f>Inputs!X29*IF(Inputs!$E29="Real",1,X$5)</f>
        <v>0</v>
      </c>
      <c r="Y22" s="132">
        <f>Inputs!Y29*IF(Inputs!$E29="Real",1,Y$5)</f>
        <v>0</v>
      </c>
      <c r="Z22" s="132">
        <f>Inputs!Z29*IF(Inputs!$E29="Real",1,Z$5)</f>
        <v>0</v>
      </c>
      <c r="AA22" s="132">
        <f>Inputs!AA29*IF(Inputs!$E29="Real",1,AA$5)</f>
        <v>0</v>
      </c>
      <c r="AB22" s="132">
        <f>Inputs!AB29*IF(Inputs!$E29="Real",1,AB$5)</f>
        <v>0</v>
      </c>
      <c r="AC22" s="132">
        <f>Inputs!AC29*IF(Inputs!$E29="Real",1,AC$5)</f>
        <v>0</v>
      </c>
      <c r="AD22" s="132">
        <f>Inputs!AD29*IF(Inputs!$E29="Real",1,AD$5)</f>
        <v>0</v>
      </c>
      <c r="AE22" s="132">
        <f>Inputs!AE29*IF(Inputs!$E29="Real",1,AE$5)</f>
        <v>0</v>
      </c>
      <c r="AF22" s="132">
        <f>Inputs!AF29*IF(Inputs!$E29="Real",1,AF$5)</f>
        <v>0</v>
      </c>
      <c r="AG22" s="132">
        <f>Inputs!AG29*IF(Inputs!$E29="Real",1,AG$5)</f>
        <v>0</v>
      </c>
      <c r="AH22" s="132">
        <f>Inputs!AH29*IF(Inputs!$E29="Real",1,AH$5)</f>
        <v>0</v>
      </c>
      <c r="AI22" s="132">
        <f>Inputs!AI29*IF(Inputs!$E29="Real",1,AI$5)</f>
        <v>0</v>
      </c>
      <c r="AJ22" s="132">
        <f>Inputs!AJ29*IF(Inputs!$E29="Real",1,AJ$5)</f>
        <v>0</v>
      </c>
      <c r="AK22" s="132">
        <f>Inputs!AK29*IF(Inputs!$E29="Real",1,AK$5)</f>
        <v>0</v>
      </c>
      <c r="AL22" s="132">
        <f>Inputs!AL29*IF(Inputs!$E29="Real",1,AL$5)</f>
        <v>0</v>
      </c>
      <c r="AM22" s="132">
        <f>Inputs!AM29*IF(Inputs!$E29="Real",1,AM$5)</f>
        <v>0</v>
      </c>
      <c r="AN22" s="132">
        <f>Inputs!AN29*IF(Inputs!$E29="Real",1,AN$5)</f>
        <v>0</v>
      </c>
      <c r="AO22" s="132">
        <f>Inputs!AO29*IF(Inputs!$E29="Real",1,AO$5)</f>
        <v>0</v>
      </c>
      <c r="AP22" s="132">
        <f>Inputs!AP29*IF(Inputs!$E29="Real",1,AP$5)</f>
        <v>0</v>
      </c>
      <c r="AQ22" s="132">
        <f>Inputs!AQ29*IF(Inputs!$E29="Real",1,AQ$5)</f>
        <v>0</v>
      </c>
      <c r="AR22" s="132">
        <f>Inputs!AR29*IF(Inputs!$E29="Real",1,AR$5)</f>
        <v>0</v>
      </c>
      <c r="AS22" s="132">
        <f>Inputs!AS29*IF(Inputs!$E29="Real",1,AS$5)</f>
        <v>0</v>
      </c>
      <c r="AT22" s="132">
        <f>Inputs!AT29*IF(Inputs!$E29="Real",1,AT$5)</f>
        <v>0</v>
      </c>
      <c r="AU22" s="132">
        <f>Inputs!AU29*IF(Inputs!$E29="Real",1,AU$5)</f>
        <v>0</v>
      </c>
      <c r="AV22" s="132">
        <f>Inputs!AV29*IF(Inputs!$E29="Real",1,AV$5)</f>
        <v>0</v>
      </c>
      <c r="AW22" s="132">
        <f>Inputs!AW29*IF(Inputs!$E29="Real",1,AW$5)</f>
        <v>0</v>
      </c>
      <c r="AX22" s="132">
        <f>Inputs!AX29*IF(Inputs!$E29="Real",1,AX$5)</f>
        <v>0</v>
      </c>
      <c r="AY22" s="132">
        <f>Inputs!AY29*IF(Inputs!$E29="Real",1,AY$5)</f>
        <v>0</v>
      </c>
      <c r="AZ22" s="132">
        <f>Inputs!AZ29*IF(Inputs!$E29="Real",1,AZ$5)</f>
        <v>0</v>
      </c>
    </row>
    <row r="23" spans="1:52" x14ac:dyDescent="0.25">
      <c r="A23" s="25"/>
      <c r="B23" s="121"/>
      <c r="C23" s="121"/>
      <c r="D23" s="108" t="s">
        <v>56</v>
      </c>
      <c r="E23" s="27" t="s">
        <v>124</v>
      </c>
      <c r="F23" s="27">
        <f t="shared" ca="1" si="2"/>
        <v>2025</v>
      </c>
      <c r="G23" s="158">
        <f>Inputs!G30</f>
        <v>0</v>
      </c>
      <c r="H23" s="132">
        <f>Inputs!H30*IF(Inputs!$E30="Real",1,H$5)</f>
        <v>0</v>
      </c>
      <c r="I23" s="132">
        <f>Inputs!I30*IF(Inputs!$E30="Real",1,I$5)</f>
        <v>0</v>
      </c>
      <c r="J23" s="132">
        <f>Inputs!J30*IF(Inputs!$E30="Real",1,J$5)</f>
        <v>0</v>
      </c>
      <c r="K23" s="132">
        <f>Inputs!K30*IF(Inputs!$E30="Real",1,K$5)</f>
        <v>0</v>
      </c>
      <c r="L23" s="132">
        <f>Inputs!L30*IF(Inputs!$E30="Real",1,L$5)</f>
        <v>0</v>
      </c>
      <c r="M23" s="132">
        <f>Inputs!M30*IF(Inputs!$E30="Real",1,M$5)</f>
        <v>0</v>
      </c>
      <c r="N23" s="132">
        <f>Inputs!N30*IF(Inputs!$E30="Real",1,N$5)</f>
        <v>0</v>
      </c>
      <c r="O23" s="132">
        <f>Inputs!O30*IF(Inputs!$E30="Real",1,O$5)</f>
        <v>0</v>
      </c>
      <c r="P23" s="132">
        <f>Inputs!P30*IF(Inputs!$E30="Real",1,P$5)</f>
        <v>0</v>
      </c>
      <c r="Q23" s="132">
        <f>Inputs!Q30*IF(Inputs!$E30="Real",1,Q$5)</f>
        <v>0</v>
      </c>
      <c r="R23" s="132">
        <f>Inputs!R30*IF(Inputs!$E30="Real",1,R$5)</f>
        <v>0</v>
      </c>
      <c r="S23" s="132">
        <f>Inputs!S30*IF(Inputs!$E30="Real",1,S$5)</f>
        <v>0</v>
      </c>
      <c r="T23" s="132">
        <f>Inputs!T30*IF(Inputs!$E30="Real",1,T$5)</f>
        <v>0</v>
      </c>
      <c r="U23" s="132">
        <f>Inputs!U30*IF(Inputs!$E30="Real",1,U$5)</f>
        <v>0</v>
      </c>
      <c r="V23" s="132">
        <f>Inputs!V30*IF(Inputs!$E30="Real",1,V$5)</f>
        <v>0</v>
      </c>
      <c r="W23" s="132">
        <f>Inputs!W30*IF(Inputs!$E30="Real",1,W$5)</f>
        <v>0</v>
      </c>
      <c r="X23" s="132">
        <f>Inputs!X30*IF(Inputs!$E30="Real",1,X$5)</f>
        <v>0</v>
      </c>
      <c r="Y23" s="132">
        <f>Inputs!Y30*IF(Inputs!$E30="Real",1,Y$5)</f>
        <v>0</v>
      </c>
      <c r="Z23" s="132">
        <f>Inputs!Z30*IF(Inputs!$E30="Real",1,Z$5)</f>
        <v>0</v>
      </c>
      <c r="AA23" s="132">
        <f>Inputs!AA30*IF(Inputs!$E30="Real",1,AA$5)</f>
        <v>0</v>
      </c>
      <c r="AB23" s="132">
        <f>Inputs!AB30*IF(Inputs!$E30="Real",1,AB$5)</f>
        <v>0</v>
      </c>
      <c r="AC23" s="132">
        <f>Inputs!AC30*IF(Inputs!$E30="Real",1,AC$5)</f>
        <v>0</v>
      </c>
      <c r="AD23" s="132">
        <f>Inputs!AD30*IF(Inputs!$E30="Real",1,AD$5)</f>
        <v>0</v>
      </c>
      <c r="AE23" s="132">
        <f>Inputs!AE30*IF(Inputs!$E30="Real",1,AE$5)</f>
        <v>0</v>
      </c>
      <c r="AF23" s="132">
        <f>Inputs!AF30*IF(Inputs!$E30="Real",1,AF$5)</f>
        <v>0</v>
      </c>
      <c r="AG23" s="132">
        <f>Inputs!AG30*IF(Inputs!$E30="Real",1,AG$5)</f>
        <v>0</v>
      </c>
      <c r="AH23" s="132">
        <f>Inputs!AH30*IF(Inputs!$E30="Real",1,AH$5)</f>
        <v>0</v>
      </c>
      <c r="AI23" s="132">
        <f>Inputs!AI30*IF(Inputs!$E30="Real",1,AI$5)</f>
        <v>0</v>
      </c>
      <c r="AJ23" s="132">
        <f>Inputs!AJ30*IF(Inputs!$E30="Real",1,AJ$5)</f>
        <v>0</v>
      </c>
      <c r="AK23" s="132">
        <f>Inputs!AK30*IF(Inputs!$E30="Real",1,AK$5)</f>
        <v>0</v>
      </c>
      <c r="AL23" s="132">
        <f>Inputs!AL30*IF(Inputs!$E30="Real",1,AL$5)</f>
        <v>0</v>
      </c>
      <c r="AM23" s="132">
        <f>Inputs!AM30*IF(Inputs!$E30="Real",1,AM$5)</f>
        <v>0</v>
      </c>
      <c r="AN23" s="132">
        <f>Inputs!AN30*IF(Inputs!$E30="Real",1,AN$5)</f>
        <v>0</v>
      </c>
      <c r="AO23" s="132">
        <f>Inputs!AO30*IF(Inputs!$E30="Real",1,AO$5)</f>
        <v>0</v>
      </c>
      <c r="AP23" s="132">
        <f>Inputs!AP30*IF(Inputs!$E30="Real",1,AP$5)</f>
        <v>0</v>
      </c>
      <c r="AQ23" s="132">
        <f>Inputs!AQ30*IF(Inputs!$E30="Real",1,AQ$5)</f>
        <v>0</v>
      </c>
      <c r="AR23" s="132">
        <f>Inputs!AR30*IF(Inputs!$E30="Real",1,AR$5)</f>
        <v>0</v>
      </c>
      <c r="AS23" s="132">
        <f>Inputs!AS30*IF(Inputs!$E30="Real",1,AS$5)</f>
        <v>0</v>
      </c>
      <c r="AT23" s="132">
        <f>Inputs!AT30*IF(Inputs!$E30="Real",1,AT$5)</f>
        <v>0</v>
      </c>
      <c r="AU23" s="132">
        <f>Inputs!AU30*IF(Inputs!$E30="Real",1,AU$5)</f>
        <v>0</v>
      </c>
      <c r="AV23" s="132">
        <f>Inputs!AV30*IF(Inputs!$E30="Real",1,AV$5)</f>
        <v>0</v>
      </c>
      <c r="AW23" s="132">
        <f>Inputs!AW30*IF(Inputs!$E30="Real",1,AW$5)</f>
        <v>0</v>
      </c>
      <c r="AX23" s="132">
        <f>Inputs!AX30*IF(Inputs!$E30="Real",1,AX$5)</f>
        <v>0</v>
      </c>
      <c r="AY23" s="132">
        <f>Inputs!AY30*IF(Inputs!$E30="Real",1,AY$5)</f>
        <v>0</v>
      </c>
      <c r="AZ23" s="132">
        <f>Inputs!AZ30*IF(Inputs!$E30="Real",1,AZ$5)</f>
        <v>0</v>
      </c>
    </row>
    <row r="24" spans="1:52" x14ac:dyDescent="0.25">
      <c r="A24" s="25"/>
      <c r="B24" s="121"/>
      <c r="C24" s="121"/>
      <c r="D24" s="108" t="s">
        <v>57</v>
      </c>
      <c r="E24" s="27" t="s">
        <v>124</v>
      </c>
      <c r="F24" s="27">
        <f t="shared" ca="1" si="2"/>
        <v>2025</v>
      </c>
      <c r="G24" s="158">
        <f>Inputs!G31</f>
        <v>0</v>
      </c>
      <c r="H24" s="132">
        <f>Inputs!H31*IF(Inputs!$E31="Real",1,H$5)</f>
        <v>0</v>
      </c>
      <c r="I24" s="132">
        <f>Inputs!I31*IF(Inputs!$E31="Real",1,I$5)</f>
        <v>0</v>
      </c>
      <c r="J24" s="132">
        <f>Inputs!J31*IF(Inputs!$E31="Real",1,J$5)</f>
        <v>0</v>
      </c>
      <c r="K24" s="132">
        <f>Inputs!K31*IF(Inputs!$E31="Real",1,K$5)</f>
        <v>0</v>
      </c>
      <c r="L24" s="132">
        <f>Inputs!L31*IF(Inputs!$E31="Real",1,L$5)</f>
        <v>0</v>
      </c>
      <c r="M24" s="132">
        <f>Inputs!M31*IF(Inputs!$E31="Real",1,M$5)</f>
        <v>0</v>
      </c>
      <c r="N24" s="132">
        <f>Inputs!N31*IF(Inputs!$E31="Real",1,N$5)</f>
        <v>0</v>
      </c>
      <c r="O24" s="132">
        <f>Inputs!O31*IF(Inputs!$E31="Real",1,O$5)</f>
        <v>0</v>
      </c>
      <c r="P24" s="132">
        <f>Inputs!P31*IF(Inputs!$E31="Real",1,P$5)</f>
        <v>0</v>
      </c>
      <c r="Q24" s="132">
        <f>Inputs!Q31*IF(Inputs!$E31="Real",1,Q$5)</f>
        <v>0</v>
      </c>
      <c r="R24" s="132">
        <f>Inputs!R31*IF(Inputs!$E31="Real",1,R$5)</f>
        <v>0</v>
      </c>
      <c r="S24" s="132">
        <f>Inputs!S31*IF(Inputs!$E31="Real",1,S$5)</f>
        <v>0</v>
      </c>
      <c r="T24" s="132">
        <f>Inputs!T31*IF(Inputs!$E31="Real",1,T$5)</f>
        <v>0</v>
      </c>
      <c r="U24" s="132">
        <f>Inputs!U31*IF(Inputs!$E31="Real",1,U$5)</f>
        <v>0</v>
      </c>
      <c r="V24" s="132">
        <f>Inputs!V31*IF(Inputs!$E31="Real",1,V$5)</f>
        <v>0</v>
      </c>
      <c r="W24" s="132">
        <f>Inputs!W31*IF(Inputs!$E31="Real",1,W$5)</f>
        <v>0</v>
      </c>
      <c r="X24" s="132">
        <f>Inputs!X31*IF(Inputs!$E31="Real",1,X$5)</f>
        <v>0</v>
      </c>
      <c r="Y24" s="132">
        <f>Inputs!Y31*IF(Inputs!$E31="Real",1,Y$5)</f>
        <v>0</v>
      </c>
      <c r="Z24" s="132">
        <f>Inputs!Z31*IF(Inputs!$E31="Real",1,Z$5)</f>
        <v>0</v>
      </c>
      <c r="AA24" s="132">
        <f>Inputs!AA31*IF(Inputs!$E31="Real",1,AA$5)</f>
        <v>0</v>
      </c>
      <c r="AB24" s="132">
        <f>Inputs!AB31*IF(Inputs!$E31="Real",1,AB$5)</f>
        <v>0</v>
      </c>
      <c r="AC24" s="132">
        <f>Inputs!AC31*IF(Inputs!$E31="Real",1,AC$5)</f>
        <v>0</v>
      </c>
      <c r="AD24" s="132">
        <f>Inputs!AD31*IF(Inputs!$E31="Real",1,AD$5)</f>
        <v>0</v>
      </c>
      <c r="AE24" s="132">
        <f>Inputs!AE31*IF(Inputs!$E31="Real",1,AE$5)</f>
        <v>0</v>
      </c>
      <c r="AF24" s="132">
        <f>Inputs!AF31*IF(Inputs!$E31="Real",1,AF$5)</f>
        <v>0</v>
      </c>
      <c r="AG24" s="132">
        <f>Inputs!AG31*IF(Inputs!$E31="Real",1,AG$5)</f>
        <v>0</v>
      </c>
      <c r="AH24" s="132">
        <f>Inputs!AH31*IF(Inputs!$E31="Real",1,AH$5)</f>
        <v>0</v>
      </c>
      <c r="AI24" s="132">
        <f>Inputs!AI31*IF(Inputs!$E31="Real",1,AI$5)</f>
        <v>0</v>
      </c>
      <c r="AJ24" s="132">
        <f>Inputs!AJ31*IF(Inputs!$E31="Real",1,AJ$5)</f>
        <v>0</v>
      </c>
      <c r="AK24" s="132">
        <f>Inputs!AK31*IF(Inputs!$E31="Real",1,AK$5)</f>
        <v>0</v>
      </c>
      <c r="AL24" s="132">
        <f>Inputs!AL31*IF(Inputs!$E31="Real",1,AL$5)</f>
        <v>0</v>
      </c>
      <c r="AM24" s="132">
        <f>Inputs!AM31*IF(Inputs!$E31="Real",1,AM$5)</f>
        <v>0</v>
      </c>
      <c r="AN24" s="132">
        <f>Inputs!AN31*IF(Inputs!$E31="Real",1,AN$5)</f>
        <v>0</v>
      </c>
      <c r="AO24" s="132">
        <f>Inputs!AO31*IF(Inputs!$E31="Real",1,AO$5)</f>
        <v>0</v>
      </c>
      <c r="AP24" s="132">
        <f>Inputs!AP31*IF(Inputs!$E31="Real",1,AP$5)</f>
        <v>0</v>
      </c>
      <c r="AQ24" s="132">
        <f>Inputs!AQ31*IF(Inputs!$E31="Real",1,AQ$5)</f>
        <v>0</v>
      </c>
      <c r="AR24" s="132">
        <f>Inputs!AR31*IF(Inputs!$E31="Real",1,AR$5)</f>
        <v>0</v>
      </c>
      <c r="AS24" s="132">
        <f>Inputs!AS31*IF(Inputs!$E31="Real",1,AS$5)</f>
        <v>0</v>
      </c>
      <c r="AT24" s="132">
        <f>Inputs!AT31*IF(Inputs!$E31="Real",1,AT$5)</f>
        <v>0</v>
      </c>
      <c r="AU24" s="132">
        <f>Inputs!AU31*IF(Inputs!$E31="Real",1,AU$5)</f>
        <v>0</v>
      </c>
      <c r="AV24" s="132">
        <f>Inputs!AV31*IF(Inputs!$E31="Real",1,AV$5)</f>
        <v>0</v>
      </c>
      <c r="AW24" s="132">
        <f>Inputs!AW31*IF(Inputs!$E31="Real",1,AW$5)</f>
        <v>0</v>
      </c>
      <c r="AX24" s="132">
        <f>Inputs!AX31*IF(Inputs!$E31="Real",1,AX$5)</f>
        <v>0</v>
      </c>
      <c r="AY24" s="132">
        <f>Inputs!AY31*IF(Inputs!$E31="Real",1,AY$5)</f>
        <v>0</v>
      </c>
      <c r="AZ24" s="132">
        <f>Inputs!AZ31*IF(Inputs!$E31="Real",1,AZ$5)</f>
        <v>0</v>
      </c>
    </row>
    <row r="25" spans="1:52" x14ac:dyDescent="0.25">
      <c r="A25" s="25"/>
      <c r="B25" s="121"/>
      <c r="C25" s="121"/>
      <c r="D25" s="108" t="s">
        <v>58</v>
      </c>
      <c r="E25" s="27" t="s">
        <v>124</v>
      </c>
      <c r="F25" s="27">
        <f t="shared" ca="1" si="2"/>
        <v>2025</v>
      </c>
      <c r="G25" s="158">
        <f>Inputs!G32</f>
        <v>0</v>
      </c>
      <c r="H25" s="132">
        <f>Inputs!H32*IF(Inputs!$E32="Real",1,H$5)</f>
        <v>0</v>
      </c>
      <c r="I25" s="132">
        <f>Inputs!I32*IF(Inputs!$E32="Real",1,I$5)</f>
        <v>0</v>
      </c>
      <c r="J25" s="132">
        <f>Inputs!J32*IF(Inputs!$E32="Real",1,J$5)</f>
        <v>0</v>
      </c>
      <c r="K25" s="132">
        <f>Inputs!K32*IF(Inputs!$E32="Real",1,K$5)</f>
        <v>0</v>
      </c>
      <c r="L25" s="132">
        <f>Inputs!L32*IF(Inputs!$E32="Real",1,L$5)</f>
        <v>0</v>
      </c>
      <c r="M25" s="132">
        <f>Inputs!M32*IF(Inputs!$E32="Real",1,M$5)</f>
        <v>0</v>
      </c>
      <c r="N25" s="132">
        <f>Inputs!N32*IF(Inputs!$E32="Real",1,N$5)</f>
        <v>0</v>
      </c>
      <c r="O25" s="132">
        <f>Inputs!O32*IF(Inputs!$E32="Real",1,O$5)</f>
        <v>0</v>
      </c>
      <c r="P25" s="132">
        <f>Inputs!P32*IF(Inputs!$E32="Real",1,P$5)</f>
        <v>0</v>
      </c>
      <c r="Q25" s="132">
        <f>Inputs!Q32*IF(Inputs!$E32="Real",1,Q$5)</f>
        <v>0</v>
      </c>
      <c r="R25" s="132">
        <f>Inputs!R32*IF(Inputs!$E32="Real",1,R$5)</f>
        <v>0</v>
      </c>
      <c r="S25" s="132">
        <f>Inputs!S32*IF(Inputs!$E32="Real",1,S$5)</f>
        <v>0</v>
      </c>
      <c r="T25" s="132">
        <f>Inputs!T32*IF(Inputs!$E32="Real",1,T$5)</f>
        <v>0</v>
      </c>
      <c r="U25" s="132">
        <f>Inputs!U32*IF(Inputs!$E32="Real",1,U$5)</f>
        <v>0</v>
      </c>
      <c r="V25" s="132">
        <f>Inputs!V32*IF(Inputs!$E32="Real",1,V$5)</f>
        <v>0</v>
      </c>
      <c r="W25" s="132">
        <f>Inputs!W32*IF(Inputs!$E32="Real",1,W$5)</f>
        <v>0</v>
      </c>
      <c r="X25" s="132">
        <f>Inputs!X32*IF(Inputs!$E32="Real",1,X$5)</f>
        <v>0</v>
      </c>
      <c r="Y25" s="132">
        <f>Inputs!Y32*IF(Inputs!$E32="Real",1,Y$5)</f>
        <v>0</v>
      </c>
      <c r="Z25" s="132">
        <f>Inputs!Z32*IF(Inputs!$E32="Real",1,Z$5)</f>
        <v>0</v>
      </c>
      <c r="AA25" s="132">
        <f>Inputs!AA32*IF(Inputs!$E32="Real",1,AA$5)</f>
        <v>0</v>
      </c>
      <c r="AB25" s="132">
        <f>Inputs!AB32*IF(Inputs!$E32="Real",1,AB$5)</f>
        <v>0</v>
      </c>
      <c r="AC25" s="132">
        <f>Inputs!AC32*IF(Inputs!$E32="Real",1,AC$5)</f>
        <v>0</v>
      </c>
      <c r="AD25" s="132">
        <f>Inputs!AD32*IF(Inputs!$E32="Real",1,AD$5)</f>
        <v>0</v>
      </c>
      <c r="AE25" s="132">
        <f>Inputs!AE32*IF(Inputs!$E32="Real",1,AE$5)</f>
        <v>0</v>
      </c>
      <c r="AF25" s="132">
        <f>Inputs!AF32*IF(Inputs!$E32="Real",1,AF$5)</f>
        <v>0</v>
      </c>
      <c r="AG25" s="132">
        <f>Inputs!AG32*IF(Inputs!$E32="Real",1,AG$5)</f>
        <v>0</v>
      </c>
      <c r="AH25" s="132">
        <f>Inputs!AH32*IF(Inputs!$E32="Real",1,AH$5)</f>
        <v>0</v>
      </c>
      <c r="AI25" s="132">
        <f>Inputs!AI32*IF(Inputs!$E32="Real",1,AI$5)</f>
        <v>0</v>
      </c>
      <c r="AJ25" s="132">
        <f>Inputs!AJ32*IF(Inputs!$E32="Real",1,AJ$5)</f>
        <v>0</v>
      </c>
      <c r="AK25" s="132">
        <f>Inputs!AK32*IF(Inputs!$E32="Real",1,AK$5)</f>
        <v>0</v>
      </c>
      <c r="AL25" s="132">
        <f>Inputs!AL32*IF(Inputs!$E32="Real",1,AL$5)</f>
        <v>0</v>
      </c>
      <c r="AM25" s="132">
        <f>Inputs!AM32*IF(Inputs!$E32="Real",1,AM$5)</f>
        <v>0</v>
      </c>
      <c r="AN25" s="132">
        <f>Inputs!AN32*IF(Inputs!$E32="Real",1,AN$5)</f>
        <v>0</v>
      </c>
      <c r="AO25" s="132">
        <f>Inputs!AO32*IF(Inputs!$E32="Real",1,AO$5)</f>
        <v>0</v>
      </c>
      <c r="AP25" s="132">
        <f>Inputs!AP32*IF(Inputs!$E32="Real",1,AP$5)</f>
        <v>0</v>
      </c>
      <c r="AQ25" s="132">
        <f>Inputs!AQ32*IF(Inputs!$E32="Real",1,AQ$5)</f>
        <v>0</v>
      </c>
      <c r="AR25" s="132">
        <f>Inputs!AR32*IF(Inputs!$E32="Real",1,AR$5)</f>
        <v>0</v>
      </c>
      <c r="AS25" s="132">
        <f>Inputs!AS32*IF(Inputs!$E32="Real",1,AS$5)</f>
        <v>0</v>
      </c>
      <c r="AT25" s="132">
        <f>Inputs!AT32*IF(Inputs!$E32="Real",1,AT$5)</f>
        <v>0</v>
      </c>
      <c r="AU25" s="132">
        <f>Inputs!AU32*IF(Inputs!$E32="Real",1,AU$5)</f>
        <v>0</v>
      </c>
      <c r="AV25" s="132">
        <f>Inputs!AV32*IF(Inputs!$E32="Real",1,AV$5)</f>
        <v>0</v>
      </c>
      <c r="AW25" s="132">
        <f>Inputs!AW32*IF(Inputs!$E32="Real",1,AW$5)</f>
        <v>0</v>
      </c>
      <c r="AX25" s="132">
        <f>Inputs!AX32*IF(Inputs!$E32="Real",1,AX$5)</f>
        <v>0</v>
      </c>
      <c r="AY25" s="132">
        <f>Inputs!AY32*IF(Inputs!$E32="Real",1,AY$5)</f>
        <v>0</v>
      </c>
      <c r="AZ25" s="132">
        <f>Inputs!AZ32*IF(Inputs!$E32="Real",1,AZ$5)</f>
        <v>0</v>
      </c>
    </row>
    <row r="26" spans="1:52" x14ac:dyDescent="0.25">
      <c r="A26" s="25"/>
      <c r="B26" s="121"/>
      <c r="C26" s="121"/>
      <c r="D26" s="27" t="s">
        <v>59</v>
      </c>
      <c r="E26" s="27" t="s">
        <v>124</v>
      </c>
      <c r="F26" s="27">
        <f t="shared" ca="1" si="2"/>
        <v>2025</v>
      </c>
      <c r="G26" s="158">
        <f>Inputs!G33</f>
        <v>0</v>
      </c>
      <c r="H26" s="132">
        <f>Inputs!H33*IF(Inputs!$E33="Real",1,H$5)</f>
        <v>0</v>
      </c>
      <c r="I26" s="132">
        <f>Inputs!I33*IF(Inputs!$E33="Real",1,I$5)</f>
        <v>0</v>
      </c>
      <c r="J26" s="132">
        <f>Inputs!J33*IF(Inputs!$E33="Real",1,J$5)</f>
        <v>0</v>
      </c>
      <c r="K26" s="132">
        <f>Inputs!K33*IF(Inputs!$E33="Real",1,K$5)</f>
        <v>0</v>
      </c>
      <c r="L26" s="132">
        <f>Inputs!L33*IF(Inputs!$E33="Real",1,L$5)</f>
        <v>0</v>
      </c>
      <c r="M26" s="132">
        <f>Inputs!M33*IF(Inputs!$E33="Real",1,M$5)</f>
        <v>0</v>
      </c>
      <c r="N26" s="132">
        <f>Inputs!N33*IF(Inputs!$E33="Real",1,N$5)</f>
        <v>0</v>
      </c>
      <c r="O26" s="132">
        <f>Inputs!O33*IF(Inputs!$E33="Real",1,O$5)</f>
        <v>0</v>
      </c>
      <c r="P26" s="132">
        <f>Inputs!P33*IF(Inputs!$E33="Real",1,P$5)</f>
        <v>0</v>
      </c>
      <c r="Q26" s="132">
        <f>Inputs!Q33*IF(Inputs!$E33="Real",1,Q$5)</f>
        <v>0</v>
      </c>
      <c r="R26" s="132">
        <f>Inputs!R33*IF(Inputs!$E33="Real",1,R$5)</f>
        <v>0</v>
      </c>
      <c r="S26" s="132">
        <f>Inputs!S33*IF(Inputs!$E33="Real",1,S$5)</f>
        <v>0</v>
      </c>
      <c r="T26" s="132">
        <f>Inputs!T33*IF(Inputs!$E33="Real",1,T$5)</f>
        <v>0</v>
      </c>
      <c r="U26" s="132">
        <f>Inputs!U33*IF(Inputs!$E33="Real",1,U$5)</f>
        <v>0</v>
      </c>
      <c r="V26" s="132">
        <f>Inputs!V33*IF(Inputs!$E33="Real",1,V$5)</f>
        <v>0</v>
      </c>
      <c r="W26" s="132">
        <f>Inputs!W33*IF(Inputs!$E33="Real",1,W$5)</f>
        <v>0</v>
      </c>
      <c r="X26" s="132">
        <f>Inputs!X33*IF(Inputs!$E33="Real",1,X$5)</f>
        <v>0</v>
      </c>
      <c r="Y26" s="132">
        <f>Inputs!Y33*IF(Inputs!$E33="Real",1,Y$5)</f>
        <v>0</v>
      </c>
      <c r="Z26" s="132">
        <f>Inputs!Z33*IF(Inputs!$E33="Real",1,Z$5)</f>
        <v>0</v>
      </c>
      <c r="AA26" s="132">
        <f>Inputs!AA33*IF(Inputs!$E33="Real",1,AA$5)</f>
        <v>0</v>
      </c>
      <c r="AB26" s="132">
        <f>Inputs!AB33*IF(Inputs!$E33="Real",1,AB$5)</f>
        <v>0</v>
      </c>
      <c r="AC26" s="132">
        <f>Inputs!AC33*IF(Inputs!$E33="Real",1,AC$5)</f>
        <v>0</v>
      </c>
      <c r="AD26" s="132">
        <f>Inputs!AD33*IF(Inputs!$E33="Real",1,AD$5)</f>
        <v>0</v>
      </c>
      <c r="AE26" s="132">
        <f>Inputs!AE33*IF(Inputs!$E33="Real",1,AE$5)</f>
        <v>0</v>
      </c>
      <c r="AF26" s="132">
        <f>Inputs!AF33*IF(Inputs!$E33="Real",1,AF$5)</f>
        <v>0</v>
      </c>
      <c r="AG26" s="132">
        <f>Inputs!AG33*IF(Inputs!$E33="Real",1,AG$5)</f>
        <v>0</v>
      </c>
      <c r="AH26" s="132">
        <f>Inputs!AH33*IF(Inputs!$E33="Real",1,AH$5)</f>
        <v>0</v>
      </c>
      <c r="AI26" s="132">
        <f>Inputs!AI33*IF(Inputs!$E33="Real",1,AI$5)</f>
        <v>0</v>
      </c>
      <c r="AJ26" s="132">
        <f>Inputs!AJ33*IF(Inputs!$E33="Real",1,AJ$5)</f>
        <v>0</v>
      </c>
      <c r="AK26" s="132">
        <f>Inputs!AK33*IF(Inputs!$E33="Real",1,AK$5)</f>
        <v>0</v>
      </c>
      <c r="AL26" s="132">
        <f>Inputs!AL33*IF(Inputs!$E33="Real",1,AL$5)</f>
        <v>0</v>
      </c>
      <c r="AM26" s="132">
        <f>Inputs!AM33*IF(Inputs!$E33="Real",1,AM$5)</f>
        <v>0</v>
      </c>
      <c r="AN26" s="132">
        <f>Inputs!AN33*IF(Inputs!$E33="Real",1,AN$5)</f>
        <v>0</v>
      </c>
      <c r="AO26" s="132">
        <f>Inputs!AO33*IF(Inputs!$E33="Real",1,AO$5)</f>
        <v>0</v>
      </c>
      <c r="AP26" s="132">
        <f>Inputs!AP33*IF(Inputs!$E33="Real",1,AP$5)</f>
        <v>0</v>
      </c>
      <c r="AQ26" s="132">
        <f>Inputs!AQ33*IF(Inputs!$E33="Real",1,AQ$5)</f>
        <v>0</v>
      </c>
      <c r="AR26" s="132">
        <f>Inputs!AR33*IF(Inputs!$E33="Real",1,AR$5)</f>
        <v>0</v>
      </c>
      <c r="AS26" s="132">
        <f>Inputs!AS33*IF(Inputs!$E33="Real",1,AS$5)</f>
        <v>0</v>
      </c>
      <c r="AT26" s="132">
        <f>Inputs!AT33*IF(Inputs!$E33="Real",1,AT$5)</f>
        <v>0</v>
      </c>
      <c r="AU26" s="132">
        <f>Inputs!AU33*IF(Inputs!$E33="Real",1,AU$5)</f>
        <v>0</v>
      </c>
      <c r="AV26" s="132">
        <f>Inputs!AV33*IF(Inputs!$E33="Real",1,AV$5)</f>
        <v>0</v>
      </c>
      <c r="AW26" s="132">
        <f>Inputs!AW33*IF(Inputs!$E33="Real",1,AW$5)</f>
        <v>0</v>
      </c>
      <c r="AX26" s="132">
        <f>Inputs!AX33*IF(Inputs!$E33="Real",1,AX$5)</f>
        <v>0</v>
      </c>
      <c r="AY26" s="132">
        <f>Inputs!AY33*IF(Inputs!$E33="Real",1,AY$5)</f>
        <v>0</v>
      </c>
      <c r="AZ26" s="132">
        <f>Inputs!AZ33*IF(Inputs!$E33="Real",1,AZ$5)</f>
        <v>0</v>
      </c>
    </row>
    <row r="27" spans="1:52" x14ac:dyDescent="0.25">
      <c r="A27" s="25"/>
      <c r="B27" s="4"/>
      <c r="C27" s="4"/>
      <c r="D27" s="9" t="str">
        <f ca="1">"Total capex in "&amp;Analysis_year&amp;" dollars"</f>
        <v>Total capex in 2025 dollars</v>
      </c>
      <c r="E27" s="9"/>
      <c r="F27" s="9"/>
      <c r="H27" s="104">
        <f>SUBTOTAL(109,Capex_BC[2026])</f>
        <v>0</v>
      </c>
      <c r="I27" s="104">
        <f>SUBTOTAL(109,Capex_BC[2027])</f>
        <v>0</v>
      </c>
      <c r="J27" s="104">
        <f>SUBTOTAL(109,Capex_BC[2028])</f>
        <v>0</v>
      </c>
      <c r="K27" s="104">
        <f>SUBTOTAL(109,Capex_BC[2029])</f>
        <v>0</v>
      </c>
      <c r="L27" s="104">
        <f>SUBTOTAL(109,Capex_BC[2030])</f>
        <v>0</v>
      </c>
      <c r="M27" s="104">
        <f>SUBTOTAL(109,Capex_BC[2031])</f>
        <v>0</v>
      </c>
      <c r="N27" s="104">
        <f>SUBTOTAL(109,Capex_BC[2032])</f>
        <v>0</v>
      </c>
      <c r="O27" s="104">
        <f>SUBTOTAL(109,Capex_BC[2033])</f>
        <v>0</v>
      </c>
      <c r="P27" s="104">
        <f>SUBTOTAL(109,Capex_BC[2034])</f>
        <v>0</v>
      </c>
      <c r="Q27" s="104">
        <f>SUBTOTAL(109,Capex_BC[2035])</f>
        <v>0</v>
      </c>
      <c r="R27" s="104">
        <f>SUBTOTAL(109,Capex_BC[2036])</f>
        <v>0</v>
      </c>
      <c r="S27" s="104">
        <f>SUBTOTAL(109,Capex_BC[2037])</f>
        <v>0</v>
      </c>
      <c r="T27" s="104">
        <f>SUBTOTAL(109,Capex_BC[2038])</f>
        <v>0</v>
      </c>
      <c r="U27" s="104">
        <f>SUBTOTAL(109,Capex_BC[2039])</f>
        <v>0</v>
      </c>
      <c r="V27" s="104">
        <f>SUBTOTAL(109,Capex_BC[2040])</f>
        <v>0</v>
      </c>
      <c r="W27" s="104">
        <f>SUBTOTAL(109,Capex_BC[2041])</f>
        <v>0</v>
      </c>
      <c r="X27" s="104">
        <f>SUBTOTAL(109,Capex_BC[2042])</f>
        <v>0</v>
      </c>
      <c r="Y27" s="104">
        <f>SUBTOTAL(109,Capex_BC[2043])</f>
        <v>0</v>
      </c>
      <c r="Z27" s="104">
        <f>SUBTOTAL(109,Capex_BC[2044])</f>
        <v>0</v>
      </c>
      <c r="AA27" s="104">
        <f>SUBTOTAL(109,Capex_BC[2045])</f>
        <v>0</v>
      </c>
      <c r="AB27" s="104">
        <f>SUBTOTAL(109,Capex_BC[2046])</f>
        <v>0</v>
      </c>
      <c r="AC27" s="104">
        <f>SUBTOTAL(109,Capex_BC[2047])</f>
        <v>0</v>
      </c>
      <c r="AD27" s="104">
        <f>SUBTOTAL(109,Capex_BC[2048])</f>
        <v>0</v>
      </c>
      <c r="AE27" s="104">
        <f>SUBTOTAL(109,Capex_BC[2049])</f>
        <v>0</v>
      </c>
      <c r="AF27" s="104">
        <f>SUBTOTAL(109,Capex_BC[2050])</f>
        <v>0</v>
      </c>
      <c r="AG27" s="104">
        <f>SUBTOTAL(109,Capex_BC[2051])</f>
        <v>0</v>
      </c>
      <c r="AH27" s="104">
        <f>SUBTOTAL(109,Capex_BC[2052])</f>
        <v>0</v>
      </c>
      <c r="AI27" s="104">
        <f>SUBTOTAL(109,Capex_BC[2053])</f>
        <v>0</v>
      </c>
      <c r="AJ27" s="104">
        <f>SUBTOTAL(109,Capex_BC[2054])</f>
        <v>0</v>
      </c>
      <c r="AK27" s="104">
        <f>SUBTOTAL(109,Capex_BC[2055])</f>
        <v>0</v>
      </c>
      <c r="AL27" s="104">
        <f>SUBTOTAL(109,Capex_BC[2056])</f>
        <v>0</v>
      </c>
      <c r="AM27" s="104">
        <f>SUBTOTAL(109,Capex_BC[2057])</f>
        <v>0</v>
      </c>
      <c r="AN27" s="104">
        <f>SUBTOTAL(109,Capex_BC[2058])</f>
        <v>0</v>
      </c>
      <c r="AO27" s="104">
        <f>SUBTOTAL(109,Capex_BC[2059])</f>
        <v>0</v>
      </c>
      <c r="AP27" s="104">
        <f>SUBTOTAL(109,Capex_BC[2060])</f>
        <v>0</v>
      </c>
      <c r="AQ27" s="104">
        <f>SUBTOTAL(109,Capex_BC[2061])</f>
        <v>0</v>
      </c>
      <c r="AR27" s="104">
        <f>SUBTOTAL(109,Capex_BC[2062])</f>
        <v>0</v>
      </c>
      <c r="AS27" s="104">
        <f>SUBTOTAL(109,Capex_BC[2063])</f>
        <v>0</v>
      </c>
      <c r="AT27" s="104">
        <f>SUBTOTAL(109,Capex_BC[2064])</f>
        <v>0</v>
      </c>
      <c r="AU27" s="104">
        <f>SUBTOTAL(109,Capex_BC[2065])</f>
        <v>0</v>
      </c>
      <c r="AV27" s="104">
        <f>SUBTOTAL(109,Capex_BC[2066])</f>
        <v>0</v>
      </c>
      <c r="AW27" s="104">
        <f>SUBTOTAL(109,Capex_BC[2067])</f>
        <v>0</v>
      </c>
      <c r="AX27" s="104">
        <f>SUBTOTAL(109,Capex_BC[2068])</f>
        <v>0</v>
      </c>
      <c r="AY27" s="104">
        <f>SUBTOTAL(109,Capex_BC[2069])</f>
        <v>0</v>
      </c>
      <c r="AZ27" s="104">
        <f>SUBTOTAL(109,Capex_BC[2070])</f>
        <v>0</v>
      </c>
    </row>
    <row r="28" spans="1:52" x14ac:dyDescent="0.25">
      <c r="A28" s="25"/>
      <c r="B28" s="4"/>
      <c r="C28" s="4"/>
      <c r="D28" s="9"/>
      <c r="E28" s="9"/>
      <c r="F28" s="9"/>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row>
    <row r="29" spans="1:52" ht="18.75" x14ac:dyDescent="0.3">
      <c r="A29" s="18" t="s">
        <v>63</v>
      </c>
      <c r="B29" s="4"/>
      <c r="C29" s="4"/>
      <c r="D29" s="18"/>
      <c r="E29" s="18"/>
      <c r="F29" s="4"/>
      <c r="G29" s="4"/>
      <c r="H29" s="4"/>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row>
    <row r="30" spans="1:52" ht="18.75" x14ac:dyDescent="0.3">
      <c r="A30" s="3" t="s">
        <v>64</v>
      </c>
      <c r="B30" s="18"/>
      <c r="C30" s="18"/>
      <c r="D30" s="4"/>
      <c r="E30" s="4"/>
      <c r="F30" s="4"/>
      <c r="G30" s="4"/>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row>
    <row r="31" spans="1:52" ht="60.75" x14ac:dyDescent="0.3">
      <c r="A31" s="52" t="s">
        <v>50</v>
      </c>
      <c r="B31" s="48"/>
      <c r="C31" s="48"/>
      <c r="D31" s="52" t="s">
        <v>66</v>
      </c>
      <c r="E31" s="61" t="s">
        <v>48</v>
      </c>
      <c r="F31" s="61" t="s">
        <v>319</v>
      </c>
      <c r="G31" s="53" t="s">
        <v>52</v>
      </c>
      <c r="H31" s="62" t="s">
        <v>77</v>
      </c>
      <c r="I31" s="62" t="s">
        <v>78</v>
      </c>
      <c r="J31" s="62" t="s">
        <v>79</v>
      </c>
      <c r="K31" s="62" t="s">
        <v>80</v>
      </c>
      <c r="L31" s="62" t="s">
        <v>81</v>
      </c>
      <c r="M31" s="62" t="s">
        <v>82</v>
      </c>
      <c r="N31" s="62" t="s">
        <v>83</v>
      </c>
      <c r="O31" s="62" t="s">
        <v>84</v>
      </c>
      <c r="P31" s="62" t="s">
        <v>85</v>
      </c>
      <c r="Q31" s="62" t="s">
        <v>86</v>
      </c>
      <c r="R31" s="62" t="s">
        <v>87</v>
      </c>
      <c r="S31" s="62" t="s">
        <v>88</v>
      </c>
      <c r="T31" s="62" t="s">
        <v>89</v>
      </c>
      <c r="U31" s="62" t="s">
        <v>90</v>
      </c>
      <c r="V31" s="62" t="s">
        <v>91</v>
      </c>
      <c r="W31" s="62" t="s">
        <v>92</v>
      </c>
      <c r="X31" s="62" t="s">
        <v>93</v>
      </c>
      <c r="Y31" s="62" t="s">
        <v>94</v>
      </c>
      <c r="Z31" s="62" t="s">
        <v>95</v>
      </c>
      <c r="AA31" s="62" t="s">
        <v>96</v>
      </c>
      <c r="AB31" s="62" t="s">
        <v>97</v>
      </c>
      <c r="AC31" s="62" t="s">
        <v>98</v>
      </c>
      <c r="AD31" s="62" t="s">
        <v>99</v>
      </c>
      <c r="AE31" s="62" t="s">
        <v>100</v>
      </c>
      <c r="AF31" s="62" t="s">
        <v>101</v>
      </c>
      <c r="AG31" s="62" t="s">
        <v>102</v>
      </c>
      <c r="AH31" s="62" t="s">
        <v>103</v>
      </c>
      <c r="AI31" s="62" t="s">
        <v>104</v>
      </c>
      <c r="AJ31" s="62" t="s">
        <v>105</v>
      </c>
      <c r="AK31" s="62" t="s">
        <v>106</v>
      </c>
      <c r="AL31" s="62" t="s">
        <v>107</v>
      </c>
      <c r="AM31" s="62" t="s">
        <v>108</v>
      </c>
      <c r="AN31" s="62" t="s">
        <v>109</v>
      </c>
      <c r="AO31" s="62" t="s">
        <v>110</v>
      </c>
      <c r="AP31" s="62" t="s">
        <v>111</v>
      </c>
      <c r="AQ31" s="62" t="s">
        <v>112</v>
      </c>
      <c r="AR31" s="62" t="s">
        <v>113</v>
      </c>
      <c r="AS31" s="62" t="s">
        <v>114</v>
      </c>
      <c r="AT31" s="62" t="s">
        <v>115</v>
      </c>
      <c r="AU31" s="62" t="s">
        <v>116</v>
      </c>
      <c r="AV31" s="62" t="s">
        <v>117</v>
      </c>
      <c r="AW31" s="62" t="s">
        <v>118</v>
      </c>
      <c r="AX31" s="62" t="s">
        <v>119</v>
      </c>
      <c r="AY31" s="62" t="s">
        <v>120</v>
      </c>
      <c r="AZ31" s="62" t="s">
        <v>121</v>
      </c>
    </row>
    <row r="32" spans="1:52" ht="18.75" x14ac:dyDescent="0.3">
      <c r="A32" s="25"/>
      <c r="B32" s="18"/>
      <c r="C32" s="18"/>
      <c r="D32" s="106" t="s">
        <v>67</v>
      </c>
      <c r="E32" s="21" t="s">
        <v>124</v>
      </c>
      <c r="F32" s="21">
        <f t="shared" ref="F32:F38" ca="1" si="3">Analysis_year</f>
        <v>2025</v>
      </c>
      <c r="G32" s="159">
        <f>Inputs!G41</f>
        <v>0</v>
      </c>
      <c r="H32" s="134">
        <f>Inputs!H41*IF(Inputs!$E41="Real",1,H$5)</f>
        <v>0</v>
      </c>
      <c r="I32" s="134">
        <f>Inputs!I41*IF(Inputs!$E41="Real",1,I$5)</f>
        <v>0</v>
      </c>
      <c r="J32" s="134">
        <f>Inputs!J41*IF(Inputs!$E41="Real",1,J$5)</f>
        <v>0</v>
      </c>
      <c r="K32" s="134">
        <f>Inputs!K41*IF(Inputs!$E41="Real",1,K$5)</f>
        <v>0</v>
      </c>
      <c r="L32" s="134">
        <f>Inputs!L41*IF(Inputs!$E41="Real",1,L$5)</f>
        <v>0</v>
      </c>
      <c r="M32" s="134">
        <f>Inputs!M41*IF(Inputs!$E41="Real",1,M$5)</f>
        <v>0</v>
      </c>
      <c r="N32" s="134">
        <f>Inputs!N41*IF(Inputs!$E41="Real",1,N$5)</f>
        <v>0</v>
      </c>
      <c r="O32" s="134">
        <f>Inputs!O41*IF(Inputs!$E41="Real",1,O$5)</f>
        <v>0</v>
      </c>
      <c r="P32" s="134">
        <f>Inputs!P41*IF(Inputs!$E41="Real",1,P$5)</f>
        <v>0</v>
      </c>
      <c r="Q32" s="134">
        <f>Inputs!Q41*IF(Inputs!$E41="Real",1,Q$5)</f>
        <v>0</v>
      </c>
      <c r="R32" s="134">
        <f>Inputs!R41*IF(Inputs!$E41="Real",1,R$5)</f>
        <v>0</v>
      </c>
      <c r="S32" s="134">
        <f>Inputs!S41*IF(Inputs!$E41="Real",1,S$5)</f>
        <v>0</v>
      </c>
      <c r="T32" s="134">
        <f>Inputs!T41*IF(Inputs!$E41="Real",1,T$5)</f>
        <v>0</v>
      </c>
      <c r="U32" s="134">
        <f>Inputs!U41*IF(Inputs!$E41="Real",1,U$5)</f>
        <v>0</v>
      </c>
      <c r="V32" s="134">
        <f>Inputs!V41*IF(Inputs!$E41="Real",1,V$5)</f>
        <v>0</v>
      </c>
      <c r="W32" s="134">
        <f>Inputs!W41*IF(Inputs!$E41="Real",1,W$5)</f>
        <v>0</v>
      </c>
      <c r="X32" s="134">
        <f>Inputs!X41*IF(Inputs!$E41="Real",1,X$5)</f>
        <v>0</v>
      </c>
      <c r="Y32" s="134">
        <f>Inputs!Y41*IF(Inputs!$E41="Real",1,Y$5)</f>
        <v>0</v>
      </c>
      <c r="Z32" s="134">
        <f>Inputs!Z41*IF(Inputs!$E41="Real",1,Z$5)</f>
        <v>0</v>
      </c>
      <c r="AA32" s="134">
        <f>Inputs!AA41*IF(Inputs!$E41="Real",1,AA$5)</f>
        <v>0</v>
      </c>
      <c r="AB32" s="134">
        <f>Inputs!AB41*IF(Inputs!$E41="Real",1,AB$5)</f>
        <v>0</v>
      </c>
      <c r="AC32" s="134">
        <f>Inputs!AC41*IF(Inputs!$E41="Real",1,AC$5)</f>
        <v>0</v>
      </c>
      <c r="AD32" s="134">
        <f>Inputs!AD41*IF(Inputs!$E41="Real",1,AD$5)</f>
        <v>0</v>
      </c>
      <c r="AE32" s="134">
        <f>Inputs!AE41*IF(Inputs!$E41="Real",1,AE$5)</f>
        <v>0</v>
      </c>
      <c r="AF32" s="134">
        <f>Inputs!AF41*IF(Inputs!$E41="Real",1,AF$5)</f>
        <v>0</v>
      </c>
      <c r="AG32" s="134">
        <f>Inputs!AG41*IF(Inputs!$E41="Real",1,AG$5)</f>
        <v>0</v>
      </c>
      <c r="AH32" s="134">
        <f>Inputs!AH41*IF(Inputs!$E41="Real",1,AH$5)</f>
        <v>0</v>
      </c>
      <c r="AI32" s="134">
        <f>Inputs!AI41*IF(Inputs!$E41="Real",1,AI$5)</f>
        <v>0</v>
      </c>
      <c r="AJ32" s="134">
        <f>Inputs!AJ41*IF(Inputs!$E41="Real",1,AJ$5)</f>
        <v>0</v>
      </c>
      <c r="AK32" s="134">
        <f>Inputs!AK41*IF(Inputs!$E41="Real",1,AK$5)</f>
        <v>0</v>
      </c>
      <c r="AL32" s="134">
        <f>Inputs!AL41*IF(Inputs!$E41="Real",1,AL$5)</f>
        <v>0</v>
      </c>
      <c r="AM32" s="134">
        <f>Inputs!AM41*IF(Inputs!$E41="Real",1,AM$5)</f>
        <v>0</v>
      </c>
      <c r="AN32" s="134">
        <f>Inputs!AN41*IF(Inputs!$E41="Real",1,AN$5)</f>
        <v>0</v>
      </c>
      <c r="AO32" s="134">
        <f>Inputs!AO41*IF(Inputs!$E41="Real",1,AO$5)</f>
        <v>0</v>
      </c>
      <c r="AP32" s="134">
        <f>Inputs!AP41*IF(Inputs!$E41="Real",1,AP$5)</f>
        <v>0</v>
      </c>
      <c r="AQ32" s="134">
        <f>Inputs!AQ41*IF(Inputs!$E41="Real",1,AQ$5)</f>
        <v>0</v>
      </c>
      <c r="AR32" s="134">
        <f>Inputs!AR41*IF(Inputs!$E41="Real",1,AR$5)</f>
        <v>0</v>
      </c>
      <c r="AS32" s="134">
        <f>Inputs!AS41*IF(Inputs!$E41="Real",1,AS$5)</f>
        <v>0</v>
      </c>
      <c r="AT32" s="134">
        <f>Inputs!AT41*IF(Inputs!$E41="Real",1,AT$5)</f>
        <v>0</v>
      </c>
      <c r="AU32" s="134">
        <f>Inputs!AU41*IF(Inputs!$E41="Real",1,AU$5)</f>
        <v>0</v>
      </c>
      <c r="AV32" s="134">
        <f>Inputs!AV41*IF(Inputs!$E41="Real",1,AV$5)</f>
        <v>0</v>
      </c>
      <c r="AW32" s="134">
        <f>Inputs!AW41*IF(Inputs!$E41="Real",1,AW$5)</f>
        <v>0</v>
      </c>
      <c r="AX32" s="134">
        <f>Inputs!AX41*IF(Inputs!$E41="Real",1,AX$5)</f>
        <v>0</v>
      </c>
      <c r="AY32" s="134">
        <f>Inputs!AY41*IF(Inputs!$E41="Real",1,AY$5)</f>
        <v>0</v>
      </c>
      <c r="AZ32" s="134">
        <f>Inputs!AZ41*IF(Inputs!$E41="Real",1,AZ$5)</f>
        <v>0</v>
      </c>
    </row>
    <row r="33" spans="1:52" ht="18.75" x14ac:dyDescent="0.3">
      <c r="A33" s="25"/>
      <c r="B33" s="18"/>
      <c r="C33" s="18"/>
      <c r="D33" s="106" t="s">
        <v>68</v>
      </c>
      <c r="E33" s="21" t="s">
        <v>124</v>
      </c>
      <c r="F33" s="21">
        <f t="shared" ca="1" si="3"/>
        <v>2025</v>
      </c>
      <c r="G33" s="159">
        <f>Inputs!G42</f>
        <v>0</v>
      </c>
      <c r="H33" s="134">
        <f>Inputs!H42*IF(Inputs!$E42="Real",1,H$5)</f>
        <v>97932.641928881319</v>
      </c>
      <c r="I33" s="134">
        <f>Inputs!I42*IF(Inputs!$E42="Real",1,I$5)</f>
        <v>96002.981990864937</v>
      </c>
      <c r="J33" s="134">
        <f>Inputs!J42*IF(Inputs!$E42="Real",1,J$5)</f>
        <v>94111.343976928678</v>
      </c>
      <c r="K33" s="134">
        <f>Inputs!K42*IF(Inputs!$E42="Real",1,K$5)</f>
        <v>92256.978704958994</v>
      </c>
      <c r="L33" s="134">
        <f>Inputs!L42*IF(Inputs!$E42="Real",1,L$5)</f>
        <v>90439.151754689723</v>
      </c>
      <c r="M33" s="134">
        <f>Inputs!M42*IF(Inputs!$E42="Real",1,M$5)</f>
        <v>88657.143176835336</v>
      </c>
      <c r="N33" s="134">
        <f>Inputs!N42*IF(Inputs!$E42="Real",1,N$5)</f>
        <v>86910.247207955443</v>
      </c>
      <c r="O33" s="134">
        <f>Inputs!O42*IF(Inputs!$E42="Real",1,O$5)</f>
        <v>85197.771990937588</v>
      </c>
      <c r="P33" s="134">
        <f>Inputs!P42*IF(Inputs!$E42="Real",1,P$5)</f>
        <v>83519.03930098773</v>
      </c>
      <c r="Q33" s="134">
        <f>Inputs!Q42*IF(Inputs!$E42="Real",1,Q$5)</f>
        <v>81873.384277019635</v>
      </c>
      <c r="R33" s="134">
        <f>Inputs!R42*IF(Inputs!$E42="Real",1,R$5)</f>
        <v>80260.15515833706</v>
      </c>
      <c r="S33" s="134">
        <f>Inputs!S42*IF(Inputs!$E42="Real",1,S$5)</f>
        <v>78678.713026504323</v>
      </c>
      <c r="T33" s="134">
        <f>Inputs!T42*IF(Inputs!$E42="Real",1,T$5)</f>
        <v>77128.431552303038</v>
      </c>
      <c r="U33" s="134">
        <f>Inputs!U42*IF(Inputs!$E42="Real",1,U$5)</f>
        <v>75608.696747674767</v>
      </c>
      <c r="V33" s="134">
        <f>Inputs!V42*IF(Inputs!$E42="Real",1,V$5)</f>
        <v>74118.906722551474</v>
      </c>
      <c r="W33" s="134">
        <f>Inputs!W42*IF(Inputs!$E42="Real",1,W$5)</f>
        <v>72658.471446477284</v>
      </c>
      <c r="X33" s="134">
        <f>Inputs!X42*IF(Inputs!$E42="Real",1,X$5)</f>
        <v>71226.812514927267</v>
      </c>
      <c r="Y33" s="134">
        <f>Inputs!Y42*IF(Inputs!$E42="Real",1,Y$5)</f>
        <v>69823.362920230618</v>
      </c>
      <c r="Z33" s="134">
        <f>Inputs!Z42*IF(Inputs!$E42="Real",1,Z$5)</f>
        <v>68447.566827007773</v>
      </c>
      <c r="AA33" s="134">
        <f>Inputs!AA42*IF(Inputs!$E42="Real",1,AA$5)</f>
        <v>67098.87935203193</v>
      </c>
      <c r="AB33" s="134">
        <f>Inputs!AB42*IF(Inputs!$E42="Real",1,AB$5)</f>
        <v>65776.766348428515</v>
      </c>
      <c r="AC33" s="134">
        <f>Inputs!AC42*IF(Inputs!$E42="Real",1,AC$5)</f>
        <v>64480.704194126571</v>
      </c>
      <c r="AD33" s="134">
        <f>Inputs!AD42*IF(Inputs!$E42="Real",1,AD$5)</f>
        <v>0</v>
      </c>
      <c r="AE33" s="134">
        <f>Inputs!AE42*IF(Inputs!$E42="Real",1,AE$5)</f>
        <v>0</v>
      </c>
      <c r="AF33" s="134">
        <f>Inputs!AF42*IF(Inputs!$E42="Real",1,AF$5)</f>
        <v>0</v>
      </c>
      <c r="AG33" s="134">
        <f>Inputs!AG42*IF(Inputs!$E42="Real",1,AG$5)</f>
        <v>0</v>
      </c>
      <c r="AH33" s="134">
        <f>Inputs!AH42*IF(Inputs!$E42="Real",1,AH$5)</f>
        <v>0</v>
      </c>
      <c r="AI33" s="134">
        <f>Inputs!AI42*IF(Inputs!$E42="Real",1,AI$5)</f>
        <v>0</v>
      </c>
      <c r="AJ33" s="134">
        <f>Inputs!AJ42*IF(Inputs!$E42="Real",1,AJ$5)</f>
        <v>0</v>
      </c>
      <c r="AK33" s="134">
        <f>Inputs!AK42*IF(Inputs!$E42="Real",1,AK$5)</f>
        <v>0</v>
      </c>
      <c r="AL33" s="134">
        <f>Inputs!AL42*IF(Inputs!$E42="Real",1,AL$5)</f>
        <v>0</v>
      </c>
      <c r="AM33" s="134">
        <f>Inputs!AM42*IF(Inputs!$E42="Real",1,AM$5)</f>
        <v>0</v>
      </c>
      <c r="AN33" s="134">
        <f>Inputs!AN42*IF(Inputs!$E42="Real",1,AN$5)</f>
        <v>0</v>
      </c>
      <c r="AO33" s="134">
        <f>Inputs!AO42*IF(Inputs!$E42="Real",1,AO$5)</f>
        <v>0</v>
      </c>
      <c r="AP33" s="134">
        <f>Inputs!AP42*IF(Inputs!$E42="Real",1,AP$5)</f>
        <v>0</v>
      </c>
      <c r="AQ33" s="134">
        <f>Inputs!AQ42*IF(Inputs!$E42="Real",1,AQ$5)</f>
        <v>0</v>
      </c>
      <c r="AR33" s="134">
        <f>Inputs!AR42*IF(Inputs!$E42="Real",1,AR$5)</f>
        <v>0</v>
      </c>
      <c r="AS33" s="134">
        <f>Inputs!AS42*IF(Inputs!$E42="Real",1,AS$5)</f>
        <v>0</v>
      </c>
      <c r="AT33" s="134">
        <f>Inputs!AT42*IF(Inputs!$E42="Real",1,AT$5)</f>
        <v>0</v>
      </c>
      <c r="AU33" s="134">
        <f>Inputs!AU42*IF(Inputs!$E42="Real",1,AU$5)</f>
        <v>0</v>
      </c>
      <c r="AV33" s="134">
        <f>Inputs!AV42*IF(Inputs!$E42="Real",1,AV$5)</f>
        <v>0</v>
      </c>
      <c r="AW33" s="134">
        <f>Inputs!AW42*IF(Inputs!$E42="Real",1,AW$5)</f>
        <v>0</v>
      </c>
      <c r="AX33" s="134">
        <f>Inputs!AX42*IF(Inputs!$E42="Real",1,AX$5)</f>
        <v>0</v>
      </c>
      <c r="AY33" s="134">
        <f>Inputs!AY42*IF(Inputs!$E42="Real",1,AY$5)</f>
        <v>0</v>
      </c>
      <c r="AZ33" s="134">
        <f>Inputs!AZ42*IF(Inputs!$E42="Real",1,AZ$5)</f>
        <v>0</v>
      </c>
    </row>
    <row r="34" spans="1:52" ht="18.75" x14ac:dyDescent="0.3">
      <c r="A34" s="25"/>
      <c r="B34" s="18"/>
      <c r="C34" s="18"/>
      <c r="D34" s="106" t="s">
        <v>69</v>
      </c>
      <c r="E34" s="21" t="s">
        <v>124</v>
      </c>
      <c r="F34" s="21">
        <f t="shared" ca="1" si="3"/>
        <v>2025</v>
      </c>
      <c r="G34" s="159">
        <f>Inputs!G43</f>
        <v>0</v>
      </c>
      <c r="H34" s="134">
        <f>Inputs!H43*IF(Inputs!$E43="Real",1,H$5)</f>
        <v>19586.528385776262</v>
      </c>
      <c r="I34" s="134">
        <f>Inputs!I43*IF(Inputs!$E43="Real",1,I$5)</f>
        <v>19200.596398172987</v>
      </c>
      <c r="J34" s="134">
        <f>Inputs!J43*IF(Inputs!$E43="Real",1,J$5)</f>
        <v>18822.268795385735</v>
      </c>
      <c r="K34" s="134">
        <f>Inputs!K43*IF(Inputs!$E43="Real",1,K$5)</f>
        <v>18451.395740991797</v>
      </c>
      <c r="L34" s="134">
        <f>Inputs!L43*IF(Inputs!$E43="Real",1,L$5)</f>
        <v>18087.830350937944</v>
      </c>
      <c r="M34" s="134">
        <f>Inputs!M43*IF(Inputs!$E43="Real",1,M$5)</f>
        <v>17731.428635367065</v>
      </c>
      <c r="N34" s="134">
        <f>Inputs!N43*IF(Inputs!$E43="Real",1,N$5)</f>
        <v>17382.049441591087</v>
      </c>
      <c r="O34" s="134">
        <f>Inputs!O43*IF(Inputs!$E43="Real",1,O$5)</f>
        <v>17039.554398187516</v>
      </c>
      <c r="P34" s="134">
        <f>Inputs!P43*IF(Inputs!$E43="Real",1,P$5)</f>
        <v>16703.807860197547</v>
      </c>
      <c r="Q34" s="134">
        <f>Inputs!Q43*IF(Inputs!$E43="Real",1,Q$5)</f>
        <v>16374.676855403926</v>
      </c>
      <c r="R34" s="134">
        <f>Inputs!R43*IF(Inputs!$E43="Real",1,R$5)</f>
        <v>16052.031031667411</v>
      </c>
      <c r="S34" s="134">
        <f>Inputs!S43*IF(Inputs!$E43="Real",1,S$5)</f>
        <v>15735.742605300864</v>
      </c>
      <c r="T34" s="134">
        <f>Inputs!T43*IF(Inputs!$E43="Real",1,T$5)</f>
        <v>15425.686310460607</v>
      </c>
      <c r="U34" s="134">
        <f>Inputs!U43*IF(Inputs!$E43="Real",1,U$5)</f>
        <v>15121.739349534953</v>
      </c>
      <c r="V34" s="134">
        <f>Inputs!V43*IF(Inputs!$E43="Real",1,V$5)</f>
        <v>14823.781344510297</v>
      </c>
      <c r="W34" s="134">
        <f>Inputs!W43*IF(Inputs!$E43="Real",1,W$5)</f>
        <v>14531.694289295458</v>
      </c>
      <c r="X34" s="134">
        <f>Inputs!X43*IF(Inputs!$E43="Real",1,X$5)</f>
        <v>14245.362502985452</v>
      </c>
      <c r="Y34" s="134">
        <f>Inputs!Y43*IF(Inputs!$E43="Real",1,Y$5)</f>
        <v>13964.672584046126</v>
      </c>
      <c r="Z34" s="134">
        <f>Inputs!Z43*IF(Inputs!$E43="Real",1,Z$5)</f>
        <v>13689.513365401554</v>
      </c>
      <c r="AA34" s="134">
        <f>Inputs!AA43*IF(Inputs!$E43="Real",1,AA$5)</f>
        <v>13419.775870406385</v>
      </c>
      <c r="AB34" s="134">
        <f>Inputs!AB43*IF(Inputs!$E43="Real",1,AB$5)</f>
        <v>13155.353269685704</v>
      </c>
      <c r="AC34" s="134">
        <f>Inputs!AC43*IF(Inputs!$E43="Real",1,AC$5)</f>
        <v>12896.140838825315</v>
      </c>
      <c r="AD34" s="134">
        <f>Inputs!AD43*IF(Inputs!$E43="Real",1,AD$5)</f>
        <v>0</v>
      </c>
      <c r="AE34" s="134">
        <f>Inputs!AE43*IF(Inputs!$E43="Real",1,AE$5)</f>
        <v>0</v>
      </c>
      <c r="AF34" s="134">
        <f>Inputs!AF43*IF(Inputs!$E43="Real",1,AF$5)</f>
        <v>0</v>
      </c>
      <c r="AG34" s="134">
        <f>Inputs!AG43*IF(Inputs!$E43="Real",1,AG$5)</f>
        <v>0</v>
      </c>
      <c r="AH34" s="134">
        <f>Inputs!AH43*IF(Inputs!$E43="Real",1,AH$5)</f>
        <v>0</v>
      </c>
      <c r="AI34" s="134">
        <f>Inputs!AI43*IF(Inputs!$E43="Real",1,AI$5)</f>
        <v>0</v>
      </c>
      <c r="AJ34" s="134">
        <f>Inputs!AJ43*IF(Inputs!$E43="Real",1,AJ$5)</f>
        <v>0</v>
      </c>
      <c r="AK34" s="134">
        <f>Inputs!AK43*IF(Inputs!$E43="Real",1,AK$5)</f>
        <v>0</v>
      </c>
      <c r="AL34" s="134">
        <f>Inputs!AL43*IF(Inputs!$E43="Real",1,AL$5)</f>
        <v>0</v>
      </c>
      <c r="AM34" s="134">
        <f>Inputs!AM43*IF(Inputs!$E43="Real",1,AM$5)</f>
        <v>0</v>
      </c>
      <c r="AN34" s="134">
        <f>Inputs!AN43*IF(Inputs!$E43="Real",1,AN$5)</f>
        <v>0</v>
      </c>
      <c r="AO34" s="134">
        <f>Inputs!AO43*IF(Inputs!$E43="Real",1,AO$5)</f>
        <v>0</v>
      </c>
      <c r="AP34" s="134">
        <f>Inputs!AP43*IF(Inputs!$E43="Real",1,AP$5)</f>
        <v>0</v>
      </c>
      <c r="AQ34" s="134">
        <f>Inputs!AQ43*IF(Inputs!$E43="Real",1,AQ$5)</f>
        <v>0</v>
      </c>
      <c r="AR34" s="134">
        <f>Inputs!AR43*IF(Inputs!$E43="Real",1,AR$5)</f>
        <v>0</v>
      </c>
      <c r="AS34" s="134">
        <f>Inputs!AS43*IF(Inputs!$E43="Real",1,AS$5)</f>
        <v>0</v>
      </c>
      <c r="AT34" s="134">
        <f>Inputs!AT43*IF(Inputs!$E43="Real",1,AT$5)</f>
        <v>0</v>
      </c>
      <c r="AU34" s="134">
        <f>Inputs!AU43*IF(Inputs!$E43="Real",1,AU$5)</f>
        <v>0</v>
      </c>
      <c r="AV34" s="134">
        <f>Inputs!AV43*IF(Inputs!$E43="Real",1,AV$5)</f>
        <v>0</v>
      </c>
      <c r="AW34" s="134">
        <f>Inputs!AW43*IF(Inputs!$E43="Real",1,AW$5)</f>
        <v>0</v>
      </c>
      <c r="AX34" s="134">
        <f>Inputs!AX43*IF(Inputs!$E43="Real",1,AX$5)</f>
        <v>0</v>
      </c>
      <c r="AY34" s="134">
        <f>Inputs!AY43*IF(Inputs!$E43="Real",1,AY$5)</f>
        <v>0</v>
      </c>
      <c r="AZ34" s="134">
        <f>Inputs!AZ43*IF(Inputs!$E43="Real",1,AZ$5)</f>
        <v>0</v>
      </c>
    </row>
    <row r="35" spans="1:52" ht="18.75" x14ac:dyDescent="0.3">
      <c r="A35" s="25"/>
      <c r="B35" s="18"/>
      <c r="C35" s="18"/>
      <c r="D35" s="106" t="s">
        <v>70</v>
      </c>
      <c r="E35" s="21" t="s">
        <v>124</v>
      </c>
      <c r="F35" s="21">
        <f t="shared" ca="1" si="3"/>
        <v>2025</v>
      </c>
      <c r="G35" s="159">
        <f>Inputs!G44</f>
        <v>0</v>
      </c>
      <c r="H35" s="134">
        <f>Inputs!H44*IF(Inputs!$E44="Real",1,H$5)</f>
        <v>9793.2641928881312</v>
      </c>
      <c r="I35" s="134">
        <f>Inputs!I44*IF(Inputs!$E44="Real",1,I$5)</f>
        <v>9600.2981990864937</v>
      </c>
      <c r="J35" s="134">
        <f>Inputs!J44*IF(Inputs!$E44="Real",1,J$5)</f>
        <v>0</v>
      </c>
      <c r="K35" s="134">
        <f>Inputs!K44*IF(Inputs!$E44="Real",1,K$5)</f>
        <v>0</v>
      </c>
      <c r="L35" s="134">
        <f>Inputs!L44*IF(Inputs!$E44="Real",1,L$5)</f>
        <v>0</v>
      </c>
      <c r="M35" s="134">
        <f>Inputs!M44*IF(Inputs!$E44="Real",1,M$5)</f>
        <v>0</v>
      </c>
      <c r="N35" s="134">
        <f>Inputs!N44*IF(Inputs!$E44="Real",1,N$5)</f>
        <v>0</v>
      </c>
      <c r="O35" s="134">
        <f>Inputs!O44*IF(Inputs!$E44="Real",1,O$5)</f>
        <v>0</v>
      </c>
      <c r="P35" s="134">
        <f>Inputs!P44*IF(Inputs!$E44="Real",1,P$5)</f>
        <v>0</v>
      </c>
      <c r="Q35" s="134">
        <f>Inputs!Q44*IF(Inputs!$E44="Real",1,Q$5)</f>
        <v>0</v>
      </c>
      <c r="R35" s="134">
        <f>Inputs!R44*IF(Inputs!$E44="Real",1,R$5)</f>
        <v>0</v>
      </c>
      <c r="S35" s="134">
        <f>Inputs!S44*IF(Inputs!$E44="Real",1,S$5)</f>
        <v>0</v>
      </c>
      <c r="T35" s="134">
        <f>Inputs!T44*IF(Inputs!$E44="Real",1,T$5)</f>
        <v>0</v>
      </c>
      <c r="U35" s="134">
        <f>Inputs!U44*IF(Inputs!$E44="Real",1,U$5)</f>
        <v>0</v>
      </c>
      <c r="V35" s="134">
        <f>Inputs!V44*IF(Inputs!$E44="Real",1,V$5)</f>
        <v>0</v>
      </c>
      <c r="W35" s="134">
        <f>Inputs!W44*IF(Inputs!$E44="Real",1,W$5)</f>
        <v>0</v>
      </c>
      <c r="X35" s="134">
        <f>Inputs!X44*IF(Inputs!$E44="Real",1,X$5)</f>
        <v>0</v>
      </c>
      <c r="Y35" s="134">
        <f>Inputs!Y44*IF(Inputs!$E44="Real",1,Y$5)</f>
        <v>0</v>
      </c>
      <c r="Z35" s="134">
        <f>Inputs!Z44*IF(Inputs!$E44="Real",1,Z$5)</f>
        <v>0</v>
      </c>
      <c r="AA35" s="134">
        <f>Inputs!AA44*IF(Inputs!$E44="Real",1,AA$5)</f>
        <v>0</v>
      </c>
      <c r="AB35" s="134">
        <f>Inputs!AB44*IF(Inputs!$E44="Real",1,AB$5)</f>
        <v>0</v>
      </c>
      <c r="AC35" s="134">
        <f>Inputs!AC44*IF(Inputs!$E44="Real",1,AC$5)</f>
        <v>0</v>
      </c>
      <c r="AD35" s="134">
        <f>Inputs!AD44*IF(Inputs!$E44="Real",1,AD$5)</f>
        <v>0</v>
      </c>
      <c r="AE35" s="134">
        <f>Inputs!AE44*IF(Inputs!$E44="Real",1,AE$5)</f>
        <v>0</v>
      </c>
      <c r="AF35" s="134">
        <f>Inputs!AF44*IF(Inputs!$E44="Real",1,AF$5)</f>
        <v>0</v>
      </c>
      <c r="AG35" s="134">
        <f>Inputs!AG44*IF(Inputs!$E44="Real",1,AG$5)</f>
        <v>0</v>
      </c>
      <c r="AH35" s="134">
        <f>Inputs!AH44*IF(Inputs!$E44="Real",1,AH$5)</f>
        <v>0</v>
      </c>
      <c r="AI35" s="134">
        <f>Inputs!AI44*IF(Inputs!$E44="Real",1,AI$5)</f>
        <v>0</v>
      </c>
      <c r="AJ35" s="134">
        <f>Inputs!AJ44*IF(Inputs!$E44="Real",1,AJ$5)</f>
        <v>0</v>
      </c>
      <c r="AK35" s="134">
        <f>Inputs!AK44*IF(Inputs!$E44="Real",1,AK$5)</f>
        <v>0</v>
      </c>
      <c r="AL35" s="134">
        <f>Inputs!AL44*IF(Inputs!$E44="Real",1,AL$5)</f>
        <v>0</v>
      </c>
      <c r="AM35" s="134">
        <f>Inputs!AM44*IF(Inputs!$E44="Real",1,AM$5)</f>
        <v>0</v>
      </c>
      <c r="AN35" s="134">
        <f>Inputs!AN44*IF(Inputs!$E44="Real",1,AN$5)</f>
        <v>0</v>
      </c>
      <c r="AO35" s="134">
        <f>Inputs!AO44*IF(Inputs!$E44="Real",1,AO$5)</f>
        <v>0</v>
      </c>
      <c r="AP35" s="134">
        <f>Inputs!AP44*IF(Inputs!$E44="Real",1,AP$5)</f>
        <v>0</v>
      </c>
      <c r="AQ35" s="134">
        <f>Inputs!AQ44*IF(Inputs!$E44="Real",1,AQ$5)</f>
        <v>0</v>
      </c>
      <c r="AR35" s="134">
        <f>Inputs!AR44*IF(Inputs!$E44="Real",1,AR$5)</f>
        <v>0</v>
      </c>
      <c r="AS35" s="134">
        <f>Inputs!AS44*IF(Inputs!$E44="Real",1,AS$5)</f>
        <v>0</v>
      </c>
      <c r="AT35" s="134">
        <f>Inputs!AT44*IF(Inputs!$E44="Real",1,AT$5)</f>
        <v>0</v>
      </c>
      <c r="AU35" s="134">
        <f>Inputs!AU44*IF(Inputs!$E44="Real",1,AU$5)</f>
        <v>0</v>
      </c>
      <c r="AV35" s="134">
        <f>Inputs!AV44*IF(Inputs!$E44="Real",1,AV$5)</f>
        <v>0</v>
      </c>
      <c r="AW35" s="134">
        <f>Inputs!AW44*IF(Inputs!$E44="Real",1,AW$5)</f>
        <v>0</v>
      </c>
      <c r="AX35" s="134">
        <f>Inputs!AX44*IF(Inputs!$E44="Real",1,AX$5)</f>
        <v>0</v>
      </c>
      <c r="AY35" s="134">
        <f>Inputs!AY44*IF(Inputs!$E44="Real",1,AY$5)</f>
        <v>0</v>
      </c>
      <c r="AZ35" s="134">
        <f>Inputs!AZ44*IF(Inputs!$E44="Real",1,AZ$5)</f>
        <v>0</v>
      </c>
    </row>
    <row r="36" spans="1:52" ht="18.75" x14ac:dyDescent="0.3">
      <c r="A36" s="25"/>
      <c r="B36" s="18"/>
      <c r="C36" s="18"/>
      <c r="D36" s="106" t="s">
        <v>71</v>
      </c>
      <c r="E36" s="21" t="s">
        <v>124</v>
      </c>
      <c r="F36" s="21">
        <f t="shared" ca="1" si="3"/>
        <v>2025</v>
      </c>
      <c r="G36" s="159">
        <f>Inputs!G45</f>
        <v>0</v>
      </c>
      <c r="H36" s="134">
        <f>Inputs!H45*IF(Inputs!$E45="Real",1,H$5)</f>
        <v>0</v>
      </c>
      <c r="I36" s="134">
        <f>Inputs!I45*IF(Inputs!$E45="Real",1,I$5)</f>
        <v>0</v>
      </c>
      <c r="J36" s="134">
        <f>Inputs!J45*IF(Inputs!$E45="Real",1,J$5)</f>
        <v>0</v>
      </c>
      <c r="K36" s="134">
        <f>Inputs!K45*IF(Inputs!$E45="Real",1,K$5)</f>
        <v>0</v>
      </c>
      <c r="L36" s="134">
        <f>Inputs!L45*IF(Inputs!$E45="Real",1,L$5)</f>
        <v>0</v>
      </c>
      <c r="M36" s="134">
        <f>Inputs!M45*IF(Inputs!$E45="Real",1,M$5)</f>
        <v>0</v>
      </c>
      <c r="N36" s="134">
        <f>Inputs!N45*IF(Inputs!$E45="Real",1,N$5)</f>
        <v>0</v>
      </c>
      <c r="O36" s="134">
        <f>Inputs!O45*IF(Inputs!$E45="Real",1,O$5)</f>
        <v>0</v>
      </c>
      <c r="P36" s="134">
        <f>Inputs!P45*IF(Inputs!$E45="Real",1,P$5)</f>
        <v>0</v>
      </c>
      <c r="Q36" s="134">
        <f>Inputs!Q45*IF(Inputs!$E45="Real",1,Q$5)</f>
        <v>0</v>
      </c>
      <c r="R36" s="134">
        <f>Inputs!R45*IF(Inputs!$E45="Real",1,R$5)</f>
        <v>0</v>
      </c>
      <c r="S36" s="134">
        <f>Inputs!S45*IF(Inputs!$E45="Real",1,S$5)</f>
        <v>0</v>
      </c>
      <c r="T36" s="134">
        <f>Inputs!T45*IF(Inputs!$E45="Real",1,T$5)</f>
        <v>0</v>
      </c>
      <c r="U36" s="134">
        <f>Inputs!U45*IF(Inputs!$E45="Real",1,U$5)</f>
        <v>0</v>
      </c>
      <c r="V36" s="134">
        <f>Inputs!V45*IF(Inputs!$E45="Real",1,V$5)</f>
        <v>0</v>
      </c>
      <c r="W36" s="134">
        <f>Inputs!W45*IF(Inputs!$E45="Real",1,W$5)</f>
        <v>0</v>
      </c>
      <c r="X36" s="134">
        <f>Inputs!X45*IF(Inputs!$E45="Real",1,X$5)</f>
        <v>0</v>
      </c>
      <c r="Y36" s="134">
        <f>Inputs!Y45*IF(Inputs!$E45="Real",1,Y$5)</f>
        <v>0</v>
      </c>
      <c r="Z36" s="134">
        <f>Inputs!Z45*IF(Inputs!$E45="Real",1,Z$5)</f>
        <v>0</v>
      </c>
      <c r="AA36" s="134">
        <f>Inputs!AA45*IF(Inputs!$E45="Real",1,AA$5)</f>
        <v>0</v>
      </c>
      <c r="AB36" s="134">
        <f>Inputs!AB45*IF(Inputs!$E45="Real",1,AB$5)</f>
        <v>0</v>
      </c>
      <c r="AC36" s="134">
        <f>Inputs!AC45*IF(Inputs!$E45="Real",1,AC$5)</f>
        <v>0</v>
      </c>
      <c r="AD36" s="134">
        <f>Inputs!AD45*IF(Inputs!$E45="Real",1,AD$5)</f>
        <v>0</v>
      </c>
      <c r="AE36" s="134">
        <f>Inputs!AE45*IF(Inputs!$E45="Real",1,AE$5)</f>
        <v>0</v>
      </c>
      <c r="AF36" s="134">
        <f>Inputs!AF45*IF(Inputs!$E45="Real",1,AF$5)</f>
        <v>0</v>
      </c>
      <c r="AG36" s="134">
        <f>Inputs!AG45*IF(Inputs!$E45="Real",1,AG$5)</f>
        <v>0</v>
      </c>
      <c r="AH36" s="134">
        <f>Inputs!AH45*IF(Inputs!$E45="Real",1,AH$5)</f>
        <v>0</v>
      </c>
      <c r="AI36" s="134">
        <f>Inputs!AI45*IF(Inputs!$E45="Real",1,AI$5)</f>
        <v>0</v>
      </c>
      <c r="AJ36" s="134">
        <f>Inputs!AJ45*IF(Inputs!$E45="Real",1,AJ$5)</f>
        <v>0</v>
      </c>
      <c r="AK36" s="134">
        <f>Inputs!AK45*IF(Inputs!$E45="Real",1,AK$5)</f>
        <v>0</v>
      </c>
      <c r="AL36" s="134">
        <f>Inputs!AL45*IF(Inputs!$E45="Real",1,AL$5)</f>
        <v>0</v>
      </c>
      <c r="AM36" s="134">
        <f>Inputs!AM45*IF(Inputs!$E45="Real",1,AM$5)</f>
        <v>0</v>
      </c>
      <c r="AN36" s="134">
        <f>Inputs!AN45*IF(Inputs!$E45="Real",1,AN$5)</f>
        <v>0</v>
      </c>
      <c r="AO36" s="134">
        <f>Inputs!AO45*IF(Inputs!$E45="Real",1,AO$5)</f>
        <v>0</v>
      </c>
      <c r="AP36" s="134">
        <f>Inputs!AP45*IF(Inputs!$E45="Real",1,AP$5)</f>
        <v>0</v>
      </c>
      <c r="AQ36" s="134">
        <f>Inputs!AQ45*IF(Inputs!$E45="Real",1,AQ$5)</f>
        <v>0</v>
      </c>
      <c r="AR36" s="134">
        <f>Inputs!AR45*IF(Inputs!$E45="Real",1,AR$5)</f>
        <v>0</v>
      </c>
      <c r="AS36" s="134">
        <f>Inputs!AS45*IF(Inputs!$E45="Real",1,AS$5)</f>
        <v>0</v>
      </c>
      <c r="AT36" s="134">
        <f>Inputs!AT45*IF(Inputs!$E45="Real",1,AT$5)</f>
        <v>0</v>
      </c>
      <c r="AU36" s="134">
        <f>Inputs!AU45*IF(Inputs!$E45="Real",1,AU$5)</f>
        <v>0</v>
      </c>
      <c r="AV36" s="134">
        <f>Inputs!AV45*IF(Inputs!$E45="Real",1,AV$5)</f>
        <v>0</v>
      </c>
      <c r="AW36" s="134">
        <f>Inputs!AW45*IF(Inputs!$E45="Real",1,AW$5)</f>
        <v>0</v>
      </c>
      <c r="AX36" s="134">
        <f>Inputs!AX45*IF(Inputs!$E45="Real",1,AX$5)</f>
        <v>0</v>
      </c>
      <c r="AY36" s="134">
        <f>Inputs!AY45*IF(Inputs!$E45="Real",1,AY$5)</f>
        <v>0</v>
      </c>
      <c r="AZ36" s="134">
        <f>Inputs!AZ45*IF(Inputs!$E45="Real",1,AZ$5)</f>
        <v>0</v>
      </c>
    </row>
    <row r="37" spans="1:52" ht="18.75" x14ac:dyDescent="0.3">
      <c r="A37" s="25"/>
      <c r="B37" s="18"/>
      <c r="C37" s="18"/>
      <c r="D37" s="106" t="s">
        <v>72</v>
      </c>
      <c r="E37" s="21" t="s">
        <v>124</v>
      </c>
      <c r="F37" s="21">
        <f t="shared" ca="1" si="3"/>
        <v>2025</v>
      </c>
      <c r="G37" s="159">
        <f>Inputs!G46</f>
        <v>0</v>
      </c>
      <c r="H37" s="134">
        <f>Inputs!H46*IF(Inputs!$E46="Real",1,H$5)</f>
        <v>0</v>
      </c>
      <c r="I37" s="134">
        <f>Inputs!I46*IF(Inputs!$E46="Real",1,I$5)</f>
        <v>0</v>
      </c>
      <c r="J37" s="134">
        <f>Inputs!J46*IF(Inputs!$E46="Real",1,J$5)</f>
        <v>0</v>
      </c>
      <c r="K37" s="134">
        <f>Inputs!K46*IF(Inputs!$E46="Real",1,K$5)</f>
        <v>0</v>
      </c>
      <c r="L37" s="134">
        <f>Inputs!L46*IF(Inputs!$E46="Real",1,L$5)</f>
        <v>0</v>
      </c>
      <c r="M37" s="134">
        <f>Inputs!M46*IF(Inputs!$E46="Real",1,M$5)</f>
        <v>0</v>
      </c>
      <c r="N37" s="134">
        <f>Inputs!N46*IF(Inputs!$E46="Real",1,N$5)</f>
        <v>0</v>
      </c>
      <c r="O37" s="134">
        <f>Inputs!O46*IF(Inputs!$E46="Real",1,O$5)</f>
        <v>0</v>
      </c>
      <c r="P37" s="134">
        <f>Inputs!P46*IF(Inputs!$E46="Real",1,P$5)</f>
        <v>0</v>
      </c>
      <c r="Q37" s="134">
        <f>Inputs!Q46*IF(Inputs!$E46="Real",1,Q$5)</f>
        <v>0</v>
      </c>
      <c r="R37" s="134">
        <f>Inputs!R46*IF(Inputs!$E46="Real",1,R$5)</f>
        <v>0</v>
      </c>
      <c r="S37" s="134">
        <f>Inputs!S46*IF(Inputs!$E46="Real",1,S$5)</f>
        <v>0</v>
      </c>
      <c r="T37" s="134">
        <f>Inputs!T46*IF(Inputs!$E46="Real",1,T$5)</f>
        <v>0</v>
      </c>
      <c r="U37" s="134">
        <f>Inputs!U46*IF(Inputs!$E46="Real",1,U$5)</f>
        <v>0</v>
      </c>
      <c r="V37" s="134">
        <f>Inputs!V46*IF(Inputs!$E46="Real",1,V$5)</f>
        <v>0</v>
      </c>
      <c r="W37" s="134">
        <f>Inputs!W46*IF(Inputs!$E46="Real",1,W$5)</f>
        <v>0</v>
      </c>
      <c r="X37" s="134">
        <f>Inputs!X46*IF(Inputs!$E46="Real",1,X$5)</f>
        <v>0</v>
      </c>
      <c r="Y37" s="134">
        <f>Inputs!Y46*IF(Inputs!$E46="Real",1,Y$5)</f>
        <v>0</v>
      </c>
      <c r="Z37" s="134">
        <f>Inputs!Z46*IF(Inputs!$E46="Real",1,Z$5)</f>
        <v>0</v>
      </c>
      <c r="AA37" s="134">
        <f>Inputs!AA46*IF(Inputs!$E46="Real",1,AA$5)</f>
        <v>0</v>
      </c>
      <c r="AB37" s="134">
        <f>Inputs!AB46*IF(Inputs!$E46="Real",1,AB$5)</f>
        <v>0</v>
      </c>
      <c r="AC37" s="134">
        <f>Inputs!AC46*IF(Inputs!$E46="Real",1,AC$5)</f>
        <v>0</v>
      </c>
      <c r="AD37" s="134">
        <f>Inputs!AD46*IF(Inputs!$E46="Real",1,AD$5)</f>
        <v>0</v>
      </c>
      <c r="AE37" s="134">
        <f>Inputs!AE46*IF(Inputs!$E46="Real",1,AE$5)</f>
        <v>0</v>
      </c>
      <c r="AF37" s="134">
        <f>Inputs!AF46*IF(Inputs!$E46="Real",1,AF$5)</f>
        <v>0</v>
      </c>
      <c r="AG37" s="134">
        <f>Inputs!AG46*IF(Inputs!$E46="Real",1,AG$5)</f>
        <v>0</v>
      </c>
      <c r="AH37" s="134">
        <f>Inputs!AH46*IF(Inputs!$E46="Real",1,AH$5)</f>
        <v>0</v>
      </c>
      <c r="AI37" s="134">
        <f>Inputs!AI46*IF(Inputs!$E46="Real",1,AI$5)</f>
        <v>0</v>
      </c>
      <c r="AJ37" s="134">
        <f>Inputs!AJ46*IF(Inputs!$E46="Real",1,AJ$5)</f>
        <v>0</v>
      </c>
      <c r="AK37" s="134">
        <f>Inputs!AK46*IF(Inputs!$E46="Real",1,AK$5)</f>
        <v>0</v>
      </c>
      <c r="AL37" s="134">
        <f>Inputs!AL46*IF(Inputs!$E46="Real",1,AL$5)</f>
        <v>0</v>
      </c>
      <c r="AM37" s="134">
        <f>Inputs!AM46*IF(Inputs!$E46="Real",1,AM$5)</f>
        <v>0</v>
      </c>
      <c r="AN37" s="134">
        <f>Inputs!AN46*IF(Inputs!$E46="Real",1,AN$5)</f>
        <v>0</v>
      </c>
      <c r="AO37" s="134">
        <f>Inputs!AO46*IF(Inputs!$E46="Real",1,AO$5)</f>
        <v>0</v>
      </c>
      <c r="AP37" s="134">
        <f>Inputs!AP46*IF(Inputs!$E46="Real",1,AP$5)</f>
        <v>0</v>
      </c>
      <c r="AQ37" s="134">
        <f>Inputs!AQ46*IF(Inputs!$E46="Real",1,AQ$5)</f>
        <v>0</v>
      </c>
      <c r="AR37" s="134">
        <f>Inputs!AR46*IF(Inputs!$E46="Real",1,AR$5)</f>
        <v>0</v>
      </c>
      <c r="AS37" s="134">
        <f>Inputs!AS46*IF(Inputs!$E46="Real",1,AS$5)</f>
        <v>0</v>
      </c>
      <c r="AT37" s="134">
        <f>Inputs!AT46*IF(Inputs!$E46="Real",1,AT$5)</f>
        <v>0</v>
      </c>
      <c r="AU37" s="134">
        <f>Inputs!AU46*IF(Inputs!$E46="Real",1,AU$5)</f>
        <v>0</v>
      </c>
      <c r="AV37" s="134">
        <f>Inputs!AV46*IF(Inputs!$E46="Real",1,AV$5)</f>
        <v>0</v>
      </c>
      <c r="AW37" s="134">
        <f>Inputs!AW46*IF(Inputs!$E46="Real",1,AW$5)</f>
        <v>0</v>
      </c>
      <c r="AX37" s="134">
        <f>Inputs!AX46*IF(Inputs!$E46="Real",1,AX$5)</f>
        <v>0</v>
      </c>
      <c r="AY37" s="134">
        <f>Inputs!AY46*IF(Inputs!$E46="Real",1,AY$5)</f>
        <v>0</v>
      </c>
      <c r="AZ37" s="134">
        <f>Inputs!AZ46*IF(Inputs!$E46="Real",1,AZ$5)</f>
        <v>0</v>
      </c>
    </row>
    <row r="38" spans="1:52" ht="18.75" x14ac:dyDescent="0.3">
      <c r="A38" s="25"/>
      <c r="B38" s="18"/>
      <c r="C38" s="18"/>
      <c r="D38" s="107" t="s">
        <v>59</v>
      </c>
      <c r="E38" s="21" t="s">
        <v>124</v>
      </c>
      <c r="F38" s="21">
        <f t="shared" ca="1" si="3"/>
        <v>2025</v>
      </c>
      <c r="G38" s="159">
        <f>Inputs!G47</f>
        <v>0</v>
      </c>
      <c r="H38" s="134">
        <f>Inputs!H47*IF(Inputs!$E47="Real",1,H$5)</f>
        <v>0</v>
      </c>
      <c r="I38" s="134">
        <f>Inputs!I47*IF(Inputs!$E47="Real",1,I$5)</f>
        <v>0</v>
      </c>
      <c r="J38" s="134">
        <f>Inputs!J47*IF(Inputs!$E47="Real",1,J$5)</f>
        <v>0</v>
      </c>
      <c r="K38" s="134">
        <f>Inputs!K47*IF(Inputs!$E47="Real",1,K$5)</f>
        <v>0</v>
      </c>
      <c r="L38" s="134">
        <f>Inputs!L47*IF(Inputs!$E47="Real",1,L$5)</f>
        <v>0</v>
      </c>
      <c r="M38" s="134">
        <f>Inputs!M47*IF(Inputs!$E47="Real",1,M$5)</f>
        <v>0</v>
      </c>
      <c r="N38" s="134">
        <f>Inputs!N47*IF(Inputs!$E47="Real",1,N$5)</f>
        <v>0</v>
      </c>
      <c r="O38" s="134">
        <f>Inputs!O47*IF(Inputs!$E47="Real",1,O$5)</f>
        <v>0</v>
      </c>
      <c r="P38" s="134">
        <f>Inputs!P47*IF(Inputs!$E47="Real",1,P$5)</f>
        <v>0</v>
      </c>
      <c r="Q38" s="134">
        <f>Inputs!Q47*IF(Inputs!$E47="Real",1,Q$5)</f>
        <v>0</v>
      </c>
      <c r="R38" s="134">
        <f>Inputs!R47*IF(Inputs!$E47="Real",1,R$5)</f>
        <v>0</v>
      </c>
      <c r="S38" s="134">
        <f>Inputs!S47*IF(Inputs!$E47="Real",1,S$5)</f>
        <v>0</v>
      </c>
      <c r="T38" s="134">
        <f>Inputs!T47*IF(Inputs!$E47="Real",1,T$5)</f>
        <v>0</v>
      </c>
      <c r="U38" s="134">
        <f>Inputs!U47*IF(Inputs!$E47="Real",1,U$5)</f>
        <v>0</v>
      </c>
      <c r="V38" s="134">
        <f>Inputs!V47*IF(Inputs!$E47="Real",1,V$5)</f>
        <v>0</v>
      </c>
      <c r="W38" s="134">
        <f>Inputs!W47*IF(Inputs!$E47="Real",1,W$5)</f>
        <v>0</v>
      </c>
      <c r="X38" s="134">
        <f>Inputs!X47*IF(Inputs!$E47="Real",1,X$5)</f>
        <v>0</v>
      </c>
      <c r="Y38" s="134">
        <f>Inputs!Y47*IF(Inputs!$E47="Real",1,Y$5)</f>
        <v>0</v>
      </c>
      <c r="Z38" s="134">
        <f>Inputs!Z47*IF(Inputs!$E47="Real",1,Z$5)</f>
        <v>0</v>
      </c>
      <c r="AA38" s="134">
        <f>Inputs!AA47*IF(Inputs!$E47="Real",1,AA$5)</f>
        <v>0</v>
      </c>
      <c r="AB38" s="134">
        <f>Inputs!AB47*IF(Inputs!$E47="Real",1,AB$5)</f>
        <v>0</v>
      </c>
      <c r="AC38" s="134">
        <f>Inputs!AC47*IF(Inputs!$E47="Real",1,AC$5)</f>
        <v>0</v>
      </c>
      <c r="AD38" s="134">
        <f>Inputs!AD47*IF(Inputs!$E47="Real",1,AD$5)</f>
        <v>0</v>
      </c>
      <c r="AE38" s="134">
        <f>Inputs!AE47*IF(Inputs!$E47="Real",1,AE$5)</f>
        <v>0</v>
      </c>
      <c r="AF38" s="134">
        <f>Inputs!AF47*IF(Inputs!$E47="Real",1,AF$5)</f>
        <v>0</v>
      </c>
      <c r="AG38" s="134">
        <f>Inputs!AG47*IF(Inputs!$E47="Real",1,AG$5)</f>
        <v>0</v>
      </c>
      <c r="AH38" s="134">
        <f>Inputs!AH47*IF(Inputs!$E47="Real",1,AH$5)</f>
        <v>0</v>
      </c>
      <c r="AI38" s="134">
        <f>Inputs!AI47*IF(Inputs!$E47="Real",1,AI$5)</f>
        <v>0</v>
      </c>
      <c r="AJ38" s="134">
        <f>Inputs!AJ47*IF(Inputs!$E47="Real",1,AJ$5)</f>
        <v>0</v>
      </c>
      <c r="AK38" s="134">
        <f>Inputs!AK47*IF(Inputs!$E47="Real",1,AK$5)</f>
        <v>0</v>
      </c>
      <c r="AL38" s="134">
        <f>Inputs!AL47*IF(Inputs!$E47="Real",1,AL$5)</f>
        <v>0</v>
      </c>
      <c r="AM38" s="134">
        <f>Inputs!AM47*IF(Inputs!$E47="Real",1,AM$5)</f>
        <v>0</v>
      </c>
      <c r="AN38" s="134">
        <f>Inputs!AN47*IF(Inputs!$E47="Real",1,AN$5)</f>
        <v>0</v>
      </c>
      <c r="AO38" s="134">
        <f>Inputs!AO47*IF(Inputs!$E47="Real",1,AO$5)</f>
        <v>0</v>
      </c>
      <c r="AP38" s="134">
        <f>Inputs!AP47*IF(Inputs!$E47="Real",1,AP$5)</f>
        <v>0</v>
      </c>
      <c r="AQ38" s="134">
        <f>Inputs!AQ47*IF(Inputs!$E47="Real",1,AQ$5)</f>
        <v>0</v>
      </c>
      <c r="AR38" s="134">
        <f>Inputs!AR47*IF(Inputs!$E47="Real",1,AR$5)</f>
        <v>0</v>
      </c>
      <c r="AS38" s="134">
        <f>Inputs!AS47*IF(Inputs!$E47="Real",1,AS$5)</f>
        <v>0</v>
      </c>
      <c r="AT38" s="134">
        <f>Inputs!AT47*IF(Inputs!$E47="Real",1,AT$5)</f>
        <v>0</v>
      </c>
      <c r="AU38" s="134">
        <f>Inputs!AU47*IF(Inputs!$E47="Real",1,AU$5)</f>
        <v>0</v>
      </c>
      <c r="AV38" s="134">
        <f>Inputs!AV47*IF(Inputs!$E47="Real",1,AV$5)</f>
        <v>0</v>
      </c>
      <c r="AW38" s="134">
        <f>Inputs!AW47*IF(Inputs!$E47="Real",1,AW$5)</f>
        <v>0</v>
      </c>
      <c r="AX38" s="134">
        <f>Inputs!AX47*IF(Inputs!$E47="Real",1,AX$5)</f>
        <v>0</v>
      </c>
      <c r="AY38" s="134">
        <f>Inputs!AY47*IF(Inputs!$E47="Real",1,AY$5)</f>
        <v>0</v>
      </c>
      <c r="AZ38" s="134">
        <f>Inputs!AZ47*IF(Inputs!$E47="Real",1,AZ$5)</f>
        <v>0</v>
      </c>
    </row>
    <row r="39" spans="1:52" ht="18.75" x14ac:dyDescent="0.3">
      <c r="A39" s="25"/>
      <c r="B39" s="18"/>
      <c r="C39" s="18"/>
      <c r="D39" s="20" t="str">
        <f ca="1">"Total non-fuel opex in "&amp;Analysis_year&amp;" dollars"</f>
        <v>Total non-fuel opex in 2025 dollars</v>
      </c>
      <c r="E39" s="20"/>
      <c r="F39" s="20"/>
      <c r="H39" s="103">
        <f>SUBTOTAL(109,Opex_NonFuel_PP[2026])</f>
        <v>127312.43450754572</v>
      </c>
      <c r="I39" s="103">
        <f>SUBTOTAL(109,Opex_NonFuel_PP[2027])</f>
        <v>124803.87658812442</v>
      </c>
      <c r="J39" s="103">
        <f>SUBTOTAL(109,Opex_NonFuel_PP[2028])</f>
        <v>112933.61277231442</v>
      </c>
      <c r="K39" s="103">
        <f>SUBTOTAL(109,Opex_NonFuel_PP[2029])</f>
        <v>110708.37444595079</v>
      </c>
      <c r="L39" s="103">
        <f>SUBTOTAL(109,Opex_NonFuel_PP[2030])</f>
        <v>108526.98210562767</v>
      </c>
      <c r="M39" s="103">
        <f>SUBTOTAL(109,Opex_NonFuel_PP[2031])</f>
        <v>106388.5718122024</v>
      </c>
      <c r="N39" s="103">
        <f>SUBTOTAL(109,Opex_NonFuel_PP[2032])</f>
        <v>104292.29664954654</v>
      </c>
      <c r="O39" s="103">
        <f>SUBTOTAL(109,Opex_NonFuel_PP[2033])</f>
        <v>102237.32638912511</v>
      </c>
      <c r="P39" s="103">
        <f>SUBTOTAL(109,Opex_NonFuel_PP[2034])</f>
        <v>100222.84716118527</v>
      </c>
      <c r="Q39" s="103">
        <f>SUBTOTAL(109,Opex_NonFuel_PP[2035])</f>
        <v>98248.061132423565</v>
      </c>
      <c r="R39" s="103">
        <f>SUBTOTAL(109,Opex_NonFuel_PP[2036])</f>
        <v>96312.186190004475</v>
      </c>
      <c r="S39" s="103">
        <f>SUBTOTAL(109,Opex_NonFuel_PP[2037])</f>
        <v>94414.455631805191</v>
      </c>
      <c r="T39" s="103">
        <f>SUBTOTAL(109,Opex_NonFuel_PP[2038])</f>
        <v>92554.11786276364</v>
      </c>
      <c r="U39" s="103">
        <f>SUBTOTAL(109,Opex_NonFuel_PP[2039])</f>
        <v>90730.43609720972</v>
      </c>
      <c r="V39" s="103">
        <f>SUBTOTAL(109,Opex_NonFuel_PP[2040])</f>
        <v>88942.688067061768</v>
      </c>
      <c r="W39" s="103">
        <f>SUBTOTAL(109,Opex_NonFuel_PP[2041])</f>
        <v>87190.165735772738</v>
      </c>
      <c r="X39" s="103">
        <f>SUBTOTAL(109,Opex_NonFuel_PP[2042])</f>
        <v>85472.175017912727</v>
      </c>
      <c r="Y39" s="103">
        <f>SUBTOTAL(109,Opex_NonFuel_PP[2043])</f>
        <v>83788.035504276748</v>
      </c>
      <c r="Z39" s="103">
        <f>SUBTOTAL(109,Opex_NonFuel_PP[2044])</f>
        <v>82137.080192409325</v>
      </c>
      <c r="AA39" s="103">
        <f>SUBTOTAL(109,Opex_NonFuel_PP[2045])</f>
        <v>80518.655222438319</v>
      </c>
      <c r="AB39" s="103">
        <f>SUBTOTAL(109,Opex_NonFuel_PP[2046])</f>
        <v>78932.119618114215</v>
      </c>
      <c r="AC39" s="103">
        <f>SUBTOTAL(109,Opex_NonFuel_PP[2047])</f>
        <v>77376.845032951882</v>
      </c>
      <c r="AD39" s="103">
        <f>SUBTOTAL(109,Opex_NonFuel_PP[2048])</f>
        <v>0</v>
      </c>
      <c r="AE39" s="103">
        <f>SUBTOTAL(109,Opex_NonFuel_PP[2049])</f>
        <v>0</v>
      </c>
      <c r="AF39" s="103">
        <f>SUBTOTAL(109,Opex_NonFuel_PP[2050])</f>
        <v>0</v>
      </c>
      <c r="AG39" s="103">
        <f>SUBTOTAL(109,Opex_NonFuel_PP[2051])</f>
        <v>0</v>
      </c>
      <c r="AH39" s="103">
        <f>SUBTOTAL(109,Opex_NonFuel_PP[2052])</f>
        <v>0</v>
      </c>
      <c r="AI39" s="103">
        <f>SUBTOTAL(109,Opex_NonFuel_PP[2053])</f>
        <v>0</v>
      </c>
      <c r="AJ39" s="103">
        <f>SUBTOTAL(109,Opex_NonFuel_PP[2054])</f>
        <v>0</v>
      </c>
      <c r="AK39" s="103">
        <f>SUBTOTAL(109,Opex_NonFuel_PP[2055])</f>
        <v>0</v>
      </c>
      <c r="AL39" s="103">
        <f>SUBTOTAL(109,Opex_NonFuel_PP[2056])</f>
        <v>0</v>
      </c>
      <c r="AM39" s="103">
        <f>SUBTOTAL(109,Opex_NonFuel_PP[2057])</f>
        <v>0</v>
      </c>
      <c r="AN39" s="103">
        <f>SUBTOTAL(109,Opex_NonFuel_PP[2058])</f>
        <v>0</v>
      </c>
      <c r="AO39" s="103">
        <f>SUBTOTAL(109,Opex_NonFuel_PP[2059])</f>
        <v>0</v>
      </c>
      <c r="AP39" s="103">
        <f>SUBTOTAL(109,Opex_NonFuel_PP[2060])</f>
        <v>0</v>
      </c>
      <c r="AQ39" s="103">
        <f>SUBTOTAL(109,Opex_NonFuel_PP[2061])</f>
        <v>0</v>
      </c>
      <c r="AR39" s="103">
        <f>SUBTOTAL(109,Opex_NonFuel_PP[2062])</f>
        <v>0</v>
      </c>
      <c r="AS39" s="103">
        <f>SUBTOTAL(109,Opex_NonFuel_PP[2063])</f>
        <v>0</v>
      </c>
      <c r="AT39" s="103">
        <f>SUBTOTAL(109,Opex_NonFuel_PP[2064])</f>
        <v>0</v>
      </c>
      <c r="AU39" s="103">
        <f>SUBTOTAL(109,Opex_NonFuel_PP[2065])</f>
        <v>0</v>
      </c>
      <c r="AV39" s="103">
        <f>SUBTOTAL(109,Opex_NonFuel_PP[2066])</f>
        <v>0</v>
      </c>
      <c r="AW39" s="103">
        <f>SUBTOTAL(109,Opex_NonFuel_PP[2067])</f>
        <v>0</v>
      </c>
      <c r="AX39" s="103">
        <f>SUBTOTAL(109,Opex_NonFuel_PP[2068])</f>
        <v>0</v>
      </c>
      <c r="AY39" s="103">
        <f>SUBTOTAL(109,Opex_NonFuel_PP[2069])</f>
        <v>0</v>
      </c>
      <c r="AZ39" s="103">
        <f>SUBTOTAL(109,Opex_NonFuel_PP[2070])</f>
        <v>0</v>
      </c>
    </row>
    <row r="40" spans="1:52" ht="18.75" x14ac:dyDescent="0.3">
      <c r="A40" s="25"/>
      <c r="B40" s="18"/>
      <c r="C40" s="18"/>
      <c r="D40" s="20"/>
      <c r="E40" s="20"/>
      <c r="F40" s="20"/>
      <c r="G40" s="103"/>
      <c r="H40" s="103"/>
      <c r="I40" s="103"/>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row>
    <row r="41" spans="1:52" ht="60.75" x14ac:dyDescent="0.3">
      <c r="A41" s="50" t="s">
        <v>61</v>
      </c>
      <c r="B41" s="48"/>
      <c r="C41" s="48"/>
      <c r="D41" s="50" t="s">
        <v>66</v>
      </c>
      <c r="E41" s="60" t="s">
        <v>48</v>
      </c>
      <c r="F41" s="60" t="s">
        <v>319</v>
      </c>
      <c r="G41" s="51" t="s">
        <v>52</v>
      </c>
      <c r="H41" s="54" t="s">
        <v>77</v>
      </c>
      <c r="I41" s="54" t="s">
        <v>78</v>
      </c>
      <c r="J41" s="54" t="s">
        <v>79</v>
      </c>
      <c r="K41" s="54" t="s">
        <v>80</v>
      </c>
      <c r="L41" s="54" t="s">
        <v>81</v>
      </c>
      <c r="M41" s="54" t="s">
        <v>82</v>
      </c>
      <c r="N41" s="54" t="s">
        <v>83</v>
      </c>
      <c r="O41" s="54" t="s">
        <v>84</v>
      </c>
      <c r="P41" s="54" t="s">
        <v>85</v>
      </c>
      <c r="Q41" s="54" t="s">
        <v>86</v>
      </c>
      <c r="R41" s="54" t="s">
        <v>87</v>
      </c>
      <c r="S41" s="54" t="s">
        <v>88</v>
      </c>
      <c r="T41" s="54" t="s">
        <v>89</v>
      </c>
      <c r="U41" s="54" t="s">
        <v>90</v>
      </c>
      <c r="V41" s="54" t="s">
        <v>91</v>
      </c>
      <c r="W41" s="54" t="s">
        <v>92</v>
      </c>
      <c r="X41" s="54" t="s">
        <v>93</v>
      </c>
      <c r="Y41" s="54" t="s">
        <v>94</v>
      </c>
      <c r="Z41" s="54" t="s">
        <v>95</v>
      </c>
      <c r="AA41" s="54" t="s">
        <v>96</v>
      </c>
      <c r="AB41" s="54" t="s">
        <v>97</v>
      </c>
      <c r="AC41" s="54" t="s">
        <v>98</v>
      </c>
      <c r="AD41" s="54" t="s">
        <v>99</v>
      </c>
      <c r="AE41" s="54" t="s">
        <v>100</v>
      </c>
      <c r="AF41" s="54" t="s">
        <v>101</v>
      </c>
      <c r="AG41" s="54" t="s">
        <v>102</v>
      </c>
      <c r="AH41" s="54" t="s">
        <v>103</v>
      </c>
      <c r="AI41" s="54" t="s">
        <v>104</v>
      </c>
      <c r="AJ41" s="54" t="s">
        <v>105</v>
      </c>
      <c r="AK41" s="54" t="s">
        <v>106</v>
      </c>
      <c r="AL41" s="54" t="s">
        <v>107</v>
      </c>
      <c r="AM41" s="54" t="s">
        <v>108</v>
      </c>
      <c r="AN41" s="54" t="s">
        <v>109</v>
      </c>
      <c r="AO41" s="54" t="s">
        <v>110</v>
      </c>
      <c r="AP41" s="54" t="s">
        <v>111</v>
      </c>
      <c r="AQ41" s="54" t="s">
        <v>112</v>
      </c>
      <c r="AR41" s="54" t="s">
        <v>113</v>
      </c>
      <c r="AS41" s="54" t="s">
        <v>114</v>
      </c>
      <c r="AT41" s="54" t="s">
        <v>115</v>
      </c>
      <c r="AU41" s="54" t="s">
        <v>116</v>
      </c>
      <c r="AV41" s="54" t="s">
        <v>117</v>
      </c>
      <c r="AW41" s="54" t="s">
        <v>118</v>
      </c>
      <c r="AX41" s="54" t="s">
        <v>119</v>
      </c>
      <c r="AY41" s="54" t="s">
        <v>120</v>
      </c>
      <c r="AZ41" s="54" t="s">
        <v>121</v>
      </c>
    </row>
    <row r="42" spans="1:52" ht="18.75" x14ac:dyDescent="0.3">
      <c r="A42" s="25"/>
      <c r="B42" s="18"/>
      <c r="C42" s="18"/>
      <c r="D42" s="108" t="s">
        <v>67</v>
      </c>
      <c r="E42" s="27" t="s">
        <v>124</v>
      </c>
      <c r="F42" s="27">
        <f t="shared" ref="F42:F48" ca="1" si="4">Analysis_year</f>
        <v>2025</v>
      </c>
      <c r="G42" s="160">
        <f>Inputs!G53</f>
        <v>0</v>
      </c>
      <c r="H42" s="135">
        <f>Inputs!H53*IF(Inputs!$E53="Real",1,H$5)</f>
        <v>0</v>
      </c>
      <c r="I42" s="135">
        <f>Inputs!I53*IF(Inputs!$E53="Real",1,I$5)</f>
        <v>0</v>
      </c>
      <c r="J42" s="135">
        <f>Inputs!J53*IF(Inputs!$E53="Real",1,J$5)</f>
        <v>0</v>
      </c>
      <c r="K42" s="135">
        <f>Inputs!K53*IF(Inputs!$E53="Real",1,K$5)</f>
        <v>0</v>
      </c>
      <c r="L42" s="135">
        <f>Inputs!L53*IF(Inputs!$E53="Real",1,L$5)</f>
        <v>0</v>
      </c>
      <c r="M42" s="135">
        <f>Inputs!M53*IF(Inputs!$E53="Real",1,M$5)</f>
        <v>0</v>
      </c>
      <c r="N42" s="135">
        <f>Inputs!N53*IF(Inputs!$E53="Real",1,N$5)</f>
        <v>0</v>
      </c>
      <c r="O42" s="135">
        <f>Inputs!O53*IF(Inputs!$E53="Real",1,O$5)</f>
        <v>0</v>
      </c>
      <c r="P42" s="135">
        <f>Inputs!P53*IF(Inputs!$E53="Real",1,P$5)</f>
        <v>0</v>
      </c>
      <c r="Q42" s="135">
        <f>Inputs!Q53*IF(Inputs!$E53="Real",1,Q$5)</f>
        <v>0</v>
      </c>
      <c r="R42" s="135">
        <f>Inputs!R53*IF(Inputs!$E53="Real",1,R$5)</f>
        <v>0</v>
      </c>
      <c r="S42" s="135">
        <f>Inputs!S53*IF(Inputs!$E53="Real",1,S$5)</f>
        <v>0</v>
      </c>
      <c r="T42" s="135">
        <f>Inputs!T53*IF(Inputs!$E53="Real",1,T$5)</f>
        <v>0</v>
      </c>
      <c r="U42" s="135">
        <f>Inputs!U53*IF(Inputs!$E53="Real",1,U$5)</f>
        <v>0</v>
      </c>
      <c r="V42" s="135">
        <f>Inputs!V53*IF(Inputs!$E53="Real",1,V$5)</f>
        <v>0</v>
      </c>
      <c r="W42" s="135">
        <f>Inputs!W53*IF(Inputs!$E53="Real",1,W$5)</f>
        <v>0</v>
      </c>
      <c r="X42" s="135">
        <f>Inputs!X53*IF(Inputs!$E53="Real",1,X$5)</f>
        <v>0</v>
      </c>
      <c r="Y42" s="135">
        <f>Inputs!Y53*IF(Inputs!$E53="Real",1,Y$5)</f>
        <v>0</v>
      </c>
      <c r="Z42" s="135">
        <f>Inputs!Z53*IF(Inputs!$E53="Real",1,Z$5)</f>
        <v>0</v>
      </c>
      <c r="AA42" s="135">
        <f>Inputs!AA53*IF(Inputs!$E53="Real",1,AA$5)</f>
        <v>0</v>
      </c>
      <c r="AB42" s="135">
        <f>Inputs!AB53*IF(Inputs!$E53="Real",1,AB$5)</f>
        <v>0</v>
      </c>
      <c r="AC42" s="135">
        <f>Inputs!AC53*IF(Inputs!$E53="Real",1,AC$5)</f>
        <v>0</v>
      </c>
      <c r="AD42" s="135">
        <f>Inputs!AD53*IF(Inputs!$E53="Real",1,AD$5)</f>
        <v>0</v>
      </c>
      <c r="AE42" s="135">
        <f>Inputs!AE53*IF(Inputs!$E53="Real",1,AE$5)</f>
        <v>0</v>
      </c>
      <c r="AF42" s="135">
        <f>Inputs!AF53*IF(Inputs!$E53="Real",1,AF$5)</f>
        <v>0</v>
      </c>
      <c r="AG42" s="135">
        <f>Inputs!AG53*IF(Inputs!$E53="Real",1,AG$5)</f>
        <v>0</v>
      </c>
      <c r="AH42" s="135">
        <f>Inputs!AH53*IF(Inputs!$E53="Real",1,AH$5)</f>
        <v>0</v>
      </c>
      <c r="AI42" s="135">
        <f>Inputs!AI53*IF(Inputs!$E53="Real",1,AI$5)</f>
        <v>0</v>
      </c>
      <c r="AJ42" s="135">
        <f>Inputs!AJ53*IF(Inputs!$E53="Real",1,AJ$5)</f>
        <v>0</v>
      </c>
      <c r="AK42" s="135">
        <f>Inputs!AK53*IF(Inputs!$E53="Real",1,AK$5)</f>
        <v>0</v>
      </c>
      <c r="AL42" s="135">
        <f>Inputs!AL53*IF(Inputs!$E53="Real",1,AL$5)</f>
        <v>0</v>
      </c>
      <c r="AM42" s="135">
        <f>Inputs!AM53*IF(Inputs!$E53="Real",1,AM$5)</f>
        <v>0</v>
      </c>
      <c r="AN42" s="135">
        <f>Inputs!AN53*IF(Inputs!$E53="Real",1,AN$5)</f>
        <v>0</v>
      </c>
      <c r="AO42" s="135">
        <f>Inputs!AO53*IF(Inputs!$E53="Real",1,AO$5)</f>
        <v>0</v>
      </c>
      <c r="AP42" s="135">
        <f>Inputs!AP53*IF(Inputs!$E53="Real",1,AP$5)</f>
        <v>0</v>
      </c>
      <c r="AQ42" s="135">
        <f>Inputs!AQ53*IF(Inputs!$E53="Real",1,AQ$5)</f>
        <v>0</v>
      </c>
      <c r="AR42" s="135">
        <f>Inputs!AR53*IF(Inputs!$E53="Real",1,AR$5)</f>
        <v>0</v>
      </c>
      <c r="AS42" s="135">
        <f>Inputs!AS53*IF(Inputs!$E53="Real",1,AS$5)</f>
        <v>0</v>
      </c>
      <c r="AT42" s="135">
        <f>Inputs!AT53*IF(Inputs!$E53="Real",1,AT$5)</f>
        <v>0</v>
      </c>
      <c r="AU42" s="135">
        <f>Inputs!AU53*IF(Inputs!$E53="Real",1,AU$5)</f>
        <v>0</v>
      </c>
      <c r="AV42" s="135">
        <f>Inputs!AV53*IF(Inputs!$E53="Real",1,AV$5)</f>
        <v>0</v>
      </c>
      <c r="AW42" s="135">
        <f>Inputs!AW53*IF(Inputs!$E53="Real",1,AW$5)</f>
        <v>0</v>
      </c>
      <c r="AX42" s="135">
        <f>Inputs!AX53*IF(Inputs!$E53="Real",1,AX$5)</f>
        <v>0</v>
      </c>
      <c r="AY42" s="135">
        <f>Inputs!AY53*IF(Inputs!$E53="Real",1,AY$5)</f>
        <v>0</v>
      </c>
      <c r="AZ42" s="135">
        <f>Inputs!AZ53*IF(Inputs!$E53="Real",1,AZ$5)</f>
        <v>0</v>
      </c>
    </row>
    <row r="43" spans="1:52" ht="18.75" x14ac:dyDescent="0.3">
      <c r="A43" s="25"/>
      <c r="B43" s="18"/>
      <c r="C43" s="18"/>
      <c r="D43" s="108" t="s">
        <v>68</v>
      </c>
      <c r="E43" s="27" t="s">
        <v>124</v>
      </c>
      <c r="F43" s="27">
        <f t="shared" ca="1" si="4"/>
        <v>2025</v>
      </c>
      <c r="G43" s="161">
        <f>Inputs!G54</f>
        <v>0</v>
      </c>
      <c r="H43" s="135">
        <f>Inputs!H54*IF(Inputs!$E54="Real",1,H$5)</f>
        <v>88139.377735993185</v>
      </c>
      <c r="I43" s="135">
        <f>Inputs!I54*IF(Inputs!$E54="Real",1,I$5)</f>
        <v>86402.683791778443</v>
      </c>
      <c r="J43" s="135">
        <f>Inputs!J54*IF(Inputs!$E54="Real",1,J$5)</f>
        <v>84700.209579235801</v>
      </c>
      <c r="K43" s="135">
        <f>Inputs!K54*IF(Inputs!$E54="Real",1,K$5)</f>
        <v>83031.28083446309</v>
      </c>
      <c r="L43" s="135">
        <f>Inputs!L54*IF(Inputs!$E54="Real",1,L$5)</f>
        <v>81395.236579220742</v>
      </c>
      <c r="M43" s="135">
        <f>Inputs!M54*IF(Inputs!$E54="Real",1,M$5)</f>
        <v>79791.428859151798</v>
      </c>
      <c r="N43" s="135">
        <f>Inputs!N54*IF(Inputs!$E54="Real",1,N$5)</f>
        <v>78219.222487159888</v>
      </c>
      <c r="O43" s="135">
        <f>Inputs!O54*IF(Inputs!$E54="Real",1,O$5)</f>
        <v>76677.994791843827</v>
      </c>
      <c r="P43" s="135">
        <f>Inputs!P54*IF(Inputs!$E54="Real",1,P$5)</f>
        <v>75167.135370888951</v>
      </c>
      <c r="Q43" s="135">
        <f>Inputs!Q54*IF(Inputs!$E54="Real",1,Q$5)</f>
        <v>73686.04584931767</v>
      </c>
      <c r="R43" s="135">
        <f>Inputs!R54*IF(Inputs!$E54="Real",1,R$5)</f>
        <v>72234.139642503345</v>
      </c>
      <c r="S43" s="135">
        <f>Inputs!S54*IF(Inputs!$E54="Real",1,S$5)</f>
        <v>70810.841723853882</v>
      </c>
      <c r="T43" s="135">
        <f>Inputs!T54*IF(Inputs!$E54="Real",1,T$5)</f>
        <v>69415.58839707273</v>
      </c>
      <c r="U43" s="135">
        <f>Inputs!U54*IF(Inputs!$E54="Real",1,U$5)</f>
        <v>68047.827072907283</v>
      </c>
      <c r="V43" s="135">
        <f>Inputs!V54*IF(Inputs!$E54="Real",1,V$5)</f>
        <v>66707.016050296326</v>
      </c>
      <c r="W43" s="135">
        <f>Inputs!W54*IF(Inputs!$E54="Real",1,W$5)</f>
        <v>65392.624301829565</v>
      </c>
      <c r="X43" s="135">
        <f>Inputs!X54*IF(Inputs!$E54="Real",1,X$5)</f>
        <v>64104.131263434538</v>
      </c>
      <c r="Y43" s="135">
        <f>Inputs!Y54*IF(Inputs!$E54="Real",1,Y$5)</f>
        <v>62841.026628207561</v>
      </c>
      <c r="Z43" s="135">
        <f>Inputs!Z54*IF(Inputs!$E54="Real",1,Z$5)</f>
        <v>61602.81014430699</v>
      </c>
      <c r="AA43" s="135">
        <f>Inputs!AA54*IF(Inputs!$E54="Real",1,AA$5)</f>
        <v>60388.991416828736</v>
      </c>
      <c r="AB43" s="135">
        <f>Inputs!AB54*IF(Inputs!$E54="Real",1,AB$5)</f>
        <v>59199.089713585665</v>
      </c>
      <c r="AC43" s="135">
        <f>Inputs!AC54*IF(Inputs!$E54="Real",1,AC$5)</f>
        <v>58032.633774713911</v>
      </c>
      <c r="AD43" s="135">
        <f>Inputs!AD54*IF(Inputs!$E54="Real",1,AD$5)</f>
        <v>0</v>
      </c>
      <c r="AE43" s="135">
        <f>Inputs!AE54*IF(Inputs!$E54="Real",1,AE$5)</f>
        <v>0</v>
      </c>
      <c r="AF43" s="135">
        <f>Inputs!AF54*IF(Inputs!$E54="Real",1,AF$5)</f>
        <v>0</v>
      </c>
      <c r="AG43" s="135">
        <f>Inputs!AG54*IF(Inputs!$E54="Real",1,AG$5)</f>
        <v>0</v>
      </c>
      <c r="AH43" s="135">
        <f>Inputs!AH54*IF(Inputs!$E54="Real",1,AH$5)</f>
        <v>0</v>
      </c>
      <c r="AI43" s="135">
        <f>Inputs!AI54*IF(Inputs!$E54="Real",1,AI$5)</f>
        <v>0</v>
      </c>
      <c r="AJ43" s="135">
        <f>Inputs!AJ54*IF(Inputs!$E54="Real",1,AJ$5)</f>
        <v>0</v>
      </c>
      <c r="AK43" s="135">
        <f>Inputs!AK54*IF(Inputs!$E54="Real",1,AK$5)</f>
        <v>0</v>
      </c>
      <c r="AL43" s="135">
        <f>Inputs!AL54*IF(Inputs!$E54="Real",1,AL$5)</f>
        <v>0</v>
      </c>
      <c r="AM43" s="135">
        <f>Inputs!AM54*IF(Inputs!$E54="Real",1,AM$5)</f>
        <v>0</v>
      </c>
      <c r="AN43" s="135">
        <f>Inputs!AN54*IF(Inputs!$E54="Real",1,AN$5)</f>
        <v>0</v>
      </c>
      <c r="AO43" s="135">
        <f>Inputs!AO54*IF(Inputs!$E54="Real",1,AO$5)</f>
        <v>0</v>
      </c>
      <c r="AP43" s="135">
        <f>Inputs!AP54*IF(Inputs!$E54="Real",1,AP$5)</f>
        <v>0</v>
      </c>
      <c r="AQ43" s="135">
        <f>Inputs!AQ54*IF(Inputs!$E54="Real",1,AQ$5)</f>
        <v>0</v>
      </c>
      <c r="AR43" s="135">
        <f>Inputs!AR54*IF(Inputs!$E54="Real",1,AR$5)</f>
        <v>0</v>
      </c>
      <c r="AS43" s="135">
        <f>Inputs!AS54*IF(Inputs!$E54="Real",1,AS$5)</f>
        <v>0</v>
      </c>
      <c r="AT43" s="135">
        <f>Inputs!AT54*IF(Inputs!$E54="Real",1,AT$5)</f>
        <v>0</v>
      </c>
      <c r="AU43" s="135">
        <f>Inputs!AU54*IF(Inputs!$E54="Real",1,AU$5)</f>
        <v>0</v>
      </c>
      <c r="AV43" s="135">
        <f>Inputs!AV54*IF(Inputs!$E54="Real",1,AV$5)</f>
        <v>0</v>
      </c>
      <c r="AW43" s="135">
        <f>Inputs!AW54*IF(Inputs!$E54="Real",1,AW$5)</f>
        <v>0</v>
      </c>
      <c r="AX43" s="135">
        <f>Inputs!AX54*IF(Inputs!$E54="Real",1,AX$5)</f>
        <v>0</v>
      </c>
      <c r="AY43" s="135">
        <f>Inputs!AY54*IF(Inputs!$E54="Real",1,AY$5)</f>
        <v>0</v>
      </c>
      <c r="AZ43" s="135">
        <f>Inputs!AZ54*IF(Inputs!$E54="Real",1,AZ$5)</f>
        <v>0</v>
      </c>
    </row>
    <row r="44" spans="1:52" ht="18.75" x14ac:dyDescent="0.3">
      <c r="A44" s="25"/>
      <c r="B44" s="18"/>
      <c r="C44" s="18"/>
      <c r="D44" s="108" t="s">
        <v>69</v>
      </c>
      <c r="E44" s="27" t="s">
        <v>124</v>
      </c>
      <c r="F44" s="27">
        <f t="shared" ca="1" si="4"/>
        <v>2025</v>
      </c>
      <c r="G44" s="161">
        <f>Inputs!G55</f>
        <v>0</v>
      </c>
      <c r="H44" s="135">
        <f>Inputs!H55*IF(Inputs!$E55="Real",1,H$5)</f>
        <v>97932.641928881319</v>
      </c>
      <c r="I44" s="135">
        <f>Inputs!I55*IF(Inputs!$E55="Real",1,I$5)</f>
        <v>96002.981990864937</v>
      </c>
      <c r="J44" s="135">
        <f>Inputs!J55*IF(Inputs!$E55="Real",1,J$5)</f>
        <v>94111.343976928678</v>
      </c>
      <c r="K44" s="135">
        <f>Inputs!K55*IF(Inputs!$E55="Real",1,K$5)</f>
        <v>92256.978704958994</v>
      </c>
      <c r="L44" s="135">
        <f>Inputs!L55*IF(Inputs!$E55="Real",1,L$5)</f>
        <v>90439.151754689723</v>
      </c>
      <c r="M44" s="135">
        <f>Inputs!M55*IF(Inputs!$E55="Real",1,M$5)</f>
        <v>88657.143176835336</v>
      </c>
      <c r="N44" s="135">
        <f>Inputs!N55*IF(Inputs!$E55="Real",1,N$5)</f>
        <v>86910.247207955443</v>
      </c>
      <c r="O44" s="135">
        <f>Inputs!O55*IF(Inputs!$E55="Real",1,O$5)</f>
        <v>85197.771990937588</v>
      </c>
      <c r="P44" s="135">
        <f>Inputs!P55*IF(Inputs!$E55="Real",1,P$5)</f>
        <v>83519.03930098773</v>
      </c>
      <c r="Q44" s="135">
        <f>Inputs!Q55*IF(Inputs!$E55="Real",1,Q$5)</f>
        <v>81873.384277019635</v>
      </c>
      <c r="R44" s="135">
        <f>Inputs!R55*IF(Inputs!$E55="Real",1,R$5)</f>
        <v>80260.15515833706</v>
      </c>
      <c r="S44" s="135">
        <f>Inputs!S55*IF(Inputs!$E55="Real",1,S$5)</f>
        <v>78678.713026504323</v>
      </c>
      <c r="T44" s="135">
        <f>Inputs!T55*IF(Inputs!$E55="Real",1,T$5)</f>
        <v>77128.431552303038</v>
      </c>
      <c r="U44" s="135">
        <f>Inputs!U55*IF(Inputs!$E55="Real",1,U$5)</f>
        <v>75608.696747674767</v>
      </c>
      <c r="V44" s="135">
        <f>Inputs!V55*IF(Inputs!$E55="Real",1,V$5)</f>
        <v>74118.906722551474</v>
      </c>
      <c r="W44" s="135">
        <f>Inputs!W55*IF(Inputs!$E55="Real",1,W$5)</f>
        <v>72658.471446477284</v>
      </c>
      <c r="X44" s="135">
        <f>Inputs!X55*IF(Inputs!$E55="Real",1,X$5)</f>
        <v>71226.812514927267</v>
      </c>
      <c r="Y44" s="135">
        <f>Inputs!Y55*IF(Inputs!$E55="Real",1,Y$5)</f>
        <v>69823.362920230618</v>
      </c>
      <c r="Z44" s="135">
        <f>Inputs!Z55*IF(Inputs!$E55="Real",1,Z$5)</f>
        <v>68447.566827007773</v>
      </c>
      <c r="AA44" s="135">
        <f>Inputs!AA55*IF(Inputs!$E55="Real",1,AA$5)</f>
        <v>67098.87935203193</v>
      </c>
      <c r="AB44" s="135">
        <f>Inputs!AB55*IF(Inputs!$E55="Real",1,AB$5)</f>
        <v>65776.766348428515</v>
      </c>
      <c r="AC44" s="135">
        <f>Inputs!AC55*IF(Inputs!$E55="Real",1,AC$5)</f>
        <v>64480.704194126571</v>
      </c>
      <c r="AD44" s="135">
        <f>Inputs!AD55*IF(Inputs!$E55="Real",1,AD$5)</f>
        <v>0</v>
      </c>
      <c r="AE44" s="135">
        <f>Inputs!AE55*IF(Inputs!$E55="Real",1,AE$5)</f>
        <v>0</v>
      </c>
      <c r="AF44" s="135">
        <f>Inputs!AF55*IF(Inputs!$E55="Real",1,AF$5)</f>
        <v>0</v>
      </c>
      <c r="AG44" s="135">
        <f>Inputs!AG55*IF(Inputs!$E55="Real",1,AG$5)</f>
        <v>0</v>
      </c>
      <c r="AH44" s="135">
        <f>Inputs!AH55*IF(Inputs!$E55="Real",1,AH$5)</f>
        <v>0</v>
      </c>
      <c r="AI44" s="135">
        <f>Inputs!AI55*IF(Inputs!$E55="Real",1,AI$5)</f>
        <v>0</v>
      </c>
      <c r="AJ44" s="135">
        <f>Inputs!AJ55*IF(Inputs!$E55="Real",1,AJ$5)</f>
        <v>0</v>
      </c>
      <c r="AK44" s="135">
        <f>Inputs!AK55*IF(Inputs!$E55="Real",1,AK$5)</f>
        <v>0</v>
      </c>
      <c r="AL44" s="135">
        <f>Inputs!AL55*IF(Inputs!$E55="Real",1,AL$5)</f>
        <v>0</v>
      </c>
      <c r="AM44" s="135">
        <f>Inputs!AM55*IF(Inputs!$E55="Real",1,AM$5)</f>
        <v>0</v>
      </c>
      <c r="AN44" s="135">
        <f>Inputs!AN55*IF(Inputs!$E55="Real",1,AN$5)</f>
        <v>0</v>
      </c>
      <c r="AO44" s="135">
        <f>Inputs!AO55*IF(Inputs!$E55="Real",1,AO$5)</f>
        <v>0</v>
      </c>
      <c r="AP44" s="135">
        <f>Inputs!AP55*IF(Inputs!$E55="Real",1,AP$5)</f>
        <v>0</v>
      </c>
      <c r="AQ44" s="135">
        <f>Inputs!AQ55*IF(Inputs!$E55="Real",1,AQ$5)</f>
        <v>0</v>
      </c>
      <c r="AR44" s="135">
        <f>Inputs!AR55*IF(Inputs!$E55="Real",1,AR$5)</f>
        <v>0</v>
      </c>
      <c r="AS44" s="135">
        <f>Inputs!AS55*IF(Inputs!$E55="Real",1,AS$5)</f>
        <v>0</v>
      </c>
      <c r="AT44" s="135">
        <f>Inputs!AT55*IF(Inputs!$E55="Real",1,AT$5)</f>
        <v>0</v>
      </c>
      <c r="AU44" s="135">
        <f>Inputs!AU55*IF(Inputs!$E55="Real",1,AU$5)</f>
        <v>0</v>
      </c>
      <c r="AV44" s="135">
        <f>Inputs!AV55*IF(Inputs!$E55="Real",1,AV$5)</f>
        <v>0</v>
      </c>
      <c r="AW44" s="135">
        <f>Inputs!AW55*IF(Inputs!$E55="Real",1,AW$5)</f>
        <v>0</v>
      </c>
      <c r="AX44" s="135">
        <f>Inputs!AX55*IF(Inputs!$E55="Real",1,AX$5)</f>
        <v>0</v>
      </c>
      <c r="AY44" s="135">
        <f>Inputs!AY55*IF(Inputs!$E55="Real",1,AY$5)</f>
        <v>0</v>
      </c>
      <c r="AZ44" s="135">
        <f>Inputs!AZ55*IF(Inputs!$E55="Real",1,AZ$5)</f>
        <v>0</v>
      </c>
    </row>
    <row r="45" spans="1:52" ht="18.75" x14ac:dyDescent="0.3">
      <c r="A45" s="25"/>
      <c r="B45" s="18"/>
      <c r="C45" s="18"/>
      <c r="D45" s="108" t="s">
        <v>70</v>
      </c>
      <c r="E45" s="27" t="s">
        <v>124</v>
      </c>
      <c r="F45" s="27">
        <f t="shared" ca="1" si="4"/>
        <v>2025</v>
      </c>
      <c r="G45" s="161">
        <f>Inputs!G56</f>
        <v>0</v>
      </c>
      <c r="H45" s="135">
        <f>Inputs!H56*IF(Inputs!$E56="Real",1,H$5)</f>
        <v>0</v>
      </c>
      <c r="I45" s="135">
        <f>Inputs!I56*IF(Inputs!$E56="Real",1,I$5)</f>
        <v>0</v>
      </c>
      <c r="J45" s="135">
        <f>Inputs!J56*IF(Inputs!$E56="Real",1,J$5)</f>
        <v>0</v>
      </c>
      <c r="K45" s="135">
        <f>Inputs!K56*IF(Inputs!$E56="Real",1,K$5)</f>
        <v>0</v>
      </c>
      <c r="L45" s="135">
        <f>Inputs!L56*IF(Inputs!$E56="Real",1,L$5)</f>
        <v>0</v>
      </c>
      <c r="M45" s="135">
        <f>Inputs!M56*IF(Inputs!$E56="Real",1,M$5)</f>
        <v>0</v>
      </c>
      <c r="N45" s="135">
        <f>Inputs!N56*IF(Inputs!$E56="Real",1,N$5)</f>
        <v>0</v>
      </c>
      <c r="O45" s="135">
        <f>Inputs!O56*IF(Inputs!$E56="Real",1,O$5)</f>
        <v>0</v>
      </c>
      <c r="P45" s="135">
        <f>Inputs!P56*IF(Inputs!$E56="Real",1,P$5)</f>
        <v>0</v>
      </c>
      <c r="Q45" s="135">
        <f>Inputs!Q56*IF(Inputs!$E56="Real",1,Q$5)</f>
        <v>0</v>
      </c>
      <c r="R45" s="135">
        <f>Inputs!R56*IF(Inputs!$E56="Real",1,R$5)</f>
        <v>0</v>
      </c>
      <c r="S45" s="135">
        <f>Inputs!S56*IF(Inputs!$E56="Real",1,S$5)</f>
        <v>0</v>
      </c>
      <c r="T45" s="135">
        <f>Inputs!T56*IF(Inputs!$E56="Real",1,T$5)</f>
        <v>0</v>
      </c>
      <c r="U45" s="135">
        <f>Inputs!U56*IF(Inputs!$E56="Real",1,U$5)</f>
        <v>0</v>
      </c>
      <c r="V45" s="135">
        <f>Inputs!V56*IF(Inputs!$E56="Real",1,V$5)</f>
        <v>0</v>
      </c>
      <c r="W45" s="135">
        <f>Inputs!W56*IF(Inputs!$E56="Real",1,W$5)</f>
        <v>0</v>
      </c>
      <c r="X45" s="135">
        <f>Inputs!X56*IF(Inputs!$E56="Real",1,X$5)</f>
        <v>0</v>
      </c>
      <c r="Y45" s="135">
        <f>Inputs!Y56*IF(Inputs!$E56="Real",1,Y$5)</f>
        <v>0</v>
      </c>
      <c r="Z45" s="135">
        <f>Inputs!Z56*IF(Inputs!$E56="Real",1,Z$5)</f>
        <v>0</v>
      </c>
      <c r="AA45" s="135">
        <f>Inputs!AA56*IF(Inputs!$E56="Real",1,AA$5)</f>
        <v>0</v>
      </c>
      <c r="AB45" s="135">
        <f>Inputs!AB56*IF(Inputs!$E56="Real",1,AB$5)</f>
        <v>0</v>
      </c>
      <c r="AC45" s="135">
        <f>Inputs!AC56*IF(Inputs!$E56="Real",1,AC$5)</f>
        <v>0</v>
      </c>
      <c r="AD45" s="135">
        <f>Inputs!AD56*IF(Inputs!$E56="Real",1,AD$5)</f>
        <v>0</v>
      </c>
      <c r="AE45" s="135">
        <f>Inputs!AE56*IF(Inputs!$E56="Real",1,AE$5)</f>
        <v>0</v>
      </c>
      <c r="AF45" s="135">
        <f>Inputs!AF56*IF(Inputs!$E56="Real",1,AF$5)</f>
        <v>0</v>
      </c>
      <c r="AG45" s="135">
        <f>Inputs!AG56*IF(Inputs!$E56="Real",1,AG$5)</f>
        <v>0</v>
      </c>
      <c r="AH45" s="135">
        <f>Inputs!AH56*IF(Inputs!$E56="Real",1,AH$5)</f>
        <v>0</v>
      </c>
      <c r="AI45" s="135">
        <f>Inputs!AI56*IF(Inputs!$E56="Real",1,AI$5)</f>
        <v>0</v>
      </c>
      <c r="AJ45" s="135">
        <f>Inputs!AJ56*IF(Inputs!$E56="Real",1,AJ$5)</f>
        <v>0</v>
      </c>
      <c r="AK45" s="135">
        <f>Inputs!AK56*IF(Inputs!$E56="Real",1,AK$5)</f>
        <v>0</v>
      </c>
      <c r="AL45" s="135">
        <f>Inputs!AL56*IF(Inputs!$E56="Real",1,AL$5)</f>
        <v>0</v>
      </c>
      <c r="AM45" s="135">
        <f>Inputs!AM56*IF(Inputs!$E56="Real",1,AM$5)</f>
        <v>0</v>
      </c>
      <c r="AN45" s="135">
        <f>Inputs!AN56*IF(Inputs!$E56="Real",1,AN$5)</f>
        <v>0</v>
      </c>
      <c r="AO45" s="135">
        <f>Inputs!AO56*IF(Inputs!$E56="Real",1,AO$5)</f>
        <v>0</v>
      </c>
      <c r="AP45" s="135">
        <f>Inputs!AP56*IF(Inputs!$E56="Real",1,AP$5)</f>
        <v>0</v>
      </c>
      <c r="AQ45" s="135">
        <f>Inputs!AQ56*IF(Inputs!$E56="Real",1,AQ$5)</f>
        <v>0</v>
      </c>
      <c r="AR45" s="135">
        <f>Inputs!AR56*IF(Inputs!$E56="Real",1,AR$5)</f>
        <v>0</v>
      </c>
      <c r="AS45" s="135">
        <f>Inputs!AS56*IF(Inputs!$E56="Real",1,AS$5)</f>
        <v>0</v>
      </c>
      <c r="AT45" s="135">
        <f>Inputs!AT56*IF(Inputs!$E56="Real",1,AT$5)</f>
        <v>0</v>
      </c>
      <c r="AU45" s="135">
        <f>Inputs!AU56*IF(Inputs!$E56="Real",1,AU$5)</f>
        <v>0</v>
      </c>
      <c r="AV45" s="135">
        <f>Inputs!AV56*IF(Inputs!$E56="Real",1,AV$5)</f>
        <v>0</v>
      </c>
      <c r="AW45" s="135">
        <f>Inputs!AW56*IF(Inputs!$E56="Real",1,AW$5)</f>
        <v>0</v>
      </c>
      <c r="AX45" s="135">
        <f>Inputs!AX56*IF(Inputs!$E56="Real",1,AX$5)</f>
        <v>0</v>
      </c>
      <c r="AY45" s="135">
        <f>Inputs!AY56*IF(Inputs!$E56="Real",1,AY$5)</f>
        <v>0</v>
      </c>
      <c r="AZ45" s="135">
        <f>Inputs!AZ56*IF(Inputs!$E56="Real",1,AZ$5)</f>
        <v>0</v>
      </c>
    </row>
    <row r="46" spans="1:52" ht="18.75" x14ac:dyDescent="0.3">
      <c r="A46" s="25"/>
      <c r="B46" s="18"/>
      <c r="C46" s="18"/>
      <c r="D46" s="108" t="s">
        <v>71</v>
      </c>
      <c r="E46" s="27" t="s">
        <v>124</v>
      </c>
      <c r="F46" s="27">
        <f t="shared" ca="1" si="4"/>
        <v>2025</v>
      </c>
      <c r="G46" s="161">
        <f>Inputs!G57</f>
        <v>0</v>
      </c>
      <c r="H46" s="135">
        <f>Inputs!H57*IF(Inputs!$E57="Real",1,H$5)</f>
        <v>0</v>
      </c>
      <c r="I46" s="135">
        <f>Inputs!I57*IF(Inputs!$E57="Real",1,I$5)</f>
        <v>0</v>
      </c>
      <c r="J46" s="135">
        <f>Inputs!J57*IF(Inputs!$E57="Real",1,J$5)</f>
        <v>0</v>
      </c>
      <c r="K46" s="135">
        <f>Inputs!K57*IF(Inputs!$E57="Real",1,K$5)</f>
        <v>0</v>
      </c>
      <c r="L46" s="135">
        <f>Inputs!L57*IF(Inputs!$E57="Real",1,L$5)</f>
        <v>0</v>
      </c>
      <c r="M46" s="135">
        <f>Inputs!M57*IF(Inputs!$E57="Real",1,M$5)</f>
        <v>0</v>
      </c>
      <c r="N46" s="135">
        <f>Inputs!N57*IF(Inputs!$E57="Real",1,N$5)</f>
        <v>0</v>
      </c>
      <c r="O46" s="135">
        <f>Inputs!O57*IF(Inputs!$E57="Real",1,O$5)</f>
        <v>0</v>
      </c>
      <c r="P46" s="135">
        <f>Inputs!P57*IF(Inputs!$E57="Real",1,P$5)</f>
        <v>0</v>
      </c>
      <c r="Q46" s="135">
        <f>Inputs!Q57*IF(Inputs!$E57="Real",1,Q$5)</f>
        <v>0</v>
      </c>
      <c r="R46" s="135">
        <f>Inputs!R57*IF(Inputs!$E57="Real",1,R$5)</f>
        <v>0</v>
      </c>
      <c r="S46" s="135">
        <f>Inputs!S57*IF(Inputs!$E57="Real",1,S$5)</f>
        <v>0</v>
      </c>
      <c r="T46" s="135">
        <f>Inputs!T57*IF(Inputs!$E57="Real",1,T$5)</f>
        <v>0</v>
      </c>
      <c r="U46" s="135">
        <f>Inputs!U57*IF(Inputs!$E57="Real",1,U$5)</f>
        <v>0</v>
      </c>
      <c r="V46" s="135">
        <f>Inputs!V57*IF(Inputs!$E57="Real",1,V$5)</f>
        <v>0</v>
      </c>
      <c r="W46" s="135">
        <f>Inputs!W57*IF(Inputs!$E57="Real",1,W$5)</f>
        <v>0</v>
      </c>
      <c r="X46" s="135">
        <f>Inputs!X57*IF(Inputs!$E57="Real",1,X$5)</f>
        <v>0</v>
      </c>
      <c r="Y46" s="135">
        <f>Inputs!Y57*IF(Inputs!$E57="Real",1,Y$5)</f>
        <v>0</v>
      </c>
      <c r="Z46" s="135">
        <f>Inputs!Z57*IF(Inputs!$E57="Real",1,Z$5)</f>
        <v>0</v>
      </c>
      <c r="AA46" s="135">
        <f>Inputs!AA57*IF(Inputs!$E57="Real",1,AA$5)</f>
        <v>0</v>
      </c>
      <c r="AB46" s="135">
        <f>Inputs!AB57*IF(Inputs!$E57="Real",1,AB$5)</f>
        <v>0</v>
      </c>
      <c r="AC46" s="135">
        <f>Inputs!AC57*IF(Inputs!$E57="Real",1,AC$5)</f>
        <v>0</v>
      </c>
      <c r="AD46" s="135">
        <f>Inputs!AD57*IF(Inputs!$E57="Real",1,AD$5)</f>
        <v>0</v>
      </c>
      <c r="AE46" s="135">
        <f>Inputs!AE57*IF(Inputs!$E57="Real",1,AE$5)</f>
        <v>0</v>
      </c>
      <c r="AF46" s="135">
        <f>Inputs!AF57*IF(Inputs!$E57="Real",1,AF$5)</f>
        <v>0</v>
      </c>
      <c r="AG46" s="135">
        <f>Inputs!AG57*IF(Inputs!$E57="Real",1,AG$5)</f>
        <v>0</v>
      </c>
      <c r="AH46" s="135">
        <f>Inputs!AH57*IF(Inputs!$E57="Real",1,AH$5)</f>
        <v>0</v>
      </c>
      <c r="AI46" s="135">
        <f>Inputs!AI57*IF(Inputs!$E57="Real",1,AI$5)</f>
        <v>0</v>
      </c>
      <c r="AJ46" s="135">
        <f>Inputs!AJ57*IF(Inputs!$E57="Real",1,AJ$5)</f>
        <v>0</v>
      </c>
      <c r="AK46" s="135">
        <f>Inputs!AK57*IF(Inputs!$E57="Real",1,AK$5)</f>
        <v>0</v>
      </c>
      <c r="AL46" s="135">
        <f>Inputs!AL57*IF(Inputs!$E57="Real",1,AL$5)</f>
        <v>0</v>
      </c>
      <c r="AM46" s="135">
        <f>Inputs!AM57*IF(Inputs!$E57="Real",1,AM$5)</f>
        <v>0</v>
      </c>
      <c r="AN46" s="135">
        <f>Inputs!AN57*IF(Inputs!$E57="Real",1,AN$5)</f>
        <v>0</v>
      </c>
      <c r="AO46" s="135">
        <f>Inputs!AO57*IF(Inputs!$E57="Real",1,AO$5)</f>
        <v>0</v>
      </c>
      <c r="AP46" s="135">
        <f>Inputs!AP57*IF(Inputs!$E57="Real",1,AP$5)</f>
        <v>0</v>
      </c>
      <c r="AQ46" s="135">
        <f>Inputs!AQ57*IF(Inputs!$E57="Real",1,AQ$5)</f>
        <v>0</v>
      </c>
      <c r="AR46" s="135">
        <f>Inputs!AR57*IF(Inputs!$E57="Real",1,AR$5)</f>
        <v>0</v>
      </c>
      <c r="AS46" s="135">
        <f>Inputs!AS57*IF(Inputs!$E57="Real",1,AS$5)</f>
        <v>0</v>
      </c>
      <c r="AT46" s="135">
        <f>Inputs!AT57*IF(Inputs!$E57="Real",1,AT$5)</f>
        <v>0</v>
      </c>
      <c r="AU46" s="135">
        <f>Inputs!AU57*IF(Inputs!$E57="Real",1,AU$5)</f>
        <v>0</v>
      </c>
      <c r="AV46" s="135">
        <f>Inputs!AV57*IF(Inputs!$E57="Real",1,AV$5)</f>
        <v>0</v>
      </c>
      <c r="AW46" s="135">
        <f>Inputs!AW57*IF(Inputs!$E57="Real",1,AW$5)</f>
        <v>0</v>
      </c>
      <c r="AX46" s="135">
        <f>Inputs!AX57*IF(Inputs!$E57="Real",1,AX$5)</f>
        <v>0</v>
      </c>
      <c r="AY46" s="135">
        <f>Inputs!AY57*IF(Inputs!$E57="Real",1,AY$5)</f>
        <v>0</v>
      </c>
      <c r="AZ46" s="135">
        <f>Inputs!AZ57*IF(Inputs!$E57="Real",1,AZ$5)</f>
        <v>0</v>
      </c>
    </row>
    <row r="47" spans="1:52" ht="18.75" x14ac:dyDescent="0.3">
      <c r="A47" s="25"/>
      <c r="B47" s="18"/>
      <c r="C47" s="18"/>
      <c r="D47" s="108" t="s">
        <v>72</v>
      </c>
      <c r="E47" s="27" t="s">
        <v>124</v>
      </c>
      <c r="F47" s="27">
        <f t="shared" ca="1" si="4"/>
        <v>2025</v>
      </c>
      <c r="G47" s="161">
        <f>Inputs!G58</f>
        <v>0</v>
      </c>
      <c r="H47" s="135">
        <f>Inputs!H58*IF(Inputs!$E58="Real",1,H$5)</f>
        <v>0</v>
      </c>
      <c r="I47" s="135">
        <f>Inputs!I58*IF(Inputs!$E58="Real",1,I$5)</f>
        <v>0</v>
      </c>
      <c r="J47" s="135">
        <f>Inputs!J58*IF(Inputs!$E58="Real",1,J$5)</f>
        <v>0</v>
      </c>
      <c r="K47" s="135">
        <f>Inputs!K58*IF(Inputs!$E58="Real",1,K$5)</f>
        <v>0</v>
      </c>
      <c r="L47" s="135">
        <f>Inputs!L58*IF(Inputs!$E58="Real",1,L$5)</f>
        <v>0</v>
      </c>
      <c r="M47" s="135">
        <f>Inputs!M58*IF(Inputs!$E58="Real",1,M$5)</f>
        <v>0</v>
      </c>
      <c r="N47" s="135">
        <f>Inputs!N58*IF(Inputs!$E58="Real",1,N$5)</f>
        <v>0</v>
      </c>
      <c r="O47" s="135">
        <f>Inputs!O58*IF(Inputs!$E58="Real",1,O$5)</f>
        <v>0</v>
      </c>
      <c r="P47" s="135">
        <f>Inputs!P58*IF(Inputs!$E58="Real",1,P$5)</f>
        <v>0</v>
      </c>
      <c r="Q47" s="135">
        <f>Inputs!Q58*IF(Inputs!$E58="Real",1,Q$5)</f>
        <v>0</v>
      </c>
      <c r="R47" s="135">
        <f>Inputs!R58*IF(Inputs!$E58="Real",1,R$5)</f>
        <v>0</v>
      </c>
      <c r="S47" s="135">
        <f>Inputs!S58*IF(Inputs!$E58="Real",1,S$5)</f>
        <v>0</v>
      </c>
      <c r="T47" s="135">
        <f>Inputs!T58*IF(Inputs!$E58="Real",1,T$5)</f>
        <v>0</v>
      </c>
      <c r="U47" s="135">
        <f>Inputs!U58*IF(Inputs!$E58="Real",1,U$5)</f>
        <v>0</v>
      </c>
      <c r="V47" s="135">
        <f>Inputs!V58*IF(Inputs!$E58="Real",1,V$5)</f>
        <v>0</v>
      </c>
      <c r="W47" s="135">
        <f>Inputs!W58*IF(Inputs!$E58="Real",1,W$5)</f>
        <v>0</v>
      </c>
      <c r="X47" s="135">
        <f>Inputs!X58*IF(Inputs!$E58="Real",1,X$5)</f>
        <v>0</v>
      </c>
      <c r="Y47" s="135">
        <f>Inputs!Y58*IF(Inputs!$E58="Real",1,Y$5)</f>
        <v>0</v>
      </c>
      <c r="Z47" s="135">
        <f>Inputs!Z58*IF(Inputs!$E58="Real",1,Z$5)</f>
        <v>0</v>
      </c>
      <c r="AA47" s="135">
        <f>Inputs!AA58*IF(Inputs!$E58="Real",1,AA$5)</f>
        <v>0</v>
      </c>
      <c r="AB47" s="135">
        <f>Inputs!AB58*IF(Inputs!$E58="Real",1,AB$5)</f>
        <v>0</v>
      </c>
      <c r="AC47" s="135">
        <f>Inputs!AC58*IF(Inputs!$E58="Real",1,AC$5)</f>
        <v>0</v>
      </c>
      <c r="AD47" s="135">
        <f>Inputs!AD58*IF(Inputs!$E58="Real",1,AD$5)</f>
        <v>0</v>
      </c>
      <c r="AE47" s="135">
        <f>Inputs!AE58*IF(Inputs!$E58="Real",1,AE$5)</f>
        <v>0</v>
      </c>
      <c r="AF47" s="135">
        <f>Inputs!AF58*IF(Inputs!$E58="Real",1,AF$5)</f>
        <v>0</v>
      </c>
      <c r="AG47" s="135">
        <f>Inputs!AG58*IF(Inputs!$E58="Real",1,AG$5)</f>
        <v>0</v>
      </c>
      <c r="AH47" s="135">
        <f>Inputs!AH58*IF(Inputs!$E58="Real",1,AH$5)</f>
        <v>0</v>
      </c>
      <c r="AI47" s="135">
        <f>Inputs!AI58*IF(Inputs!$E58="Real",1,AI$5)</f>
        <v>0</v>
      </c>
      <c r="AJ47" s="135">
        <f>Inputs!AJ58*IF(Inputs!$E58="Real",1,AJ$5)</f>
        <v>0</v>
      </c>
      <c r="AK47" s="135">
        <f>Inputs!AK58*IF(Inputs!$E58="Real",1,AK$5)</f>
        <v>0</v>
      </c>
      <c r="AL47" s="135">
        <f>Inputs!AL58*IF(Inputs!$E58="Real",1,AL$5)</f>
        <v>0</v>
      </c>
      <c r="AM47" s="135">
        <f>Inputs!AM58*IF(Inputs!$E58="Real",1,AM$5)</f>
        <v>0</v>
      </c>
      <c r="AN47" s="135">
        <f>Inputs!AN58*IF(Inputs!$E58="Real",1,AN$5)</f>
        <v>0</v>
      </c>
      <c r="AO47" s="135">
        <f>Inputs!AO58*IF(Inputs!$E58="Real",1,AO$5)</f>
        <v>0</v>
      </c>
      <c r="AP47" s="135">
        <f>Inputs!AP58*IF(Inputs!$E58="Real",1,AP$5)</f>
        <v>0</v>
      </c>
      <c r="AQ47" s="135">
        <f>Inputs!AQ58*IF(Inputs!$E58="Real",1,AQ$5)</f>
        <v>0</v>
      </c>
      <c r="AR47" s="135">
        <f>Inputs!AR58*IF(Inputs!$E58="Real",1,AR$5)</f>
        <v>0</v>
      </c>
      <c r="AS47" s="135">
        <f>Inputs!AS58*IF(Inputs!$E58="Real",1,AS$5)</f>
        <v>0</v>
      </c>
      <c r="AT47" s="135">
        <f>Inputs!AT58*IF(Inputs!$E58="Real",1,AT$5)</f>
        <v>0</v>
      </c>
      <c r="AU47" s="135">
        <f>Inputs!AU58*IF(Inputs!$E58="Real",1,AU$5)</f>
        <v>0</v>
      </c>
      <c r="AV47" s="135">
        <f>Inputs!AV58*IF(Inputs!$E58="Real",1,AV$5)</f>
        <v>0</v>
      </c>
      <c r="AW47" s="135">
        <f>Inputs!AW58*IF(Inputs!$E58="Real",1,AW$5)</f>
        <v>0</v>
      </c>
      <c r="AX47" s="135">
        <f>Inputs!AX58*IF(Inputs!$E58="Real",1,AX$5)</f>
        <v>0</v>
      </c>
      <c r="AY47" s="135">
        <f>Inputs!AY58*IF(Inputs!$E58="Real",1,AY$5)</f>
        <v>0</v>
      </c>
      <c r="AZ47" s="135">
        <f>Inputs!AZ58*IF(Inputs!$E58="Real",1,AZ$5)</f>
        <v>0</v>
      </c>
    </row>
    <row r="48" spans="1:52" ht="18.75" x14ac:dyDescent="0.3">
      <c r="A48" s="25"/>
      <c r="B48" s="18"/>
      <c r="C48" s="18"/>
      <c r="D48" s="110" t="s">
        <v>59</v>
      </c>
      <c r="E48" s="27" t="s">
        <v>124</v>
      </c>
      <c r="F48" s="27">
        <f t="shared" ca="1" si="4"/>
        <v>2025</v>
      </c>
      <c r="G48" s="161">
        <f>Inputs!G59</f>
        <v>0</v>
      </c>
      <c r="H48" s="135">
        <f>Inputs!H59*IF(Inputs!$E59="Real",1,H$5)</f>
        <v>0</v>
      </c>
      <c r="I48" s="135">
        <f>Inputs!I59*IF(Inputs!$E59="Real",1,I$5)</f>
        <v>0</v>
      </c>
      <c r="J48" s="135">
        <f>Inputs!J59*IF(Inputs!$E59="Real",1,J$5)</f>
        <v>0</v>
      </c>
      <c r="K48" s="135">
        <f>Inputs!K59*IF(Inputs!$E59="Real",1,K$5)</f>
        <v>0</v>
      </c>
      <c r="L48" s="135">
        <f>Inputs!L59*IF(Inputs!$E59="Real",1,L$5)</f>
        <v>0</v>
      </c>
      <c r="M48" s="135">
        <f>Inputs!M59*IF(Inputs!$E59="Real",1,M$5)</f>
        <v>0</v>
      </c>
      <c r="N48" s="135">
        <f>Inputs!N59*IF(Inputs!$E59="Real",1,N$5)</f>
        <v>0</v>
      </c>
      <c r="O48" s="135">
        <f>Inputs!O59*IF(Inputs!$E59="Real",1,O$5)</f>
        <v>0</v>
      </c>
      <c r="P48" s="135">
        <f>Inputs!P59*IF(Inputs!$E59="Real",1,P$5)</f>
        <v>0</v>
      </c>
      <c r="Q48" s="135">
        <f>Inputs!Q59*IF(Inputs!$E59="Real",1,Q$5)</f>
        <v>0</v>
      </c>
      <c r="R48" s="135">
        <f>Inputs!R59*IF(Inputs!$E59="Real",1,R$5)</f>
        <v>0</v>
      </c>
      <c r="S48" s="135">
        <f>Inputs!S59*IF(Inputs!$E59="Real",1,S$5)</f>
        <v>0</v>
      </c>
      <c r="T48" s="135">
        <f>Inputs!T59*IF(Inputs!$E59="Real",1,T$5)</f>
        <v>0</v>
      </c>
      <c r="U48" s="135">
        <f>Inputs!U59*IF(Inputs!$E59="Real",1,U$5)</f>
        <v>0</v>
      </c>
      <c r="V48" s="135">
        <f>Inputs!V59*IF(Inputs!$E59="Real",1,V$5)</f>
        <v>0</v>
      </c>
      <c r="W48" s="135">
        <f>Inputs!W59*IF(Inputs!$E59="Real",1,W$5)</f>
        <v>0</v>
      </c>
      <c r="X48" s="135">
        <f>Inputs!X59*IF(Inputs!$E59="Real",1,X$5)</f>
        <v>0</v>
      </c>
      <c r="Y48" s="135">
        <f>Inputs!Y59*IF(Inputs!$E59="Real",1,Y$5)</f>
        <v>0</v>
      </c>
      <c r="Z48" s="135">
        <f>Inputs!Z59*IF(Inputs!$E59="Real",1,Z$5)</f>
        <v>0</v>
      </c>
      <c r="AA48" s="135">
        <f>Inputs!AA59*IF(Inputs!$E59="Real",1,AA$5)</f>
        <v>0</v>
      </c>
      <c r="AB48" s="135">
        <f>Inputs!AB59*IF(Inputs!$E59="Real",1,AB$5)</f>
        <v>0</v>
      </c>
      <c r="AC48" s="135">
        <f>Inputs!AC59*IF(Inputs!$E59="Real",1,AC$5)</f>
        <v>0</v>
      </c>
      <c r="AD48" s="135">
        <f>Inputs!AD59*IF(Inputs!$E59="Real",1,AD$5)</f>
        <v>0</v>
      </c>
      <c r="AE48" s="135">
        <f>Inputs!AE59*IF(Inputs!$E59="Real",1,AE$5)</f>
        <v>0</v>
      </c>
      <c r="AF48" s="135">
        <f>Inputs!AF59*IF(Inputs!$E59="Real",1,AF$5)</f>
        <v>0</v>
      </c>
      <c r="AG48" s="135">
        <f>Inputs!AG59*IF(Inputs!$E59="Real",1,AG$5)</f>
        <v>0</v>
      </c>
      <c r="AH48" s="135">
        <f>Inputs!AH59*IF(Inputs!$E59="Real",1,AH$5)</f>
        <v>0</v>
      </c>
      <c r="AI48" s="135">
        <f>Inputs!AI59*IF(Inputs!$E59="Real",1,AI$5)</f>
        <v>0</v>
      </c>
      <c r="AJ48" s="135">
        <f>Inputs!AJ59*IF(Inputs!$E59="Real",1,AJ$5)</f>
        <v>0</v>
      </c>
      <c r="AK48" s="135">
        <f>Inputs!AK59*IF(Inputs!$E59="Real",1,AK$5)</f>
        <v>0</v>
      </c>
      <c r="AL48" s="135">
        <f>Inputs!AL59*IF(Inputs!$E59="Real",1,AL$5)</f>
        <v>0</v>
      </c>
      <c r="AM48" s="135">
        <f>Inputs!AM59*IF(Inputs!$E59="Real",1,AM$5)</f>
        <v>0</v>
      </c>
      <c r="AN48" s="135">
        <f>Inputs!AN59*IF(Inputs!$E59="Real",1,AN$5)</f>
        <v>0</v>
      </c>
      <c r="AO48" s="135">
        <f>Inputs!AO59*IF(Inputs!$E59="Real",1,AO$5)</f>
        <v>0</v>
      </c>
      <c r="AP48" s="135">
        <f>Inputs!AP59*IF(Inputs!$E59="Real",1,AP$5)</f>
        <v>0</v>
      </c>
      <c r="AQ48" s="135">
        <f>Inputs!AQ59*IF(Inputs!$E59="Real",1,AQ$5)</f>
        <v>0</v>
      </c>
      <c r="AR48" s="135">
        <f>Inputs!AR59*IF(Inputs!$E59="Real",1,AR$5)</f>
        <v>0</v>
      </c>
      <c r="AS48" s="135">
        <f>Inputs!AS59*IF(Inputs!$E59="Real",1,AS$5)</f>
        <v>0</v>
      </c>
      <c r="AT48" s="135">
        <f>Inputs!AT59*IF(Inputs!$E59="Real",1,AT$5)</f>
        <v>0</v>
      </c>
      <c r="AU48" s="135">
        <f>Inputs!AU59*IF(Inputs!$E59="Real",1,AU$5)</f>
        <v>0</v>
      </c>
      <c r="AV48" s="135">
        <f>Inputs!AV59*IF(Inputs!$E59="Real",1,AV$5)</f>
        <v>0</v>
      </c>
      <c r="AW48" s="135">
        <f>Inputs!AW59*IF(Inputs!$E59="Real",1,AW$5)</f>
        <v>0</v>
      </c>
      <c r="AX48" s="135">
        <f>Inputs!AX59*IF(Inputs!$E59="Real",1,AX$5)</f>
        <v>0</v>
      </c>
      <c r="AY48" s="135">
        <f>Inputs!AY59*IF(Inputs!$E59="Real",1,AY$5)</f>
        <v>0</v>
      </c>
      <c r="AZ48" s="135">
        <f>Inputs!AZ59*IF(Inputs!$E59="Real",1,AZ$5)</f>
        <v>0</v>
      </c>
    </row>
    <row r="49" spans="1:52" ht="18.75" x14ac:dyDescent="0.3">
      <c r="A49" s="25"/>
      <c r="B49" s="18"/>
      <c r="C49" s="18"/>
      <c r="D49" s="9" t="str">
        <f ca="1">"Total non-fuel opex in "&amp;Analysis_year&amp;" dollars"</f>
        <v>Total non-fuel opex in 2025 dollars</v>
      </c>
      <c r="E49" s="9"/>
      <c r="F49" s="9"/>
      <c r="H49" s="104">
        <f>SUBTOTAL(109,Opex_NonFuel_BC[2026])</f>
        <v>186072.0196648745</v>
      </c>
      <c r="I49" s="104">
        <f>SUBTOTAL(109,Opex_NonFuel_BC[2027])</f>
        <v>182405.66578264337</v>
      </c>
      <c r="J49" s="104">
        <f>SUBTOTAL(109,Opex_NonFuel_BC[2028])</f>
        <v>178811.55355616449</v>
      </c>
      <c r="K49" s="104">
        <f>SUBTOTAL(109,Opex_NonFuel_BC[2029])</f>
        <v>175288.25953942208</v>
      </c>
      <c r="L49" s="104">
        <f>SUBTOTAL(109,Opex_NonFuel_BC[2030])</f>
        <v>171834.38833391047</v>
      </c>
      <c r="M49" s="104">
        <f>SUBTOTAL(109,Opex_NonFuel_BC[2031])</f>
        <v>168448.57203598713</v>
      </c>
      <c r="N49" s="104">
        <f>SUBTOTAL(109,Opex_NonFuel_BC[2032])</f>
        <v>165129.46969511535</v>
      </c>
      <c r="O49" s="104">
        <f>SUBTOTAL(109,Opex_NonFuel_BC[2033])</f>
        <v>161875.7667827814</v>
      </c>
      <c r="P49" s="104">
        <f>SUBTOTAL(109,Opex_NonFuel_BC[2034])</f>
        <v>158686.17467187668</v>
      </c>
      <c r="Q49" s="104">
        <f>SUBTOTAL(109,Opex_NonFuel_BC[2035])</f>
        <v>155559.43012633731</v>
      </c>
      <c r="R49" s="104">
        <f>SUBTOTAL(109,Opex_NonFuel_BC[2036])</f>
        <v>152494.29480084041</v>
      </c>
      <c r="S49" s="104">
        <f>SUBTOTAL(109,Opex_NonFuel_BC[2037])</f>
        <v>149489.55475035822</v>
      </c>
      <c r="T49" s="104">
        <f>SUBTOTAL(109,Opex_NonFuel_BC[2038])</f>
        <v>146544.01994937577</v>
      </c>
      <c r="U49" s="104">
        <f>SUBTOTAL(109,Opex_NonFuel_BC[2039])</f>
        <v>143656.52382058205</v>
      </c>
      <c r="V49" s="104">
        <f>SUBTOTAL(109,Opex_NonFuel_BC[2040])</f>
        <v>140825.92277284781</v>
      </c>
      <c r="W49" s="104">
        <f>SUBTOTAL(109,Opex_NonFuel_BC[2041])</f>
        <v>138051.09574830683</v>
      </c>
      <c r="X49" s="104">
        <f>SUBTOTAL(109,Opex_NonFuel_BC[2042])</f>
        <v>135330.94377836181</v>
      </c>
      <c r="Y49" s="104">
        <f>SUBTOTAL(109,Opex_NonFuel_BC[2043])</f>
        <v>132664.38954843819</v>
      </c>
      <c r="Z49" s="104">
        <f>SUBTOTAL(109,Opex_NonFuel_BC[2044])</f>
        <v>130050.37697131476</v>
      </c>
      <c r="AA49" s="104">
        <f>SUBTOTAL(109,Opex_NonFuel_BC[2045])</f>
        <v>127487.87076886067</v>
      </c>
      <c r="AB49" s="104">
        <f>SUBTOTAL(109,Opex_NonFuel_BC[2046])</f>
        <v>124975.85606201418</v>
      </c>
      <c r="AC49" s="104">
        <f>SUBTOTAL(109,Opex_NonFuel_BC[2047])</f>
        <v>122513.33796884048</v>
      </c>
      <c r="AD49" s="104">
        <f>SUBTOTAL(109,Opex_NonFuel_BC[2048])</f>
        <v>0</v>
      </c>
      <c r="AE49" s="104">
        <f>SUBTOTAL(109,Opex_NonFuel_BC[2049])</f>
        <v>0</v>
      </c>
      <c r="AF49" s="104">
        <f>SUBTOTAL(109,Opex_NonFuel_BC[2050])</f>
        <v>0</v>
      </c>
      <c r="AG49" s="104">
        <f>SUBTOTAL(109,Opex_NonFuel_BC[2051])</f>
        <v>0</v>
      </c>
      <c r="AH49" s="104">
        <f>SUBTOTAL(109,Opex_NonFuel_BC[2052])</f>
        <v>0</v>
      </c>
      <c r="AI49" s="104">
        <f>SUBTOTAL(109,Opex_NonFuel_BC[2053])</f>
        <v>0</v>
      </c>
      <c r="AJ49" s="104">
        <f>SUBTOTAL(109,Opex_NonFuel_BC[2054])</f>
        <v>0</v>
      </c>
      <c r="AK49" s="104">
        <f>SUBTOTAL(109,Opex_NonFuel_BC[2055])</f>
        <v>0</v>
      </c>
      <c r="AL49" s="104">
        <f>SUBTOTAL(109,Opex_NonFuel_BC[2056])</f>
        <v>0</v>
      </c>
      <c r="AM49" s="104">
        <f>SUBTOTAL(109,Opex_NonFuel_BC[2057])</f>
        <v>0</v>
      </c>
      <c r="AN49" s="104">
        <f>SUBTOTAL(109,Opex_NonFuel_BC[2058])</f>
        <v>0</v>
      </c>
      <c r="AO49" s="104">
        <f>SUBTOTAL(109,Opex_NonFuel_BC[2059])</f>
        <v>0</v>
      </c>
      <c r="AP49" s="104">
        <f>SUBTOTAL(109,Opex_NonFuel_BC[2060])</f>
        <v>0</v>
      </c>
      <c r="AQ49" s="104">
        <f>SUBTOTAL(109,Opex_NonFuel_BC[2061])</f>
        <v>0</v>
      </c>
      <c r="AR49" s="104">
        <f>SUBTOTAL(109,Opex_NonFuel_BC[2062])</f>
        <v>0</v>
      </c>
      <c r="AS49" s="104">
        <f>SUBTOTAL(109,Opex_NonFuel_BC[2063])</f>
        <v>0</v>
      </c>
      <c r="AT49" s="104">
        <f>SUBTOTAL(109,Opex_NonFuel_BC[2064])</f>
        <v>0</v>
      </c>
      <c r="AU49" s="104">
        <f>SUBTOTAL(109,Opex_NonFuel_BC[2065])</f>
        <v>0</v>
      </c>
      <c r="AV49" s="104">
        <f>SUBTOTAL(109,Opex_NonFuel_BC[2066])</f>
        <v>0</v>
      </c>
      <c r="AW49" s="104">
        <f>SUBTOTAL(109,Opex_NonFuel_BC[2067])</f>
        <v>0</v>
      </c>
      <c r="AX49" s="104">
        <f>SUBTOTAL(109,Opex_NonFuel_BC[2068])</f>
        <v>0</v>
      </c>
      <c r="AY49" s="104">
        <f>SUBTOTAL(109,Opex_NonFuel_BC[2069])</f>
        <v>0</v>
      </c>
      <c r="AZ49" s="104">
        <f>SUBTOTAL(109,Opex_NonFuel_BC[2070])</f>
        <v>0</v>
      </c>
    </row>
    <row r="50" spans="1:52" ht="18.75" x14ac:dyDescent="0.3">
      <c r="A50" s="25"/>
      <c r="B50" s="18"/>
      <c r="C50" s="9"/>
      <c r="D50" s="4"/>
      <c r="E50" s="4"/>
      <c r="F50" s="4"/>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40"/>
      <c r="AX50" s="40"/>
      <c r="AY50" s="40"/>
    </row>
    <row r="51" spans="1:52" ht="18.75" x14ac:dyDescent="0.3">
      <c r="A51" s="3" t="s">
        <v>74</v>
      </c>
      <c r="B51" s="18"/>
      <c r="C51" s="4"/>
      <c r="D51" s="4"/>
      <c r="E51" s="4"/>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row>
    <row r="52" spans="1:52" ht="60.75" x14ac:dyDescent="0.3">
      <c r="A52" s="52" t="s">
        <v>50</v>
      </c>
      <c r="B52" s="48"/>
      <c r="C52" s="49"/>
      <c r="E52" s="111" t="s">
        <v>75</v>
      </c>
      <c r="F52" s="111" t="s">
        <v>76</v>
      </c>
      <c r="G52" s="53" t="s">
        <v>52</v>
      </c>
      <c r="H52" s="62" t="s">
        <v>77</v>
      </c>
      <c r="I52" s="62" t="s">
        <v>78</v>
      </c>
      <c r="J52" s="62" t="s">
        <v>79</v>
      </c>
      <c r="K52" s="62" t="s">
        <v>80</v>
      </c>
      <c r="L52" s="62" t="s">
        <v>81</v>
      </c>
      <c r="M52" s="62" t="s">
        <v>82</v>
      </c>
      <c r="N52" s="62" t="s">
        <v>83</v>
      </c>
      <c r="O52" s="62" t="s">
        <v>84</v>
      </c>
      <c r="P52" s="62" t="s">
        <v>85</v>
      </c>
      <c r="Q52" s="62" t="s">
        <v>86</v>
      </c>
      <c r="R52" s="62" t="s">
        <v>87</v>
      </c>
      <c r="S52" s="62" t="s">
        <v>88</v>
      </c>
      <c r="T52" s="62" t="s">
        <v>89</v>
      </c>
      <c r="U52" s="62" t="s">
        <v>90</v>
      </c>
      <c r="V52" s="62" t="s">
        <v>91</v>
      </c>
      <c r="W52" s="62" t="s">
        <v>92</v>
      </c>
      <c r="X52" s="62" t="s">
        <v>93</v>
      </c>
      <c r="Y52" s="62" t="s">
        <v>94</v>
      </c>
      <c r="Z52" s="62" t="s">
        <v>95</v>
      </c>
      <c r="AA52" s="62" t="s">
        <v>96</v>
      </c>
      <c r="AB52" s="62" t="s">
        <v>97</v>
      </c>
      <c r="AC52" s="62" t="s">
        <v>98</v>
      </c>
      <c r="AD52" s="62" t="s">
        <v>99</v>
      </c>
      <c r="AE52" s="62" t="s">
        <v>100</v>
      </c>
      <c r="AF52" s="62" t="s">
        <v>101</v>
      </c>
      <c r="AG52" s="62" t="s">
        <v>102</v>
      </c>
      <c r="AH52" s="62" t="s">
        <v>103</v>
      </c>
      <c r="AI52" s="62" t="s">
        <v>104</v>
      </c>
      <c r="AJ52" s="62" t="s">
        <v>105</v>
      </c>
      <c r="AK52" s="62" t="s">
        <v>106</v>
      </c>
      <c r="AL52" s="62" t="s">
        <v>107</v>
      </c>
      <c r="AM52" s="62" t="s">
        <v>108</v>
      </c>
      <c r="AN52" s="62" t="s">
        <v>109</v>
      </c>
      <c r="AO52" s="62" t="s">
        <v>110</v>
      </c>
      <c r="AP52" s="62" t="s">
        <v>111</v>
      </c>
      <c r="AQ52" s="62" t="s">
        <v>112</v>
      </c>
      <c r="AR52" s="62" t="s">
        <v>113</v>
      </c>
      <c r="AS52" s="62" t="s">
        <v>114</v>
      </c>
      <c r="AT52" s="62" t="s">
        <v>115</v>
      </c>
      <c r="AU52" s="62" t="s">
        <v>116</v>
      </c>
      <c r="AV52" s="62" t="s">
        <v>117</v>
      </c>
      <c r="AW52" s="62" t="s">
        <v>118</v>
      </c>
      <c r="AX52" s="62" t="s">
        <v>119</v>
      </c>
      <c r="AY52" s="62" t="s">
        <v>120</v>
      </c>
      <c r="AZ52" s="62" t="s">
        <v>121</v>
      </c>
    </row>
    <row r="53" spans="1:52" ht="18.75" x14ac:dyDescent="0.3">
      <c r="A53" s="4"/>
      <c r="B53" s="18"/>
      <c r="C53" s="4"/>
      <c r="E53" s="162" t="str">
        <f>Inputs!D65</f>
        <v>Electricity</v>
      </c>
      <c r="F53" s="162" t="s">
        <v>169</v>
      </c>
      <c r="G53" s="159">
        <f>Inputs!G65</f>
        <v>0</v>
      </c>
      <c r="H53" s="136">
        <f>Inputs!H65*Data!$F3</f>
        <v>432</v>
      </c>
      <c r="I53" s="136">
        <f>Inputs!I65*Data!$F3</f>
        <v>18032.014080000001</v>
      </c>
      <c r="J53" s="136">
        <f>Inputs!J65*Data!$F3</f>
        <v>18032.014080000001</v>
      </c>
      <c r="K53" s="136">
        <f>Inputs!K65*Data!$F3</f>
        <v>18032.014080000001</v>
      </c>
      <c r="L53" s="136">
        <f>Inputs!L65*Data!$F3</f>
        <v>18032.014080000001</v>
      </c>
      <c r="M53" s="136">
        <f>Inputs!M65*Data!$F3</f>
        <v>18032.014080000001</v>
      </c>
      <c r="N53" s="136">
        <f>Inputs!N65*Data!$F3</f>
        <v>18032.014080000001</v>
      </c>
      <c r="O53" s="136">
        <f>Inputs!O65*Data!$F3</f>
        <v>18032.014080000001</v>
      </c>
      <c r="P53" s="136">
        <f>Inputs!P65*Data!$F3</f>
        <v>18032.014080000001</v>
      </c>
      <c r="Q53" s="136">
        <f>Inputs!Q65*Data!$F3</f>
        <v>18032.014080000001</v>
      </c>
      <c r="R53" s="136">
        <f>Inputs!R65*Data!$F3</f>
        <v>18032.014080000001</v>
      </c>
      <c r="S53" s="136">
        <f>Inputs!S65*Data!$F3</f>
        <v>18032.014080000001</v>
      </c>
      <c r="T53" s="136">
        <f>Inputs!T65*Data!$F3</f>
        <v>18032.014080000001</v>
      </c>
      <c r="U53" s="136">
        <f>Inputs!U65*Data!$F3</f>
        <v>18032.014080000001</v>
      </c>
      <c r="V53" s="136">
        <f>Inputs!V65*Data!$F3</f>
        <v>18032.014080000001</v>
      </c>
      <c r="W53" s="136">
        <f>Inputs!W65*Data!$F3</f>
        <v>18032.014080000001</v>
      </c>
      <c r="X53" s="136">
        <f>Inputs!X65*Data!$F3</f>
        <v>18032.014080000001</v>
      </c>
      <c r="Y53" s="136">
        <f>Inputs!Y65*Data!$F3</f>
        <v>18032.014080000001</v>
      </c>
      <c r="Z53" s="136">
        <f>Inputs!Z65*Data!$F3</f>
        <v>18032.014080000001</v>
      </c>
      <c r="AA53" s="136">
        <f>Inputs!AA65*Data!$F3</f>
        <v>18032.014080000001</v>
      </c>
      <c r="AB53" s="136">
        <f>Inputs!AB65*Data!$F3</f>
        <v>18032.014080000001</v>
      </c>
      <c r="AC53" s="136">
        <f>Inputs!AC65*Data!$F3</f>
        <v>18032.014080000001</v>
      </c>
      <c r="AD53" s="136">
        <f>Inputs!AD65*Data!$F3</f>
        <v>0</v>
      </c>
      <c r="AE53" s="136">
        <f>Inputs!AE65*Data!$F3</f>
        <v>0</v>
      </c>
      <c r="AF53" s="136">
        <f>Inputs!AF65*Data!$F3</f>
        <v>0</v>
      </c>
      <c r="AG53" s="136">
        <f>Inputs!AG65*Data!$F3</f>
        <v>0</v>
      </c>
      <c r="AH53" s="136">
        <f>Inputs!AH65*Data!$F3</f>
        <v>0</v>
      </c>
      <c r="AI53" s="136">
        <f>Inputs!AI65*Data!$F3</f>
        <v>0</v>
      </c>
      <c r="AJ53" s="136">
        <f>Inputs!AJ65*Data!$F3</f>
        <v>0</v>
      </c>
      <c r="AK53" s="136">
        <f>Inputs!AK65*Data!$F3</f>
        <v>0</v>
      </c>
      <c r="AL53" s="136">
        <f>Inputs!AL65*Data!$F3</f>
        <v>0</v>
      </c>
      <c r="AM53" s="136">
        <f>Inputs!AM65*Data!$F3</f>
        <v>0</v>
      </c>
      <c r="AN53" s="136">
        <f>Inputs!AN65*Data!$F3</f>
        <v>0</v>
      </c>
      <c r="AO53" s="136">
        <f>Inputs!AO65*Data!$F3</f>
        <v>0</v>
      </c>
      <c r="AP53" s="136">
        <f>Inputs!AP65*Data!$F3</f>
        <v>0</v>
      </c>
      <c r="AQ53" s="136">
        <f>Inputs!AQ65*Data!$F3</f>
        <v>0</v>
      </c>
      <c r="AR53" s="136">
        <f>Inputs!AR65*Data!$F3</f>
        <v>0</v>
      </c>
      <c r="AS53" s="136">
        <f>Inputs!AS65*Data!$F3</f>
        <v>0</v>
      </c>
      <c r="AT53" s="136">
        <f>Inputs!AT65*Data!$F3</f>
        <v>0</v>
      </c>
      <c r="AU53" s="136">
        <f>Inputs!AU65*Data!$F3</f>
        <v>0</v>
      </c>
      <c r="AV53" s="136">
        <f>Inputs!AV65*Data!$F3</f>
        <v>0</v>
      </c>
      <c r="AW53" s="136">
        <f>Inputs!AW65*Data!$F3</f>
        <v>0</v>
      </c>
      <c r="AX53" s="136">
        <f>Inputs!AX65*Data!$F3</f>
        <v>0</v>
      </c>
      <c r="AY53" s="136">
        <f>Inputs!AY65*Data!$F3</f>
        <v>0</v>
      </c>
      <c r="AZ53" s="136">
        <f>Inputs!AZ65*Data!$F3</f>
        <v>0</v>
      </c>
    </row>
    <row r="54" spans="1:52" ht="18.75" x14ac:dyDescent="0.3">
      <c r="A54" s="4"/>
      <c r="B54" s="18"/>
      <c r="C54" s="4"/>
      <c r="E54" s="162" t="str">
        <f>Inputs!D66</f>
        <v>Natural Gas</v>
      </c>
      <c r="F54" s="162" t="s">
        <v>169</v>
      </c>
      <c r="G54" s="159">
        <f>Inputs!G72</f>
        <v>0</v>
      </c>
      <c r="H54" s="136">
        <f>Inputs!H66*Data!$F4</f>
        <v>70000</v>
      </c>
      <c r="I54" s="136">
        <f>Inputs!I66*Data!$F4</f>
        <v>0</v>
      </c>
      <c r="J54" s="136">
        <f>Inputs!J66*Data!$F4</f>
        <v>0</v>
      </c>
      <c r="K54" s="136">
        <f>Inputs!K66*Data!$F4</f>
        <v>0</v>
      </c>
      <c r="L54" s="136">
        <f>Inputs!L66*Data!$F4</f>
        <v>0</v>
      </c>
      <c r="M54" s="136">
        <f>Inputs!M66*Data!$F4</f>
        <v>0</v>
      </c>
      <c r="N54" s="136">
        <f>Inputs!N66*Data!$F4</f>
        <v>0</v>
      </c>
      <c r="O54" s="136">
        <f>Inputs!O66*Data!$F4</f>
        <v>0</v>
      </c>
      <c r="P54" s="136">
        <f>Inputs!P66*Data!$F4</f>
        <v>0</v>
      </c>
      <c r="Q54" s="136">
        <f>Inputs!Q66*Data!$F4</f>
        <v>0</v>
      </c>
      <c r="R54" s="136">
        <f>Inputs!R66*Data!$F4</f>
        <v>0</v>
      </c>
      <c r="S54" s="136">
        <f>Inputs!S66*Data!$F4</f>
        <v>0</v>
      </c>
      <c r="T54" s="136">
        <f>Inputs!T66*Data!$F4</f>
        <v>0</v>
      </c>
      <c r="U54" s="136">
        <f>Inputs!U66*Data!$F4</f>
        <v>0</v>
      </c>
      <c r="V54" s="136">
        <f>Inputs!V66*Data!$F4</f>
        <v>0</v>
      </c>
      <c r="W54" s="136">
        <f>Inputs!W66*Data!$F4</f>
        <v>0</v>
      </c>
      <c r="X54" s="136">
        <f>Inputs!X66*Data!$F4</f>
        <v>0</v>
      </c>
      <c r="Y54" s="136">
        <f>Inputs!Y66*Data!$F4</f>
        <v>0</v>
      </c>
      <c r="Z54" s="136">
        <f>Inputs!Z66*Data!$F4</f>
        <v>0</v>
      </c>
      <c r="AA54" s="136">
        <f>Inputs!AA66*Data!$F4</f>
        <v>0</v>
      </c>
      <c r="AB54" s="136">
        <f>Inputs!AB66*Data!$F4</f>
        <v>0</v>
      </c>
      <c r="AC54" s="136">
        <f>Inputs!AC66*Data!$F4</f>
        <v>0</v>
      </c>
      <c r="AD54" s="136">
        <f>Inputs!AD66*Data!$F4</f>
        <v>0</v>
      </c>
      <c r="AE54" s="136">
        <f>Inputs!AE66*Data!$F4</f>
        <v>0</v>
      </c>
      <c r="AF54" s="136">
        <f>Inputs!AF66*Data!$F4</f>
        <v>0</v>
      </c>
      <c r="AG54" s="136">
        <f>Inputs!AG66*Data!$F4</f>
        <v>0</v>
      </c>
      <c r="AH54" s="136">
        <f>Inputs!AH66*Data!$F4</f>
        <v>0</v>
      </c>
      <c r="AI54" s="136">
        <f>Inputs!AI66*Data!$F4</f>
        <v>0</v>
      </c>
      <c r="AJ54" s="136">
        <f>Inputs!AJ66*Data!$F4</f>
        <v>0</v>
      </c>
      <c r="AK54" s="136">
        <f>Inputs!AK66*Data!$F4</f>
        <v>0</v>
      </c>
      <c r="AL54" s="136">
        <f>Inputs!AL66*Data!$F4</f>
        <v>0</v>
      </c>
      <c r="AM54" s="136">
        <f>Inputs!AM66*Data!$F4</f>
        <v>0</v>
      </c>
      <c r="AN54" s="136">
        <f>Inputs!AN66*Data!$F4</f>
        <v>0</v>
      </c>
      <c r="AO54" s="136">
        <f>Inputs!AO66*Data!$F4</f>
        <v>0</v>
      </c>
      <c r="AP54" s="136">
        <f>Inputs!AP66*Data!$F4</f>
        <v>0</v>
      </c>
      <c r="AQ54" s="136">
        <f>Inputs!AQ66*Data!$F4</f>
        <v>0</v>
      </c>
      <c r="AR54" s="136">
        <f>Inputs!AR66*Data!$F4</f>
        <v>0</v>
      </c>
      <c r="AS54" s="136">
        <f>Inputs!AS66*Data!$F4</f>
        <v>0</v>
      </c>
      <c r="AT54" s="136">
        <f>Inputs!AT66*Data!$F4</f>
        <v>0</v>
      </c>
      <c r="AU54" s="136">
        <f>Inputs!AU66*Data!$F4</f>
        <v>0</v>
      </c>
      <c r="AV54" s="136">
        <f>Inputs!AV66*Data!$F4</f>
        <v>0</v>
      </c>
      <c r="AW54" s="136">
        <f>Inputs!AW66*Data!$F4</f>
        <v>0</v>
      </c>
      <c r="AX54" s="136">
        <f>Inputs!AX66*Data!$F4</f>
        <v>0</v>
      </c>
      <c r="AY54" s="136">
        <f>Inputs!AY66*Data!$F4</f>
        <v>0</v>
      </c>
      <c r="AZ54" s="136">
        <f>Inputs!AZ66*Data!$F4</f>
        <v>0</v>
      </c>
    </row>
    <row r="55" spans="1:52" ht="18.75" x14ac:dyDescent="0.3">
      <c r="A55" s="4"/>
      <c r="B55" s="18"/>
      <c r="C55" s="4"/>
      <c r="E55" s="162" t="str">
        <f>Inputs!D67</f>
        <v>Coal - sub bituminous</v>
      </c>
      <c r="F55" s="162" t="s">
        <v>169</v>
      </c>
      <c r="G55" s="159">
        <f>Inputs!G67</f>
        <v>0</v>
      </c>
      <c r="H55" s="136">
        <f>Inputs!H67*Data!$F5</f>
        <v>0</v>
      </c>
      <c r="I55" s="136">
        <f>Inputs!I67*Data!$F5</f>
        <v>0</v>
      </c>
      <c r="J55" s="136">
        <f>Inputs!J67*Data!$F5</f>
        <v>0</v>
      </c>
      <c r="K55" s="136">
        <f>Inputs!K67*Data!$F5</f>
        <v>0</v>
      </c>
      <c r="L55" s="136">
        <f>Inputs!L67*Data!$F5</f>
        <v>0</v>
      </c>
      <c r="M55" s="136">
        <f>Inputs!M67*Data!$F5</f>
        <v>0</v>
      </c>
      <c r="N55" s="136">
        <f>Inputs!N67*Data!$F5</f>
        <v>0</v>
      </c>
      <c r="O55" s="136">
        <f>Inputs!O67*Data!$F5</f>
        <v>0</v>
      </c>
      <c r="P55" s="136">
        <f>Inputs!P67*Data!$F5</f>
        <v>0</v>
      </c>
      <c r="Q55" s="136">
        <f>Inputs!Q67*Data!$F5</f>
        <v>0</v>
      </c>
      <c r="R55" s="136">
        <f>Inputs!R67*Data!$F5</f>
        <v>0</v>
      </c>
      <c r="S55" s="136">
        <f>Inputs!S67*Data!$F5</f>
        <v>0</v>
      </c>
      <c r="T55" s="136">
        <f>Inputs!T67*Data!$F5</f>
        <v>0</v>
      </c>
      <c r="U55" s="136">
        <f>Inputs!U67*Data!$F5</f>
        <v>0</v>
      </c>
      <c r="V55" s="136">
        <f>Inputs!V67*Data!$F5</f>
        <v>0</v>
      </c>
      <c r="W55" s="136">
        <f>Inputs!W67*Data!$F5</f>
        <v>0</v>
      </c>
      <c r="X55" s="136">
        <f>Inputs!X67*Data!$F5</f>
        <v>0</v>
      </c>
      <c r="Y55" s="136">
        <f>Inputs!Y67*Data!$F5</f>
        <v>0</v>
      </c>
      <c r="Z55" s="136">
        <f>Inputs!Z67*Data!$F5</f>
        <v>0</v>
      </c>
      <c r="AA55" s="136">
        <f>Inputs!AA67*Data!$F5</f>
        <v>0</v>
      </c>
      <c r="AB55" s="136">
        <f>Inputs!AB67*Data!$F5</f>
        <v>0</v>
      </c>
      <c r="AC55" s="136">
        <f>Inputs!AC67*Data!$F5</f>
        <v>0</v>
      </c>
      <c r="AD55" s="136">
        <f>Inputs!AD67*Data!$F5</f>
        <v>0</v>
      </c>
      <c r="AE55" s="136">
        <f>Inputs!AE67*Data!$F5</f>
        <v>0</v>
      </c>
      <c r="AF55" s="136">
        <f>Inputs!AF67*Data!$F5</f>
        <v>0</v>
      </c>
      <c r="AG55" s="136">
        <f>Inputs!AG67*Data!$F5</f>
        <v>0</v>
      </c>
      <c r="AH55" s="136">
        <f>Inputs!AH67*Data!$F5</f>
        <v>0</v>
      </c>
      <c r="AI55" s="136">
        <f>Inputs!AI67*Data!$F5</f>
        <v>0</v>
      </c>
      <c r="AJ55" s="136">
        <f>Inputs!AJ67*Data!$F5</f>
        <v>0</v>
      </c>
      <c r="AK55" s="136">
        <f>Inputs!AK67*Data!$F5</f>
        <v>0</v>
      </c>
      <c r="AL55" s="136">
        <f>Inputs!AL67*Data!$F5</f>
        <v>0</v>
      </c>
      <c r="AM55" s="136">
        <f>Inputs!AM67*Data!$F5</f>
        <v>0</v>
      </c>
      <c r="AN55" s="136">
        <f>Inputs!AN67*Data!$F5</f>
        <v>0</v>
      </c>
      <c r="AO55" s="136">
        <f>Inputs!AO67*Data!$F5</f>
        <v>0</v>
      </c>
      <c r="AP55" s="136">
        <f>Inputs!AP67*Data!$F5</f>
        <v>0</v>
      </c>
      <c r="AQ55" s="136">
        <f>Inputs!AQ67*Data!$F5</f>
        <v>0</v>
      </c>
      <c r="AR55" s="136">
        <f>Inputs!AR67*Data!$F5</f>
        <v>0</v>
      </c>
      <c r="AS55" s="136">
        <f>Inputs!AS67*Data!$F5</f>
        <v>0</v>
      </c>
      <c r="AT55" s="136">
        <f>Inputs!AT67*Data!$F5</f>
        <v>0</v>
      </c>
      <c r="AU55" s="136">
        <f>Inputs!AU67*Data!$F5</f>
        <v>0</v>
      </c>
      <c r="AV55" s="136">
        <f>Inputs!AV67*Data!$F5</f>
        <v>0</v>
      </c>
      <c r="AW55" s="136">
        <f>Inputs!AW67*Data!$F5</f>
        <v>0</v>
      </c>
      <c r="AX55" s="136">
        <f>Inputs!AX67*Data!$F5</f>
        <v>0</v>
      </c>
      <c r="AY55" s="136">
        <f>Inputs!AY67*Data!$F5</f>
        <v>0</v>
      </c>
      <c r="AZ55" s="136">
        <f>Inputs!AZ67*Data!$F5</f>
        <v>0</v>
      </c>
    </row>
    <row r="56" spans="1:52" ht="18.75" x14ac:dyDescent="0.3">
      <c r="A56" s="4"/>
      <c r="B56" s="18"/>
      <c r="C56" s="4"/>
      <c r="E56" s="162" t="str">
        <f>Inputs!D68</f>
        <v>Coal - bituminous</v>
      </c>
      <c r="F56" s="162" t="s">
        <v>169</v>
      </c>
      <c r="G56" s="159">
        <f>Inputs!G68</f>
        <v>0</v>
      </c>
      <c r="H56" s="136">
        <f>Inputs!H68*Data!$F6</f>
        <v>0</v>
      </c>
      <c r="I56" s="136">
        <f>Inputs!I68*Data!$F6</f>
        <v>0</v>
      </c>
      <c r="J56" s="136">
        <f>Inputs!J68*Data!$F6</f>
        <v>0</v>
      </c>
      <c r="K56" s="136">
        <f>Inputs!K68*Data!$F6</f>
        <v>0</v>
      </c>
      <c r="L56" s="136">
        <f>Inputs!L68*Data!$F6</f>
        <v>0</v>
      </c>
      <c r="M56" s="136">
        <f>Inputs!M68*Data!$F6</f>
        <v>0</v>
      </c>
      <c r="N56" s="136">
        <f>Inputs!N68*Data!$F6</f>
        <v>0</v>
      </c>
      <c r="O56" s="136">
        <f>Inputs!O68*Data!$F6</f>
        <v>0</v>
      </c>
      <c r="P56" s="136">
        <f>Inputs!P68*Data!$F6</f>
        <v>0</v>
      </c>
      <c r="Q56" s="136">
        <f>Inputs!Q68*Data!$F6</f>
        <v>0</v>
      </c>
      <c r="R56" s="136">
        <f>Inputs!R68*Data!$F6</f>
        <v>0</v>
      </c>
      <c r="S56" s="136">
        <f>Inputs!S68*Data!$F6</f>
        <v>0</v>
      </c>
      <c r="T56" s="136">
        <f>Inputs!T68*Data!$F6</f>
        <v>0</v>
      </c>
      <c r="U56" s="136">
        <f>Inputs!U68*Data!$F6</f>
        <v>0</v>
      </c>
      <c r="V56" s="136">
        <f>Inputs!V68*Data!$F6</f>
        <v>0</v>
      </c>
      <c r="W56" s="136">
        <f>Inputs!W68*Data!$F6</f>
        <v>0</v>
      </c>
      <c r="X56" s="136">
        <f>Inputs!X68*Data!$F6</f>
        <v>0</v>
      </c>
      <c r="Y56" s="136">
        <f>Inputs!Y68*Data!$F6</f>
        <v>0</v>
      </c>
      <c r="Z56" s="136">
        <f>Inputs!Z68*Data!$F6</f>
        <v>0</v>
      </c>
      <c r="AA56" s="136">
        <f>Inputs!AA68*Data!$F6</f>
        <v>0</v>
      </c>
      <c r="AB56" s="136">
        <f>Inputs!AB68*Data!$F6</f>
        <v>0</v>
      </c>
      <c r="AC56" s="136">
        <f>Inputs!AC68*Data!$F6</f>
        <v>0</v>
      </c>
      <c r="AD56" s="136">
        <f>Inputs!AD68*Data!$F6</f>
        <v>0</v>
      </c>
      <c r="AE56" s="136">
        <f>Inputs!AE68*Data!$F6</f>
        <v>0</v>
      </c>
      <c r="AF56" s="136">
        <f>Inputs!AF68*Data!$F6</f>
        <v>0</v>
      </c>
      <c r="AG56" s="136">
        <f>Inputs!AG68*Data!$F6</f>
        <v>0</v>
      </c>
      <c r="AH56" s="136">
        <f>Inputs!AH68*Data!$F6</f>
        <v>0</v>
      </c>
      <c r="AI56" s="136">
        <f>Inputs!AI68*Data!$F6</f>
        <v>0</v>
      </c>
      <c r="AJ56" s="136">
        <f>Inputs!AJ68*Data!$F6</f>
        <v>0</v>
      </c>
      <c r="AK56" s="136">
        <f>Inputs!AK68*Data!$F6</f>
        <v>0</v>
      </c>
      <c r="AL56" s="136">
        <f>Inputs!AL68*Data!$F6</f>
        <v>0</v>
      </c>
      <c r="AM56" s="136">
        <f>Inputs!AM68*Data!$F6</f>
        <v>0</v>
      </c>
      <c r="AN56" s="136">
        <f>Inputs!AN68*Data!$F6</f>
        <v>0</v>
      </c>
      <c r="AO56" s="136">
        <f>Inputs!AO68*Data!$F6</f>
        <v>0</v>
      </c>
      <c r="AP56" s="136">
        <f>Inputs!AP68*Data!$F6</f>
        <v>0</v>
      </c>
      <c r="AQ56" s="136">
        <f>Inputs!AQ68*Data!$F6</f>
        <v>0</v>
      </c>
      <c r="AR56" s="136">
        <f>Inputs!AR68*Data!$F6</f>
        <v>0</v>
      </c>
      <c r="AS56" s="136">
        <f>Inputs!AS68*Data!$F6</f>
        <v>0</v>
      </c>
      <c r="AT56" s="136">
        <f>Inputs!AT68*Data!$F6</f>
        <v>0</v>
      </c>
      <c r="AU56" s="136">
        <f>Inputs!AU68*Data!$F6</f>
        <v>0</v>
      </c>
      <c r="AV56" s="136">
        <f>Inputs!AV68*Data!$F6</f>
        <v>0</v>
      </c>
      <c r="AW56" s="136">
        <f>Inputs!AW68*Data!$F6</f>
        <v>0</v>
      </c>
      <c r="AX56" s="136">
        <f>Inputs!AX68*Data!$F6</f>
        <v>0</v>
      </c>
      <c r="AY56" s="136">
        <f>Inputs!AY68*Data!$F6</f>
        <v>0</v>
      </c>
      <c r="AZ56" s="136">
        <f>Inputs!AZ68*Data!$F6</f>
        <v>0</v>
      </c>
    </row>
    <row r="57" spans="1:52" ht="18.75" x14ac:dyDescent="0.3">
      <c r="A57" s="4"/>
      <c r="B57" s="18"/>
      <c r="C57" s="4"/>
      <c r="E57" s="162" t="str">
        <f>Inputs!D69</f>
        <v>Coal - lignite</v>
      </c>
      <c r="F57" s="162" t="s">
        <v>169</v>
      </c>
      <c r="G57" s="159">
        <f>Inputs!G69</f>
        <v>0</v>
      </c>
      <c r="H57" s="136">
        <f>Inputs!H69*Data!$F7</f>
        <v>0</v>
      </c>
      <c r="I57" s="136">
        <f>Inputs!I69*Data!$F7</f>
        <v>0</v>
      </c>
      <c r="J57" s="136">
        <f>Inputs!J69*Data!$F7</f>
        <v>0</v>
      </c>
      <c r="K57" s="136">
        <f>Inputs!K69*Data!$F7</f>
        <v>0</v>
      </c>
      <c r="L57" s="136">
        <f>Inputs!L69*Data!$F7</f>
        <v>0</v>
      </c>
      <c r="M57" s="136">
        <f>Inputs!M69*Data!$F7</f>
        <v>0</v>
      </c>
      <c r="N57" s="136">
        <f>Inputs!N69*Data!$F7</f>
        <v>0</v>
      </c>
      <c r="O57" s="136">
        <f>Inputs!O69*Data!$F7</f>
        <v>0</v>
      </c>
      <c r="P57" s="136">
        <f>Inputs!P69*Data!$F7</f>
        <v>0</v>
      </c>
      <c r="Q57" s="136">
        <f>Inputs!Q69*Data!$F7</f>
        <v>0</v>
      </c>
      <c r="R57" s="136">
        <f>Inputs!R69*Data!$F7</f>
        <v>0</v>
      </c>
      <c r="S57" s="136">
        <f>Inputs!S69*Data!$F7</f>
        <v>0</v>
      </c>
      <c r="T57" s="136">
        <f>Inputs!T69*Data!$F7</f>
        <v>0</v>
      </c>
      <c r="U57" s="136">
        <f>Inputs!U69*Data!$F7</f>
        <v>0</v>
      </c>
      <c r="V57" s="136">
        <f>Inputs!V69*Data!$F7</f>
        <v>0</v>
      </c>
      <c r="W57" s="136">
        <f>Inputs!W69*Data!$F7</f>
        <v>0</v>
      </c>
      <c r="X57" s="136">
        <f>Inputs!X69*Data!$F7</f>
        <v>0</v>
      </c>
      <c r="Y57" s="136">
        <f>Inputs!Y69*Data!$F7</f>
        <v>0</v>
      </c>
      <c r="Z57" s="136">
        <f>Inputs!Z69*Data!$F7</f>
        <v>0</v>
      </c>
      <c r="AA57" s="136">
        <f>Inputs!AA69*Data!$F7</f>
        <v>0</v>
      </c>
      <c r="AB57" s="136">
        <f>Inputs!AB69*Data!$F7</f>
        <v>0</v>
      </c>
      <c r="AC57" s="136">
        <f>Inputs!AC69*Data!$F7</f>
        <v>0</v>
      </c>
      <c r="AD57" s="136">
        <f>Inputs!AD69*Data!$F7</f>
        <v>0</v>
      </c>
      <c r="AE57" s="136">
        <f>Inputs!AE69*Data!$F7</f>
        <v>0</v>
      </c>
      <c r="AF57" s="136">
        <f>Inputs!AF69*Data!$F7</f>
        <v>0</v>
      </c>
      <c r="AG57" s="136">
        <f>Inputs!AG69*Data!$F7</f>
        <v>0</v>
      </c>
      <c r="AH57" s="136">
        <f>Inputs!AH69*Data!$F7</f>
        <v>0</v>
      </c>
      <c r="AI57" s="136">
        <f>Inputs!AI69*Data!$F7</f>
        <v>0</v>
      </c>
      <c r="AJ57" s="136">
        <f>Inputs!AJ69*Data!$F7</f>
        <v>0</v>
      </c>
      <c r="AK57" s="136">
        <f>Inputs!AK69*Data!$F7</f>
        <v>0</v>
      </c>
      <c r="AL57" s="136">
        <f>Inputs!AL69*Data!$F7</f>
        <v>0</v>
      </c>
      <c r="AM57" s="136">
        <f>Inputs!AM69*Data!$F7</f>
        <v>0</v>
      </c>
      <c r="AN57" s="136">
        <f>Inputs!AN69*Data!$F7</f>
        <v>0</v>
      </c>
      <c r="AO57" s="136">
        <f>Inputs!AO69*Data!$F7</f>
        <v>0</v>
      </c>
      <c r="AP57" s="136">
        <f>Inputs!AP69*Data!$F7</f>
        <v>0</v>
      </c>
      <c r="AQ57" s="136">
        <f>Inputs!AQ69*Data!$F7</f>
        <v>0</v>
      </c>
      <c r="AR57" s="136">
        <f>Inputs!AR69*Data!$F7</f>
        <v>0</v>
      </c>
      <c r="AS57" s="136">
        <f>Inputs!AS69*Data!$F7</f>
        <v>0</v>
      </c>
      <c r="AT57" s="136">
        <f>Inputs!AT69*Data!$F7</f>
        <v>0</v>
      </c>
      <c r="AU57" s="136">
        <f>Inputs!AU69*Data!$F7</f>
        <v>0</v>
      </c>
      <c r="AV57" s="136">
        <f>Inputs!AV69*Data!$F7</f>
        <v>0</v>
      </c>
      <c r="AW57" s="136">
        <f>Inputs!AW69*Data!$F7</f>
        <v>0</v>
      </c>
      <c r="AX57" s="136">
        <f>Inputs!AX69*Data!$F7</f>
        <v>0</v>
      </c>
      <c r="AY57" s="136">
        <f>Inputs!AY69*Data!$F7</f>
        <v>0</v>
      </c>
      <c r="AZ57" s="136">
        <f>Inputs!AZ69*Data!$F7</f>
        <v>0</v>
      </c>
    </row>
    <row r="58" spans="1:52" ht="18.75" x14ac:dyDescent="0.3">
      <c r="A58" s="4"/>
      <c r="B58" s="18"/>
      <c r="C58" s="4"/>
      <c r="E58" s="162" t="str">
        <f>Inputs!D70</f>
        <v>Diesel</v>
      </c>
      <c r="F58" s="162" t="s">
        <v>169</v>
      </c>
      <c r="G58" s="159">
        <f>Inputs!G67</f>
        <v>0</v>
      </c>
      <c r="H58" s="136">
        <f>Inputs!H70*Data!$F8</f>
        <v>0</v>
      </c>
      <c r="I58" s="136">
        <f>Inputs!I70*Data!$F8</f>
        <v>0</v>
      </c>
      <c r="J58" s="136">
        <f>Inputs!J70*Data!$F8</f>
        <v>0</v>
      </c>
      <c r="K58" s="136">
        <f>Inputs!K70*Data!$F8</f>
        <v>0</v>
      </c>
      <c r="L58" s="136">
        <f>Inputs!L70*Data!$F8</f>
        <v>0</v>
      </c>
      <c r="M58" s="136">
        <f>Inputs!M70*Data!$F8</f>
        <v>0</v>
      </c>
      <c r="N58" s="136">
        <f>Inputs!N70*Data!$F8</f>
        <v>0</v>
      </c>
      <c r="O58" s="136">
        <f>Inputs!O70*Data!$F8</f>
        <v>0</v>
      </c>
      <c r="P58" s="136">
        <f>Inputs!P70*Data!$F8</f>
        <v>0</v>
      </c>
      <c r="Q58" s="136">
        <f>Inputs!Q70*Data!$F8</f>
        <v>0</v>
      </c>
      <c r="R58" s="136">
        <f>Inputs!R70*Data!$F8</f>
        <v>0</v>
      </c>
      <c r="S58" s="136">
        <f>Inputs!S70*Data!$F8</f>
        <v>0</v>
      </c>
      <c r="T58" s="136">
        <f>Inputs!T70*Data!$F8</f>
        <v>0</v>
      </c>
      <c r="U58" s="136">
        <f>Inputs!U70*Data!$F8</f>
        <v>0</v>
      </c>
      <c r="V58" s="136">
        <f>Inputs!V70*Data!$F8</f>
        <v>0</v>
      </c>
      <c r="W58" s="136">
        <f>Inputs!W70*Data!$F8</f>
        <v>0</v>
      </c>
      <c r="X58" s="136">
        <f>Inputs!X70*Data!$F8</f>
        <v>0</v>
      </c>
      <c r="Y58" s="136">
        <f>Inputs!Y70*Data!$F8</f>
        <v>0</v>
      </c>
      <c r="Z58" s="136">
        <f>Inputs!Z70*Data!$F8</f>
        <v>0</v>
      </c>
      <c r="AA58" s="136">
        <f>Inputs!AA70*Data!$F8</f>
        <v>0</v>
      </c>
      <c r="AB58" s="136">
        <f>Inputs!AB70*Data!$F8</f>
        <v>0</v>
      </c>
      <c r="AC58" s="136">
        <f>Inputs!AC70*Data!$F8</f>
        <v>0</v>
      </c>
      <c r="AD58" s="136">
        <f>Inputs!AD70*Data!$F8</f>
        <v>0</v>
      </c>
      <c r="AE58" s="136">
        <f>Inputs!AE70*Data!$F8</f>
        <v>0</v>
      </c>
      <c r="AF58" s="136">
        <f>Inputs!AF70*Data!$F8</f>
        <v>0</v>
      </c>
      <c r="AG58" s="136">
        <f>Inputs!AG70*Data!$F8</f>
        <v>0</v>
      </c>
      <c r="AH58" s="136">
        <f>Inputs!AH70*Data!$F8</f>
        <v>0</v>
      </c>
      <c r="AI58" s="136">
        <f>Inputs!AI70*Data!$F8</f>
        <v>0</v>
      </c>
      <c r="AJ58" s="136">
        <f>Inputs!AJ70*Data!$F8</f>
        <v>0</v>
      </c>
      <c r="AK58" s="136">
        <f>Inputs!AK70*Data!$F8</f>
        <v>0</v>
      </c>
      <c r="AL58" s="136">
        <f>Inputs!AL70*Data!$F8</f>
        <v>0</v>
      </c>
      <c r="AM58" s="136">
        <f>Inputs!AM70*Data!$F8</f>
        <v>0</v>
      </c>
      <c r="AN58" s="136">
        <f>Inputs!AN70*Data!$F8</f>
        <v>0</v>
      </c>
      <c r="AO58" s="136">
        <f>Inputs!AO70*Data!$F8</f>
        <v>0</v>
      </c>
      <c r="AP58" s="136">
        <f>Inputs!AP70*Data!$F8</f>
        <v>0</v>
      </c>
      <c r="AQ58" s="136">
        <f>Inputs!AQ70*Data!$F8</f>
        <v>0</v>
      </c>
      <c r="AR58" s="136">
        <f>Inputs!AR70*Data!$F8</f>
        <v>0</v>
      </c>
      <c r="AS58" s="136">
        <f>Inputs!AS70*Data!$F8</f>
        <v>0</v>
      </c>
      <c r="AT58" s="136">
        <f>Inputs!AT70*Data!$F8</f>
        <v>0</v>
      </c>
      <c r="AU58" s="136">
        <f>Inputs!AU70*Data!$F8</f>
        <v>0</v>
      </c>
      <c r="AV58" s="136">
        <f>Inputs!AV70*Data!$F8</f>
        <v>0</v>
      </c>
      <c r="AW58" s="136">
        <f>Inputs!AW70*Data!$F8</f>
        <v>0</v>
      </c>
      <c r="AX58" s="136">
        <f>Inputs!AX70*Data!$F8</f>
        <v>0</v>
      </c>
      <c r="AY58" s="136">
        <f>Inputs!AY70*Data!$F8</f>
        <v>0</v>
      </c>
      <c r="AZ58" s="136">
        <f>Inputs!AZ70*Data!$F8</f>
        <v>0</v>
      </c>
    </row>
    <row r="59" spans="1:52" ht="18.75" x14ac:dyDescent="0.3">
      <c r="A59" s="4"/>
      <c r="B59" s="18"/>
      <c r="C59" s="4"/>
      <c r="E59" s="162" t="str">
        <f>Inputs!D71</f>
        <v>LPG</v>
      </c>
      <c r="F59" s="162" t="s">
        <v>169</v>
      </c>
      <c r="G59" s="159">
        <f>Inputs!G71</f>
        <v>0</v>
      </c>
      <c r="H59" s="136">
        <f>Inputs!H71*Data!$F9</f>
        <v>0</v>
      </c>
      <c r="I59" s="136">
        <f>Inputs!I71*Data!$F9</f>
        <v>0</v>
      </c>
      <c r="J59" s="136">
        <f>Inputs!J71*Data!$F9</f>
        <v>0</v>
      </c>
      <c r="K59" s="136">
        <f>Inputs!K71*Data!$F9</f>
        <v>0</v>
      </c>
      <c r="L59" s="136">
        <f>Inputs!L71*Data!$F9</f>
        <v>0</v>
      </c>
      <c r="M59" s="136">
        <f>Inputs!M71*Data!$F9</f>
        <v>0</v>
      </c>
      <c r="N59" s="136">
        <f>Inputs!N71*Data!$F9</f>
        <v>0</v>
      </c>
      <c r="O59" s="136">
        <f>Inputs!O71*Data!$F9</f>
        <v>0</v>
      </c>
      <c r="P59" s="136">
        <f>Inputs!P71*Data!$F9</f>
        <v>0</v>
      </c>
      <c r="Q59" s="136">
        <f>Inputs!Q71*Data!$F9</f>
        <v>0</v>
      </c>
      <c r="R59" s="136">
        <f>Inputs!R71*Data!$F9</f>
        <v>0</v>
      </c>
      <c r="S59" s="136">
        <f>Inputs!S71*Data!$F9</f>
        <v>0</v>
      </c>
      <c r="T59" s="136">
        <f>Inputs!T71*Data!$F9</f>
        <v>0</v>
      </c>
      <c r="U59" s="136">
        <f>Inputs!U71*Data!$F9</f>
        <v>0</v>
      </c>
      <c r="V59" s="136">
        <f>Inputs!V71*Data!$F9</f>
        <v>0</v>
      </c>
      <c r="W59" s="136">
        <f>Inputs!W71*Data!$F9</f>
        <v>0</v>
      </c>
      <c r="X59" s="136">
        <f>Inputs!X71*Data!$F9</f>
        <v>0</v>
      </c>
      <c r="Y59" s="136">
        <f>Inputs!Y71*Data!$F9</f>
        <v>0</v>
      </c>
      <c r="Z59" s="136">
        <f>Inputs!Z71*Data!$F9</f>
        <v>0</v>
      </c>
      <c r="AA59" s="136">
        <f>Inputs!AA71*Data!$F9</f>
        <v>0</v>
      </c>
      <c r="AB59" s="136">
        <f>Inputs!AB71*Data!$F9</f>
        <v>0</v>
      </c>
      <c r="AC59" s="136">
        <f>Inputs!AC71*Data!$F9</f>
        <v>0</v>
      </c>
      <c r="AD59" s="136">
        <f>Inputs!AD71*Data!$F9</f>
        <v>0</v>
      </c>
      <c r="AE59" s="136">
        <f>Inputs!AE71*Data!$F9</f>
        <v>0</v>
      </c>
      <c r="AF59" s="136">
        <f>Inputs!AF71*Data!$F9</f>
        <v>0</v>
      </c>
      <c r="AG59" s="136">
        <f>Inputs!AG71*Data!$F9</f>
        <v>0</v>
      </c>
      <c r="AH59" s="136">
        <f>Inputs!AH71*Data!$F9</f>
        <v>0</v>
      </c>
      <c r="AI59" s="136">
        <f>Inputs!AI71*Data!$F9</f>
        <v>0</v>
      </c>
      <c r="AJ59" s="136">
        <f>Inputs!AJ71*Data!$F9</f>
        <v>0</v>
      </c>
      <c r="AK59" s="136">
        <f>Inputs!AK71*Data!$F9</f>
        <v>0</v>
      </c>
      <c r="AL59" s="136">
        <f>Inputs!AL71*Data!$F9</f>
        <v>0</v>
      </c>
      <c r="AM59" s="136">
        <f>Inputs!AM71*Data!$F9</f>
        <v>0</v>
      </c>
      <c r="AN59" s="136">
        <f>Inputs!AN71*Data!$F9</f>
        <v>0</v>
      </c>
      <c r="AO59" s="136">
        <f>Inputs!AO71*Data!$F9</f>
        <v>0</v>
      </c>
      <c r="AP59" s="136">
        <f>Inputs!AP71*Data!$F9</f>
        <v>0</v>
      </c>
      <c r="AQ59" s="136">
        <f>Inputs!AQ71*Data!$F9</f>
        <v>0</v>
      </c>
      <c r="AR59" s="136">
        <f>Inputs!AR71*Data!$F9</f>
        <v>0</v>
      </c>
      <c r="AS59" s="136">
        <f>Inputs!AS71*Data!$F9</f>
        <v>0</v>
      </c>
      <c r="AT59" s="136">
        <f>Inputs!AT71*Data!$F9</f>
        <v>0</v>
      </c>
      <c r="AU59" s="136">
        <f>Inputs!AU71*Data!$F9</f>
        <v>0</v>
      </c>
      <c r="AV59" s="136">
        <f>Inputs!AV71*Data!$F9</f>
        <v>0</v>
      </c>
      <c r="AW59" s="136">
        <f>Inputs!AW71*Data!$F9</f>
        <v>0</v>
      </c>
      <c r="AX59" s="136">
        <f>Inputs!AX71*Data!$F9</f>
        <v>0</v>
      </c>
      <c r="AY59" s="136">
        <f>Inputs!AY71*Data!$F9</f>
        <v>0</v>
      </c>
      <c r="AZ59" s="136">
        <f>Inputs!AZ71*Data!$F9</f>
        <v>0</v>
      </c>
    </row>
    <row r="60" spans="1:52" ht="18.75" x14ac:dyDescent="0.3">
      <c r="A60" s="4"/>
      <c r="B60" s="18"/>
      <c r="C60" s="4"/>
      <c r="E60" s="162" t="str">
        <f>Inputs!D72</f>
        <v>Light fuel oil</v>
      </c>
      <c r="F60" s="162" t="s">
        <v>169</v>
      </c>
      <c r="G60" s="159">
        <f>Inputs!G72</f>
        <v>0</v>
      </c>
      <c r="H60" s="136">
        <f>Inputs!H72*Data!$F10</f>
        <v>0</v>
      </c>
      <c r="I60" s="136">
        <f>Inputs!I72*Data!$F10</f>
        <v>0</v>
      </c>
      <c r="J60" s="136">
        <f>Inputs!J72*Data!$F10</f>
        <v>0</v>
      </c>
      <c r="K60" s="136">
        <f>Inputs!K72*Data!$F10</f>
        <v>0</v>
      </c>
      <c r="L60" s="136">
        <f>Inputs!L72*Data!$F10</f>
        <v>0</v>
      </c>
      <c r="M60" s="136">
        <f>Inputs!M72*Data!$F10</f>
        <v>0</v>
      </c>
      <c r="N60" s="136">
        <f>Inputs!N72*Data!$F10</f>
        <v>0</v>
      </c>
      <c r="O60" s="136">
        <f>Inputs!O72*Data!$F10</f>
        <v>0</v>
      </c>
      <c r="P60" s="136">
        <f>Inputs!P72*Data!$F10</f>
        <v>0</v>
      </c>
      <c r="Q60" s="136">
        <f>Inputs!Q72*Data!$F10</f>
        <v>0</v>
      </c>
      <c r="R60" s="136">
        <f>Inputs!R72*Data!$F10</f>
        <v>0</v>
      </c>
      <c r="S60" s="136">
        <f>Inputs!S72*Data!$F10</f>
        <v>0</v>
      </c>
      <c r="T60" s="136">
        <f>Inputs!T72*Data!$F10</f>
        <v>0</v>
      </c>
      <c r="U60" s="136">
        <f>Inputs!U72*Data!$F10</f>
        <v>0</v>
      </c>
      <c r="V60" s="136">
        <f>Inputs!V72*Data!$F10</f>
        <v>0</v>
      </c>
      <c r="W60" s="136">
        <f>Inputs!W72*Data!$F10</f>
        <v>0</v>
      </c>
      <c r="X60" s="136">
        <f>Inputs!X72*Data!$F10</f>
        <v>0</v>
      </c>
      <c r="Y60" s="136">
        <f>Inputs!Y72*Data!$F10</f>
        <v>0</v>
      </c>
      <c r="Z60" s="136">
        <f>Inputs!Z72*Data!$F10</f>
        <v>0</v>
      </c>
      <c r="AA60" s="136">
        <f>Inputs!AA72*Data!$F10</f>
        <v>0</v>
      </c>
      <c r="AB60" s="136">
        <f>Inputs!AB72*Data!$F10</f>
        <v>0</v>
      </c>
      <c r="AC60" s="136">
        <f>Inputs!AC72*Data!$F10</f>
        <v>0</v>
      </c>
      <c r="AD60" s="136">
        <f>Inputs!AD72*Data!$F10</f>
        <v>0</v>
      </c>
      <c r="AE60" s="136">
        <f>Inputs!AE72*Data!$F10</f>
        <v>0</v>
      </c>
      <c r="AF60" s="136">
        <f>Inputs!AF72*Data!$F10</f>
        <v>0</v>
      </c>
      <c r="AG60" s="136">
        <f>Inputs!AG72*Data!$F10</f>
        <v>0</v>
      </c>
      <c r="AH60" s="136">
        <f>Inputs!AH72*Data!$F10</f>
        <v>0</v>
      </c>
      <c r="AI60" s="136">
        <f>Inputs!AI72*Data!$F10</f>
        <v>0</v>
      </c>
      <c r="AJ60" s="136">
        <f>Inputs!AJ72*Data!$F10</f>
        <v>0</v>
      </c>
      <c r="AK60" s="136">
        <f>Inputs!AK72*Data!$F10</f>
        <v>0</v>
      </c>
      <c r="AL60" s="136">
        <f>Inputs!AL72*Data!$F10</f>
        <v>0</v>
      </c>
      <c r="AM60" s="136">
        <f>Inputs!AM72*Data!$F10</f>
        <v>0</v>
      </c>
      <c r="AN60" s="136">
        <f>Inputs!AN72*Data!$F10</f>
        <v>0</v>
      </c>
      <c r="AO60" s="136">
        <f>Inputs!AO72*Data!$F10</f>
        <v>0</v>
      </c>
      <c r="AP60" s="136">
        <f>Inputs!AP72*Data!$F10</f>
        <v>0</v>
      </c>
      <c r="AQ60" s="136">
        <f>Inputs!AQ72*Data!$F10</f>
        <v>0</v>
      </c>
      <c r="AR60" s="136">
        <f>Inputs!AR72*Data!$F10</f>
        <v>0</v>
      </c>
      <c r="AS60" s="136">
        <f>Inputs!AS72*Data!$F10</f>
        <v>0</v>
      </c>
      <c r="AT60" s="136">
        <f>Inputs!AT72*Data!$F10</f>
        <v>0</v>
      </c>
      <c r="AU60" s="136">
        <f>Inputs!AU72*Data!$F10</f>
        <v>0</v>
      </c>
      <c r="AV60" s="136">
        <f>Inputs!AV72*Data!$F10</f>
        <v>0</v>
      </c>
      <c r="AW60" s="136">
        <f>Inputs!AW72*Data!$F10</f>
        <v>0</v>
      </c>
      <c r="AX60" s="136">
        <f>Inputs!AX72*Data!$F10</f>
        <v>0</v>
      </c>
      <c r="AY60" s="136">
        <f>Inputs!AY72*Data!$F10</f>
        <v>0</v>
      </c>
      <c r="AZ60" s="136">
        <f>Inputs!AZ72*Data!$F10</f>
        <v>0</v>
      </c>
    </row>
    <row r="61" spans="1:52" ht="18.75" x14ac:dyDescent="0.3">
      <c r="A61" s="4"/>
      <c r="B61" s="18"/>
      <c r="C61" s="4"/>
      <c r="E61" s="162" t="str">
        <f>Inputs!D73</f>
        <v>Heavy fuel oil</v>
      </c>
      <c r="F61" s="162" t="s">
        <v>169</v>
      </c>
      <c r="G61" s="159">
        <f>Inputs!G73</f>
        <v>0</v>
      </c>
      <c r="H61" s="136">
        <f>Inputs!H73*Data!$F11</f>
        <v>0</v>
      </c>
      <c r="I61" s="136">
        <f>Inputs!I73*Data!$F11</f>
        <v>0</v>
      </c>
      <c r="J61" s="136">
        <f>Inputs!J73*Data!$F11</f>
        <v>0</v>
      </c>
      <c r="K61" s="136">
        <f>Inputs!K73*Data!$F11</f>
        <v>0</v>
      </c>
      <c r="L61" s="136">
        <f>Inputs!L73*Data!$F11</f>
        <v>0</v>
      </c>
      <c r="M61" s="136">
        <f>Inputs!M73*Data!$F11</f>
        <v>0</v>
      </c>
      <c r="N61" s="136">
        <f>Inputs!N73*Data!$F11</f>
        <v>0</v>
      </c>
      <c r="O61" s="136">
        <f>Inputs!O73*Data!$F11</f>
        <v>0</v>
      </c>
      <c r="P61" s="136">
        <f>Inputs!P73*Data!$F11</f>
        <v>0</v>
      </c>
      <c r="Q61" s="136">
        <f>Inputs!Q73*Data!$F11</f>
        <v>0</v>
      </c>
      <c r="R61" s="136">
        <f>Inputs!R73*Data!$F11</f>
        <v>0</v>
      </c>
      <c r="S61" s="136">
        <f>Inputs!S73*Data!$F11</f>
        <v>0</v>
      </c>
      <c r="T61" s="136">
        <f>Inputs!T73*Data!$F11</f>
        <v>0</v>
      </c>
      <c r="U61" s="136">
        <f>Inputs!U73*Data!$F11</f>
        <v>0</v>
      </c>
      <c r="V61" s="136">
        <f>Inputs!V73*Data!$F11</f>
        <v>0</v>
      </c>
      <c r="W61" s="136">
        <f>Inputs!W73*Data!$F11</f>
        <v>0</v>
      </c>
      <c r="X61" s="136">
        <f>Inputs!X73*Data!$F11</f>
        <v>0</v>
      </c>
      <c r="Y61" s="136">
        <f>Inputs!Y73*Data!$F11</f>
        <v>0</v>
      </c>
      <c r="Z61" s="136">
        <f>Inputs!Z73*Data!$F11</f>
        <v>0</v>
      </c>
      <c r="AA61" s="136">
        <f>Inputs!AA73*Data!$F11</f>
        <v>0</v>
      </c>
      <c r="AB61" s="136">
        <f>Inputs!AB73*Data!$F11</f>
        <v>0</v>
      </c>
      <c r="AC61" s="136">
        <f>Inputs!AC73*Data!$F11</f>
        <v>0</v>
      </c>
      <c r="AD61" s="136">
        <f>Inputs!AD73*Data!$F11</f>
        <v>0</v>
      </c>
      <c r="AE61" s="136">
        <f>Inputs!AE73*Data!$F11</f>
        <v>0</v>
      </c>
      <c r="AF61" s="136">
        <f>Inputs!AF73*Data!$F11</f>
        <v>0</v>
      </c>
      <c r="AG61" s="136">
        <f>Inputs!AG73*Data!$F11</f>
        <v>0</v>
      </c>
      <c r="AH61" s="136">
        <f>Inputs!AH73*Data!$F11</f>
        <v>0</v>
      </c>
      <c r="AI61" s="136">
        <f>Inputs!AI73*Data!$F11</f>
        <v>0</v>
      </c>
      <c r="AJ61" s="136">
        <f>Inputs!AJ73*Data!$F11</f>
        <v>0</v>
      </c>
      <c r="AK61" s="136">
        <f>Inputs!AK73*Data!$F11</f>
        <v>0</v>
      </c>
      <c r="AL61" s="136">
        <f>Inputs!AL73*Data!$F11</f>
        <v>0</v>
      </c>
      <c r="AM61" s="136">
        <f>Inputs!AM73*Data!$F11</f>
        <v>0</v>
      </c>
      <c r="AN61" s="136">
        <f>Inputs!AN73*Data!$F11</f>
        <v>0</v>
      </c>
      <c r="AO61" s="136">
        <f>Inputs!AO73*Data!$F11</f>
        <v>0</v>
      </c>
      <c r="AP61" s="136">
        <f>Inputs!AP73*Data!$F11</f>
        <v>0</v>
      </c>
      <c r="AQ61" s="136">
        <f>Inputs!AQ73*Data!$F11</f>
        <v>0</v>
      </c>
      <c r="AR61" s="136">
        <f>Inputs!AR73*Data!$F11</f>
        <v>0</v>
      </c>
      <c r="AS61" s="136">
        <f>Inputs!AS73*Data!$F11</f>
        <v>0</v>
      </c>
      <c r="AT61" s="136">
        <f>Inputs!AT73*Data!$F11</f>
        <v>0</v>
      </c>
      <c r="AU61" s="136">
        <f>Inputs!AU73*Data!$F11</f>
        <v>0</v>
      </c>
      <c r="AV61" s="136">
        <f>Inputs!AV73*Data!$F11</f>
        <v>0</v>
      </c>
      <c r="AW61" s="136">
        <f>Inputs!AW73*Data!$F11</f>
        <v>0</v>
      </c>
      <c r="AX61" s="136">
        <f>Inputs!AX73*Data!$F11</f>
        <v>0</v>
      </c>
      <c r="AY61" s="136">
        <f>Inputs!AY73*Data!$F11</f>
        <v>0</v>
      </c>
      <c r="AZ61" s="136">
        <f>Inputs!AZ73*Data!$F11</f>
        <v>0</v>
      </c>
    </row>
    <row r="62" spans="1:52" ht="18.75" x14ac:dyDescent="0.3">
      <c r="A62" s="4"/>
      <c r="B62" s="18"/>
      <c r="C62" s="4"/>
      <c r="E62" s="162" t="str">
        <f>Inputs!D74</f>
        <v>Geothermal</v>
      </c>
      <c r="F62" s="162" t="s">
        <v>169</v>
      </c>
      <c r="G62" s="159">
        <f>Inputs!G74</f>
        <v>0</v>
      </c>
      <c r="H62" s="136">
        <f>Inputs!H74*Data!$F12</f>
        <v>0</v>
      </c>
      <c r="I62" s="136">
        <f>Inputs!I74*Data!$F12</f>
        <v>0</v>
      </c>
      <c r="J62" s="136">
        <f>Inputs!J74*Data!$F12</f>
        <v>0</v>
      </c>
      <c r="K62" s="136">
        <f>Inputs!K74*Data!$F12</f>
        <v>0</v>
      </c>
      <c r="L62" s="136">
        <f>Inputs!L74*Data!$F12</f>
        <v>0</v>
      </c>
      <c r="M62" s="136">
        <f>Inputs!M74*Data!$F12</f>
        <v>0</v>
      </c>
      <c r="N62" s="136">
        <f>Inputs!N74*Data!$F12</f>
        <v>0</v>
      </c>
      <c r="O62" s="136">
        <f>Inputs!O74*Data!$F12</f>
        <v>0</v>
      </c>
      <c r="P62" s="136">
        <f>Inputs!P74*Data!$F12</f>
        <v>0</v>
      </c>
      <c r="Q62" s="136">
        <f>Inputs!Q74*Data!$F12</f>
        <v>0</v>
      </c>
      <c r="R62" s="136">
        <f>Inputs!R74*Data!$F12</f>
        <v>0</v>
      </c>
      <c r="S62" s="136">
        <f>Inputs!S74*Data!$F12</f>
        <v>0</v>
      </c>
      <c r="T62" s="136">
        <f>Inputs!T74*Data!$F12</f>
        <v>0</v>
      </c>
      <c r="U62" s="136">
        <f>Inputs!U74*Data!$F12</f>
        <v>0</v>
      </c>
      <c r="V62" s="136">
        <f>Inputs!V74*Data!$F12</f>
        <v>0</v>
      </c>
      <c r="W62" s="136">
        <f>Inputs!W74*Data!$F12</f>
        <v>0</v>
      </c>
      <c r="X62" s="136">
        <f>Inputs!X74*Data!$F12</f>
        <v>0</v>
      </c>
      <c r="Y62" s="136">
        <f>Inputs!Y74*Data!$F12</f>
        <v>0</v>
      </c>
      <c r="Z62" s="136">
        <f>Inputs!Z74*Data!$F12</f>
        <v>0</v>
      </c>
      <c r="AA62" s="136">
        <f>Inputs!AA74*Data!$F12</f>
        <v>0</v>
      </c>
      <c r="AB62" s="136">
        <f>Inputs!AB74*Data!$F12</f>
        <v>0</v>
      </c>
      <c r="AC62" s="136">
        <f>Inputs!AC74*Data!$F12</f>
        <v>0</v>
      </c>
      <c r="AD62" s="136">
        <f>Inputs!AD74*Data!$F12</f>
        <v>0</v>
      </c>
      <c r="AE62" s="136">
        <f>Inputs!AE74*Data!$F12</f>
        <v>0</v>
      </c>
      <c r="AF62" s="136">
        <f>Inputs!AF74*Data!$F12</f>
        <v>0</v>
      </c>
      <c r="AG62" s="136">
        <f>Inputs!AG74*Data!$F12</f>
        <v>0</v>
      </c>
      <c r="AH62" s="136">
        <f>Inputs!AH74*Data!$F12</f>
        <v>0</v>
      </c>
      <c r="AI62" s="136">
        <f>Inputs!AI74*Data!$F12</f>
        <v>0</v>
      </c>
      <c r="AJ62" s="136">
        <f>Inputs!AJ74*Data!$F12</f>
        <v>0</v>
      </c>
      <c r="AK62" s="136">
        <f>Inputs!AK74*Data!$F12</f>
        <v>0</v>
      </c>
      <c r="AL62" s="136">
        <f>Inputs!AL74*Data!$F12</f>
        <v>0</v>
      </c>
      <c r="AM62" s="136">
        <f>Inputs!AM74*Data!$F12</f>
        <v>0</v>
      </c>
      <c r="AN62" s="136">
        <f>Inputs!AN74*Data!$F12</f>
        <v>0</v>
      </c>
      <c r="AO62" s="136">
        <f>Inputs!AO74*Data!$F12</f>
        <v>0</v>
      </c>
      <c r="AP62" s="136">
        <f>Inputs!AP74*Data!$F12</f>
        <v>0</v>
      </c>
      <c r="AQ62" s="136">
        <f>Inputs!AQ74*Data!$F12</f>
        <v>0</v>
      </c>
      <c r="AR62" s="136">
        <f>Inputs!AR74*Data!$F12</f>
        <v>0</v>
      </c>
      <c r="AS62" s="136">
        <f>Inputs!AS74*Data!$F12</f>
        <v>0</v>
      </c>
      <c r="AT62" s="136">
        <f>Inputs!AT74*Data!$F12</f>
        <v>0</v>
      </c>
      <c r="AU62" s="136">
        <f>Inputs!AU74*Data!$F12</f>
        <v>0</v>
      </c>
      <c r="AV62" s="136">
        <f>Inputs!AV74*Data!$F12</f>
        <v>0</v>
      </c>
      <c r="AW62" s="136">
        <f>Inputs!AW74*Data!$F12</f>
        <v>0</v>
      </c>
      <c r="AX62" s="136">
        <f>Inputs!AX74*Data!$F12</f>
        <v>0</v>
      </c>
      <c r="AY62" s="136">
        <f>Inputs!AY74*Data!$F12</f>
        <v>0</v>
      </c>
      <c r="AZ62" s="136">
        <f>Inputs!AZ74*Data!$F12</f>
        <v>0</v>
      </c>
    </row>
    <row r="63" spans="1:52" ht="18.75" x14ac:dyDescent="0.3">
      <c r="A63" s="4"/>
      <c r="B63" s="18"/>
      <c r="C63" s="4"/>
      <c r="E63" s="162" t="str">
        <f>Inputs!D75</f>
        <v>Wood or wood chips</v>
      </c>
      <c r="F63" s="162" t="s">
        <v>169</v>
      </c>
      <c r="G63" s="159">
        <f>Inputs!G75</f>
        <v>0</v>
      </c>
      <c r="H63" s="136">
        <f>Inputs!H75*Data!$F13</f>
        <v>0</v>
      </c>
      <c r="I63" s="136">
        <f>Inputs!I75*Data!$F13</f>
        <v>0</v>
      </c>
      <c r="J63" s="136">
        <f>Inputs!J75*Data!$F13</f>
        <v>0</v>
      </c>
      <c r="K63" s="136">
        <f>Inputs!K75*Data!$F13</f>
        <v>0</v>
      </c>
      <c r="L63" s="136">
        <f>Inputs!L75*Data!$F13</f>
        <v>0</v>
      </c>
      <c r="M63" s="136">
        <f>Inputs!M75*Data!$F13</f>
        <v>0</v>
      </c>
      <c r="N63" s="136">
        <f>Inputs!N75*Data!$F13</f>
        <v>0</v>
      </c>
      <c r="O63" s="136">
        <f>Inputs!O75*Data!$F13</f>
        <v>0</v>
      </c>
      <c r="P63" s="136">
        <f>Inputs!P75*Data!$F13</f>
        <v>0</v>
      </c>
      <c r="Q63" s="136">
        <f>Inputs!Q75*Data!$F13</f>
        <v>0</v>
      </c>
      <c r="R63" s="136">
        <f>Inputs!R75*Data!$F13</f>
        <v>0</v>
      </c>
      <c r="S63" s="136">
        <f>Inputs!S75*Data!$F13</f>
        <v>0</v>
      </c>
      <c r="T63" s="136">
        <f>Inputs!T75*Data!$F13</f>
        <v>0</v>
      </c>
      <c r="U63" s="136">
        <f>Inputs!U75*Data!$F13</f>
        <v>0</v>
      </c>
      <c r="V63" s="136">
        <f>Inputs!V75*Data!$F13</f>
        <v>0</v>
      </c>
      <c r="W63" s="136">
        <f>Inputs!W75*Data!$F13</f>
        <v>0</v>
      </c>
      <c r="X63" s="136">
        <f>Inputs!X75*Data!$F13</f>
        <v>0</v>
      </c>
      <c r="Y63" s="136">
        <f>Inputs!Y75*Data!$F13</f>
        <v>0</v>
      </c>
      <c r="Z63" s="136">
        <f>Inputs!Z75*Data!$F13</f>
        <v>0</v>
      </c>
      <c r="AA63" s="136">
        <f>Inputs!AA75*Data!$F13</f>
        <v>0</v>
      </c>
      <c r="AB63" s="136">
        <f>Inputs!AB75*Data!$F13</f>
        <v>0</v>
      </c>
      <c r="AC63" s="136">
        <f>Inputs!AC75*Data!$F13</f>
        <v>0</v>
      </c>
      <c r="AD63" s="136">
        <f>Inputs!AD75*Data!$F13</f>
        <v>0</v>
      </c>
      <c r="AE63" s="136">
        <f>Inputs!AE75*Data!$F13</f>
        <v>0</v>
      </c>
      <c r="AF63" s="136">
        <f>Inputs!AF75*Data!$F13</f>
        <v>0</v>
      </c>
      <c r="AG63" s="136">
        <f>Inputs!AG75*Data!$F13</f>
        <v>0</v>
      </c>
      <c r="AH63" s="136">
        <f>Inputs!AH75*Data!$F13</f>
        <v>0</v>
      </c>
      <c r="AI63" s="136">
        <f>Inputs!AI75*Data!$F13</f>
        <v>0</v>
      </c>
      <c r="AJ63" s="136">
        <f>Inputs!AJ75*Data!$F13</f>
        <v>0</v>
      </c>
      <c r="AK63" s="136">
        <f>Inputs!AK75*Data!$F13</f>
        <v>0</v>
      </c>
      <c r="AL63" s="136">
        <f>Inputs!AL75*Data!$F13</f>
        <v>0</v>
      </c>
      <c r="AM63" s="136">
        <f>Inputs!AM75*Data!$F13</f>
        <v>0</v>
      </c>
      <c r="AN63" s="136">
        <f>Inputs!AN75*Data!$F13</f>
        <v>0</v>
      </c>
      <c r="AO63" s="136">
        <f>Inputs!AO75*Data!$F13</f>
        <v>0</v>
      </c>
      <c r="AP63" s="136">
        <f>Inputs!AP75*Data!$F13</f>
        <v>0</v>
      </c>
      <c r="AQ63" s="136">
        <f>Inputs!AQ75*Data!$F13</f>
        <v>0</v>
      </c>
      <c r="AR63" s="136">
        <f>Inputs!AR75*Data!$F13</f>
        <v>0</v>
      </c>
      <c r="AS63" s="136">
        <f>Inputs!AS75*Data!$F13</f>
        <v>0</v>
      </c>
      <c r="AT63" s="136">
        <f>Inputs!AT75*Data!$F13</f>
        <v>0</v>
      </c>
      <c r="AU63" s="136">
        <f>Inputs!AU75*Data!$F13</f>
        <v>0</v>
      </c>
      <c r="AV63" s="136">
        <f>Inputs!AV75*Data!$F13</f>
        <v>0</v>
      </c>
      <c r="AW63" s="136">
        <f>Inputs!AW75*Data!$F13</f>
        <v>0</v>
      </c>
      <c r="AX63" s="136">
        <f>Inputs!AX75*Data!$F13</f>
        <v>0</v>
      </c>
      <c r="AY63" s="136">
        <f>Inputs!AY75*Data!$F13</f>
        <v>0</v>
      </c>
      <c r="AZ63" s="136">
        <f>Inputs!AZ75*Data!$F13</f>
        <v>0</v>
      </c>
    </row>
    <row r="64" spans="1:52" ht="18.75" x14ac:dyDescent="0.3">
      <c r="A64" s="4"/>
      <c r="B64" s="18"/>
      <c r="C64" s="4"/>
      <c r="D64" s="4"/>
      <c r="E64" s="4"/>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row>
    <row r="65" spans="1:52" ht="60.75" x14ac:dyDescent="0.3">
      <c r="A65" s="50" t="s">
        <v>61</v>
      </c>
      <c r="B65" s="48"/>
      <c r="C65" s="49"/>
      <c r="E65" s="50" t="s">
        <v>75</v>
      </c>
      <c r="F65" s="112" t="s">
        <v>76</v>
      </c>
      <c r="G65" s="51" t="s">
        <v>52</v>
      </c>
      <c r="H65" s="54" t="s">
        <v>77</v>
      </c>
      <c r="I65" s="54" t="s">
        <v>78</v>
      </c>
      <c r="J65" s="54" t="s">
        <v>79</v>
      </c>
      <c r="K65" s="54" t="s">
        <v>80</v>
      </c>
      <c r="L65" s="54" t="s">
        <v>81</v>
      </c>
      <c r="M65" s="54" t="s">
        <v>82</v>
      </c>
      <c r="N65" s="54" t="s">
        <v>83</v>
      </c>
      <c r="O65" s="54" t="s">
        <v>84</v>
      </c>
      <c r="P65" s="54" t="s">
        <v>85</v>
      </c>
      <c r="Q65" s="54" t="s">
        <v>86</v>
      </c>
      <c r="R65" s="54" t="s">
        <v>87</v>
      </c>
      <c r="S65" s="54" t="s">
        <v>88</v>
      </c>
      <c r="T65" s="54" t="s">
        <v>89</v>
      </c>
      <c r="U65" s="54" t="s">
        <v>90</v>
      </c>
      <c r="V65" s="54" t="s">
        <v>91</v>
      </c>
      <c r="W65" s="54" t="s">
        <v>92</v>
      </c>
      <c r="X65" s="54" t="s">
        <v>93</v>
      </c>
      <c r="Y65" s="54" t="s">
        <v>94</v>
      </c>
      <c r="Z65" s="54" t="s">
        <v>95</v>
      </c>
      <c r="AA65" s="54" t="s">
        <v>96</v>
      </c>
      <c r="AB65" s="54" t="s">
        <v>97</v>
      </c>
      <c r="AC65" s="54" t="s">
        <v>98</v>
      </c>
      <c r="AD65" s="54" t="s">
        <v>99</v>
      </c>
      <c r="AE65" s="54" t="s">
        <v>100</v>
      </c>
      <c r="AF65" s="54" t="s">
        <v>101</v>
      </c>
      <c r="AG65" s="54" t="s">
        <v>102</v>
      </c>
      <c r="AH65" s="54" t="s">
        <v>103</v>
      </c>
      <c r="AI65" s="54" t="s">
        <v>104</v>
      </c>
      <c r="AJ65" s="54" t="s">
        <v>105</v>
      </c>
      <c r="AK65" s="54" t="s">
        <v>106</v>
      </c>
      <c r="AL65" s="54" t="s">
        <v>107</v>
      </c>
      <c r="AM65" s="54" t="s">
        <v>108</v>
      </c>
      <c r="AN65" s="54" t="s">
        <v>109</v>
      </c>
      <c r="AO65" s="54" t="s">
        <v>110</v>
      </c>
      <c r="AP65" s="54" t="s">
        <v>111</v>
      </c>
      <c r="AQ65" s="54" t="s">
        <v>112</v>
      </c>
      <c r="AR65" s="54" t="s">
        <v>113</v>
      </c>
      <c r="AS65" s="54" t="s">
        <v>114</v>
      </c>
      <c r="AT65" s="54" t="s">
        <v>115</v>
      </c>
      <c r="AU65" s="54" t="s">
        <v>116</v>
      </c>
      <c r="AV65" s="54" t="s">
        <v>117</v>
      </c>
      <c r="AW65" s="54" t="s">
        <v>118</v>
      </c>
      <c r="AX65" s="54" t="s">
        <v>119</v>
      </c>
      <c r="AY65" s="54" t="s">
        <v>120</v>
      </c>
      <c r="AZ65" s="54" t="s">
        <v>121</v>
      </c>
    </row>
    <row r="66" spans="1:52" ht="18.75" x14ac:dyDescent="0.3">
      <c r="A66" s="4"/>
      <c r="B66" s="18"/>
      <c r="C66" s="4"/>
      <c r="E66" s="163" t="str">
        <f>Inputs!D78</f>
        <v>Electricity</v>
      </c>
      <c r="F66" s="163" t="s">
        <v>169</v>
      </c>
      <c r="G66" s="164">
        <f>Inputs!G78</f>
        <v>0</v>
      </c>
      <c r="H66" s="137">
        <f>Inputs!H78*Data!$F3</f>
        <v>432</v>
      </c>
      <c r="I66" s="137">
        <f>Inputs!I78*Data!$F3</f>
        <v>432</v>
      </c>
      <c r="J66" s="137">
        <f>Inputs!J78*Data!$F3</f>
        <v>432</v>
      </c>
      <c r="K66" s="137">
        <f>Inputs!K78*Data!$F3</f>
        <v>432</v>
      </c>
      <c r="L66" s="137">
        <f>Inputs!L78*Data!$F3</f>
        <v>432</v>
      </c>
      <c r="M66" s="137">
        <f>Inputs!M78*Data!$F3</f>
        <v>432</v>
      </c>
      <c r="N66" s="137">
        <f>Inputs!N78*Data!$F3</f>
        <v>432</v>
      </c>
      <c r="O66" s="137">
        <f>Inputs!O78*Data!$F3</f>
        <v>432</v>
      </c>
      <c r="P66" s="137">
        <f>Inputs!P78*Data!$F3</f>
        <v>432</v>
      </c>
      <c r="Q66" s="137">
        <f>Inputs!Q78*Data!$F3</f>
        <v>432</v>
      </c>
      <c r="R66" s="137">
        <f>Inputs!R78*Data!$F3</f>
        <v>432</v>
      </c>
      <c r="S66" s="137">
        <f>Inputs!S78*Data!$F3</f>
        <v>432</v>
      </c>
      <c r="T66" s="137">
        <f>Inputs!T78*Data!$F3</f>
        <v>432</v>
      </c>
      <c r="U66" s="137">
        <f>Inputs!U78*Data!$F3</f>
        <v>432</v>
      </c>
      <c r="V66" s="137">
        <f>Inputs!V78*Data!$F3</f>
        <v>432</v>
      </c>
      <c r="W66" s="137">
        <f>Inputs!W78*Data!$F3</f>
        <v>432</v>
      </c>
      <c r="X66" s="137">
        <f>Inputs!X78*Data!$F3</f>
        <v>432</v>
      </c>
      <c r="Y66" s="137">
        <f>Inputs!Y78*Data!$F3</f>
        <v>432</v>
      </c>
      <c r="Z66" s="137">
        <f>Inputs!Z78*Data!$F3</f>
        <v>432</v>
      </c>
      <c r="AA66" s="137">
        <f>Inputs!AA78*Data!$F3</f>
        <v>432</v>
      </c>
      <c r="AB66" s="137">
        <f>Inputs!AB78*Data!$F3</f>
        <v>432</v>
      </c>
      <c r="AC66" s="137">
        <f>Inputs!AC78*Data!$F3</f>
        <v>432</v>
      </c>
      <c r="AD66" s="137">
        <f>Inputs!AD78*Data!$F3</f>
        <v>0</v>
      </c>
      <c r="AE66" s="137">
        <f>Inputs!AE78*Data!$F3</f>
        <v>0</v>
      </c>
      <c r="AF66" s="137">
        <f>Inputs!AF78*Data!$F3</f>
        <v>0</v>
      </c>
      <c r="AG66" s="137">
        <f>Inputs!AG78*Data!$F3</f>
        <v>0</v>
      </c>
      <c r="AH66" s="137">
        <f>Inputs!AH78*Data!$F3</f>
        <v>0</v>
      </c>
      <c r="AI66" s="137">
        <f>Inputs!AI78*Data!$F3</f>
        <v>0</v>
      </c>
      <c r="AJ66" s="137">
        <f>Inputs!AJ78*Data!$F3</f>
        <v>0</v>
      </c>
      <c r="AK66" s="137">
        <f>Inputs!AK78*Data!$F3</f>
        <v>0</v>
      </c>
      <c r="AL66" s="137">
        <f>Inputs!AL78*Data!$F3</f>
        <v>0</v>
      </c>
      <c r="AM66" s="137">
        <f>Inputs!AM78*Data!$F3</f>
        <v>0</v>
      </c>
      <c r="AN66" s="137">
        <f>Inputs!AN78*Data!$F3</f>
        <v>0</v>
      </c>
      <c r="AO66" s="137">
        <f>Inputs!AO78*Data!$F3</f>
        <v>0</v>
      </c>
      <c r="AP66" s="137">
        <f>Inputs!AP78*Data!$F3</f>
        <v>0</v>
      </c>
      <c r="AQ66" s="137">
        <f>Inputs!AQ78*Data!$F3</f>
        <v>0</v>
      </c>
      <c r="AR66" s="137">
        <f>Inputs!AR78*Data!$F3</f>
        <v>0</v>
      </c>
      <c r="AS66" s="137">
        <f>Inputs!AS78*Data!$F3</f>
        <v>0</v>
      </c>
      <c r="AT66" s="137">
        <f>Inputs!AT78*Data!$F3</f>
        <v>0</v>
      </c>
      <c r="AU66" s="137">
        <f>Inputs!AU78*Data!$F3</f>
        <v>0</v>
      </c>
      <c r="AV66" s="137">
        <f>Inputs!AV78*Data!$F3</f>
        <v>0</v>
      </c>
      <c r="AW66" s="137">
        <f>Inputs!AW78*Data!$F3</f>
        <v>0</v>
      </c>
      <c r="AX66" s="137">
        <f>Inputs!AX78*Data!$F3</f>
        <v>0</v>
      </c>
      <c r="AY66" s="137">
        <f>Inputs!AY78*Data!$F3</f>
        <v>0</v>
      </c>
      <c r="AZ66" s="137">
        <f>Inputs!AZ78*Data!$F3</f>
        <v>0</v>
      </c>
    </row>
    <row r="67" spans="1:52" ht="18.75" x14ac:dyDescent="0.3">
      <c r="A67" s="4"/>
      <c r="B67" s="18"/>
      <c r="C67" s="4"/>
      <c r="E67" s="163" t="str">
        <f>Inputs!D79</f>
        <v>Natural Gas</v>
      </c>
      <c r="F67" s="163" t="s">
        <v>169</v>
      </c>
      <c r="G67" s="184">
        <f>Inputs!G79</f>
        <v>0</v>
      </c>
      <c r="H67" s="137">
        <f>Inputs!H79*Data!$F4</f>
        <v>70000</v>
      </c>
      <c r="I67" s="137">
        <f>Inputs!I79*Data!$F4</f>
        <v>70000</v>
      </c>
      <c r="J67" s="137">
        <f>Inputs!J79*Data!$F4</f>
        <v>70000</v>
      </c>
      <c r="K67" s="137">
        <f>Inputs!K79*Data!$F4</f>
        <v>70000</v>
      </c>
      <c r="L67" s="137">
        <f>Inputs!L79*Data!$F4</f>
        <v>70000</v>
      </c>
      <c r="M67" s="137">
        <f>Inputs!M79*Data!$F4</f>
        <v>70000</v>
      </c>
      <c r="N67" s="137">
        <f>Inputs!N79*Data!$F4</f>
        <v>70000</v>
      </c>
      <c r="O67" s="137">
        <f>Inputs!O79*Data!$F4</f>
        <v>70000</v>
      </c>
      <c r="P67" s="137">
        <f>Inputs!P79*Data!$F4</f>
        <v>70000</v>
      </c>
      <c r="Q67" s="137">
        <f>Inputs!Q79*Data!$F4</f>
        <v>70000</v>
      </c>
      <c r="R67" s="137">
        <f>Inputs!R79*Data!$F4</f>
        <v>70000</v>
      </c>
      <c r="S67" s="137">
        <f>Inputs!S79*Data!$F4</f>
        <v>70000</v>
      </c>
      <c r="T67" s="137">
        <f>Inputs!T79*Data!$F4</f>
        <v>70000</v>
      </c>
      <c r="U67" s="137">
        <f>Inputs!U79*Data!$F4</f>
        <v>70000</v>
      </c>
      <c r="V67" s="137">
        <f>Inputs!V79*Data!$F4</f>
        <v>70000</v>
      </c>
      <c r="W67" s="137">
        <f>Inputs!W79*Data!$F4</f>
        <v>70000</v>
      </c>
      <c r="X67" s="137">
        <f>Inputs!X79*Data!$F4</f>
        <v>70000</v>
      </c>
      <c r="Y67" s="137">
        <f>Inputs!Y79*Data!$F4</f>
        <v>70000</v>
      </c>
      <c r="Z67" s="137">
        <f>Inputs!Z79*Data!$F4</f>
        <v>70000</v>
      </c>
      <c r="AA67" s="137">
        <f>Inputs!AA79*Data!$F4</f>
        <v>70000</v>
      </c>
      <c r="AB67" s="137">
        <f>Inputs!AB79*Data!$F4</f>
        <v>70000</v>
      </c>
      <c r="AC67" s="137">
        <f>Inputs!AC79*Data!$F4</f>
        <v>70000</v>
      </c>
      <c r="AD67" s="137">
        <f>Inputs!AD79*Data!$F4</f>
        <v>0</v>
      </c>
      <c r="AE67" s="137">
        <f>Inputs!AE79*Data!$F4</f>
        <v>0</v>
      </c>
      <c r="AF67" s="137">
        <f>Inputs!AF79*Data!$F4</f>
        <v>0</v>
      </c>
      <c r="AG67" s="137">
        <f>Inputs!AG79*Data!$F4</f>
        <v>0</v>
      </c>
      <c r="AH67" s="137">
        <f>Inputs!AH79*Data!$F4</f>
        <v>0</v>
      </c>
      <c r="AI67" s="137">
        <f>Inputs!AI79*Data!$F4</f>
        <v>0</v>
      </c>
      <c r="AJ67" s="137">
        <f>Inputs!AJ79*Data!$F4</f>
        <v>0</v>
      </c>
      <c r="AK67" s="137">
        <f>Inputs!AK79*Data!$F4</f>
        <v>0</v>
      </c>
      <c r="AL67" s="137">
        <f>Inputs!AL79*Data!$F4</f>
        <v>0</v>
      </c>
      <c r="AM67" s="137">
        <f>Inputs!AM79*Data!$F4</f>
        <v>0</v>
      </c>
      <c r="AN67" s="137">
        <f>Inputs!AN79*Data!$F4</f>
        <v>0</v>
      </c>
      <c r="AO67" s="137">
        <f>Inputs!AO79*Data!$F4</f>
        <v>0</v>
      </c>
      <c r="AP67" s="137">
        <f>Inputs!AP79*Data!$F4</f>
        <v>0</v>
      </c>
      <c r="AQ67" s="137">
        <f>Inputs!AQ79*Data!$F4</f>
        <v>0</v>
      </c>
      <c r="AR67" s="137">
        <f>Inputs!AR79*Data!$F4</f>
        <v>0</v>
      </c>
      <c r="AS67" s="137">
        <f>Inputs!AS79*Data!$F4</f>
        <v>0</v>
      </c>
      <c r="AT67" s="137">
        <f>Inputs!AT79*Data!$F4</f>
        <v>0</v>
      </c>
      <c r="AU67" s="137">
        <f>Inputs!AU79*Data!$F4</f>
        <v>0</v>
      </c>
      <c r="AV67" s="137">
        <f>Inputs!AV79*Data!$F4</f>
        <v>0</v>
      </c>
      <c r="AW67" s="137">
        <f>Inputs!AW79*Data!$F4</f>
        <v>0</v>
      </c>
      <c r="AX67" s="137">
        <f>Inputs!AX79*Data!$F4</f>
        <v>0</v>
      </c>
      <c r="AY67" s="137">
        <f>Inputs!AY79*Data!$F4</f>
        <v>0</v>
      </c>
      <c r="AZ67" s="137">
        <f>Inputs!AZ79*Data!$F4</f>
        <v>0</v>
      </c>
    </row>
    <row r="68" spans="1:52" ht="18.75" x14ac:dyDescent="0.3">
      <c r="A68" s="4"/>
      <c r="B68" s="18"/>
      <c r="C68" s="4"/>
      <c r="E68" s="163" t="str">
        <f>Inputs!D80</f>
        <v>Coal - sub bituminous</v>
      </c>
      <c r="F68" s="163" t="s">
        <v>169</v>
      </c>
      <c r="G68" s="184">
        <f>Inputs!G80</f>
        <v>0</v>
      </c>
      <c r="H68" s="137">
        <f>Inputs!H80*Data!$F5</f>
        <v>0</v>
      </c>
      <c r="I68" s="137">
        <f>Inputs!I80*Data!$F5</f>
        <v>0</v>
      </c>
      <c r="J68" s="137">
        <f>Inputs!J80*Data!$F5</f>
        <v>0</v>
      </c>
      <c r="K68" s="137">
        <f>Inputs!K80*Data!$F5</f>
        <v>0</v>
      </c>
      <c r="L68" s="137">
        <f>Inputs!L80*Data!$F5</f>
        <v>0</v>
      </c>
      <c r="M68" s="137">
        <f>Inputs!M80*Data!$F5</f>
        <v>0</v>
      </c>
      <c r="N68" s="137">
        <f>Inputs!N80*Data!$F5</f>
        <v>0</v>
      </c>
      <c r="O68" s="137">
        <f>Inputs!O80*Data!$F5</f>
        <v>0</v>
      </c>
      <c r="P68" s="137">
        <f>Inputs!P80*Data!$F5</f>
        <v>0</v>
      </c>
      <c r="Q68" s="137">
        <f>Inputs!Q80*Data!$F5</f>
        <v>0</v>
      </c>
      <c r="R68" s="137">
        <f>Inputs!R80*Data!$F5</f>
        <v>0</v>
      </c>
      <c r="S68" s="137">
        <f>Inputs!S80*Data!$F5</f>
        <v>0</v>
      </c>
      <c r="T68" s="137">
        <f>Inputs!T80*Data!$F5</f>
        <v>0</v>
      </c>
      <c r="U68" s="137">
        <f>Inputs!U80*Data!$F5</f>
        <v>0</v>
      </c>
      <c r="V68" s="137">
        <f>Inputs!V80*Data!$F5</f>
        <v>0</v>
      </c>
      <c r="W68" s="137">
        <f>Inputs!W80*Data!$F5</f>
        <v>0</v>
      </c>
      <c r="X68" s="137">
        <f>Inputs!X80*Data!$F5</f>
        <v>0</v>
      </c>
      <c r="Y68" s="137">
        <f>Inputs!Y80*Data!$F5</f>
        <v>0</v>
      </c>
      <c r="Z68" s="137">
        <f>Inputs!Z80*Data!$F5</f>
        <v>0</v>
      </c>
      <c r="AA68" s="137">
        <f>Inputs!AA80*Data!$F5</f>
        <v>0</v>
      </c>
      <c r="AB68" s="137">
        <f>Inputs!AB80*Data!$F5</f>
        <v>0</v>
      </c>
      <c r="AC68" s="137">
        <f>Inputs!AC80*Data!$F5</f>
        <v>0</v>
      </c>
      <c r="AD68" s="137">
        <f>Inputs!AD80*Data!$F5</f>
        <v>0</v>
      </c>
      <c r="AE68" s="137">
        <f>Inputs!AE80*Data!$F5</f>
        <v>0</v>
      </c>
      <c r="AF68" s="137">
        <f>Inputs!AF80*Data!$F5</f>
        <v>0</v>
      </c>
      <c r="AG68" s="137">
        <f>Inputs!AG80*Data!$F5</f>
        <v>0</v>
      </c>
      <c r="AH68" s="137">
        <f>Inputs!AH80*Data!$F5</f>
        <v>0</v>
      </c>
      <c r="AI68" s="137">
        <f>Inputs!AI80*Data!$F5</f>
        <v>0</v>
      </c>
      <c r="AJ68" s="137">
        <f>Inputs!AJ80*Data!$F5</f>
        <v>0</v>
      </c>
      <c r="AK68" s="137">
        <f>Inputs!AK80*Data!$F5</f>
        <v>0</v>
      </c>
      <c r="AL68" s="137">
        <f>Inputs!AL80*Data!$F5</f>
        <v>0</v>
      </c>
      <c r="AM68" s="137">
        <f>Inputs!AM80*Data!$F5</f>
        <v>0</v>
      </c>
      <c r="AN68" s="137">
        <f>Inputs!AN80*Data!$F5</f>
        <v>0</v>
      </c>
      <c r="AO68" s="137">
        <f>Inputs!AO80*Data!$F5</f>
        <v>0</v>
      </c>
      <c r="AP68" s="137">
        <f>Inputs!AP80*Data!$F5</f>
        <v>0</v>
      </c>
      <c r="AQ68" s="137">
        <f>Inputs!AQ80*Data!$F5</f>
        <v>0</v>
      </c>
      <c r="AR68" s="137">
        <f>Inputs!AR80*Data!$F5</f>
        <v>0</v>
      </c>
      <c r="AS68" s="137">
        <f>Inputs!AS80*Data!$F5</f>
        <v>0</v>
      </c>
      <c r="AT68" s="137">
        <f>Inputs!AT80*Data!$F5</f>
        <v>0</v>
      </c>
      <c r="AU68" s="137">
        <f>Inputs!AU80*Data!$F5</f>
        <v>0</v>
      </c>
      <c r="AV68" s="137">
        <f>Inputs!AV80*Data!$F5</f>
        <v>0</v>
      </c>
      <c r="AW68" s="137">
        <f>Inputs!AW80*Data!$F5</f>
        <v>0</v>
      </c>
      <c r="AX68" s="137">
        <f>Inputs!AX80*Data!$F5</f>
        <v>0</v>
      </c>
      <c r="AY68" s="137">
        <f>Inputs!AY80*Data!$F5</f>
        <v>0</v>
      </c>
      <c r="AZ68" s="137">
        <f>Inputs!AZ80*Data!$F5</f>
        <v>0</v>
      </c>
    </row>
    <row r="69" spans="1:52" ht="18.75" x14ac:dyDescent="0.3">
      <c r="A69" s="4"/>
      <c r="B69" s="18"/>
      <c r="C69" s="4"/>
      <c r="E69" s="163" t="str">
        <f>Inputs!D81</f>
        <v>Coal - bituminous</v>
      </c>
      <c r="F69" s="163" t="s">
        <v>169</v>
      </c>
      <c r="G69" s="184">
        <f>Inputs!G81</f>
        <v>0</v>
      </c>
      <c r="H69" s="137">
        <f>Inputs!H81*Data!$F6</f>
        <v>0</v>
      </c>
      <c r="I69" s="137">
        <f>Inputs!I81*Data!$F6</f>
        <v>0</v>
      </c>
      <c r="J69" s="137">
        <f>Inputs!J81*Data!$F6</f>
        <v>0</v>
      </c>
      <c r="K69" s="137">
        <f>Inputs!K81*Data!$F6</f>
        <v>0</v>
      </c>
      <c r="L69" s="137">
        <f>Inputs!L81*Data!$F6</f>
        <v>0</v>
      </c>
      <c r="M69" s="137">
        <f>Inputs!M81*Data!$F6</f>
        <v>0</v>
      </c>
      <c r="N69" s="137">
        <f>Inputs!N81*Data!$F6</f>
        <v>0</v>
      </c>
      <c r="O69" s="137">
        <f>Inputs!O81*Data!$F6</f>
        <v>0</v>
      </c>
      <c r="P69" s="137">
        <f>Inputs!P81*Data!$F6</f>
        <v>0</v>
      </c>
      <c r="Q69" s="137">
        <f>Inputs!Q81*Data!$F6</f>
        <v>0</v>
      </c>
      <c r="R69" s="137">
        <f>Inputs!R81*Data!$F6</f>
        <v>0</v>
      </c>
      <c r="S69" s="137">
        <f>Inputs!S81*Data!$F6</f>
        <v>0</v>
      </c>
      <c r="T69" s="137">
        <f>Inputs!T81*Data!$F6</f>
        <v>0</v>
      </c>
      <c r="U69" s="137">
        <f>Inputs!U81*Data!$F6</f>
        <v>0</v>
      </c>
      <c r="V69" s="137">
        <f>Inputs!V81*Data!$F6</f>
        <v>0</v>
      </c>
      <c r="W69" s="137">
        <f>Inputs!W81*Data!$F6</f>
        <v>0</v>
      </c>
      <c r="X69" s="137">
        <f>Inputs!X81*Data!$F6</f>
        <v>0</v>
      </c>
      <c r="Y69" s="137">
        <f>Inputs!Y81*Data!$F6</f>
        <v>0</v>
      </c>
      <c r="Z69" s="137">
        <f>Inputs!Z81*Data!$F6</f>
        <v>0</v>
      </c>
      <c r="AA69" s="137">
        <f>Inputs!AA81*Data!$F6</f>
        <v>0</v>
      </c>
      <c r="AB69" s="137">
        <f>Inputs!AB81*Data!$F6</f>
        <v>0</v>
      </c>
      <c r="AC69" s="137">
        <f>Inputs!AC81*Data!$F6</f>
        <v>0</v>
      </c>
      <c r="AD69" s="137">
        <f>Inputs!AD81*Data!$F6</f>
        <v>0</v>
      </c>
      <c r="AE69" s="137">
        <f>Inputs!AE81*Data!$F6</f>
        <v>0</v>
      </c>
      <c r="AF69" s="137">
        <f>Inputs!AF81*Data!$F6</f>
        <v>0</v>
      </c>
      <c r="AG69" s="137">
        <f>Inputs!AG81*Data!$F6</f>
        <v>0</v>
      </c>
      <c r="AH69" s="137">
        <f>Inputs!AH81*Data!$F6</f>
        <v>0</v>
      </c>
      <c r="AI69" s="137">
        <f>Inputs!AI81*Data!$F6</f>
        <v>0</v>
      </c>
      <c r="AJ69" s="137">
        <f>Inputs!AJ81*Data!$F6</f>
        <v>0</v>
      </c>
      <c r="AK69" s="137">
        <f>Inputs!AK81*Data!$F6</f>
        <v>0</v>
      </c>
      <c r="AL69" s="137">
        <f>Inputs!AL81*Data!$F6</f>
        <v>0</v>
      </c>
      <c r="AM69" s="137">
        <f>Inputs!AM81*Data!$F6</f>
        <v>0</v>
      </c>
      <c r="AN69" s="137">
        <f>Inputs!AN81*Data!$F6</f>
        <v>0</v>
      </c>
      <c r="AO69" s="137">
        <f>Inputs!AO81*Data!$F6</f>
        <v>0</v>
      </c>
      <c r="AP69" s="137">
        <f>Inputs!AP81*Data!$F6</f>
        <v>0</v>
      </c>
      <c r="AQ69" s="137">
        <f>Inputs!AQ81*Data!$F6</f>
        <v>0</v>
      </c>
      <c r="AR69" s="137">
        <f>Inputs!AR81*Data!$F6</f>
        <v>0</v>
      </c>
      <c r="AS69" s="137">
        <f>Inputs!AS81*Data!$F6</f>
        <v>0</v>
      </c>
      <c r="AT69" s="137">
        <f>Inputs!AT81*Data!$F6</f>
        <v>0</v>
      </c>
      <c r="AU69" s="137">
        <f>Inputs!AU81*Data!$F6</f>
        <v>0</v>
      </c>
      <c r="AV69" s="137">
        <f>Inputs!AV81*Data!$F6</f>
        <v>0</v>
      </c>
      <c r="AW69" s="137">
        <f>Inputs!AW81*Data!$F6</f>
        <v>0</v>
      </c>
      <c r="AX69" s="137">
        <f>Inputs!AX81*Data!$F6</f>
        <v>0</v>
      </c>
      <c r="AY69" s="137">
        <f>Inputs!AY81*Data!$F6</f>
        <v>0</v>
      </c>
      <c r="AZ69" s="137">
        <f>Inputs!AZ81*Data!$F6</f>
        <v>0</v>
      </c>
    </row>
    <row r="70" spans="1:52" ht="18.75" x14ac:dyDescent="0.3">
      <c r="A70" s="4"/>
      <c r="B70" s="18"/>
      <c r="C70" s="4"/>
      <c r="E70" s="163" t="str">
        <f>Inputs!D82</f>
        <v>Coal - lignite</v>
      </c>
      <c r="F70" s="163" t="s">
        <v>169</v>
      </c>
      <c r="G70" s="184">
        <f>Inputs!G82</f>
        <v>0</v>
      </c>
      <c r="H70" s="137">
        <f>Inputs!H82*Data!$F7</f>
        <v>0</v>
      </c>
      <c r="I70" s="137">
        <f>Inputs!I82*Data!$F7</f>
        <v>0</v>
      </c>
      <c r="J70" s="137">
        <f>Inputs!J82*Data!$F7</f>
        <v>0</v>
      </c>
      <c r="K70" s="137">
        <f>Inputs!K82*Data!$F7</f>
        <v>0</v>
      </c>
      <c r="L70" s="137">
        <f>Inputs!L82*Data!$F7</f>
        <v>0</v>
      </c>
      <c r="M70" s="137">
        <f>Inputs!M82*Data!$F7</f>
        <v>0</v>
      </c>
      <c r="N70" s="137">
        <f>Inputs!N82*Data!$F7</f>
        <v>0</v>
      </c>
      <c r="O70" s="137">
        <f>Inputs!O82*Data!$F7</f>
        <v>0</v>
      </c>
      <c r="P70" s="137">
        <f>Inputs!P82*Data!$F7</f>
        <v>0</v>
      </c>
      <c r="Q70" s="137">
        <f>Inputs!Q82*Data!$F7</f>
        <v>0</v>
      </c>
      <c r="R70" s="137">
        <f>Inputs!R82*Data!$F7</f>
        <v>0</v>
      </c>
      <c r="S70" s="137">
        <f>Inputs!S82*Data!$F7</f>
        <v>0</v>
      </c>
      <c r="T70" s="137">
        <f>Inputs!T82*Data!$F7</f>
        <v>0</v>
      </c>
      <c r="U70" s="137">
        <f>Inputs!U82*Data!$F7</f>
        <v>0</v>
      </c>
      <c r="V70" s="137">
        <f>Inputs!V82*Data!$F7</f>
        <v>0</v>
      </c>
      <c r="W70" s="137">
        <f>Inputs!W82*Data!$F7</f>
        <v>0</v>
      </c>
      <c r="X70" s="137">
        <f>Inputs!X82*Data!$F7</f>
        <v>0</v>
      </c>
      <c r="Y70" s="137">
        <f>Inputs!Y82*Data!$F7</f>
        <v>0</v>
      </c>
      <c r="Z70" s="137">
        <f>Inputs!Z82*Data!$F7</f>
        <v>0</v>
      </c>
      <c r="AA70" s="137">
        <f>Inputs!AA82*Data!$F7</f>
        <v>0</v>
      </c>
      <c r="AB70" s="137">
        <f>Inputs!AB82*Data!$F7</f>
        <v>0</v>
      </c>
      <c r="AC70" s="137">
        <f>Inputs!AC82*Data!$F7</f>
        <v>0</v>
      </c>
      <c r="AD70" s="137">
        <f>Inputs!AD82*Data!$F7</f>
        <v>0</v>
      </c>
      <c r="AE70" s="137">
        <f>Inputs!AE82*Data!$F7</f>
        <v>0</v>
      </c>
      <c r="AF70" s="137">
        <f>Inputs!AF82*Data!$F7</f>
        <v>0</v>
      </c>
      <c r="AG70" s="137">
        <f>Inputs!AG82*Data!$F7</f>
        <v>0</v>
      </c>
      <c r="AH70" s="137">
        <f>Inputs!AH82*Data!$F7</f>
        <v>0</v>
      </c>
      <c r="AI70" s="137">
        <f>Inputs!AI82*Data!$F7</f>
        <v>0</v>
      </c>
      <c r="AJ70" s="137">
        <f>Inputs!AJ82*Data!$F7</f>
        <v>0</v>
      </c>
      <c r="AK70" s="137">
        <f>Inputs!AK82*Data!$F7</f>
        <v>0</v>
      </c>
      <c r="AL70" s="137">
        <f>Inputs!AL82*Data!$F7</f>
        <v>0</v>
      </c>
      <c r="AM70" s="137">
        <f>Inputs!AM82*Data!$F7</f>
        <v>0</v>
      </c>
      <c r="AN70" s="137">
        <f>Inputs!AN82*Data!$F7</f>
        <v>0</v>
      </c>
      <c r="AO70" s="137">
        <f>Inputs!AO82*Data!$F7</f>
        <v>0</v>
      </c>
      <c r="AP70" s="137">
        <f>Inputs!AP82*Data!$F7</f>
        <v>0</v>
      </c>
      <c r="AQ70" s="137">
        <f>Inputs!AQ82*Data!$F7</f>
        <v>0</v>
      </c>
      <c r="AR70" s="137">
        <f>Inputs!AR82*Data!$F7</f>
        <v>0</v>
      </c>
      <c r="AS70" s="137">
        <f>Inputs!AS82*Data!$F7</f>
        <v>0</v>
      </c>
      <c r="AT70" s="137">
        <f>Inputs!AT82*Data!$F7</f>
        <v>0</v>
      </c>
      <c r="AU70" s="137">
        <f>Inputs!AU82*Data!$F7</f>
        <v>0</v>
      </c>
      <c r="AV70" s="137">
        <f>Inputs!AV82*Data!$F7</f>
        <v>0</v>
      </c>
      <c r="AW70" s="137">
        <f>Inputs!AW82*Data!$F7</f>
        <v>0</v>
      </c>
      <c r="AX70" s="137">
        <f>Inputs!AX82*Data!$F7</f>
        <v>0</v>
      </c>
      <c r="AY70" s="137">
        <f>Inputs!AY82*Data!$F7</f>
        <v>0</v>
      </c>
      <c r="AZ70" s="137">
        <f>Inputs!AZ82*Data!$F7</f>
        <v>0</v>
      </c>
    </row>
    <row r="71" spans="1:52" ht="18.75" x14ac:dyDescent="0.3">
      <c r="A71" s="4"/>
      <c r="B71" s="18"/>
      <c r="C71" s="4"/>
      <c r="E71" s="163" t="str">
        <f>Inputs!D83</f>
        <v>Diesel</v>
      </c>
      <c r="F71" s="163" t="s">
        <v>169</v>
      </c>
      <c r="G71" s="184">
        <f>Inputs!G83</f>
        <v>0</v>
      </c>
      <c r="H71" s="137">
        <f>Inputs!H83*Data!$F8</f>
        <v>0</v>
      </c>
      <c r="I71" s="137">
        <f>Inputs!I83*Data!$F8</f>
        <v>0</v>
      </c>
      <c r="J71" s="137">
        <f>Inputs!J83*Data!$F8</f>
        <v>0</v>
      </c>
      <c r="K71" s="137">
        <f>Inputs!K83*Data!$F8</f>
        <v>0</v>
      </c>
      <c r="L71" s="137">
        <f>Inputs!L83*Data!$F8</f>
        <v>0</v>
      </c>
      <c r="M71" s="137">
        <f>Inputs!M83*Data!$F8</f>
        <v>0</v>
      </c>
      <c r="N71" s="137">
        <f>Inputs!N83*Data!$F8</f>
        <v>0</v>
      </c>
      <c r="O71" s="137">
        <f>Inputs!O83*Data!$F8</f>
        <v>0</v>
      </c>
      <c r="P71" s="137">
        <f>Inputs!P83*Data!$F8</f>
        <v>0</v>
      </c>
      <c r="Q71" s="137">
        <f>Inputs!Q83*Data!$F8</f>
        <v>0</v>
      </c>
      <c r="R71" s="137">
        <f>Inputs!R83*Data!$F8</f>
        <v>0</v>
      </c>
      <c r="S71" s="137">
        <f>Inputs!S83*Data!$F8</f>
        <v>0</v>
      </c>
      <c r="T71" s="137">
        <f>Inputs!T83*Data!$F8</f>
        <v>0</v>
      </c>
      <c r="U71" s="137">
        <f>Inputs!U83*Data!$F8</f>
        <v>0</v>
      </c>
      <c r="V71" s="137">
        <f>Inputs!V83*Data!$F8</f>
        <v>0</v>
      </c>
      <c r="W71" s="137">
        <f>Inputs!W83*Data!$F8</f>
        <v>0</v>
      </c>
      <c r="X71" s="137">
        <f>Inputs!X83*Data!$F8</f>
        <v>0</v>
      </c>
      <c r="Y71" s="137">
        <f>Inputs!Y83*Data!$F8</f>
        <v>0</v>
      </c>
      <c r="Z71" s="137">
        <f>Inputs!Z83*Data!$F8</f>
        <v>0</v>
      </c>
      <c r="AA71" s="137">
        <f>Inputs!AA83*Data!$F8</f>
        <v>0</v>
      </c>
      <c r="AB71" s="137">
        <f>Inputs!AB83*Data!$F8</f>
        <v>0</v>
      </c>
      <c r="AC71" s="137">
        <f>Inputs!AC83*Data!$F8</f>
        <v>0</v>
      </c>
      <c r="AD71" s="137">
        <f>Inputs!AD83*Data!$F8</f>
        <v>0</v>
      </c>
      <c r="AE71" s="137">
        <f>Inputs!AE83*Data!$F8</f>
        <v>0</v>
      </c>
      <c r="AF71" s="137">
        <f>Inputs!AF83*Data!$F8</f>
        <v>0</v>
      </c>
      <c r="AG71" s="137">
        <f>Inputs!AG83*Data!$F8</f>
        <v>0</v>
      </c>
      <c r="AH71" s="137">
        <f>Inputs!AH83*Data!$F8</f>
        <v>0</v>
      </c>
      <c r="AI71" s="137">
        <f>Inputs!AI83*Data!$F8</f>
        <v>0</v>
      </c>
      <c r="AJ71" s="137">
        <f>Inputs!AJ83*Data!$F8</f>
        <v>0</v>
      </c>
      <c r="AK71" s="137">
        <f>Inputs!AK83*Data!$F8</f>
        <v>0</v>
      </c>
      <c r="AL71" s="137">
        <f>Inputs!AL83*Data!$F8</f>
        <v>0</v>
      </c>
      <c r="AM71" s="137">
        <f>Inputs!AM83*Data!$F8</f>
        <v>0</v>
      </c>
      <c r="AN71" s="137">
        <f>Inputs!AN83*Data!$F8</f>
        <v>0</v>
      </c>
      <c r="AO71" s="137">
        <f>Inputs!AO83*Data!$F8</f>
        <v>0</v>
      </c>
      <c r="AP71" s="137">
        <f>Inputs!AP83*Data!$F8</f>
        <v>0</v>
      </c>
      <c r="AQ71" s="137">
        <f>Inputs!AQ83*Data!$F8</f>
        <v>0</v>
      </c>
      <c r="AR71" s="137">
        <f>Inputs!AR83*Data!$F8</f>
        <v>0</v>
      </c>
      <c r="AS71" s="137">
        <f>Inputs!AS83*Data!$F8</f>
        <v>0</v>
      </c>
      <c r="AT71" s="137">
        <f>Inputs!AT83*Data!$F8</f>
        <v>0</v>
      </c>
      <c r="AU71" s="137">
        <f>Inputs!AU83*Data!$F8</f>
        <v>0</v>
      </c>
      <c r="AV71" s="137">
        <f>Inputs!AV83*Data!$F8</f>
        <v>0</v>
      </c>
      <c r="AW71" s="137">
        <f>Inputs!AW83*Data!$F8</f>
        <v>0</v>
      </c>
      <c r="AX71" s="137">
        <f>Inputs!AX83*Data!$F8</f>
        <v>0</v>
      </c>
      <c r="AY71" s="137">
        <f>Inputs!AY83*Data!$F8</f>
        <v>0</v>
      </c>
      <c r="AZ71" s="137">
        <f>Inputs!AZ83*Data!$F8</f>
        <v>0</v>
      </c>
    </row>
    <row r="72" spans="1:52" ht="18.75" x14ac:dyDescent="0.3">
      <c r="A72" s="4"/>
      <c r="B72" s="18"/>
      <c r="C72" s="4"/>
      <c r="E72" s="163" t="str">
        <f>Inputs!D84</f>
        <v>LPG</v>
      </c>
      <c r="F72" s="163" t="s">
        <v>169</v>
      </c>
      <c r="G72" s="184">
        <f>Inputs!G84</f>
        <v>0</v>
      </c>
      <c r="H72" s="137">
        <f>Inputs!H84*Data!$F9</f>
        <v>0</v>
      </c>
      <c r="I72" s="137">
        <f>Inputs!I84*Data!$F9</f>
        <v>0</v>
      </c>
      <c r="J72" s="137">
        <f>Inputs!J84*Data!$F9</f>
        <v>0</v>
      </c>
      <c r="K72" s="137">
        <f>Inputs!K84*Data!$F9</f>
        <v>0</v>
      </c>
      <c r="L72" s="137">
        <f>Inputs!L84*Data!$F9</f>
        <v>0</v>
      </c>
      <c r="M72" s="137">
        <f>Inputs!M84*Data!$F9</f>
        <v>0</v>
      </c>
      <c r="N72" s="137">
        <f>Inputs!N84*Data!$F9</f>
        <v>0</v>
      </c>
      <c r="O72" s="137">
        <f>Inputs!O84*Data!$F9</f>
        <v>0</v>
      </c>
      <c r="P72" s="137">
        <f>Inputs!P84*Data!$F9</f>
        <v>0</v>
      </c>
      <c r="Q72" s="137">
        <f>Inputs!Q84*Data!$F9</f>
        <v>0</v>
      </c>
      <c r="R72" s="137">
        <f>Inputs!R84*Data!$F9</f>
        <v>0</v>
      </c>
      <c r="S72" s="137">
        <f>Inputs!S84*Data!$F9</f>
        <v>0</v>
      </c>
      <c r="T72" s="137">
        <f>Inputs!T84*Data!$F9</f>
        <v>0</v>
      </c>
      <c r="U72" s="137">
        <f>Inputs!U84*Data!$F9</f>
        <v>0</v>
      </c>
      <c r="V72" s="137">
        <f>Inputs!V84*Data!$F9</f>
        <v>0</v>
      </c>
      <c r="W72" s="137">
        <f>Inputs!W84*Data!$F9</f>
        <v>0</v>
      </c>
      <c r="X72" s="137">
        <f>Inputs!X84*Data!$F9</f>
        <v>0</v>
      </c>
      <c r="Y72" s="137">
        <f>Inputs!Y84*Data!$F9</f>
        <v>0</v>
      </c>
      <c r="Z72" s="137">
        <f>Inputs!Z84*Data!$F9</f>
        <v>0</v>
      </c>
      <c r="AA72" s="137">
        <f>Inputs!AA84*Data!$F9</f>
        <v>0</v>
      </c>
      <c r="AB72" s="137">
        <f>Inputs!AB84*Data!$F9</f>
        <v>0</v>
      </c>
      <c r="AC72" s="137">
        <f>Inputs!AC84*Data!$F9</f>
        <v>0</v>
      </c>
      <c r="AD72" s="137">
        <f>Inputs!AD84*Data!$F9</f>
        <v>0</v>
      </c>
      <c r="AE72" s="137">
        <f>Inputs!AE84*Data!$F9</f>
        <v>0</v>
      </c>
      <c r="AF72" s="137">
        <f>Inputs!AF84*Data!$F9</f>
        <v>0</v>
      </c>
      <c r="AG72" s="137">
        <f>Inputs!AG84*Data!$F9</f>
        <v>0</v>
      </c>
      <c r="AH72" s="137">
        <f>Inputs!AH84*Data!$F9</f>
        <v>0</v>
      </c>
      <c r="AI72" s="137">
        <f>Inputs!AI84*Data!$F9</f>
        <v>0</v>
      </c>
      <c r="AJ72" s="137">
        <f>Inputs!AJ84*Data!$F9</f>
        <v>0</v>
      </c>
      <c r="AK72" s="137">
        <f>Inputs!AK84*Data!$F9</f>
        <v>0</v>
      </c>
      <c r="AL72" s="137">
        <f>Inputs!AL84*Data!$F9</f>
        <v>0</v>
      </c>
      <c r="AM72" s="137">
        <f>Inputs!AM84*Data!$F9</f>
        <v>0</v>
      </c>
      <c r="AN72" s="137">
        <f>Inputs!AN84*Data!$F9</f>
        <v>0</v>
      </c>
      <c r="AO72" s="137">
        <f>Inputs!AO84*Data!$F9</f>
        <v>0</v>
      </c>
      <c r="AP72" s="137">
        <f>Inputs!AP84*Data!$F9</f>
        <v>0</v>
      </c>
      <c r="AQ72" s="137">
        <f>Inputs!AQ84*Data!$F9</f>
        <v>0</v>
      </c>
      <c r="AR72" s="137">
        <f>Inputs!AR84*Data!$F9</f>
        <v>0</v>
      </c>
      <c r="AS72" s="137">
        <f>Inputs!AS84*Data!$F9</f>
        <v>0</v>
      </c>
      <c r="AT72" s="137">
        <f>Inputs!AT84*Data!$F9</f>
        <v>0</v>
      </c>
      <c r="AU72" s="137">
        <f>Inputs!AU84*Data!$F9</f>
        <v>0</v>
      </c>
      <c r="AV72" s="137">
        <f>Inputs!AV84*Data!$F9</f>
        <v>0</v>
      </c>
      <c r="AW72" s="137">
        <f>Inputs!AW84*Data!$F9</f>
        <v>0</v>
      </c>
      <c r="AX72" s="137">
        <f>Inputs!AX84*Data!$F9</f>
        <v>0</v>
      </c>
      <c r="AY72" s="137">
        <f>Inputs!AY84*Data!$F9</f>
        <v>0</v>
      </c>
      <c r="AZ72" s="137">
        <f>Inputs!AZ84*Data!$F9</f>
        <v>0</v>
      </c>
    </row>
    <row r="73" spans="1:52" ht="18.75" x14ac:dyDescent="0.3">
      <c r="A73" s="4"/>
      <c r="B73" s="18"/>
      <c r="C73" s="4"/>
      <c r="E73" s="163" t="str">
        <f>Inputs!D85</f>
        <v>Light fuel oil</v>
      </c>
      <c r="F73" s="163" t="s">
        <v>169</v>
      </c>
      <c r="G73" s="164">
        <f>Inputs!G85</f>
        <v>0</v>
      </c>
      <c r="H73" s="137">
        <f>Inputs!H85*Data!$F10</f>
        <v>0</v>
      </c>
      <c r="I73" s="137">
        <f>Inputs!I85*Data!$F10</f>
        <v>0</v>
      </c>
      <c r="J73" s="137">
        <f>Inputs!J85*Data!$F10</f>
        <v>0</v>
      </c>
      <c r="K73" s="137">
        <f>Inputs!K85*Data!$F10</f>
        <v>0</v>
      </c>
      <c r="L73" s="137">
        <f>Inputs!L85*Data!$F10</f>
        <v>0</v>
      </c>
      <c r="M73" s="137">
        <f>Inputs!M85*Data!$F10</f>
        <v>0</v>
      </c>
      <c r="N73" s="137">
        <f>Inputs!N85*Data!$F10</f>
        <v>0</v>
      </c>
      <c r="O73" s="137">
        <f>Inputs!O85*Data!$F10</f>
        <v>0</v>
      </c>
      <c r="P73" s="137">
        <f>Inputs!P85*Data!$F10</f>
        <v>0</v>
      </c>
      <c r="Q73" s="137">
        <f>Inputs!Q85*Data!$F10</f>
        <v>0</v>
      </c>
      <c r="R73" s="137">
        <f>Inputs!R85*Data!$F10</f>
        <v>0</v>
      </c>
      <c r="S73" s="137">
        <f>Inputs!S85*Data!$F10</f>
        <v>0</v>
      </c>
      <c r="T73" s="137">
        <f>Inputs!T85*Data!$F10</f>
        <v>0</v>
      </c>
      <c r="U73" s="137">
        <f>Inputs!U85*Data!$F10</f>
        <v>0</v>
      </c>
      <c r="V73" s="137">
        <f>Inputs!V85*Data!$F10</f>
        <v>0</v>
      </c>
      <c r="W73" s="137">
        <f>Inputs!W85*Data!$F10</f>
        <v>0</v>
      </c>
      <c r="X73" s="137">
        <f>Inputs!X85*Data!$F10</f>
        <v>0</v>
      </c>
      <c r="Y73" s="137">
        <f>Inputs!Y85*Data!$F10</f>
        <v>0</v>
      </c>
      <c r="Z73" s="137">
        <f>Inputs!Z85*Data!$F10</f>
        <v>0</v>
      </c>
      <c r="AA73" s="137">
        <f>Inputs!AA85*Data!$F10</f>
        <v>0</v>
      </c>
      <c r="AB73" s="137">
        <f>Inputs!AB85*Data!$F10</f>
        <v>0</v>
      </c>
      <c r="AC73" s="137">
        <f>Inputs!AC85*Data!$F10</f>
        <v>0</v>
      </c>
      <c r="AD73" s="137">
        <f>Inputs!AD85*Data!$F10</f>
        <v>0</v>
      </c>
      <c r="AE73" s="137">
        <f>Inputs!AE85*Data!$F10</f>
        <v>0</v>
      </c>
      <c r="AF73" s="137">
        <f>Inputs!AF85*Data!$F10</f>
        <v>0</v>
      </c>
      <c r="AG73" s="137">
        <f>Inputs!AG85*Data!$F10</f>
        <v>0</v>
      </c>
      <c r="AH73" s="137">
        <f>Inputs!AH85*Data!$F10</f>
        <v>0</v>
      </c>
      <c r="AI73" s="137">
        <f>Inputs!AI85*Data!$F10</f>
        <v>0</v>
      </c>
      <c r="AJ73" s="137">
        <f>Inputs!AJ85*Data!$F10</f>
        <v>0</v>
      </c>
      <c r="AK73" s="137">
        <f>Inputs!AK85*Data!$F10</f>
        <v>0</v>
      </c>
      <c r="AL73" s="137">
        <f>Inputs!AL85*Data!$F10</f>
        <v>0</v>
      </c>
      <c r="AM73" s="137">
        <f>Inputs!AM85*Data!$F10</f>
        <v>0</v>
      </c>
      <c r="AN73" s="137">
        <f>Inputs!AN85*Data!$F10</f>
        <v>0</v>
      </c>
      <c r="AO73" s="137">
        <f>Inputs!AO85*Data!$F10</f>
        <v>0</v>
      </c>
      <c r="AP73" s="137">
        <f>Inputs!AP85*Data!$F10</f>
        <v>0</v>
      </c>
      <c r="AQ73" s="137">
        <f>Inputs!AQ85*Data!$F10</f>
        <v>0</v>
      </c>
      <c r="AR73" s="137">
        <f>Inputs!AR85*Data!$F10</f>
        <v>0</v>
      </c>
      <c r="AS73" s="137">
        <f>Inputs!AS85*Data!$F10</f>
        <v>0</v>
      </c>
      <c r="AT73" s="137">
        <f>Inputs!AT85*Data!$F10</f>
        <v>0</v>
      </c>
      <c r="AU73" s="137">
        <f>Inputs!AU85*Data!$F10</f>
        <v>0</v>
      </c>
      <c r="AV73" s="137">
        <f>Inputs!AV85*Data!$F10</f>
        <v>0</v>
      </c>
      <c r="AW73" s="137">
        <f>Inputs!AW85*Data!$F10</f>
        <v>0</v>
      </c>
      <c r="AX73" s="137">
        <f>Inputs!AX85*Data!$F10</f>
        <v>0</v>
      </c>
      <c r="AY73" s="137">
        <f>Inputs!AY85*Data!$F10</f>
        <v>0</v>
      </c>
      <c r="AZ73" s="137">
        <f>Inputs!AZ85*Data!$F10</f>
        <v>0</v>
      </c>
    </row>
    <row r="74" spans="1:52" ht="18.75" x14ac:dyDescent="0.3">
      <c r="A74" s="4"/>
      <c r="B74" s="18"/>
      <c r="C74" s="4"/>
      <c r="E74" s="163" t="str">
        <f>Inputs!D86</f>
        <v>Heavy fuel oil</v>
      </c>
      <c r="F74" s="163" t="s">
        <v>169</v>
      </c>
      <c r="G74" s="164">
        <f>Inputs!G86</f>
        <v>0</v>
      </c>
      <c r="H74" s="137">
        <f>Inputs!H86*Data!$F11</f>
        <v>0</v>
      </c>
      <c r="I74" s="137">
        <f>Inputs!I86*Data!$F11</f>
        <v>0</v>
      </c>
      <c r="J74" s="137">
        <f>Inputs!J86*Data!$F11</f>
        <v>0</v>
      </c>
      <c r="K74" s="137">
        <f>Inputs!K86*Data!$F11</f>
        <v>0</v>
      </c>
      <c r="L74" s="137">
        <f>Inputs!L86*Data!$F11</f>
        <v>0</v>
      </c>
      <c r="M74" s="137">
        <f>Inputs!M86*Data!$F11</f>
        <v>0</v>
      </c>
      <c r="N74" s="137">
        <f>Inputs!N86*Data!$F11</f>
        <v>0</v>
      </c>
      <c r="O74" s="137">
        <f>Inputs!O86*Data!$F11</f>
        <v>0</v>
      </c>
      <c r="P74" s="137">
        <f>Inputs!P86*Data!$F11</f>
        <v>0</v>
      </c>
      <c r="Q74" s="137">
        <f>Inputs!Q86*Data!$F11</f>
        <v>0</v>
      </c>
      <c r="R74" s="137">
        <f>Inputs!R86*Data!$F11</f>
        <v>0</v>
      </c>
      <c r="S74" s="137">
        <f>Inputs!S86*Data!$F11</f>
        <v>0</v>
      </c>
      <c r="T74" s="137">
        <f>Inputs!T86*Data!$F11</f>
        <v>0</v>
      </c>
      <c r="U74" s="137">
        <f>Inputs!U86*Data!$F11</f>
        <v>0</v>
      </c>
      <c r="V74" s="137">
        <f>Inputs!V86*Data!$F11</f>
        <v>0</v>
      </c>
      <c r="W74" s="137">
        <f>Inputs!W86*Data!$F11</f>
        <v>0</v>
      </c>
      <c r="X74" s="137">
        <f>Inputs!X86*Data!$F11</f>
        <v>0</v>
      </c>
      <c r="Y74" s="137">
        <f>Inputs!Y86*Data!$F11</f>
        <v>0</v>
      </c>
      <c r="Z74" s="137">
        <f>Inputs!Z86*Data!$F11</f>
        <v>0</v>
      </c>
      <c r="AA74" s="137">
        <f>Inputs!AA86*Data!$F11</f>
        <v>0</v>
      </c>
      <c r="AB74" s="137">
        <f>Inputs!AB86*Data!$F11</f>
        <v>0</v>
      </c>
      <c r="AC74" s="137">
        <f>Inputs!AC86*Data!$F11</f>
        <v>0</v>
      </c>
      <c r="AD74" s="137">
        <f>Inputs!AD86*Data!$F11</f>
        <v>0</v>
      </c>
      <c r="AE74" s="137">
        <f>Inputs!AE86*Data!$F11</f>
        <v>0</v>
      </c>
      <c r="AF74" s="137">
        <f>Inputs!AF86*Data!$F11</f>
        <v>0</v>
      </c>
      <c r="AG74" s="137">
        <f>Inputs!AG86*Data!$F11</f>
        <v>0</v>
      </c>
      <c r="AH74" s="137">
        <f>Inputs!AH86*Data!$F11</f>
        <v>0</v>
      </c>
      <c r="AI74" s="137">
        <f>Inputs!AI86*Data!$F11</f>
        <v>0</v>
      </c>
      <c r="AJ74" s="137">
        <f>Inputs!AJ86*Data!$F11</f>
        <v>0</v>
      </c>
      <c r="AK74" s="137">
        <f>Inputs!AK86*Data!$F11</f>
        <v>0</v>
      </c>
      <c r="AL74" s="137">
        <f>Inputs!AL86*Data!$F11</f>
        <v>0</v>
      </c>
      <c r="AM74" s="137">
        <f>Inputs!AM86*Data!$F11</f>
        <v>0</v>
      </c>
      <c r="AN74" s="137">
        <f>Inputs!AN86*Data!$F11</f>
        <v>0</v>
      </c>
      <c r="AO74" s="137">
        <f>Inputs!AO86*Data!$F11</f>
        <v>0</v>
      </c>
      <c r="AP74" s="137">
        <f>Inputs!AP86*Data!$F11</f>
        <v>0</v>
      </c>
      <c r="AQ74" s="137">
        <f>Inputs!AQ86*Data!$F11</f>
        <v>0</v>
      </c>
      <c r="AR74" s="137">
        <f>Inputs!AR86*Data!$F11</f>
        <v>0</v>
      </c>
      <c r="AS74" s="137">
        <f>Inputs!AS86*Data!$F11</f>
        <v>0</v>
      </c>
      <c r="AT74" s="137">
        <f>Inputs!AT86*Data!$F11</f>
        <v>0</v>
      </c>
      <c r="AU74" s="137">
        <f>Inputs!AU86*Data!$F11</f>
        <v>0</v>
      </c>
      <c r="AV74" s="137">
        <f>Inputs!AV86*Data!$F11</f>
        <v>0</v>
      </c>
      <c r="AW74" s="137">
        <f>Inputs!AW86*Data!$F11</f>
        <v>0</v>
      </c>
      <c r="AX74" s="137">
        <f>Inputs!AX86*Data!$F11</f>
        <v>0</v>
      </c>
      <c r="AY74" s="137">
        <f>Inputs!AY86*Data!$F11</f>
        <v>0</v>
      </c>
      <c r="AZ74" s="137">
        <f>Inputs!AZ86*Data!$F11</f>
        <v>0</v>
      </c>
    </row>
    <row r="75" spans="1:52" ht="18.75" x14ac:dyDescent="0.3">
      <c r="A75" s="4"/>
      <c r="B75" s="18"/>
      <c r="C75" s="4"/>
      <c r="E75" s="163" t="str">
        <f>Inputs!D87</f>
        <v>Geothermal</v>
      </c>
      <c r="F75" s="163" t="s">
        <v>169</v>
      </c>
      <c r="G75" s="164">
        <f>Inputs!G87</f>
        <v>0</v>
      </c>
      <c r="H75" s="137">
        <f>Inputs!H87*Data!$F12</f>
        <v>0</v>
      </c>
      <c r="I75" s="137">
        <f>Inputs!I87*Data!$F12</f>
        <v>0</v>
      </c>
      <c r="J75" s="137">
        <f>Inputs!J87*Data!$F12</f>
        <v>0</v>
      </c>
      <c r="K75" s="137">
        <f>Inputs!K87*Data!$F12</f>
        <v>0</v>
      </c>
      <c r="L75" s="137">
        <f>Inputs!L87*Data!$F12</f>
        <v>0</v>
      </c>
      <c r="M75" s="137">
        <f>Inputs!M87*Data!$F12</f>
        <v>0</v>
      </c>
      <c r="N75" s="137">
        <f>Inputs!N87*Data!$F12</f>
        <v>0</v>
      </c>
      <c r="O75" s="137">
        <f>Inputs!O87*Data!$F12</f>
        <v>0</v>
      </c>
      <c r="P75" s="137">
        <f>Inputs!P87*Data!$F12</f>
        <v>0</v>
      </c>
      <c r="Q75" s="137">
        <f>Inputs!Q87*Data!$F12</f>
        <v>0</v>
      </c>
      <c r="R75" s="137">
        <f>Inputs!R87*Data!$F12</f>
        <v>0</v>
      </c>
      <c r="S75" s="137">
        <f>Inputs!S87*Data!$F12</f>
        <v>0</v>
      </c>
      <c r="T75" s="137">
        <f>Inputs!T87*Data!$F12</f>
        <v>0</v>
      </c>
      <c r="U75" s="137">
        <f>Inputs!U87*Data!$F12</f>
        <v>0</v>
      </c>
      <c r="V75" s="137">
        <f>Inputs!V87*Data!$F12</f>
        <v>0</v>
      </c>
      <c r="W75" s="137">
        <f>Inputs!W87*Data!$F12</f>
        <v>0</v>
      </c>
      <c r="X75" s="137">
        <f>Inputs!X87*Data!$F12</f>
        <v>0</v>
      </c>
      <c r="Y75" s="137">
        <f>Inputs!Y87*Data!$F12</f>
        <v>0</v>
      </c>
      <c r="Z75" s="137">
        <f>Inputs!Z87*Data!$F12</f>
        <v>0</v>
      </c>
      <c r="AA75" s="137">
        <f>Inputs!AA87*Data!$F12</f>
        <v>0</v>
      </c>
      <c r="AB75" s="137">
        <f>Inputs!AB87*Data!$F12</f>
        <v>0</v>
      </c>
      <c r="AC75" s="137">
        <f>Inputs!AC87*Data!$F12</f>
        <v>0</v>
      </c>
      <c r="AD75" s="137">
        <f>Inputs!AD87*Data!$F12</f>
        <v>0</v>
      </c>
      <c r="AE75" s="137">
        <f>Inputs!AE87*Data!$F12</f>
        <v>0</v>
      </c>
      <c r="AF75" s="137">
        <f>Inputs!AF87*Data!$F12</f>
        <v>0</v>
      </c>
      <c r="AG75" s="137">
        <f>Inputs!AG87*Data!$F12</f>
        <v>0</v>
      </c>
      <c r="AH75" s="137">
        <f>Inputs!AH87*Data!$F12</f>
        <v>0</v>
      </c>
      <c r="AI75" s="137">
        <f>Inputs!AI87*Data!$F12</f>
        <v>0</v>
      </c>
      <c r="AJ75" s="137">
        <f>Inputs!AJ87*Data!$F12</f>
        <v>0</v>
      </c>
      <c r="AK75" s="137">
        <f>Inputs!AK87*Data!$F12</f>
        <v>0</v>
      </c>
      <c r="AL75" s="137">
        <f>Inputs!AL87*Data!$F12</f>
        <v>0</v>
      </c>
      <c r="AM75" s="137">
        <f>Inputs!AM87*Data!$F12</f>
        <v>0</v>
      </c>
      <c r="AN75" s="137">
        <f>Inputs!AN87*Data!$F12</f>
        <v>0</v>
      </c>
      <c r="AO75" s="137">
        <f>Inputs!AO87*Data!$F12</f>
        <v>0</v>
      </c>
      <c r="AP75" s="137">
        <f>Inputs!AP87*Data!$F12</f>
        <v>0</v>
      </c>
      <c r="AQ75" s="137">
        <f>Inputs!AQ87*Data!$F12</f>
        <v>0</v>
      </c>
      <c r="AR75" s="137">
        <f>Inputs!AR87*Data!$F12</f>
        <v>0</v>
      </c>
      <c r="AS75" s="137">
        <f>Inputs!AS87*Data!$F12</f>
        <v>0</v>
      </c>
      <c r="AT75" s="137">
        <f>Inputs!AT87*Data!$F12</f>
        <v>0</v>
      </c>
      <c r="AU75" s="137">
        <f>Inputs!AU87*Data!$F12</f>
        <v>0</v>
      </c>
      <c r="AV75" s="137">
        <f>Inputs!AV87*Data!$F12</f>
        <v>0</v>
      </c>
      <c r="AW75" s="137">
        <f>Inputs!AW87*Data!$F12</f>
        <v>0</v>
      </c>
      <c r="AX75" s="137">
        <f>Inputs!AX87*Data!$F12</f>
        <v>0</v>
      </c>
      <c r="AY75" s="137">
        <f>Inputs!AY87*Data!$F12</f>
        <v>0</v>
      </c>
      <c r="AZ75" s="137">
        <f>Inputs!AZ87*Data!$F12</f>
        <v>0</v>
      </c>
    </row>
    <row r="76" spans="1:52" ht="18.75" x14ac:dyDescent="0.3">
      <c r="A76" s="4"/>
      <c r="B76" s="18"/>
      <c r="C76" s="4"/>
      <c r="E76" s="163" t="str">
        <f>Inputs!D88</f>
        <v>Wood or wood chips</v>
      </c>
      <c r="F76" s="163" t="s">
        <v>169</v>
      </c>
      <c r="G76" s="164">
        <f>Inputs!G88</f>
        <v>0</v>
      </c>
      <c r="H76" s="137">
        <f>Inputs!H88*Data!$F13</f>
        <v>0</v>
      </c>
      <c r="I76" s="137">
        <f>Inputs!I88*Data!$F13</f>
        <v>0</v>
      </c>
      <c r="J76" s="137">
        <f>Inputs!J88*Data!$F13</f>
        <v>0</v>
      </c>
      <c r="K76" s="137">
        <f>Inputs!K88*Data!$F13</f>
        <v>0</v>
      </c>
      <c r="L76" s="137">
        <f>Inputs!L88*Data!$F13</f>
        <v>0</v>
      </c>
      <c r="M76" s="137">
        <f>Inputs!M88*Data!$F13</f>
        <v>0</v>
      </c>
      <c r="N76" s="137">
        <f>Inputs!N88*Data!$F13</f>
        <v>0</v>
      </c>
      <c r="O76" s="137">
        <f>Inputs!O88*Data!$F13</f>
        <v>0</v>
      </c>
      <c r="P76" s="137">
        <f>Inputs!P88*Data!$F13</f>
        <v>0</v>
      </c>
      <c r="Q76" s="137">
        <f>Inputs!Q88*Data!$F13</f>
        <v>0</v>
      </c>
      <c r="R76" s="137">
        <f>Inputs!R88*Data!$F13</f>
        <v>0</v>
      </c>
      <c r="S76" s="137">
        <f>Inputs!S88*Data!$F13</f>
        <v>0</v>
      </c>
      <c r="T76" s="137">
        <f>Inputs!T88*Data!$F13</f>
        <v>0</v>
      </c>
      <c r="U76" s="137">
        <f>Inputs!U88*Data!$F13</f>
        <v>0</v>
      </c>
      <c r="V76" s="137">
        <f>Inputs!V88*Data!$F13</f>
        <v>0</v>
      </c>
      <c r="W76" s="137">
        <f>Inputs!W88*Data!$F13</f>
        <v>0</v>
      </c>
      <c r="X76" s="137">
        <f>Inputs!X88*Data!$F13</f>
        <v>0</v>
      </c>
      <c r="Y76" s="137">
        <f>Inputs!Y88*Data!$F13</f>
        <v>0</v>
      </c>
      <c r="Z76" s="137">
        <f>Inputs!Z88*Data!$F13</f>
        <v>0</v>
      </c>
      <c r="AA76" s="137">
        <f>Inputs!AA88*Data!$F13</f>
        <v>0</v>
      </c>
      <c r="AB76" s="137">
        <f>Inputs!AB88*Data!$F13</f>
        <v>0</v>
      </c>
      <c r="AC76" s="137">
        <f>Inputs!AC88*Data!$F13</f>
        <v>0</v>
      </c>
      <c r="AD76" s="137">
        <f>Inputs!AD88*Data!$F13</f>
        <v>0</v>
      </c>
      <c r="AE76" s="137">
        <f>Inputs!AE88*Data!$F13</f>
        <v>0</v>
      </c>
      <c r="AF76" s="137">
        <f>Inputs!AF88*Data!$F13</f>
        <v>0</v>
      </c>
      <c r="AG76" s="137">
        <f>Inputs!AG88*Data!$F13</f>
        <v>0</v>
      </c>
      <c r="AH76" s="137">
        <f>Inputs!AH88*Data!$F13</f>
        <v>0</v>
      </c>
      <c r="AI76" s="137">
        <f>Inputs!AI88*Data!$F13</f>
        <v>0</v>
      </c>
      <c r="AJ76" s="137">
        <f>Inputs!AJ88*Data!$F13</f>
        <v>0</v>
      </c>
      <c r="AK76" s="137">
        <f>Inputs!AK88*Data!$F13</f>
        <v>0</v>
      </c>
      <c r="AL76" s="137">
        <f>Inputs!AL88*Data!$F13</f>
        <v>0</v>
      </c>
      <c r="AM76" s="137">
        <f>Inputs!AM88*Data!$F13</f>
        <v>0</v>
      </c>
      <c r="AN76" s="137">
        <f>Inputs!AN88*Data!$F13</f>
        <v>0</v>
      </c>
      <c r="AO76" s="137">
        <f>Inputs!AO88*Data!$F13</f>
        <v>0</v>
      </c>
      <c r="AP76" s="137">
        <f>Inputs!AP88*Data!$F13</f>
        <v>0</v>
      </c>
      <c r="AQ76" s="137">
        <f>Inputs!AQ88*Data!$F13</f>
        <v>0</v>
      </c>
      <c r="AR76" s="137">
        <f>Inputs!AR88*Data!$F13</f>
        <v>0</v>
      </c>
      <c r="AS76" s="137">
        <f>Inputs!AS88*Data!$F13</f>
        <v>0</v>
      </c>
      <c r="AT76" s="137">
        <f>Inputs!AT88*Data!$F13</f>
        <v>0</v>
      </c>
      <c r="AU76" s="137">
        <f>Inputs!AU88*Data!$F13</f>
        <v>0</v>
      </c>
      <c r="AV76" s="137">
        <f>Inputs!AV88*Data!$F13</f>
        <v>0</v>
      </c>
      <c r="AW76" s="137">
        <f>Inputs!AW88*Data!$F13</f>
        <v>0</v>
      </c>
      <c r="AX76" s="137">
        <f>Inputs!AX88*Data!$F13</f>
        <v>0</v>
      </c>
      <c r="AY76" s="137">
        <f>Inputs!AY88*Data!$F13</f>
        <v>0</v>
      </c>
      <c r="AZ76" s="137">
        <f>Inputs!AZ88*Data!$F13</f>
        <v>0</v>
      </c>
    </row>
    <row r="77" spans="1:5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row>
    <row r="78" spans="1:52" x14ac:dyDescent="0.25">
      <c r="A78" s="3" t="s">
        <v>122</v>
      </c>
      <c r="B78" s="9"/>
      <c r="C78" s="9"/>
      <c r="D78" s="4"/>
      <c r="E78" s="4"/>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row>
    <row r="79" spans="1:52" ht="60" x14ac:dyDescent="0.25">
      <c r="A79" s="52" t="s">
        <v>50</v>
      </c>
      <c r="B79" s="111" t="s">
        <v>75</v>
      </c>
      <c r="C79" s="111" t="s">
        <v>76</v>
      </c>
      <c r="D79" s="61" t="s">
        <v>123</v>
      </c>
      <c r="E79" s="61" t="s">
        <v>48</v>
      </c>
      <c r="F79" s="61" t="s">
        <v>319</v>
      </c>
      <c r="G79" s="53" t="s">
        <v>52</v>
      </c>
      <c r="H79" s="62" t="s">
        <v>77</v>
      </c>
      <c r="I79" s="62" t="s">
        <v>78</v>
      </c>
      <c r="J79" s="62" t="s">
        <v>79</v>
      </c>
      <c r="K79" s="62" t="s">
        <v>80</v>
      </c>
      <c r="L79" s="62" t="s">
        <v>81</v>
      </c>
      <c r="M79" s="62" t="s">
        <v>82</v>
      </c>
      <c r="N79" s="62" t="s">
        <v>83</v>
      </c>
      <c r="O79" s="62" t="s">
        <v>84</v>
      </c>
      <c r="P79" s="62" t="s">
        <v>85</v>
      </c>
      <c r="Q79" s="62" t="s">
        <v>86</v>
      </c>
      <c r="R79" s="62" t="s">
        <v>87</v>
      </c>
      <c r="S79" s="62" t="s">
        <v>88</v>
      </c>
      <c r="T79" s="62" t="s">
        <v>89</v>
      </c>
      <c r="U79" s="62" t="s">
        <v>90</v>
      </c>
      <c r="V79" s="62" t="s">
        <v>91</v>
      </c>
      <c r="W79" s="62" t="s">
        <v>92</v>
      </c>
      <c r="X79" s="62" t="s">
        <v>93</v>
      </c>
      <c r="Y79" s="62" t="s">
        <v>94</v>
      </c>
      <c r="Z79" s="62" t="s">
        <v>95</v>
      </c>
      <c r="AA79" s="62" t="s">
        <v>96</v>
      </c>
      <c r="AB79" s="62" t="s">
        <v>97</v>
      </c>
      <c r="AC79" s="62" t="s">
        <v>98</v>
      </c>
      <c r="AD79" s="62" t="s">
        <v>99</v>
      </c>
      <c r="AE79" s="62" t="s">
        <v>100</v>
      </c>
      <c r="AF79" s="62" t="s">
        <v>101</v>
      </c>
      <c r="AG79" s="62" t="s">
        <v>102</v>
      </c>
      <c r="AH79" s="62" t="s">
        <v>103</v>
      </c>
      <c r="AI79" s="62" t="s">
        <v>104</v>
      </c>
      <c r="AJ79" s="62" t="s">
        <v>105</v>
      </c>
      <c r="AK79" s="62" t="s">
        <v>106</v>
      </c>
      <c r="AL79" s="62" t="s">
        <v>107</v>
      </c>
      <c r="AM79" s="62" t="s">
        <v>108</v>
      </c>
      <c r="AN79" s="62" t="s">
        <v>109</v>
      </c>
      <c r="AO79" s="62" t="s">
        <v>110</v>
      </c>
      <c r="AP79" s="62" t="s">
        <v>111</v>
      </c>
      <c r="AQ79" s="62" t="s">
        <v>112</v>
      </c>
      <c r="AR79" s="62" t="s">
        <v>113</v>
      </c>
      <c r="AS79" s="62" t="s">
        <v>114</v>
      </c>
      <c r="AT79" s="62" t="s">
        <v>115</v>
      </c>
      <c r="AU79" s="62" t="s">
        <v>116</v>
      </c>
      <c r="AV79" s="62" t="s">
        <v>117</v>
      </c>
      <c r="AW79" s="62" t="s">
        <v>118</v>
      </c>
      <c r="AX79" s="62" t="s">
        <v>119</v>
      </c>
      <c r="AY79" s="62" t="s">
        <v>120</v>
      </c>
      <c r="AZ79" s="62" t="s">
        <v>121</v>
      </c>
    </row>
    <row r="80" spans="1:52" x14ac:dyDescent="0.25">
      <c r="A80" s="25"/>
      <c r="B80" s="169" t="str">
        <f>Inputs!B92</f>
        <v>Electricity</v>
      </c>
      <c r="C80" s="169" t="s">
        <v>170</v>
      </c>
      <c r="D80" s="169" t="s">
        <v>26</v>
      </c>
      <c r="E80" s="169" t="s">
        <v>124</v>
      </c>
      <c r="F80" s="227">
        <f t="shared" ref="F80:F90" ca="1" si="5">Analysis_year</f>
        <v>2025</v>
      </c>
      <c r="G80" s="168">
        <f>Inputs!G92</f>
        <v>0</v>
      </c>
      <c r="H80" s="167">
        <f>Data!M22/Data!$F3</f>
        <v>45.410647129950021</v>
      </c>
      <c r="I80" s="167">
        <f>Data!N22/Data!$F3</f>
        <v>43.405725949072362</v>
      </c>
      <c r="J80" s="167">
        <f>Data!O22/Data!$F3</f>
        <v>40.70503808330961</v>
      </c>
      <c r="K80" s="167">
        <f>Data!P22/Data!$F3</f>
        <v>38.924092685876658</v>
      </c>
      <c r="L80" s="167">
        <f>Data!Q22/Data!$F3</f>
        <v>37.142659017672841</v>
      </c>
      <c r="M80" s="167">
        <f>Data!R22/Data!$F3</f>
        <v>35.36094106958118</v>
      </c>
      <c r="N80" s="167">
        <f>Data!S22/Data!$F3</f>
        <v>33.38524701309619</v>
      </c>
      <c r="O80" s="167">
        <f>Data!T22/Data!$F3</f>
        <v>31.680437665604451</v>
      </c>
      <c r="P80" s="167">
        <f>Data!U22/Data!$F3</f>
        <v>32.212969150514049</v>
      </c>
      <c r="Q80" s="167">
        <f>Data!V22/Data!$F3</f>
        <v>32.767968741798235</v>
      </c>
      <c r="R80" s="167">
        <f>Data!W22/Data!$F3</f>
        <v>32.762152348089678</v>
      </c>
      <c r="S80" s="167">
        <f>Data!X22/Data!$F3</f>
        <v>32.827949806429963</v>
      </c>
      <c r="T80" s="167">
        <f>Data!Y22/Data!$F3</f>
        <v>32.815986856529165</v>
      </c>
      <c r="U80" s="167">
        <f>Data!Z22/Data!$F3</f>
        <v>32.799868938645247</v>
      </c>
      <c r="V80" s="167">
        <f>Data!AA22/Data!$F3</f>
        <v>32.783816045876151</v>
      </c>
      <c r="W80" s="167">
        <f>Data!AB22/Data!$F3</f>
        <v>32.767711470042805</v>
      </c>
      <c r="X80" s="167">
        <f>Data!AC22/Data!$F3</f>
        <v>32.751611225713383</v>
      </c>
      <c r="Y80" s="167">
        <f>Data!AD22/Data!$F3</f>
        <v>32.735499308149926</v>
      </c>
      <c r="Z80" s="167">
        <f>Data!AE22/Data!$F3</f>
        <v>32.719370973997883</v>
      </c>
      <c r="AA80" s="167">
        <f>Data!AF22/Data!$F3</f>
        <v>32.703214304154599</v>
      </c>
      <c r="AB80" s="167">
        <f>Data!AG22/Data!$F3</f>
        <v>32.68706727784361</v>
      </c>
      <c r="AC80" s="167">
        <f>Data!AH22/Data!$F3</f>
        <v>32.670897236183784</v>
      </c>
      <c r="AD80" s="167">
        <f>Data!AI22/Data!$F3</f>
        <v>32.654742862703834</v>
      </c>
      <c r="AE80" s="167">
        <f>Data!AJ22/Data!$F3</f>
        <v>32.638585726105731</v>
      </c>
      <c r="AF80" s="167">
        <f>Data!AK22/Data!$F3</f>
        <v>32.622400125843384</v>
      </c>
      <c r="AG80" s="167">
        <f>Data!AL22/Data!$F3</f>
        <v>32.622400125843384</v>
      </c>
      <c r="AH80" s="167">
        <f>Data!AM22/Data!$F3</f>
        <v>32.622400125843384</v>
      </c>
      <c r="AI80" s="167">
        <f>Data!AN22/Data!$F3</f>
        <v>32.622400125843384</v>
      </c>
      <c r="AJ80" s="167">
        <f>Data!AO22/Data!$F3</f>
        <v>32.622400125843384</v>
      </c>
      <c r="AK80" s="167">
        <f>Data!AP22/Data!$F3</f>
        <v>32.622400125843384</v>
      </c>
      <c r="AL80" s="167">
        <f>Data!AQ22/Data!$F3</f>
        <v>32.622400125843384</v>
      </c>
      <c r="AM80" s="167">
        <f>Data!AR22/Data!$F3</f>
        <v>32.622400125843384</v>
      </c>
      <c r="AN80" s="167">
        <f>Data!AS22/Data!$F3</f>
        <v>32.622400125843384</v>
      </c>
      <c r="AO80" s="167">
        <f>Data!AT22/Data!$F3</f>
        <v>32.622400125843384</v>
      </c>
      <c r="AP80" s="167">
        <f>Data!AU22/Data!$F3</f>
        <v>32.622400125843384</v>
      </c>
      <c r="AQ80" s="167">
        <f>Data!AV22/Data!$F3</f>
        <v>32.622400125843384</v>
      </c>
      <c r="AR80" s="167">
        <f>Data!AW22/Data!$F3</f>
        <v>32.622400125843384</v>
      </c>
      <c r="AS80" s="167">
        <f>Data!AX22/Data!$F3</f>
        <v>32.622400125843384</v>
      </c>
      <c r="AT80" s="167">
        <f>Data!AY22/Data!$F3</f>
        <v>32.622400125843384</v>
      </c>
      <c r="AU80" s="167">
        <f>Data!AZ22/Data!$F3</f>
        <v>32.622400125843384</v>
      </c>
      <c r="AV80" s="167">
        <f>Data!BA22/Data!$F3</f>
        <v>32.622400125843384</v>
      </c>
      <c r="AW80" s="167">
        <f>Data!BB22/Data!$F3</f>
        <v>32.622400125843384</v>
      </c>
      <c r="AX80" s="167">
        <f>Data!BC22/Data!$F3</f>
        <v>32.622400125843384</v>
      </c>
      <c r="AY80" s="167">
        <f>Data!BD22/Data!$F3</f>
        <v>32.622400125843384</v>
      </c>
      <c r="AZ80" s="167">
        <f>Data!BE22/Data!$F3</f>
        <v>32.622400125843384</v>
      </c>
    </row>
    <row r="81" spans="1:52" x14ac:dyDescent="0.25">
      <c r="A81" s="25"/>
      <c r="B81" s="169" t="str">
        <f>Inputs!B93</f>
        <v>Natural Gas</v>
      </c>
      <c r="C81" s="169" t="s">
        <v>170</v>
      </c>
      <c r="D81" s="169" t="s">
        <v>26</v>
      </c>
      <c r="E81" s="169" t="s">
        <v>124</v>
      </c>
      <c r="F81" s="227">
        <f t="shared" ca="1" si="5"/>
        <v>2025</v>
      </c>
      <c r="G81" s="168">
        <f>Inputs!G93</f>
        <v>0</v>
      </c>
      <c r="H81" s="167">
        <f>Inputs!H93*IF(Inputs!$E93="Real",1,H$5)/Data!$F4</f>
        <v>10</v>
      </c>
      <c r="I81" s="167">
        <f>Inputs!I93*IF(Inputs!$E93="Real",1,I$5)/Data!$F4</f>
        <v>10</v>
      </c>
      <c r="J81" s="167">
        <f>Inputs!J93*IF(Inputs!$E93="Real",1,J$5)/Data!$F4</f>
        <v>10</v>
      </c>
      <c r="K81" s="167">
        <f>Inputs!K93*IF(Inputs!$E93="Real",1,K$5)/Data!$F4</f>
        <v>10</v>
      </c>
      <c r="L81" s="167">
        <f>Inputs!L93*IF(Inputs!$E93="Real",1,L$5)/Data!$F4</f>
        <v>10</v>
      </c>
      <c r="M81" s="167">
        <f>Inputs!M93*IF(Inputs!$E93="Real",1,M$5)/Data!$F4</f>
        <v>10</v>
      </c>
      <c r="N81" s="167">
        <f>Inputs!N93*IF(Inputs!$E93="Real",1,N$5)/Data!$F4</f>
        <v>10</v>
      </c>
      <c r="O81" s="167">
        <f>Inputs!O93*IF(Inputs!$E93="Real",1,O$5)/Data!$F4</f>
        <v>10</v>
      </c>
      <c r="P81" s="167">
        <f>Inputs!P93*IF(Inputs!$E93="Real",1,P$5)/Data!$F4</f>
        <v>10</v>
      </c>
      <c r="Q81" s="167">
        <f>Inputs!Q93*IF(Inputs!$E93="Real",1,Q$5)/Data!$F4</f>
        <v>10</v>
      </c>
      <c r="R81" s="167">
        <f>Inputs!R93*IF(Inputs!$E93="Real",1,R$5)/Data!$F4</f>
        <v>10</v>
      </c>
      <c r="S81" s="167">
        <f>Inputs!S93*IF(Inputs!$E93="Real",1,S$5)/Data!$F4</f>
        <v>10</v>
      </c>
      <c r="T81" s="167">
        <f>Inputs!T93*IF(Inputs!$E93="Real",1,T$5)/Data!$F4</f>
        <v>10</v>
      </c>
      <c r="U81" s="167">
        <f>Inputs!U93*IF(Inputs!$E93="Real",1,U$5)/Data!$F4</f>
        <v>10</v>
      </c>
      <c r="V81" s="167">
        <f>Inputs!V93*IF(Inputs!$E93="Real",1,V$5)/Data!$F4</f>
        <v>10</v>
      </c>
      <c r="W81" s="167">
        <f>Inputs!W93*IF(Inputs!$E93="Real",1,W$5)/Data!$F4</f>
        <v>10</v>
      </c>
      <c r="X81" s="167">
        <f>Inputs!X93*IF(Inputs!$E93="Real",1,X$5)/Data!$F4</f>
        <v>10</v>
      </c>
      <c r="Y81" s="167">
        <f>Inputs!Y93*IF(Inputs!$E93="Real",1,Y$5)/Data!$F4</f>
        <v>10</v>
      </c>
      <c r="Z81" s="167">
        <f>Inputs!Z93*IF(Inputs!$E93="Real",1,Z$5)/Data!$F4</f>
        <v>10</v>
      </c>
      <c r="AA81" s="167">
        <f>Inputs!AA93*IF(Inputs!$E93="Real",1,AA$5)/Data!$F4</f>
        <v>10</v>
      </c>
      <c r="AB81" s="167">
        <f>Inputs!AB93*IF(Inputs!$E93="Real",1,AB$5)/Data!$F4</f>
        <v>10</v>
      </c>
      <c r="AC81" s="167">
        <f>Inputs!AC93*IF(Inputs!$E93="Real",1,AC$5)/Data!$F4</f>
        <v>10</v>
      </c>
      <c r="AD81" s="167">
        <f>Inputs!AD93*IF(Inputs!$E93="Real",1,AD$5)/Data!$F4</f>
        <v>0</v>
      </c>
      <c r="AE81" s="167">
        <f>Inputs!AE93*IF(Inputs!$E93="Real",1,AE$5)/Data!$F4</f>
        <v>0</v>
      </c>
      <c r="AF81" s="167">
        <f>Inputs!AF93*IF(Inputs!$E93="Real",1,AF$5)/Data!$F4</f>
        <v>0</v>
      </c>
      <c r="AG81" s="167">
        <f>Inputs!AG93*IF(Inputs!$E93="Real",1,AG$5)/Data!$F4</f>
        <v>0</v>
      </c>
      <c r="AH81" s="167">
        <f>Inputs!AH93*IF(Inputs!$E93="Real",1,AH$5)/Data!$F4</f>
        <v>0</v>
      </c>
      <c r="AI81" s="167">
        <f>Inputs!AI93*IF(Inputs!$E93="Real",1,AI$5)/Data!$F4</f>
        <v>0</v>
      </c>
      <c r="AJ81" s="167">
        <f>Inputs!AJ93*IF(Inputs!$E93="Real",1,AJ$5)/Data!$F4</f>
        <v>0</v>
      </c>
      <c r="AK81" s="167">
        <f>Inputs!AK93*IF(Inputs!$E93="Real",1,AK$5)/Data!$F4</f>
        <v>0</v>
      </c>
      <c r="AL81" s="167">
        <f>Inputs!AL93*IF(Inputs!$E93="Real",1,AL$5)/Data!$F4</f>
        <v>0</v>
      </c>
      <c r="AM81" s="167">
        <f>Inputs!AM93*IF(Inputs!$E93="Real",1,AM$5)/Data!$F4</f>
        <v>0</v>
      </c>
      <c r="AN81" s="167">
        <f>Inputs!AN93*IF(Inputs!$E93="Real",1,AN$5)/Data!$F4</f>
        <v>0</v>
      </c>
      <c r="AO81" s="167">
        <f>Inputs!AO93*IF(Inputs!$E93="Real",1,AO$5)/Data!$F4</f>
        <v>0</v>
      </c>
      <c r="AP81" s="167">
        <f>Inputs!AP93*IF(Inputs!$E93="Real",1,AP$5)/Data!$F4</f>
        <v>0</v>
      </c>
      <c r="AQ81" s="167">
        <f>Inputs!AQ93*IF(Inputs!$E93="Real",1,AQ$5)/Data!$F4</f>
        <v>0</v>
      </c>
      <c r="AR81" s="167">
        <f>Inputs!AR93*IF(Inputs!$E93="Real",1,AR$5)/Data!$F4</f>
        <v>0</v>
      </c>
      <c r="AS81" s="167">
        <f>Inputs!AS93*IF(Inputs!$E93="Real",1,AS$5)/Data!$F4</f>
        <v>0</v>
      </c>
      <c r="AT81" s="167">
        <f>Inputs!AT93*IF(Inputs!$E93="Real",1,AT$5)/Data!$F4</f>
        <v>0</v>
      </c>
      <c r="AU81" s="167">
        <f>Inputs!AU93*IF(Inputs!$E93="Real",1,AU$5)/Data!$F4</f>
        <v>0</v>
      </c>
      <c r="AV81" s="167">
        <f>Inputs!AV93*IF(Inputs!$E93="Real",1,AV$5)/Data!$F4</f>
        <v>0</v>
      </c>
      <c r="AW81" s="167">
        <f>Inputs!AW93*IF(Inputs!$E93="Real",1,AW$5)/Data!$F4</f>
        <v>0</v>
      </c>
      <c r="AX81" s="167">
        <f>Inputs!AX93*IF(Inputs!$E93="Real",1,AX$5)/Data!$F4</f>
        <v>0</v>
      </c>
      <c r="AY81" s="167">
        <f>Inputs!AY93*IF(Inputs!$E93="Real",1,AY$5)/Data!$F4</f>
        <v>0</v>
      </c>
      <c r="AZ81" s="167">
        <f>Inputs!AZ93*IF(Inputs!$E93="Real",1,AZ$5)/Data!$F4</f>
        <v>0</v>
      </c>
    </row>
    <row r="82" spans="1:52" x14ac:dyDescent="0.25">
      <c r="A82" s="25"/>
      <c r="B82" s="169" t="str">
        <f>Inputs!B94</f>
        <v>Coal - sub bituminous</v>
      </c>
      <c r="C82" s="169" t="s">
        <v>170</v>
      </c>
      <c r="D82" s="169" t="s">
        <v>26</v>
      </c>
      <c r="E82" s="169" t="s">
        <v>124</v>
      </c>
      <c r="F82" s="227">
        <f t="shared" ca="1" si="5"/>
        <v>2025</v>
      </c>
      <c r="G82" s="168">
        <f>Inputs!G94</f>
        <v>0</v>
      </c>
      <c r="H82" s="167">
        <f>Inputs!H94*IF(Inputs!$E94="Real",1,H$5)/Data!$F5</f>
        <v>6.8181818181818183</v>
      </c>
      <c r="I82" s="167">
        <f>Inputs!I94*IF(Inputs!$E94="Real",1,I$5)/Data!$F5</f>
        <v>6.8181818181818183</v>
      </c>
      <c r="J82" s="167">
        <f>Inputs!J94*IF(Inputs!$E94="Real",1,J$5)/Data!$F5</f>
        <v>6.8181818181818183</v>
      </c>
      <c r="K82" s="167">
        <f>Inputs!K94*IF(Inputs!$E94="Real",1,K$5)/Data!$F5</f>
        <v>6.8181818181818183</v>
      </c>
      <c r="L82" s="167">
        <f>Inputs!L94*IF(Inputs!$E94="Real",1,L$5)/Data!$F5</f>
        <v>6.8181818181818183</v>
      </c>
      <c r="M82" s="167">
        <f>Inputs!M94*IF(Inputs!$E94="Real",1,M$5)/Data!$F5</f>
        <v>6.8181818181818183</v>
      </c>
      <c r="N82" s="167">
        <f>Inputs!N94*IF(Inputs!$E94="Real",1,N$5)/Data!$F5</f>
        <v>6.8181818181818183</v>
      </c>
      <c r="O82" s="167">
        <f>Inputs!O94*IF(Inputs!$E94="Real",1,O$5)/Data!$F5</f>
        <v>6.8181818181818183</v>
      </c>
      <c r="P82" s="167">
        <f>Inputs!P94*IF(Inputs!$E94="Real",1,P$5)/Data!$F5</f>
        <v>6.8181818181818183</v>
      </c>
      <c r="Q82" s="167">
        <f>Inputs!Q94*IF(Inputs!$E94="Real",1,Q$5)/Data!$F5</f>
        <v>6.8181818181818183</v>
      </c>
      <c r="R82" s="167">
        <f>Inputs!R94*IF(Inputs!$E94="Real",1,R$5)/Data!$F5</f>
        <v>6.8181818181818183</v>
      </c>
      <c r="S82" s="167">
        <f>Inputs!S94*IF(Inputs!$E94="Real",1,S$5)/Data!$F5</f>
        <v>6.8181818181818183</v>
      </c>
      <c r="T82" s="167">
        <f>Inputs!T94*IF(Inputs!$E94="Real",1,T$5)/Data!$F5</f>
        <v>6.8181818181818183</v>
      </c>
      <c r="U82" s="167">
        <f>Inputs!U94*IF(Inputs!$E94="Real",1,U$5)/Data!$F5</f>
        <v>6.8181818181818183</v>
      </c>
      <c r="V82" s="167">
        <f>Inputs!V94*IF(Inputs!$E94="Real",1,V$5)/Data!$F5</f>
        <v>6.8181818181818183</v>
      </c>
      <c r="W82" s="167">
        <f>Inputs!W94*IF(Inputs!$E94="Real",1,W$5)/Data!$F5</f>
        <v>6.8181818181818183</v>
      </c>
      <c r="X82" s="167">
        <f>Inputs!X94*IF(Inputs!$E94="Real",1,X$5)/Data!$F5</f>
        <v>6.8181818181818183</v>
      </c>
      <c r="Y82" s="167">
        <f>Inputs!Y94*IF(Inputs!$E94="Real",1,Y$5)/Data!$F5</f>
        <v>6.8181818181818183</v>
      </c>
      <c r="Z82" s="167">
        <f>Inputs!Z94*IF(Inputs!$E94="Real",1,Z$5)/Data!$F5</f>
        <v>6.8181818181818183</v>
      </c>
      <c r="AA82" s="167">
        <f>Inputs!AA94*IF(Inputs!$E94="Real",1,AA$5)/Data!$F5</f>
        <v>6.8181818181818183</v>
      </c>
      <c r="AB82" s="167">
        <f>Inputs!AB94*IF(Inputs!$E94="Real",1,AB$5)/Data!$F5</f>
        <v>6.8181818181818183</v>
      </c>
      <c r="AC82" s="167">
        <f>Inputs!AC94*IF(Inputs!$E94="Real",1,AC$5)/Data!$F5</f>
        <v>6.8181818181818183</v>
      </c>
      <c r="AD82" s="167">
        <f>Inputs!AD94*IF(Inputs!$E94="Real",1,AD$5)/Data!$F5</f>
        <v>0</v>
      </c>
      <c r="AE82" s="167">
        <f>Inputs!AE94*IF(Inputs!$E94="Real",1,AE$5)/Data!$F5</f>
        <v>0</v>
      </c>
      <c r="AF82" s="167">
        <f>Inputs!AF94*IF(Inputs!$E94="Real",1,AF$5)/Data!$F5</f>
        <v>0</v>
      </c>
      <c r="AG82" s="167">
        <f>Inputs!AG94*IF(Inputs!$E94="Real",1,AG$5)/Data!$F5</f>
        <v>0</v>
      </c>
      <c r="AH82" s="167">
        <f>Inputs!AH94*IF(Inputs!$E94="Real",1,AH$5)/Data!$F5</f>
        <v>0</v>
      </c>
      <c r="AI82" s="167">
        <f>Inputs!AI94*IF(Inputs!$E94="Real",1,AI$5)/Data!$F5</f>
        <v>0</v>
      </c>
      <c r="AJ82" s="167">
        <f>Inputs!AJ94*IF(Inputs!$E94="Real",1,AJ$5)/Data!$F5</f>
        <v>0</v>
      </c>
      <c r="AK82" s="167">
        <f>Inputs!AK94*IF(Inputs!$E94="Real",1,AK$5)/Data!$F5</f>
        <v>0</v>
      </c>
      <c r="AL82" s="167">
        <f>Inputs!AL94*IF(Inputs!$E94="Real",1,AL$5)/Data!$F5</f>
        <v>0</v>
      </c>
      <c r="AM82" s="167">
        <f>Inputs!AM94*IF(Inputs!$E94="Real",1,AM$5)/Data!$F5</f>
        <v>0</v>
      </c>
      <c r="AN82" s="167">
        <f>Inputs!AN94*IF(Inputs!$E94="Real",1,AN$5)/Data!$F5</f>
        <v>0</v>
      </c>
      <c r="AO82" s="167">
        <f>Inputs!AO94*IF(Inputs!$E94="Real",1,AO$5)/Data!$F5</f>
        <v>0</v>
      </c>
      <c r="AP82" s="167">
        <f>Inputs!AP94*IF(Inputs!$E94="Real",1,AP$5)/Data!$F5</f>
        <v>0</v>
      </c>
      <c r="AQ82" s="167">
        <f>Inputs!AQ94*IF(Inputs!$E94="Real",1,AQ$5)/Data!$F5</f>
        <v>0</v>
      </c>
      <c r="AR82" s="167">
        <f>Inputs!AR94*IF(Inputs!$E94="Real",1,AR$5)/Data!$F5</f>
        <v>0</v>
      </c>
      <c r="AS82" s="167">
        <f>Inputs!AS94*IF(Inputs!$E94="Real",1,AS$5)/Data!$F5</f>
        <v>0</v>
      </c>
      <c r="AT82" s="167">
        <f>Inputs!AT94*IF(Inputs!$E94="Real",1,AT$5)/Data!$F5</f>
        <v>0</v>
      </c>
      <c r="AU82" s="167">
        <f>Inputs!AU94*IF(Inputs!$E94="Real",1,AU$5)/Data!$F5</f>
        <v>0</v>
      </c>
      <c r="AV82" s="167">
        <f>Inputs!AV94*IF(Inputs!$E94="Real",1,AV$5)/Data!$F5</f>
        <v>0</v>
      </c>
      <c r="AW82" s="167">
        <f>Inputs!AW94*IF(Inputs!$E94="Real",1,AW$5)/Data!$F5</f>
        <v>0</v>
      </c>
      <c r="AX82" s="167">
        <f>Inputs!AX94*IF(Inputs!$E94="Real",1,AX$5)/Data!$F5</f>
        <v>0</v>
      </c>
      <c r="AY82" s="167">
        <f>Inputs!AY94*IF(Inputs!$E94="Real",1,AY$5)/Data!$F5</f>
        <v>0</v>
      </c>
      <c r="AZ82" s="167">
        <f>Inputs!AZ94*IF(Inputs!$E94="Real",1,AZ$5)/Data!$F5</f>
        <v>0</v>
      </c>
    </row>
    <row r="83" spans="1:52" x14ac:dyDescent="0.25">
      <c r="A83" s="25"/>
      <c r="B83" s="169" t="str">
        <f>Inputs!B95</f>
        <v>Coal - bituminous</v>
      </c>
      <c r="C83" s="169" t="s">
        <v>170</v>
      </c>
      <c r="D83" s="169" t="s">
        <v>26</v>
      </c>
      <c r="E83" s="169" t="s">
        <v>124</v>
      </c>
      <c r="F83" s="227">
        <f t="shared" ca="1" si="5"/>
        <v>2025</v>
      </c>
      <c r="G83" s="168">
        <f>Inputs!G95</f>
        <v>0</v>
      </c>
      <c r="H83" s="167">
        <f>Inputs!H95*IF(Inputs!$E95="Real",1,H$5)/Data!$F6</f>
        <v>0</v>
      </c>
      <c r="I83" s="167">
        <f>Inputs!I95*IF(Inputs!$E95="Real",1,I$5)/Data!$F6</f>
        <v>0</v>
      </c>
      <c r="J83" s="167">
        <f>Inputs!J95*IF(Inputs!$E95="Real",1,J$5)/Data!$F6</f>
        <v>0</v>
      </c>
      <c r="K83" s="167">
        <f>Inputs!K95*IF(Inputs!$E95="Real",1,K$5)/Data!$F6</f>
        <v>0</v>
      </c>
      <c r="L83" s="167">
        <f>Inputs!L95*IF(Inputs!$E95="Real",1,L$5)/Data!$F6</f>
        <v>0</v>
      </c>
      <c r="M83" s="167">
        <f>Inputs!M95*IF(Inputs!$E95="Real",1,M$5)/Data!$F6</f>
        <v>0</v>
      </c>
      <c r="N83" s="167">
        <f>Inputs!N95*IF(Inputs!$E95="Real",1,N$5)/Data!$F6</f>
        <v>0</v>
      </c>
      <c r="O83" s="167">
        <f>Inputs!O95*IF(Inputs!$E95="Real",1,O$5)/Data!$F6</f>
        <v>0</v>
      </c>
      <c r="P83" s="167">
        <f>Inputs!P95*IF(Inputs!$E95="Real",1,P$5)/Data!$F6</f>
        <v>0</v>
      </c>
      <c r="Q83" s="167">
        <f>Inputs!Q95*IF(Inputs!$E95="Real",1,Q$5)/Data!$F6</f>
        <v>0</v>
      </c>
      <c r="R83" s="167">
        <f>Inputs!R95*IF(Inputs!$E95="Real",1,R$5)/Data!$F6</f>
        <v>0</v>
      </c>
      <c r="S83" s="167">
        <f>Inputs!S95*IF(Inputs!$E95="Real",1,S$5)/Data!$F6</f>
        <v>0</v>
      </c>
      <c r="T83" s="167">
        <f>Inputs!T95*IF(Inputs!$E95="Real",1,T$5)/Data!$F6</f>
        <v>0</v>
      </c>
      <c r="U83" s="167">
        <f>Inputs!U95*IF(Inputs!$E95="Real",1,U$5)/Data!$F6</f>
        <v>0</v>
      </c>
      <c r="V83" s="167">
        <f>Inputs!V95*IF(Inputs!$E95="Real",1,V$5)/Data!$F6</f>
        <v>0</v>
      </c>
      <c r="W83" s="167">
        <f>Inputs!W95*IF(Inputs!$E95="Real",1,W$5)/Data!$F6</f>
        <v>0</v>
      </c>
      <c r="X83" s="167">
        <f>Inputs!X95*IF(Inputs!$E95="Real",1,X$5)/Data!$F6</f>
        <v>0</v>
      </c>
      <c r="Y83" s="167">
        <f>Inputs!Y95*IF(Inputs!$E95="Real",1,Y$5)/Data!$F6</f>
        <v>0</v>
      </c>
      <c r="Z83" s="167">
        <f>Inputs!Z95*IF(Inputs!$E95="Real",1,Z$5)/Data!$F6</f>
        <v>0</v>
      </c>
      <c r="AA83" s="167">
        <f>Inputs!AA95*IF(Inputs!$E95="Real",1,AA$5)/Data!$F6</f>
        <v>0</v>
      </c>
      <c r="AB83" s="167">
        <f>Inputs!AB95*IF(Inputs!$E95="Real",1,AB$5)/Data!$F6</f>
        <v>0</v>
      </c>
      <c r="AC83" s="167">
        <f>Inputs!AC95*IF(Inputs!$E95="Real",1,AC$5)/Data!$F6</f>
        <v>0</v>
      </c>
      <c r="AD83" s="167">
        <f>Inputs!AD95*IF(Inputs!$E95="Real",1,AD$5)/Data!$F6</f>
        <v>0</v>
      </c>
      <c r="AE83" s="167">
        <f>Inputs!AE95*IF(Inputs!$E95="Real",1,AE$5)/Data!$F6</f>
        <v>0</v>
      </c>
      <c r="AF83" s="167">
        <f>Inputs!AF95*IF(Inputs!$E95="Real",1,AF$5)/Data!$F6</f>
        <v>0</v>
      </c>
      <c r="AG83" s="167">
        <f>Inputs!AG95*IF(Inputs!$E95="Real",1,AG$5)/Data!$F6</f>
        <v>0</v>
      </c>
      <c r="AH83" s="167">
        <f>Inputs!AH95*IF(Inputs!$E95="Real",1,AH$5)/Data!$F6</f>
        <v>0</v>
      </c>
      <c r="AI83" s="167">
        <f>Inputs!AI95*IF(Inputs!$E95="Real",1,AI$5)/Data!$F6</f>
        <v>0</v>
      </c>
      <c r="AJ83" s="167">
        <f>Inputs!AJ95*IF(Inputs!$E95="Real",1,AJ$5)/Data!$F6</f>
        <v>0</v>
      </c>
      <c r="AK83" s="167">
        <f>Inputs!AK95*IF(Inputs!$E95="Real",1,AK$5)/Data!$F6</f>
        <v>0</v>
      </c>
      <c r="AL83" s="167">
        <f>Inputs!AL95*IF(Inputs!$E95="Real",1,AL$5)/Data!$F6</f>
        <v>0</v>
      </c>
      <c r="AM83" s="167">
        <f>Inputs!AM95*IF(Inputs!$E95="Real",1,AM$5)/Data!$F6</f>
        <v>0</v>
      </c>
      <c r="AN83" s="167">
        <f>Inputs!AN95*IF(Inputs!$E95="Real",1,AN$5)/Data!$F6</f>
        <v>0</v>
      </c>
      <c r="AO83" s="167">
        <f>Inputs!AO95*IF(Inputs!$E95="Real",1,AO$5)/Data!$F6</f>
        <v>0</v>
      </c>
      <c r="AP83" s="167">
        <f>Inputs!AP95*IF(Inputs!$E95="Real",1,AP$5)/Data!$F6</f>
        <v>0</v>
      </c>
      <c r="AQ83" s="167">
        <f>Inputs!AQ95*IF(Inputs!$E95="Real",1,AQ$5)/Data!$F6</f>
        <v>0</v>
      </c>
      <c r="AR83" s="167">
        <f>Inputs!AR95*IF(Inputs!$E95="Real",1,AR$5)/Data!$F6</f>
        <v>0</v>
      </c>
      <c r="AS83" s="167">
        <f>Inputs!AS95*IF(Inputs!$E95="Real",1,AS$5)/Data!$F6</f>
        <v>0</v>
      </c>
      <c r="AT83" s="167">
        <f>Inputs!AT95*IF(Inputs!$E95="Real",1,AT$5)/Data!$F6</f>
        <v>0</v>
      </c>
      <c r="AU83" s="167">
        <f>Inputs!AU95*IF(Inputs!$E95="Real",1,AU$5)/Data!$F6</f>
        <v>0</v>
      </c>
      <c r="AV83" s="167">
        <f>Inputs!AV95*IF(Inputs!$E95="Real",1,AV$5)/Data!$F6</f>
        <v>0</v>
      </c>
      <c r="AW83" s="167">
        <f>Inputs!AW95*IF(Inputs!$E95="Real",1,AW$5)/Data!$F6</f>
        <v>0</v>
      </c>
      <c r="AX83" s="167">
        <f>Inputs!AX95*IF(Inputs!$E95="Real",1,AX$5)/Data!$F6</f>
        <v>0</v>
      </c>
      <c r="AY83" s="167">
        <f>Inputs!AY95*IF(Inputs!$E95="Real",1,AY$5)/Data!$F6</f>
        <v>0</v>
      </c>
      <c r="AZ83" s="167">
        <f>Inputs!AZ95*IF(Inputs!$E95="Real",1,AZ$5)/Data!$F6</f>
        <v>0</v>
      </c>
    </row>
    <row r="84" spans="1:52" x14ac:dyDescent="0.25">
      <c r="A84" s="25"/>
      <c r="B84" s="169" t="str">
        <f>Inputs!B96</f>
        <v>Coal - lignite</v>
      </c>
      <c r="C84" s="169" t="s">
        <v>170</v>
      </c>
      <c r="D84" s="169" t="s">
        <v>26</v>
      </c>
      <c r="E84" s="169" t="s">
        <v>124</v>
      </c>
      <c r="F84" s="227">
        <f t="shared" ca="1" si="5"/>
        <v>2025</v>
      </c>
      <c r="G84" s="168">
        <f>Inputs!G96</f>
        <v>0</v>
      </c>
      <c r="H84" s="167">
        <f>Inputs!H96*IF(Inputs!$E96="Real",1,H$5)/Data!$F7</f>
        <v>0</v>
      </c>
      <c r="I84" s="167">
        <f>Inputs!I96*IF(Inputs!$E96="Real",1,I$5)/Data!$F7</f>
        <v>0</v>
      </c>
      <c r="J84" s="167">
        <f>Inputs!J96*IF(Inputs!$E96="Real",1,J$5)/Data!$F7</f>
        <v>0</v>
      </c>
      <c r="K84" s="167">
        <f>Inputs!K96*IF(Inputs!$E96="Real",1,K$5)/Data!$F7</f>
        <v>0</v>
      </c>
      <c r="L84" s="167">
        <f>Inputs!L96*IF(Inputs!$E96="Real",1,L$5)/Data!$F7</f>
        <v>0</v>
      </c>
      <c r="M84" s="167">
        <f>Inputs!M96*IF(Inputs!$E96="Real",1,M$5)/Data!$F7</f>
        <v>0</v>
      </c>
      <c r="N84" s="167">
        <f>Inputs!N96*IF(Inputs!$E96="Real",1,N$5)/Data!$F7</f>
        <v>0</v>
      </c>
      <c r="O84" s="167">
        <f>Inputs!O96*IF(Inputs!$E96="Real",1,O$5)/Data!$F7</f>
        <v>0</v>
      </c>
      <c r="P84" s="167">
        <f>Inputs!P96*IF(Inputs!$E96="Real",1,P$5)/Data!$F7</f>
        <v>0</v>
      </c>
      <c r="Q84" s="167">
        <f>Inputs!Q96*IF(Inputs!$E96="Real",1,Q$5)/Data!$F7</f>
        <v>0</v>
      </c>
      <c r="R84" s="167">
        <f>Inputs!R96*IF(Inputs!$E96="Real",1,R$5)/Data!$F7</f>
        <v>0</v>
      </c>
      <c r="S84" s="167">
        <f>Inputs!S96*IF(Inputs!$E96="Real",1,S$5)/Data!$F7</f>
        <v>0</v>
      </c>
      <c r="T84" s="167">
        <f>Inputs!T96*IF(Inputs!$E96="Real",1,T$5)/Data!$F7</f>
        <v>0</v>
      </c>
      <c r="U84" s="167">
        <f>Inputs!U96*IF(Inputs!$E96="Real",1,U$5)/Data!$F7</f>
        <v>0</v>
      </c>
      <c r="V84" s="167">
        <f>Inputs!V96*IF(Inputs!$E96="Real",1,V$5)/Data!$F7</f>
        <v>0</v>
      </c>
      <c r="W84" s="167">
        <f>Inputs!W96*IF(Inputs!$E96="Real",1,W$5)/Data!$F7</f>
        <v>0</v>
      </c>
      <c r="X84" s="167">
        <f>Inputs!X96*IF(Inputs!$E96="Real",1,X$5)/Data!$F7</f>
        <v>0</v>
      </c>
      <c r="Y84" s="167">
        <f>Inputs!Y96*IF(Inputs!$E96="Real",1,Y$5)/Data!$F7</f>
        <v>0</v>
      </c>
      <c r="Z84" s="167">
        <f>Inputs!Z96*IF(Inputs!$E96="Real",1,Z$5)/Data!$F7</f>
        <v>0</v>
      </c>
      <c r="AA84" s="167">
        <f>Inputs!AA96*IF(Inputs!$E96="Real",1,AA$5)/Data!$F7</f>
        <v>0</v>
      </c>
      <c r="AB84" s="167">
        <f>Inputs!AB96*IF(Inputs!$E96="Real",1,AB$5)/Data!$F7</f>
        <v>0</v>
      </c>
      <c r="AC84" s="167">
        <f>Inputs!AC96*IF(Inputs!$E96="Real",1,AC$5)/Data!$F7</f>
        <v>0</v>
      </c>
      <c r="AD84" s="167">
        <f>Inputs!AD96*IF(Inputs!$E96="Real",1,AD$5)/Data!$F7</f>
        <v>0</v>
      </c>
      <c r="AE84" s="167">
        <f>Inputs!AE96*IF(Inputs!$E96="Real",1,AE$5)/Data!$F7</f>
        <v>0</v>
      </c>
      <c r="AF84" s="167">
        <f>Inputs!AF96*IF(Inputs!$E96="Real",1,AF$5)/Data!$F7</f>
        <v>0</v>
      </c>
      <c r="AG84" s="167">
        <f>Inputs!AG96*IF(Inputs!$E96="Real",1,AG$5)/Data!$F7</f>
        <v>0</v>
      </c>
      <c r="AH84" s="167">
        <f>Inputs!AH96*IF(Inputs!$E96="Real",1,AH$5)/Data!$F7</f>
        <v>0</v>
      </c>
      <c r="AI84" s="167">
        <f>Inputs!AI96*IF(Inputs!$E96="Real",1,AI$5)/Data!$F7</f>
        <v>0</v>
      </c>
      <c r="AJ84" s="167">
        <f>Inputs!AJ96*IF(Inputs!$E96="Real",1,AJ$5)/Data!$F7</f>
        <v>0</v>
      </c>
      <c r="AK84" s="167">
        <f>Inputs!AK96*IF(Inputs!$E96="Real",1,AK$5)/Data!$F7</f>
        <v>0</v>
      </c>
      <c r="AL84" s="167">
        <f>Inputs!AL96*IF(Inputs!$E96="Real",1,AL$5)/Data!$F7</f>
        <v>0</v>
      </c>
      <c r="AM84" s="167">
        <f>Inputs!AM96*IF(Inputs!$E96="Real",1,AM$5)/Data!$F7</f>
        <v>0</v>
      </c>
      <c r="AN84" s="167">
        <f>Inputs!AN96*IF(Inputs!$E96="Real",1,AN$5)/Data!$F7</f>
        <v>0</v>
      </c>
      <c r="AO84" s="167">
        <f>Inputs!AO96*IF(Inputs!$E96="Real",1,AO$5)/Data!$F7</f>
        <v>0</v>
      </c>
      <c r="AP84" s="167">
        <f>Inputs!AP96*IF(Inputs!$E96="Real",1,AP$5)/Data!$F7</f>
        <v>0</v>
      </c>
      <c r="AQ84" s="167">
        <f>Inputs!AQ96*IF(Inputs!$E96="Real",1,AQ$5)/Data!$F7</f>
        <v>0</v>
      </c>
      <c r="AR84" s="167">
        <f>Inputs!AR96*IF(Inputs!$E96="Real",1,AR$5)/Data!$F7</f>
        <v>0</v>
      </c>
      <c r="AS84" s="167">
        <f>Inputs!AS96*IF(Inputs!$E96="Real",1,AS$5)/Data!$F7</f>
        <v>0</v>
      </c>
      <c r="AT84" s="167">
        <f>Inputs!AT96*IF(Inputs!$E96="Real",1,AT$5)/Data!$F7</f>
        <v>0</v>
      </c>
      <c r="AU84" s="167">
        <f>Inputs!AU96*IF(Inputs!$E96="Real",1,AU$5)/Data!$F7</f>
        <v>0</v>
      </c>
      <c r="AV84" s="167">
        <f>Inputs!AV96*IF(Inputs!$E96="Real",1,AV$5)/Data!$F7</f>
        <v>0</v>
      </c>
      <c r="AW84" s="167">
        <f>Inputs!AW96*IF(Inputs!$E96="Real",1,AW$5)/Data!$F7</f>
        <v>0</v>
      </c>
      <c r="AX84" s="167">
        <f>Inputs!AX96*IF(Inputs!$E96="Real",1,AX$5)/Data!$F7</f>
        <v>0</v>
      </c>
      <c r="AY84" s="167">
        <f>Inputs!AY96*IF(Inputs!$E96="Real",1,AY$5)/Data!$F7</f>
        <v>0</v>
      </c>
      <c r="AZ84" s="167">
        <f>Inputs!AZ96*IF(Inputs!$E96="Real",1,AZ$5)/Data!$F7</f>
        <v>0</v>
      </c>
    </row>
    <row r="85" spans="1:52" x14ac:dyDescent="0.25">
      <c r="A85" s="25"/>
      <c r="B85" s="169" t="str">
        <f>Inputs!B97</f>
        <v>Diesel</v>
      </c>
      <c r="C85" s="169" t="s">
        <v>170</v>
      </c>
      <c r="D85" s="169" t="s">
        <v>26</v>
      </c>
      <c r="E85" s="169" t="s">
        <v>124</v>
      </c>
      <c r="F85" s="227">
        <f t="shared" ca="1" si="5"/>
        <v>2025</v>
      </c>
      <c r="G85" s="168">
        <f>Inputs!G97</f>
        <v>0</v>
      </c>
      <c r="H85" s="167">
        <f>Inputs!H97*IF(Inputs!$E97="Real",1,H$5)/Data!$F8</f>
        <v>5.6022408963585429E-2</v>
      </c>
      <c r="I85" s="167">
        <f>Inputs!I97*IF(Inputs!$E97="Real",1,I$5)/Data!$F8</f>
        <v>5.6022408963585429E-2</v>
      </c>
      <c r="J85" s="167">
        <f>Inputs!J97*IF(Inputs!$E97="Real",1,J$5)/Data!$F8</f>
        <v>5.6022408963585429E-2</v>
      </c>
      <c r="K85" s="167">
        <f>Inputs!K97*IF(Inputs!$E97="Real",1,K$5)/Data!$F8</f>
        <v>5.6022408963585429E-2</v>
      </c>
      <c r="L85" s="167">
        <f>Inputs!L97*IF(Inputs!$E97="Real",1,L$5)/Data!$F8</f>
        <v>5.6022408963585429E-2</v>
      </c>
      <c r="M85" s="167">
        <f>Inputs!M97*IF(Inputs!$E97="Real",1,M$5)/Data!$F8</f>
        <v>5.6022408963585429E-2</v>
      </c>
      <c r="N85" s="167">
        <f>Inputs!N97*IF(Inputs!$E97="Real",1,N$5)/Data!$F8</f>
        <v>5.6022408963585429E-2</v>
      </c>
      <c r="O85" s="167">
        <f>Inputs!O97*IF(Inputs!$E97="Real",1,O$5)/Data!$F8</f>
        <v>5.6022408963585429E-2</v>
      </c>
      <c r="P85" s="167">
        <f>Inputs!P97*IF(Inputs!$E97="Real",1,P$5)/Data!$F8</f>
        <v>5.6022408963585429E-2</v>
      </c>
      <c r="Q85" s="167">
        <f>Inputs!Q97*IF(Inputs!$E97="Real",1,Q$5)/Data!$F8</f>
        <v>5.6022408963585429E-2</v>
      </c>
      <c r="R85" s="167">
        <f>Inputs!R97*IF(Inputs!$E97="Real",1,R$5)/Data!$F8</f>
        <v>5.6022408963585429E-2</v>
      </c>
      <c r="S85" s="167">
        <f>Inputs!S97*IF(Inputs!$E97="Real",1,S$5)/Data!$F8</f>
        <v>5.6022408963585429E-2</v>
      </c>
      <c r="T85" s="167">
        <f>Inputs!T97*IF(Inputs!$E97="Real",1,T$5)/Data!$F8</f>
        <v>5.6022408963585429E-2</v>
      </c>
      <c r="U85" s="167">
        <f>Inputs!U97*IF(Inputs!$E97="Real",1,U$5)/Data!$F8</f>
        <v>5.6022408963585429E-2</v>
      </c>
      <c r="V85" s="167">
        <f>Inputs!V97*IF(Inputs!$E97="Real",1,V$5)/Data!$F8</f>
        <v>5.6022408963585429E-2</v>
      </c>
      <c r="W85" s="167">
        <f>Inputs!W97*IF(Inputs!$E97="Real",1,W$5)/Data!$F8</f>
        <v>5.6022408963585429E-2</v>
      </c>
      <c r="X85" s="167">
        <f>Inputs!X97*IF(Inputs!$E97="Real",1,X$5)/Data!$F8</f>
        <v>5.6022408963585429E-2</v>
      </c>
      <c r="Y85" s="167">
        <f>Inputs!Y97*IF(Inputs!$E97="Real",1,Y$5)/Data!$F8</f>
        <v>0</v>
      </c>
      <c r="Z85" s="167">
        <f>Inputs!Z97*IF(Inputs!$E97="Real",1,Z$5)/Data!$F8</f>
        <v>0</v>
      </c>
      <c r="AA85" s="167">
        <f>Inputs!AA97*IF(Inputs!$E97="Real",1,AA$5)/Data!$F8</f>
        <v>0</v>
      </c>
      <c r="AB85" s="167">
        <f>Inputs!AB97*IF(Inputs!$E97="Real",1,AB$5)/Data!$F8</f>
        <v>0</v>
      </c>
      <c r="AC85" s="167">
        <f>Inputs!AC97*IF(Inputs!$E97="Real",1,AC$5)/Data!$F8</f>
        <v>0</v>
      </c>
      <c r="AD85" s="167">
        <f>Inputs!AD97*IF(Inputs!$E97="Real",1,AD$5)/Data!$F8</f>
        <v>0</v>
      </c>
      <c r="AE85" s="167">
        <f>Inputs!AE97*IF(Inputs!$E97="Real",1,AE$5)/Data!$F8</f>
        <v>0</v>
      </c>
      <c r="AF85" s="167">
        <f>Inputs!AF97*IF(Inputs!$E97="Real",1,AF$5)/Data!$F8</f>
        <v>0</v>
      </c>
      <c r="AG85" s="167">
        <f>Inputs!AG97*IF(Inputs!$E97="Real",1,AG$5)/Data!$F8</f>
        <v>0</v>
      </c>
      <c r="AH85" s="167">
        <f>Inputs!AH97*IF(Inputs!$E97="Real",1,AH$5)/Data!$F8</f>
        <v>0</v>
      </c>
      <c r="AI85" s="167">
        <f>Inputs!AI97*IF(Inputs!$E97="Real",1,AI$5)/Data!$F8</f>
        <v>0</v>
      </c>
      <c r="AJ85" s="167">
        <f>Inputs!AJ97*IF(Inputs!$E97="Real",1,AJ$5)/Data!$F8</f>
        <v>0</v>
      </c>
      <c r="AK85" s="167">
        <f>Inputs!AK97*IF(Inputs!$E97="Real",1,AK$5)/Data!$F8</f>
        <v>0</v>
      </c>
      <c r="AL85" s="167">
        <f>Inputs!AL97*IF(Inputs!$E97="Real",1,AL$5)/Data!$F8</f>
        <v>0</v>
      </c>
      <c r="AM85" s="167">
        <f>Inputs!AM97*IF(Inputs!$E97="Real",1,AM$5)/Data!$F8</f>
        <v>0</v>
      </c>
      <c r="AN85" s="167">
        <f>Inputs!AN97*IF(Inputs!$E97="Real",1,AN$5)/Data!$F8</f>
        <v>0</v>
      </c>
      <c r="AO85" s="167">
        <f>Inputs!AO97*IF(Inputs!$E97="Real",1,AO$5)/Data!$F8</f>
        <v>0</v>
      </c>
      <c r="AP85" s="167">
        <f>Inputs!AP97*IF(Inputs!$E97="Real",1,AP$5)/Data!$F8</f>
        <v>0</v>
      </c>
      <c r="AQ85" s="167">
        <f>Inputs!AQ97*IF(Inputs!$E97="Real",1,AQ$5)/Data!$F8</f>
        <v>0</v>
      </c>
      <c r="AR85" s="167">
        <f>Inputs!AR97*IF(Inputs!$E97="Real",1,AR$5)/Data!$F8</f>
        <v>0</v>
      </c>
      <c r="AS85" s="167">
        <f>Inputs!AS97*IF(Inputs!$E97="Real",1,AS$5)/Data!$F8</f>
        <v>0</v>
      </c>
      <c r="AT85" s="167">
        <f>Inputs!AT97*IF(Inputs!$E97="Real",1,AT$5)/Data!$F8</f>
        <v>0</v>
      </c>
      <c r="AU85" s="167">
        <f>Inputs!AU97*IF(Inputs!$E97="Real",1,AU$5)/Data!$F8</f>
        <v>0</v>
      </c>
      <c r="AV85" s="167">
        <f>Inputs!AV97*IF(Inputs!$E97="Real",1,AV$5)/Data!$F8</f>
        <v>0</v>
      </c>
      <c r="AW85" s="167">
        <f>Inputs!AW97*IF(Inputs!$E97="Real",1,AW$5)/Data!$F8</f>
        <v>0</v>
      </c>
      <c r="AX85" s="167">
        <f>Inputs!AX97*IF(Inputs!$E97="Real",1,AX$5)/Data!$F8</f>
        <v>0</v>
      </c>
      <c r="AY85" s="167">
        <f>Inputs!AY97*IF(Inputs!$E97="Real",1,AY$5)/Data!$F8</f>
        <v>0</v>
      </c>
      <c r="AZ85" s="167">
        <f>Inputs!AZ97*IF(Inputs!$E97="Real",1,AZ$5)/Data!$F8</f>
        <v>0</v>
      </c>
    </row>
    <row r="86" spans="1:52" x14ac:dyDescent="0.25">
      <c r="A86" s="25"/>
      <c r="B86" s="169" t="str">
        <f>Inputs!B98</f>
        <v>LPG</v>
      </c>
      <c r="C86" s="169" t="s">
        <v>170</v>
      </c>
      <c r="D86" s="169" t="s">
        <v>26</v>
      </c>
      <c r="E86" s="169" t="s">
        <v>124</v>
      </c>
      <c r="F86" s="227">
        <f t="shared" ca="1" si="5"/>
        <v>2025</v>
      </c>
      <c r="G86" s="168">
        <f>Inputs!G98</f>
        <v>0</v>
      </c>
      <c r="H86" s="167">
        <f>Inputs!H98*IF(Inputs!$E98="Real",1,H$5)/Data!$F9</f>
        <v>0</v>
      </c>
      <c r="I86" s="167">
        <f>Inputs!I98*IF(Inputs!$E98="Real",1,I$5)/Data!$F9</f>
        <v>0</v>
      </c>
      <c r="J86" s="167">
        <f>Inputs!J98*IF(Inputs!$E98="Real",1,J$5)/Data!$F9</f>
        <v>0</v>
      </c>
      <c r="K86" s="167">
        <f>Inputs!K98*IF(Inputs!$E98="Real",1,K$5)/Data!$F9</f>
        <v>0</v>
      </c>
      <c r="L86" s="167">
        <f>Inputs!L98*IF(Inputs!$E98="Real",1,L$5)/Data!$F9</f>
        <v>0</v>
      </c>
      <c r="M86" s="167">
        <f>Inputs!M98*IF(Inputs!$E98="Real",1,M$5)/Data!$F9</f>
        <v>0</v>
      </c>
      <c r="N86" s="167">
        <f>Inputs!N98*IF(Inputs!$E98="Real",1,N$5)/Data!$F9</f>
        <v>0</v>
      </c>
      <c r="O86" s="167">
        <f>Inputs!O98*IF(Inputs!$E98="Real",1,O$5)/Data!$F9</f>
        <v>0</v>
      </c>
      <c r="P86" s="167">
        <f>Inputs!P98*IF(Inputs!$E98="Real",1,P$5)/Data!$F9</f>
        <v>0</v>
      </c>
      <c r="Q86" s="167">
        <f>Inputs!Q98*IF(Inputs!$E98="Real",1,Q$5)/Data!$F9</f>
        <v>0</v>
      </c>
      <c r="R86" s="167">
        <f>Inputs!R98*IF(Inputs!$E98="Real",1,R$5)/Data!$F9</f>
        <v>0</v>
      </c>
      <c r="S86" s="167">
        <f>Inputs!S98*IF(Inputs!$E98="Real",1,S$5)/Data!$F9</f>
        <v>0</v>
      </c>
      <c r="T86" s="167">
        <f>Inputs!T98*IF(Inputs!$E98="Real",1,T$5)/Data!$F9</f>
        <v>0</v>
      </c>
      <c r="U86" s="167">
        <f>Inputs!U98*IF(Inputs!$E98="Real",1,U$5)/Data!$F9</f>
        <v>0</v>
      </c>
      <c r="V86" s="167">
        <f>Inputs!V98*IF(Inputs!$E98="Real",1,V$5)/Data!$F9</f>
        <v>0</v>
      </c>
      <c r="W86" s="167">
        <f>Inputs!W98*IF(Inputs!$E98="Real",1,W$5)/Data!$F9</f>
        <v>0</v>
      </c>
      <c r="X86" s="167">
        <f>Inputs!X98*IF(Inputs!$E98="Real",1,X$5)/Data!$F9</f>
        <v>0</v>
      </c>
      <c r="Y86" s="167">
        <f>Inputs!Y98*IF(Inputs!$E98="Real",1,Y$5)/Data!$F9</f>
        <v>0</v>
      </c>
      <c r="Z86" s="167">
        <f>Inputs!Z98*IF(Inputs!$E98="Real",1,Z$5)/Data!$F9</f>
        <v>0</v>
      </c>
      <c r="AA86" s="167">
        <f>Inputs!AA98*IF(Inputs!$E98="Real",1,AA$5)/Data!$F9</f>
        <v>0</v>
      </c>
      <c r="AB86" s="167">
        <f>Inputs!AB98*IF(Inputs!$E98="Real",1,AB$5)/Data!$F9</f>
        <v>0</v>
      </c>
      <c r="AC86" s="167">
        <f>Inputs!AC98*IF(Inputs!$E98="Real",1,AC$5)/Data!$F9</f>
        <v>0</v>
      </c>
      <c r="AD86" s="167">
        <f>Inputs!AD98*IF(Inputs!$E98="Real",1,AD$5)/Data!$F9</f>
        <v>0</v>
      </c>
      <c r="AE86" s="167">
        <f>Inputs!AE98*IF(Inputs!$E98="Real",1,AE$5)/Data!$F9</f>
        <v>0</v>
      </c>
      <c r="AF86" s="167">
        <f>Inputs!AF98*IF(Inputs!$E98="Real",1,AF$5)/Data!$F9</f>
        <v>0</v>
      </c>
      <c r="AG86" s="167">
        <f>Inputs!AG98*IF(Inputs!$E98="Real",1,AG$5)/Data!$F9</f>
        <v>0</v>
      </c>
      <c r="AH86" s="167">
        <f>Inputs!AH98*IF(Inputs!$E98="Real",1,AH$5)/Data!$F9</f>
        <v>0</v>
      </c>
      <c r="AI86" s="167">
        <f>Inputs!AI98*IF(Inputs!$E98="Real",1,AI$5)/Data!$F9</f>
        <v>0</v>
      </c>
      <c r="AJ86" s="167">
        <f>Inputs!AJ98*IF(Inputs!$E98="Real",1,AJ$5)/Data!$F9</f>
        <v>0</v>
      </c>
      <c r="AK86" s="167">
        <f>Inputs!AK98*IF(Inputs!$E98="Real",1,AK$5)/Data!$F9</f>
        <v>0</v>
      </c>
      <c r="AL86" s="167">
        <f>Inputs!AL98*IF(Inputs!$E98="Real",1,AL$5)/Data!$F9</f>
        <v>0</v>
      </c>
      <c r="AM86" s="167">
        <f>Inputs!AM98*IF(Inputs!$E98="Real",1,AM$5)/Data!$F9</f>
        <v>0</v>
      </c>
      <c r="AN86" s="167">
        <f>Inputs!AN98*IF(Inputs!$E98="Real",1,AN$5)/Data!$F9</f>
        <v>0</v>
      </c>
      <c r="AO86" s="167">
        <f>Inputs!AO98*IF(Inputs!$E98="Real",1,AO$5)/Data!$F9</f>
        <v>0</v>
      </c>
      <c r="AP86" s="167">
        <f>Inputs!AP98*IF(Inputs!$E98="Real",1,AP$5)/Data!$F9</f>
        <v>0</v>
      </c>
      <c r="AQ86" s="167">
        <f>Inputs!AQ98*IF(Inputs!$E98="Real",1,AQ$5)/Data!$F9</f>
        <v>0</v>
      </c>
      <c r="AR86" s="167">
        <f>Inputs!AR98*IF(Inputs!$E98="Real",1,AR$5)/Data!$F9</f>
        <v>0</v>
      </c>
      <c r="AS86" s="167">
        <f>Inputs!AS98*IF(Inputs!$E98="Real",1,AS$5)/Data!$F9</f>
        <v>0</v>
      </c>
      <c r="AT86" s="167">
        <f>Inputs!AT98*IF(Inputs!$E98="Real",1,AT$5)/Data!$F9</f>
        <v>0</v>
      </c>
      <c r="AU86" s="167">
        <f>Inputs!AU98*IF(Inputs!$E98="Real",1,AU$5)/Data!$F9</f>
        <v>0</v>
      </c>
      <c r="AV86" s="167">
        <f>Inputs!AV98*IF(Inputs!$E98="Real",1,AV$5)/Data!$F9</f>
        <v>0</v>
      </c>
      <c r="AW86" s="167">
        <f>Inputs!AW98*IF(Inputs!$E98="Real",1,AW$5)/Data!$F9</f>
        <v>0</v>
      </c>
      <c r="AX86" s="167">
        <f>Inputs!AX98*IF(Inputs!$E98="Real",1,AX$5)/Data!$F9</f>
        <v>0</v>
      </c>
      <c r="AY86" s="167">
        <f>Inputs!AY98*IF(Inputs!$E98="Real",1,AY$5)/Data!$F9</f>
        <v>0</v>
      </c>
      <c r="AZ86" s="167">
        <f>Inputs!AZ98*IF(Inputs!$E98="Real",1,AZ$5)/Data!$F9</f>
        <v>0</v>
      </c>
    </row>
    <row r="87" spans="1:52" x14ac:dyDescent="0.25">
      <c r="A87" s="25"/>
      <c r="B87" s="169" t="str">
        <f>Inputs!B99</f>
        <v>Light fuel oil</v>
      </c>
      <c r="C87" s="169" t="s">
        <v>170</v>
      </c>
      <c r="D87" s="169" t="s">
        <v>26</v>
      </c>
      <c r="E87" s="169" t="s">
        <v>124</v>
      </c>
      <c r="F87" s="227">
        <f t="shared" ca="1" si="5"/>
        <v>2025</v>
      </c>
      <c r="G87" s="168">
        <f>Inputs!G99</f>
        <v>0</v>
      </c>
      <c r="H87" s="167">
        <f>Inputs!H99*IF(Inputs!$E99="Real",1,H$5)/Data!$F10</f>
        <v>0</v>
      </c>
      <c r="I87" s="167">
        <f>Inputs!I99*IF(Inputs!$E99="Real",1,I$5)/Data!$F10</f>
        <v>0</v>
      </c>
      <c r="J87" s="167">
        <f>Inputs!J99*IF(Inputs!$E99="Real",1,J$5)/Data!$F10</f>
        <v>0</v>
      </c>
      <c r="K87" s="167">
        <f>Inputs!K99*IF(Inputs!$E99="Real",1,K$5)/Data!$F10</f>
        <v>0</v>
      </c>
      <c r="L87" s="167">
        <f>Inputs!L99*IF(Inputs!$E99="Real",1,L$5)/Data!$F10</f>
        <v>0</v>
      </c>
      <c r="M87" s="167">
        <f>Inputs!M99*IF(Inputs!$E99="Real",1,M$5)/Data!$F10</f>
        <v>0</v>
      </c>
      <c r="N87" s="167">
        <f>Inputs!N99*IF(Inputs!$E99="Real",1,N$5)/Data!$F10</f>
        <v>0</v>
      </c>
      <c r="O87" s="167">
        <f>Inputs!O99*IF(Inputs!$E99="Real",1,O$5)/Data!$F10</f>
        <v>0</v>
      </c>
      <c r="P87" s="167">
        <f>Inputs!P99*IF(Inputs!$E99="Real",1,P$5)/Data!$F10</f>
        <v>0</v>
      </c>
      <c r="Q87" s="167">
        <f>Inputs!Q99*IF(Inputs!$E99="Real",1,Q$5)/Data!$F10</f>
        <v>0</v>
      </c>
      <c r="R87" s="167">
        <f>Inputs!R99*IF(Inputs!$E99="Real",1,R$5)/Data!$F10</f>
        <v>0</v>
      </c>
      <c r="S87" s="167">
        <f>Inputs!S99*IF(Inputs!$E99="Real",1,S$5)/Data!$F10</f>
        <v>0</v>
      </c>
      <c r="T87" s="167">
        <f>Inputs!T99*IF(Inputs!$E99="Real",1,T$5)/Data!$F10</f>
        <v>0</v>
      </c>
      <c r="U87" s="167">
        <f>Inputs!U99*IF(Inputs!$E99="Real",1,U$5)/Data!$F10</f>
        <v>0</v>
      </c>
      <c r="V87" s="167">
        <f>Inputs!V99*IF(Inputs!$E99="Real",1,V$5)/Data!$F10</f>
        <v>0</v>
      </c>
      <c r="W87" s="167">
        <f>Inputs!W99*IF(Inputs!$E99="Real",1,W$5)/Data!$F10</f>
        <v>0</v>
      </c>
      <c r="X87" s="167">
        <f>Inputs!X99*IF(Inputs!$E99="Real",1,X$5)/Data!$F10</f>
        <v>0</v>
      </c>
      <c r="Y87" s="167">
        <f>Inputs!Y99*IF(Inputs!$E99="Real",1,Y$5)/Data!$F10</f>
        <v>0</v>
      </c>
      <c r="Z87" s="167">
        <f>Inputs!Z99*IF(Inputs!$E99="Real",1,Z$5)/Data!$F10</f>
        <v>0</v>
      </c>
      <c r="AA87" s="167">
        <f>Inputs!AA99*IF(Inputs!$E99="Real",1,AA$5)/Data!$F10</f>
        <v>0</v>
      </c>
      <c r="AB87" s="167">
        <f>Inputs!AB99*IF(Inputs!$E99="Real",1,AB$5)/Data!$F10</f>
        <v>0</v>
      </c>
      <c r="AC87" s="167">
        <f>Inputs!AC99*IF(Inputs!$E99="Real",1,AC$5)/Data!$F10</f>
        <v>0</v>
      </c>
      <c r="AD87" s="167">
        <f>Inputs!AD99*IF(Inputs!$E99="Real",1,AD$5)/Data!$F10</f>
        <v>0</v>
      </c>
      <c r="AE87" s="167">
        <f>Inputs!AE99*IF(Inputs!$E99="Real",1,AE$5)/Data!$F10</f>
        <v>0</v>
      </c>
      <c r="AF87" s="167">
        <f>Inputs!AF99*IF(Inputs!$E99="Real",1,AF$5)/Data!$F10</f>
        <v>0</v>
      </c>
      <c r="AG87" s="167">
        <f>Inputs!AG99*IF(Inputs!$E99="Real",1,AG$5)/Data!$F10</f>
        <v>0</v>
      </c>
      <c r="AH87" s="167">
        <f>Inputs!AH99*IF(Inputs!$E99="Real",1,AH$5)/Data!$F10</f>
        <v>0</v>
      </c>
      <c r="AI87" s="167">
        <f>Inputs!AI99*IF(Inputs!$E99="Real",1,AI$5)/Data!$F10</f>
        <v>0</v>
      </c>
      <c r="AJ87" s="167">
        <f>Inputs!AJ99*IF(Inputs!$E99="Real",1,AJ$5)/Data!$F10</f>
        <v>0</v>
      </c>
      <c r="AK87" s="167">
        <f>Inputs!AK99*IF(Inputs!$E99="Real",1,AK$5)/Data!$F10</f>
        <v>0</v>
      </c>
      <c r="AL87" s="167">
        <f>Inputs!AL99*IF(Inputs!$E99="Real",1,AL$5)/Data!$F10</f>
        <v>0</v>
      </c>
      <c r="AM87" s="167">
        <f>Inputs!AM99*IF(Inputs!$E99="Real",1,AM$5)/Data!$F10</f>
        <v>0</v>
      </c>
      <c r="AN87" s="167">
        <f>Inputs!AN99*IF(Inputs!$E99="Real",1,AN$5)/Data!$F10</f>
        <v>0</v>
      </c>
      <c r="AO87" s="167">
        <f>Inputs!AO99*IF(Inputs!$E99="Real",1,AO$5)/Data!$F10</f>
        <v>0</v>
      </c>
      <c r="AP87" s="167">
        <f>Inputs!AP99*IF(Inputs!$E99="Real",1,AP$5)/Data!$F10</f>
        <v>0</v>
      </c>
      <c r="AQ87" s="167">
        <f>Inputs!AQ99*IF(Inputs!$E99="Real",1,AQ$5)/Data!$F10</f>
        <v>0</v>
      </c>
      <c r="AR87" s="167">
        <f>Inputs!AR99*IF(Inputs!$E99="Real",1,AR$5)/Data!$F10</f>
        <v>0</v>
      </c>
      <c r="AS87" s="167">
        <f>Inputs!AS99*IF(Inputs!$E99="Real",1,AS$5)/Data!$F10</f>
        <v>0</v>
      </c>
      <c r="AT87" s="167">
        <f>Inputs!AT99*IF(Inputs!$E99="Real",1,AT$5)/Data!$F10</f>
        <v>0</v>
      </c>
      <c r="AU87" s="167">
        <f>Inputs!AU99*IF(Inputs!$E99="Real",1,AU$5)/Data!$F10</f>
        <v>0</v>
      </c>
      <c r="AV87" s="167">
        <f>Inputs!AV99*IF(Inputs!$E99="Real",1,AV$5)/Data!$F10</f>
        <v>0</v>
      </c>
      <c r="AW87" s="167">
        <f>Inputs!AW99*IF(Inputs!$E99="Real",1,AW$5)/Data!$F10</f>
        <v>0</v>
      </c>
      <c r="AX87" s="167">
        <f>Inputs!AX99*IF(Inputs!$E99="Real",1,AX$5)/Data!$F10</f>
        <v>0</v>
      </c>
      <c r="AY87" s="167">
        <f>Inputs!AY99*IF(Inputs!$E99="Real",1,AY$5)/Data!$F10</f>
        <v>0</v>
      </c>
      <c r="AZ87" s="167">
        <f>Inputs!AZ99*IF(Inputs!$E99="Real",1,AZ$5)/Data!$F10</f>
        <v>0</v>
      </c>
    </row>
    <row r="88" spans="1:52" x14ac:dyDescent="0.25">
      <c r="A88" s="25"/>
      <c r="B88" s="169" t="str">
        <f>Inputs!B100</f>
        <v>Heavy fuel oil</v>
      </c>
      <c r="C88" s="169" t="s">
        <v>170</v>
      </c>
      <c r="D88" s="169" t="s">
        <v>26</v>
      </c>
      <c r="E88" s="169" t="s">
        <v>124</v>
      </c>
      <c r="F88" s="227">
        <f t="shared" ca="1" si="5"/>
        <v>2025</v>
      </c>
      <c r="G88" s="168">
        <f>Inputs!G100</f>
        <v>0</v>
      </c>
      <c r="H88" s="167">
        <f>Inputs!H100*IF(Inputs!$E100="Real",1,H$5)/Data!$F11</f>
        <v>0</v>
      </c>
      <c r="I88" s="167">
        <f>Inputs!I100*IF(Inputs!$E100="Real",1,I$5)/Data!$F11</f>
        <v>0</v>
      </c>
      <c r="J88" s="167">
        <f>Inputs!J100*IF(Inputs!$E100="Real",1,J$5)/Data!$F11</f>
        <v>0</v>
      </c>
      <c r="K88" s="167">
        <f>Inputs!K100*IF(Inputs!$E100="Real",1,K$5)/Data!$F11</f>
        <v>0</v>
      </c>
      <c r="L88" s="167">
        <f>Inputs!L100*IF(Inputs!$E100="Real",1,L$5)/Data!$F11</f>
        <v>0</v>
      </c>
      <c r="M88" s="167">
        <f>Inputs!M100*IF(Inputs!$E100="Real",1,M$5)/Data!$F11</f>
        <v>0</v>
      </c>
      <c r="N88" s="167">
        <f>Inputs!N100*IF(Inputs!$E100="Real",1,N$5)/Data!$F11</f>
        <v>0</v>
      </c>
      <c r="O88" s="167">
        <f>Inputs!O100*IF(Inputs!$E100="Real",1,O$5)/Data!$F11</f>
        <v>0</v>
      </c>
      <c r="P88" s="167">
        <f>Inputs!P100*IF(Inputs!$E100="Real",1,P$5)/Data!$F11</f>
        <v>0</v>
      </c>
      <c r="Q88" s="167">
        <f>Inputs!Q100*IF(Inputs!$E100="Real",1,Q$5)/Data!$F11</f>
        <v>0</v>
      </c>
      <c r="R88" s="167">
        <f>Inputs!R100*IF(Inputs!$E100="Real",1,R$5)/Data!$F11</f>
        <v>0</v>
      </c>
      <c r="S88" s="167">
        <f>Inputs!S100*IF(Inputs!$E100="Real",1,S$5)/Data!$F11</f>
        <v>0</v>
      </c>
      <c r="T88" s="167">
        <f>Inputs!T100*IF(Inputs!$E100="Real",1,T$5)/Data!$F11</f>
        <v>0</v>
      </c>
      <c r="U88" s="167">
        <f>Inputs!U100*IF(Inputs!$E100="Real",1,U$5)/Data!$F11</f>
        <v>0</v>
      </c>
      <c r="V88" s="167">
        <f>Inputs!V100*IF(Inputs!$E100="Real",1,V$5)/Data!$F11</f>
        <v>0</v>
      </c>
      <c r="W88" s="167">
        <f>Inputs!W100*IF(Inputs!$E100="Real",1,W$5)/Data!$F11</f>
        <v>0</v>
      </c>
      <c r="X88" s="167">
        <f>Inputs!X100*IF(Inputs!$E100="Real",1,X$5)/Data!$F11</f>
        <v>0</v>
      </c>
      <c r="Y88" s="167">
        <f>Inputs!Y100*IF(Inputs!$E100="Real",1,Y$5)/Data!$F11</f>
        <v>0</v>
      </c>
      <c r="Z88" s="167">
        <f>Inputs!Z100*IF(Inputs!$E100="Real",1,Z$5)/Data!$F11</f>
        <v>0</v>
      </c>
      <c r="AA88" s="167">
        <f>Inputs!AA100*IF(Inputs!$E100="Real",1,AA$5)/Data!$F11</f>
        <v>0</v>
      </c>
      <c r="AB88" s="167">
        <f>Inputs!AB100*IF(Inputs!$E100="Real",1,AB$5)/Data!$F11</f>
        <v>0</v>
      </c>
      <c r="AC88" s="167">
        <f>Inputs!AC100*IF(Inputs!$E100="Real",1,AC$5)/Data!$F11</f>
        <v>0</v>
      </c>
      <c r="AD88" s="167">
        <f>Inputs!AD100*IF(Inputs!$E100="Real",1,AD$5)/Data!$F11</f>
        <v>0</v>
      </c>
      <c r="AE88" s="167">
        <f>Inputs!AE100*IF(Inputs!$E100="Real",1,AE$5)/Data!$F11</f>
        <v>0</v>
      </c>
      <c r="AF88" s="167">
        <f>Inputs!AF100*IF(Inputs!$E100="Real",1,AF$5)/Data!$F11</f>
        <v>0</v>
      </c>
      <c r="AG88" s="167">
        <f>Inputs!AG100*IF(Inputs!$E100="Real",1,AG$5)/Data!$F11</f>
        <v>0</v>
      </c>
      <c r="AH88" s="167">
        <f>Inputs!AH100*IF(Inputs!$E100="Real",1,AH$5)/Data!$F11</f>
        <v>0</v>
      </c>
      <c r="AI88" s="167">
        <f>Inputs!AI100*IF(Inputs!$E100="Real",1,AI$5)/Data!$F11</f>
        <v>0</v>
      </c>
      <c r="AJ88" s="167">
        <f>Inputs!AJ100*IF(Inputs!$E100="Real",1,AJ$5)/Data!$F11</f>
        <v>0</v>
      </c>
      <c r="AK88" s="167">
        <f>Inputs!AK100*IF(Inputs!$E100="Real",1,AK$5)/Data!$F11</f>
        <v>0</v>
      </c>
      <c r="AL88" s="167">
        <f>Inputs!AL100*IF(Inputs!$E100="Real",1,AL$5)/Data!$F11</f>
        <v>0</v>
      </c>
      <c r="AM88" s="167">
        <f>Inputs!AM100*IF(Inputs!$E100="Real",1,AM$5)/Data!$F11</f>
        <v>0</v>
      </c>
      <c r="AN88" s="167">
        <f>Inputs!AN100*IF(Inputs!$E100="Real",1,AN$5)/Data!$F11</f>
        <v>0</v>
      </c>
      <c r="AO88" s="167">
        <f>Inputs!AO100*IF(Inputs!$E100="Real",1,AO$5)/Data!$F11</f>
        <v>0</v>
      </c>
      <c r="AP88" s="167">
        <f>Inputs!AP100*IF(Inputs!$E100="Real",1,AP$5)/Data!$F11</f>
        <v>0</v>
      </c>
      <c r="AQ88" s="167">
        <f>Inputs!AQ100*IF(Inputs!$E100="Real",1,AQ$5)/Data!$F11</f>
        <v>0</v>
      </c>
      <c r="AR88" s="167">
        <f>Inputs!AR100*IF(Inputs!$E100="Real",1,AR$5)/Data!$F11</f>
        <v>0</v>
      </c>
      <c r="AS88" s="167">
        <f>Inputs!AS100*IF(Inputs!$E100="Real",1,AS$5)/Data!$F11</f>
        <v>0</v>
      </c>
      <c r="AT88" s="167">
        <f>Inputs!AT100*IF(Inputs!$E100="Real",1,AT$5)/Data!$F11</f>
        <v>0</v>
      </c>
      <c r="AU88" s="167">
        <f>Inputs!AU100*IF(Inputs!$E100="Real",1,AU$5)/Data!$F11</f>
        <v>0</v>
      </c>
      <c r="AV88" s="167">
        <f>Inputs!AV100*IF(Inputs!$E100="Real",1,AV$5)/Data!$F11</f>
        <v>0</v>
      </c>
      <c r="AW88" s="167">
        <f>Inputs!AW100*IF(Inputs!$E100="Real",1,AW$5)/Data!$F11</f>
        <v>0</v>
      </c>
      <c r="AX88" s="167">
        <f>Inputs!AX100*IF(Inputs!$E100="Real",1,AX$5)/Data!$F11</f>
        <v>0</v>
      </c>
      <c r="AY88" s="167">
        <f>Inputs!AY100*IF(Inputs!$E100="Real",1,AY$5)/Data!$F11</f>
        <v>0</v>
      </c>
      <c r="AZ88" s="167">
        <f>Inputs!AZ100*IF(Inputs!$E100="Real",1,AZ$5)/Data!$F11</f>
        <v>0</v>
      </c>
    </row>
    <row r="89" spans="1:52" x14ac:dyDescent="0.25">
      <c r="A89" s="25"/>
      <c r="B89" s="169" t="str">
        <f>Inputs!B101</f>
        <v>Geothermal</v>
      </c>
      <c r="C89" s="169" t="s">
        <v>170</v>
      </c>
      <c r="D89" s="169" t="s">
        <v>26</v>
      </c>
      <c r="E89" s="169" t="s">
        <v>124</v>
      </c>
      <c r="F89" s="227">
        <f t="shared" ca="1" si="5"/>
        <v>2025</v>
      </c>
      <c r="G89" s="168">
        <f>Inputs!G101</f>
        <v>0</v>
      </c>
      <c r="H89" s="167">
        <f>Inputs!H101*IF(Inputs!$E101="Real",1,H$5)/Data!$F12</f>
        <v>0</v>
      </c>
      <c r="I89" s="167">
        <f>Inputs!I101*IF(Inputs!$E101="Real",1,I$5)/Data!$F12</f>
        <v>0</v>
      </c>
      <c r="J89" s="167">
        <f>Inputs!J101*IF(Inputs!$E101="Real",1,J$5)/Data!$F12</f>
        <v>0</v>
      </c>
      <c r="K89" s="167">
        <f>Inputs!K101*IF(Inputs!$E101="Real",1,K$5)/Data!$F12</f>
        <v>0</v>
      </c>
      <c r="L89" s="167">
        <f>Inputs!L101*IF(Inputs!$E101="Real",1,L$5)/Data!$F12</f>
        <v>0</v>
      </c>
      <c r="M89" s="167">
        <f>Inputs!M101*IF(Inputs!$E101="Real",1,M$5)/Data!$F12</f>
        <v>0</v>
      </c>
      <c r="N89" s="167">
        <f>Inputs!N101*IF(Inputs!$E101="Real",1,N$5)/Data!$F12</f>
        <v>0</v>
      </c>
      <c r="O89" s="167">
        <f>Inputs!O101*IF(Inputs!$E101="Real",1,O$5)/Data!$F12</f>
        <v>0</v>
      </c>
      <c r="P89" s="167">
        <f>Inputs!P101*IF(Inputs!$E101="Real",1,P$5)/Data!$F12</f>
        <v>0</v>
      </c>
      <c r="Q89" s="167">
        <f>Inputs!Q101*IF(Inputs!$E101="Real",1,Q$5)/Data!$F12</f>
        <v>0</v>
      </c>
      <c r="R89" s="167">
        <f>Inputs!R101*IF(Inputs!$E101="Real",1,R$5)/Data!$F12</f>
        <v>0</v>
      </c>
      <c r="S89" s="167">
        <f>Inputs!S101*IF(Inputs!$E101="Real",1,S$5)/Data!$F12</f>
        <v>0</v>
      </c>
      <c r="T89" s="167">
        <f>Inputs!T101*IF(Inputs!$E101="Real",1,T$5)/Data!$F12</f>
        <v>0</v>
      </c>
      <c r="U89" s="167">
        <f>Inputs!U101*IF(Inputs!$E101="Real",1,U$5)/Data!$F12</f>
        <v>0</v>
      </c>
      <c r="V89" s="167">
        <f>Inputs!V101*IF(Inputs!$E101="Real",1,V$5)/Data!$F12</f>
        <v>0</v>
      </c>
      <c r="W89" s="167">
        <f>Inputs!W101*IF(Inputs!$E101="Real",1,W$5)/Data!$F12</f>
        <v>0</v>
      </c>
      <c r="X89" s="167">
        <f>Inputs!X101*IF(Inputs!$E101="Real",1,X$5)/Data!$F12</f>
        <v>0</v>
      </c>
      <c r="Y89" s="167">
        <f>Inputs!Y101*IF(Inputs!$E101="Real",1,Y$5)/Data!$F12</f>
        <v>0</v>
      </c>
      <c r="Z89" s="167">
        <f>Inputs!Z101*IF(Inputs!$E101="Real",1,Z$5)/Data!$F12</f>
        <v>0</v>
      </c>
      <c r="AA89" s="167">
        <f>Inputs!AA101*IF(Inputs!$E101="Real",1,AA$5)/Data!$F12</f>
        <v>0</v>
      </c>
      <c r="AB89" s="167">
        <f>Inputs!AB101*IF(Inputs!$E101="Real",1,AB$5)/Data!$F12</f>
        <v>0</v>
      </c>
      <c r="AC89" s="167">
        <f>Inputs!AC101*IF(Inputs!$E101="Real",1,AC$5)/Data!$F12</f>
        <v>0</v>
      </c>
      <c r="AD89" s="167">
        <f>Inputs!AD101*IF(Inputs!$E101="Real",1,AD$5)/Data!$F12</f>
        <v>0</v>
      </c>
      <c r="AE89" s="167">
        <f>Inputs!AE101*IF(Inputs!$E101="Real",1,AE$5)/Data!$F12</f>
        <v>0</v>
      </c>
      <c r="AF89" s="167">
        <f>Inputs!AF101*IF(Inputs!$E101="Real",1,AF$5)/Data!$F12</f>
        <v>0</v>
      </c>
      <c r="AG89" s="167">
        <f>Inputs!AG101*IF(Inputs!$E101="Real",1,AG$5)/Data!$F12</f>
        <v>0</v>
      </c>
      <c r="AH89" s="167">
        <f>Inputs!AH101*IF(Inputs!$E101="Real",1,AH$5)/Data!$F12</f>
        <v>0</v>
      </c>
      <c r="AI89" s="167">
        <f>Inputs!AI101*IF(Inputs!$E101="Real",1,AI$5)/Data!$F12</f>
        <v>0</v>
      </c>
      <c r="AJ89" s="167">
        <f>Inputs!AJ101*IF(Inputs!$E101="Real",1,AJ$5)/Data!$F12</f>
        <v>0</v>
      </c>
      <c r="AK89" s="167">
        <f>Inputs!AK101*IF(Inputs!$E101="Real",1,AK$5)/Data!$F12</f>
        <v>0</v>
      </c>
      <c r="AL89" s="167">
        <f>Inputs!AL101*IF(Inputs!$E101="Real",1,AL$5)/Data!$F12</f>
        <v>0</v>
      </c>
      <c r="AM89" s="167">
        <f>Inputs!AM101*IF(Inputs!$E101="Real",1,AM$5)/Data!$F12</f>
        <v>0</v>
      </c>
      <c r="AN89" s="167">
        <f>Inputs!AN101*IF(Inputs!$E101="Real",1,AN$5)/Data!$F12</f>
        <v>0</v>
      </c>
      <c r="AO89" s="167">
        <f>Inputs!AO101*IF(Inputs!$E101="Real",1,AO$5)/Data!$F12</f>
        <v>0</v>
      </c>
      <c r="AP89" s="167">
        <f>Inputs!AP101*IF(Inputs!$E101="Real",1,AP$5)/Data!$F12</f>
        <v>0</v>
      </c>
      <c r="AQ89" s="167">
        <f>Inputs!AQ101*IF(Inputs!$E101="Real",1,AQ$5)/Data!$F12</f>
        <v>0</v>
      </c>
      <c r="AR89" s="167">
        <f>Inputs!AR101*IF(Inputs!$E101="Real",1,AR$5)/Data!$F12</f>
        <v>0</v>
      </c>
      <c r="AS89" s="167">
        <f>Inputs!AS101*IF(Inputs!$E101="Real",1,AS$5)/Data!$F12</f>
        <v>0</v>
      </c>
      <c r="AT89" s="167">
        <f>Inputs!AT101*IF(Inputs!$E101="Real",1,AT$5)/Data!$F12</f>
        <v>0</v>
      </c>
      <c r="AU89" s="167">
        <f>Inputs!AU101*IF(Inputs!$E101="Real",1,AU$5)/Data!$F12</f>
        <v>0</v>
      </c>
      <c r="AV89" s="167">
        <f>Inputs!AV101*IF(Inputs!$E101="Real",1,AV$5)/Data!$F12</f>
        <v>0</v>
      </c>
      <c r="AW89" s="167">
        <f>Inputs!AW101*IF(Inputs!$E101="Real",1,AW$5)/Data!$F12</f>
        <v>0</v>
      </c>
      <c r="AX89" s="167">
        <f>Inputs!AX101*IF(Inputs!$E101="Real",1,AX$5)/Data!$F12</f>
        <v>0</v>
      </c>
      <c r="AY89" s="167">
        <f>Inputs!AY101*IF(Inputs!$E101="Real",1,AY$5)/Data!$F12</f>
        <v>0</v>
      </c>
      <c r="AZ89" s="167">
        <f>Inputs!AZ101*IF(Inputs!$E101="Real",1,AZ$5)/Data!$F12</f>
        <v>0</v>
      </c>
    </row>
    <row r="90" spans="1:52" x14ac:dyDescent="0.25">
      <c r="A90" s="25"/>
      <c r="B90" s="169" t="str">
        <f>Inputs!B102</f>
        <v>Wood or wood chips</v>
      </c>
      <c r="C90" s="169" t="s">
        <v>170</v>
      </c>
      <c r="D90" s="169" t="s">
        <v>26</v>
      </c>
      <c r="E90" s="169" t="s">
        <v>124</v>
      </c>
      <c r="F90" s="227">
        <f t="shared" ca="1" si="5"/>
        <v>2025</v>
      </c>
      <c r="G90" s="168">
        <f>Inputs!G102</f>
        <v>0</v>
      </c>
      <c r="H90" s="167">
        <f>Inputs!H102*IF(Inputs!$E102="Real",1,H$5)/Data!$F13</f>
        <v>0</v>
      </c>
      <c r="I90" s="167">
        <f>Inputs!I102*IF(Inputs!$E102="Real",1,I$5)/Data!$F13</f>
        <v>0</v>
      </c>
      <c r="J90" s="167">
        <f>Inputs!J102*IF(Inputs!$E102="Real",1,J$5)/Data!$F13</f>
        <v>0</v>
      </c>
      <c r="K90" s="167">
        <f>Inputs!K102*IF(Inputs!$E102="Real",1,K$5)/Data!$F13</f>
        <v>0</v>
      </c>
      <c r="L90" s="167">
        <f>Inputs!L102*IF(Inputs!$E102="Real",1,L$5)/Data!$F13</f>
        <v>0</v>
      </c>
      <c r="M90" s="167">
        <f>Inputs!M102*IF(Inputs!$E102="Real",1,M$5)/Data!$F13</f>
        <v>0</v>
      </c>
      <c r="N90" s="167">
        <f>Inputs!N102*IF(Inputs!$E102="Real",1,N$5)/Data!$F13</f>
        <v>0</v>
      </c>
      <c r="O90" s="167">
        <f>Inputs!O102*IF(Inputs!$E102="Real",1,O$5)/Data!$F13</f>
        <v>0</v>
      </c>
      <c r="P90" s="167">
        <f>Inputs!P102*IF(Inputs!$E102="Real",1,P$5)/Data!$F13</f>
        <v>0</v>
      </c>
      <c r="Q90" s="167">
        <f>Inputs!Q102*IF(Inputs!$E102="Real",1,Q$5)/Data!$F13</f>
        <v>0</v>
      </c>
      <c r="R90" s="167">
        <f>Inputs!R102*IF(Inputs!$E102="Real",1,R$5)/Data!$F13</f>
        <v>0</v>
      </c>
      <c r="S90" s="167">
        <f>Inputs!S102*IF(Inputs!$E102="Real",1,S$5)/Data!$F13</f>
        <v>0</v>
      </c>
      <c r="T90" s="167">
        <f>Inputs!T102*IF(Inputs!$E102="Real",1,T$5)/Data!$F13</f>
        <v>0</v>
      </c>
      <c r="U90" s="167">
        <f>Inputs!U102*IF(Inputs!$E102="Real",1,U$5)/Data!$F13</f>
        <v>0</v>
      </c>
      <c r="V90" s="167">
        <f>Inputs!V102*IF(Inputs!$E102="Real",1,V$5)/Data!$F13</f>
        <v>0</v>
      </c>
      <c r="W90" s="167">
        <f>Inputs!W102*IF(Inputs!$E102="Real",1,W$5)/Data!$F13</f>
        <v>0</v>
      </c>
      <c r="X90" s="167">
        <f>Inputs!X102*IF(Inputs!$E102="Real",1,X$5)/Data!$F13</f>
        <v>0</v>
      </c>
      <c r="Y90" s="167">
        <f>Inputs!Y102*IF(Inputs!$E102="Real",1,Y$5)/Data!$F13</f>
        <v>0</v>
      </c>
      <c r="Z90" s="167">
        <f>Inputs!Z102*IF(Inputs!$E102="Real",1,Z$5)/Data!$F13</f>
        <v>0</v>
      </c>
      <c r="AA90" s="167">
        <f>Inputs!AA102*IF(Inputs!$E102="Real",1,AA$5)/Data!$F13</f>
        <v>0</v>
      </c>
      <c r="AB90" s="167">
        <f>Inputs!AB102*IF(Inputs!$E102="Real",1,AB$5)/Data!$F13</f>
        <v>0</v>
      </c>
      <c r="AC90" s="167">
        <f>Inputs!AC102*IF(Inputs!$E102="Real",1,AC$5)/Data!$F13</f>
        <v>0</v>
      </c>
      <c r="AD90" s="167">
        <f>Inputs!AD102*IF(Inputs!$E102="Real",1,AD$5)/Data!$F13</f>
        <v>0</v>
      </c>
      <c r="AE90" s="167">
        <f>Inputs!AE102*IF(Inputs!$E102="Real",1,AE$5)/Data!$F13</f>
        <v>0</v>
      </c>
      <c r="AF90" s="167">
        <f>Inputs!AF102*IF(Inputs!$E102="Real",1,AF$5)/Data!$F13</f>
        <v>0</v>
      </c>
      <c r="AG90" s="167">
        <f>Inputs!AG102*IF(Inputs!$E102="Real",1,AG$5)/Data!$F13</f>
        <v>0</v>
      </c>
      <c r="AH90" s="167">
        <f>Inputs!AH102*IF(Inputs!$E102="Real",1,AH$5)/Data!$F13</f>
        <v>0</v>
      </c>
      <c r="AI90" s="167">
        <f>Inputs!AI102*IF(Inputs!$E102="Real",1,AI$5)/Data!$F13</f>
        <v>0</v>
      </c>
      <c r="AJ90" s="167">
        <f>Inputs!AJ102*IF(Inputs!$E102="Real",1,AJ$5)/Data!$F13</f>
        <v>0</v>
      </c>
      <c r="AK90" s="167">
        <f>Inputs!AK102*IF(Inputs!$E102="Real",1,AK$5)/Data!$F13</f>
        <v>0</v>
      </c>
      <c r="AL90" s="167">
        <f>Inputs!AL102*IF(Inputs!$E102="Real",1,AL$5)/Data!$F13</f>
        <v>0</v>
      </c>
      <c r="AM90" s="167">
        <f>Inputs!AM102*IF(Inputs!$E102="Real",1,AM$5)/Data!$F13</f>
        <v>0</v>
      </c>
      <c r="AN90" s="167">
        <f>Inputs!AN102*IF(Inputs!$E102="Real",1,AN$5)/Data!$F13</f>
        <v>0</v>
      </c>
      <c r="AO90" s="167">
        <f>Inputs!AO102*IF(Inputs!$E102="Real",1,AO$5)/Data!$F13</f>
        <v>0</v>
      </c>
      <c r="AP90" s="167">
        <f>Inputs!AP102*IF(Inputs!$E102="Real",1,AP$5)/Data!$F13</f>
        <v>0</v>
      </c>
      <c r="AQ90" s="167">
        <f>Inputs!AQ102*IF(Inputs!$E102="Real",1,AQ$5)/Data!$F13</f>
        <v>0</v>
      </c>
      <c r="AR90" s="167">
        <f>Inputs!AR102*IF(Inputs!$E102="Real",1,AR$5)/Data!$F13</f>
        <v>0</v>
      </c>
      <c r="AS90" s="167">
        <f>Inputs!AS102*IF(Inputs!$E102="Real",1,AS$5)/Data!$F13</f>
        <v>0</v>
      </c>
      <c r="AT90" s="167">
        <f>Inputs!AT102*IF(Inputs!$E102="Real",1,AT$5)/Data!$F13</f>
        <v>0</v>
      </c>
      <c r="AU90" s="167">
        <f>Inputs!AU102*IF(Inputs!$E102="Real",1,AU$5)/Data!$F13</f>
        <v>0</v>
      </c>
      <c r="AV90" s="167">
        <f>Inputs!AV102*IF(Inputs!$E102="Real",1,AV$5)/Data!$F13</f>
        <v>0</v>
      </c>
      <c r="AW90" s="167">
        <f>Inputs!AW102*IF(Inputs!$E102="Real",1,AW$5)/Data!$F13</f>
        <v>0</v>
      </c>
      <c r="AX90" s="167">
        <f>Inputs!AX102*IF(Inputs!$E102="Real",1,AX$5)/Data!$F13</f>
        <v>0</v>
      </c>
      <c r="AY90" s="167">
        <f>Inputs!AY102*IF(Inputs!$E102="Real",1,AY$5)/Data!$F13</f>
        <v>0</v>
      </c>
      <c r="AZ90" s="167">
        <f>Inputs!AZ102*IF(Inputs!$E102="Real",1,AZ$5)/Data!$F13</f>
        <v>0</v>
      </c>
    </row>
    <row r="91" spans="1:52" x14ac:dyDescent="0.25">
      <c r="A91" s="4"/>
      <c r="B91" s="4"/>
      <c r="C91" s="4"/>
      <c r="D91" s="4"/>
      <c r="E91" s="4"/>
      <c r="F91" s="4"/>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row>
    <row r="92" spans="1:52" ht="60" x14ac:dyDescent="0.25">
      <c r="A92" s="50" t="s">
        <v>61</v>
      </c>
      <c r="B92" s="112" t="s">
        <v>75</v>
      </c>
      <c r="C92" s="112" t="s">
        <v>76</v>
      </c>
      <c r="D92" s="60" t="s">
        <v>123</v>
      </c>
      <c r="E92" s="60" t="s">
        <v>48</v>
      </c>
      <c r="F92" s="60" t="s">
        <v>319</v>
      </c>
      <c r="G92" s="51" t="s">
        <v>52</v>
      </c>
      <c r="H92" s="54" t="s">
        <v>77</v>
      </c>
      <c r="I92" s="54" t="s">
        <v>78</v>
      </c>
      <c r="J92" s="54" t="s">
        <v>79</v>
      </c>
      <c r="K92" s="54" t="s">
        <v>80</v>
      </c>
      <c r="L92" s="54" t="s">
        <v>81</v>
      </c>
      <c r="M92" s="54" t="s">
        <v>82</v>
      </c>
      <c r="N92" s="54" t="s">
        <v>83</v>
      </c>
      <c r="O92" s="54" t="s">
        <v>84</v>
      </c>
      <c r="P92" s="54" t="s">
        <v>85</v>
      </c>
      <c r="Q92" s="54" t="s">
        <v>86</v>
      </c>
      <c r="R92" s="54" t="s">
        <v>87</v>
      </c>
      <c r="S92" s="54" t="s">
        <v>88</v>
      </c>
      <c r="T92" s="54" t="s">
        <v>89</v>
      </c>
      <c r="U92" s="54" t="s">
        <v>90</v>
      </c>
      <c r="V92" s="54" t="s">
        <v>91</v>
      </c>
      <c r="W92" s="54" t="s">
        <v>92</v>
      </c>
      <c r="X92" s="54" t="s">
        <v>93</v>
      </c>
      <c r="Y92" s="54" t="s">
        <v>94</v>
      </c>
      <c r="Z92" s="54" t="s">
        <v>95</v>
      </c>
      <c r="AA92" s="54" t="s">
        <v>96</v>
      </c>
      <c r="AB92" s="54" t="s">
        <v>97</v>
      </c>
      <c r="AC92" s="54" t="s">
        <v>98</v>
      </c>
      <c r="AD92" s="54" t="s">
        <v>99</v>
      </c>
      <c r="AE92" s="54" t="s">
        <v>100</v>
      </c>
      <c r="AF92" s="54" t="s">
        <v>101</v>
      </c>
      <c r="AG92" s="54" t="s">
        <v>102</v>
      </c>
      <c r="AH92" s="54" t="s">
        <v>103</v>
      </c>
      <c r="AI92" s="54" t="s">
        <v>104</v>
      </c>
      <c r="AJ92" s="54" t="s">
        <v>105</v>
      </c>
      <c r="AK92" s="54" t="s">
        <v>106</v>
      </c>
      <c r="AL92" s="54" t="s">
        <v>107</v>
      </c>
      <c r="AM92" s="54" t="s">
        <v>108</v>
      </c>
      <c r="AN92" s="54" t="s">
        <v>109</v>
      </c>
      <c r="AO92" s="54" t="s">
        <v>110</v>
      </c>
      <c r="AP92" s="54" t="s">
        <v>111</v>
      </c>
      <c r="AQ92" s="54" t="s">
        <v>112</v>
      </c>
      <c r="AR92" s="54" t="s">
        <v>113</v>
      </c>
      <c r="AS92" s="54" t="s">
        <v>114</v>
      </c>
      <c r="AT92" s="54" t="s">
        <v>115</v>
      </c>
      <c r="AU92" s="54" t="s">
        <v>116</v>
      </c>
      <c r="AV92" s="54" t="s">
        <v>117</v>
      </c>
      <c r="AW92" s="54" t="s">
        <v>118</v>
      </c>
      <c r="AX92" s="54" t="s">
        <v>119</v>
      </c>
      <c r="AY92" s="54" t="s">
        <v>120</v>
      </c>
      <c r="AZ92" s="54" t="s">
        <v>121</v>
      </c>
    </row>
    <row r="93" spans="1:52" x14ac:dyDescent="0.25">
      <c r="A93" s="25"/>
      <c r="B93" s="170" t="str">
        <f>Inputs!B105</f>
        <v>Electricity</v>
      </c>
      <c r="C93" s="171" t="s">
        <v>170</v>
      </c>
      <c r="D93" s="171" t="s">
        <v>26</v>
      </c>
      <c r="E93" s="171" t="s">
        <v>124</v>
      </c>
      <c r="F93" s="228">
        <f t="shared" ref="F93:F103" ca="1" si="6">Analysis_year</f>
        <v>2025</v>
      </c>
      <c r="G93" s="166">
        <f>Inputs!G105</f>
        <v>0</v>
      </c>
      <c r="H93" s="165">
        <f>Data!M22/Data!$F3</f>
        <v>45.410647129950021</v>
      </c>
      <c r="I93" s="165">
        <f>Data!N22/Data!$F3</f>
        <v>43.405725949072362</v>
      </c>
      <c r="J93" s="165">
        <f>Data!O22/Data!$F3</f>
        <v>40.70503808330961</v>
      </c>
      <c r="K93" s="165">
        <f>Data!P22/Data!$F3</f>
        <v>38.924092685876658</v>
      </c>
      <c r="L93" s="165">
        <f>Data!Q22/Data!$F3</f>
        <v>37.142659017672841</v>
      </c>
      <c r="M93" s="165">
        <f>Data!R22/Data!$F3</f>
        <v>35.36094106958118</v>
      </c>
      <c r="N93" s="165">
        <f>Data!S22/Data!$F3</f>
        <v>33.38524701309619</v>
      </c>
      <c r="O93" s="165">
        <f>Data!T22/Data!$F3</f>
        <v>31.680437665604451</v>
      </c>
      <c r="P93" s="165">
        <f>Data!U22/Data!$F3</f>
        <v>32.212969150514049</v>
      </c>
      <c r="Q93" s="165">
        <f>Data!V22/Data!$F3</f>
        <v>32.767968741798235</v>
      </c>
      <c r="R93" s="165">
        <f>Data!W22/Data!$F3</f>
        <v>32.762152348089678</v>
      </c>
      <c r="S93" s="165">
        <f>Data!X22/Data!$F3</f>
        <v>32.827949806429963</v>
      </c>
      <c r="T93" s="165">
        <f>Data!Y22/Data!$F3</f>
        <v>32.815986856529165</v>
      </c>
      <c r="U93" s="165">
        <f>Data!Z22/Data!$F3</f>
        <v>32.799868938645247</v>
      </c>
      <c r="V93" s="165">
        <f>Data!AA22/Data!$F3</f>
        <v>32.783816045876151</v>
      </c>
      <c r="W93" s="165">
        <f>Data!AB22/Data!$F3</f>
        <v>32.767711470042805</v>
      </c>
      <c r="X93" s="165">
        <f>Data!AC22/Data!$F3</f>
        <v>32.751611225713383</v>
      </c>
      <c r="Y93" s="165">
        <f>Data!AD22/Data!$F3</f>
        <v>32.735499308149926</v>
      </c>
      <c r="Z93" s="165">
        <f>Data!AE22/Data!$F3</f>
        <v>32.719370973997883</v>
      </c>
      <c r="AA93" s="165">
        <f>Data!AF22/Data!$F3</f>
        <v>32.703214304154599</v>
      </c>
      <c r="AB93" s="165">
        <f>Data!AG22/Data!$F3</f>
        <v>32.68706727784361</v>
      </c>
      <c r="AC93" s="165">
        <f>Data!AH22/Data!$F3</f>
        <v>32.670897236183784</v>
      </c>
      <c r="AD93" s="165">
        <f>Data!AI22/Data!$F3</f>
        <v>32.654742862703834</v>
      </c>
      <c r="AE93" s="165">
        <f>Data!AJ22/Data!$F3</f>
        <v>32.638585726105731</v>
      </c>
      <c r="AF93" s="165">
        <f>Data!AK22/Data!$F3</f>
        <v>32.622400125843384</v>
      </c>
      <c r="AG93" s="165">
        <f>Data!AL22/Data!$F3</f>
        <v>32.622400125843384</v>
      </c>
      <c r="AH93" s="165">
        <f>Data!AM22/Data!$F3</f>
        <v>32.622400125843384</v>
      </c>
      <c r="AI93" s="165">
        <f>Data!AN22/Data!$F3</f>
        <v>32.622400125843384</v>
      </c>
      <c r="AJ93" s="165">
        <f>Data!AO22/Data!$F3</f>
        <v>32.622400125843384</v>
      </c>
      <c r="AK93" s="165">
        <f>Data!AP22/Data!$F3</f>
        <v>32.622400125843384</v>
      </c>
      <c r="AL93" s="165">
        <f>Data!AQ22/Data!$F3</f>
        <v>32.622400125843384</v>
      </c>
      <c r="AM93" s="165">
        <f>Data!AR22/Data!$F3</f>
        <v>32.622400125843384</v>
      </c>
      <c r="AN93" s="165">
        <f>Data!AS22/Data!$F3</f>
        <v>32.622400125843384</v>
      </c>
      <c r="AO93" s="165">
        <f>Data!AT22/Data!$F3</f>
        <v>32.622400125843384</v>
      </c>
      <c r="AP93" s="165">
        <f>Data!AU22/Data!$F3</f>
        <v>32.622400125843384</v>
      </c>
      <c r="AQ93" s="165">
        <f>Data!AV22/Data!$F3</f>
        <v>32.622400125843384</v>
      </c>
      <c r="AR93" s="165">
        <f>Data!AW22/Data!$F3</f>
        <v>32.622400125843384</v>
      </c>
      <c r="AS93" s="165">
        <f>Data!AX22/Data!$F3</f>
        <v>32.622400125843384</v>
      </c>
      <c r="AT93" s="165">
        <f>Data!AY22/Data!$F3</f>
        <v>32.622400125843384</v>
      </c>
      <c r="AU93" s="165">
        <f>Data!AZ22/Data!$F3</f>
        <v>32.622400125843384</v>
      </c>
      <c r="AV93" s="165">
        <f>Data!BA22/Data!$F3</f>
        <v>32.622400125843384</v>
      </c>
      <c r="AW93" s="165">
        <f>Data!BB22/Data!$F3</f>
        <v>32.622400125843384</v>
      </c>
      <c r="AX93" s="165">
        <f>Data!BC22/Data!$F3</f>
        <v>32.622400125843384</v>
      </c>
      <c r="AY93" s="165">
        <f>Data!BD22/Data!$F3</f>
        <v>32.622400125843384</v>
      </c>
      <c r="AZ93" s="165">
        <f>Data!BE22/Data!$F3</f>
        <v>32.622400125843384</v>
      </c>
    </row>
    <row r="94" spans="1:52" x14ac:dyDescent="0.25">
      <c r="A94" s="25"/>
      <c r="B94" s="170" t="str">
        <f>Inputs!B106</f>
        <v>Natural Gas</v>
      </c>
      <c r="C94" s="171" t="s">
        <v>170</v>
      </c>
      <c r="D94" s="171" t="s">
        <v>26</v>
      </c>
      <c r="E94" s="171" t="s">
        <v>124</v>
      </c>
      <c r="F94" s="228">
        <f t="shared" ca="1" si="6"/>
        <v>2025</v>
      </c>
      <c r="G94" s="166">
        <f>Inputs!G106</f>
        <v>0</v>
      </c>
      <c r="H94" s="165">
        <f>Inputs!H106*IF(Inputs!$E106="Real",1,H$5)/Data!$F4</f>
        <v>10</v>
      </c>
      <c r="I94" s="165">
        <f>Inputs!I106*IF(Inputs!$E106="Real",1,I$5)/Data!$F4</f>
        <v>10</v>
      </c>
      <c r="J94" s="165">
        <f>Inputs!J106*IF(Inputs!$E106="Real",1,J$5)/Data!$F4</f>
        <v>10</v>
      </c>
      <c r="K94" s="165">
        <f>Inputs!K106*IF(Inputs!$E106="Real",1,K$5)/Data!$F4</f>
        <v>10</v>
      </c>
      <c r="L94" s="165">
        <f>Inputs!L106*IF(Inputs!$E106="Real",1,L$5)/Data!$F4</f>
        <v>10</v>
      </c>
      <c r="M94" s="165">
        <f>Inputs!M106*IF(Inputs!$E106="Real",1,M$5)/Data!$F4</f>
        <v>10</v>
      </c>
      <c r="N94" s="165">
        <f>Inputs!N106*IF(Inputs!$E106="Real",1,N$5)/Data!$F4</f>
        <v>10</v>
      </c>
      <c r="O94" s="165">
        <f>Inputs!O106*IF(Inputs!$E106="Real",1,O$5)/Data!$F4</f>
        <v>10</v>
      </c>
      <c r="P94" s="165">
        <f>Inputs!P106*IF(Inputs!$E106="Real",1,P$5)/Data!$F4</f>
        <v>10</v>
      </c>
      <c r="Q94" s="165">
        <f>Inputs!Q106*IF(Inputs!$E106="Real",1,Q$5)/Data!$F4</f>
        <v>10</v>
      </c>
      <c r="R94" s="165">
        <f>Inputs!R106*IF(Inputs!$E106="Real",1,R$5)/Data!$F4</f>
        <v>10</v>
      </c>
      <c r="S94" s="165">
        <f>Inputs!S106*IF(Inputs!$E106="Real",1,S$5)/Data!$F4</f>
        <v>10</v>
      </c>
      <c r="T94" s="165">
        <f>Inputs!T106*IF(Inputs!$E106="Real",1,T$5)/Data!$F4</f>
        <v>10</v>
      </c>
      <c r="U94" s="165">
        <f>Inputs!U106*IF(Inputs!$E106="Real",1,U$5)/Data!$F4</f>
        <v>10</v>
      </c>
      <c r="V94" s="165">
        <f>Inputs!V106*IF(Inputs!$E106="Real",1,V$5)/Data!$F4</f>
        <v>10</v>
      </c>
      <c r="W94" s="165">
        <f>Inputs!W106*IF(Inputs!$E106="Real",1,W$5)/Data!$F4</f>
        <v>10</v>
      </c>
      <c r="X94" s="165">
        <f>Inputs!X106*IF(Inputs!$E106="Real",1,X$5)/Data!$F4</f>
        <v>10</v>
      </c>
      <c r="Y94" s="165">
        <f>Inputs!Y106*IF(Inputs!$E106="Real",1,Y$5)/Data!$F4</f>
        <v>10</v>
      </c>
      <c r="Z94" s="165">
        <f>Inputs!Z106*IF(Inputs!$E106="Real",1,Z$5)/Data!$F4</f>
        <v>10</v>
      </c>
      <c r="AA94" s="165">
        <f>Inputs!AA106*IF(Inputs!$E106="Real",1,AA$5)/Data!$F4</f>
        <v>10</v>
      </c>
      <c r="AB94" s="165">
        <f>Inputs!AB106*IF(Inputs!$E106="Real",1,AB$5)/Data!$F4</f>
        <v>10</v>
      </c>
      <c r="AC94" s="165">
        <f>Inputs!AC106*IF(Inputs!$E106="Real",1,AC$5)/Data!$F4</f>
        <v>10</v>
      </c>
      <c r="AD94" s="165">
        <f>Inputs!AD106*IF(Inputs!$E106="Real",1,AD$5)/Data!$F4</f>
        <v>0</v>
      </c>
      <c r="AE94" s="165">
        <f>Inputs!AE106*IF(Inputs!$E106="Real",1,AE$5)/Data!$F4</f>
        <v>0</v>
      </c>
      <c r="AF94" s="165">
        <f>Inputs!AF106*IF(Inputs!$E106="Real",1,AF$5)/Data!$F4</f>
        <v>0</v>
      </c>
      <c r="AG94" s="165">
        <f>Inputs!AG106*IF(Inputs!$E106="Real",1,AG$5)/Data!$F4</f>
        <v>0</v>
      </c>
      <c r="AH94" s="165">
        <f>Inputs!AH106*IF(Inputs!$E106="Real",1,AH$5)/Data!$F4</f>
        <v>0</v>
      </c>
      <c r="AI94" s="165">
        <f>Inputs!AI106*IF(Inputs!$E106="Real",1,AI$5)/Data!$F4</f>
        <v>0</v>
      </c>
      <c r="AJ94" s="165">
        <f>Inputs!AJ106*IF(Inputs!$E106="Real",1,AJ$5)/Data!$F4</f>
        <v>0</v>
      </c>
      <c r="AK94" s="165">
        <f>Inputs!AK106*IF(Inputs!$E106="Real",1,AK$5)/Data!$F4</f>
        <v>0</v>
      </c>
      <c r="AL94" s="165">
        <f>Inputs!AL106*IF(Inputs!$E106="Real",1,AL$5)/Data!$F4</f>
        <v>0</v>
      </c>
      <c r="AM94" s="165">
        <f>Inputs!AM106*IF(Inputs!$E106="Real",1,AM$5)/Data!$F4</f>
        <v>0</v>
      </c>
      <c r="AN94" s="165">
        <f>Inputs!AN106*IF(Inputs!$E106="Real",1,AN$5)/Data!$F4</f>
        <v>0</v>
      </c>
      <c r="AO94" s="165">
        <f>Inputs!AO106*IF(Inputs!$E106="Real",1,AO$5)/Data!$F4</f>
        <v>0</v>
      </c>
      <c r="AP94" s="165">
        <f>Inputs!AP106*IF(Inputs!$E106="Real",1,AP$5)/Data!$F4</f>
        <v>0</v>
      </c>
      <c r="AQ94" s="165">
        <f>Inputs!AQ106*IF(Inputs!$E106="Real",1,AQ$5)/Data!$F4</f>
        <v>0</v>
      </c>
      <c r="AR94" s="165">
        <f>Inputs!AR106*IF(Inputs!$E106="Real",1,AR$5)/Data!$F4</f>
        <v>0</v>
      </c>
      <c r="AS94" s="165">
        <f>Inputs!AS106*IF(Inputs!$E106="Real",1,AS$5)/Data!$F4</f>
        <v>0</v>
      </c>
      <c r="AT94" s="165">
        <f>Inputs!AT106*IF(Inputs!$E106="Real",1,AT$5)/Data!$F4</f>
        <v>0</v>
      </c>
      <c r="AU94" s="165">
        <f>Inputs!AU106*IF(Inputs!$E106="Real",1,AU$5)/Data!$F4</f>
        <v>0</v>
      </c>
      <c r="AV94" s="165">
        <f>Inputs!AV106*IF(Inputs!$E106="Real",1,AV$5)/Data!$F4</f>
        <v>0</v>
      </c>
      <c r="AW94" s="165">
        <f>Inputs!AW106*IF(Inputs!$E106="Real",1,AW$5)/Data!$F4</f>
        <v>0</v>
      </c>
      <c r="AX94" s="165">
        <f>Inputs!AX106*IF(Inputs!$E106="Real",1,AX$5)/Data!$F4</f>
        <v>0</v>
      </c>
      <c r="AY94" s="165">
        <f>Inputs!AY106*IF(Inputs!$E106="Real",1,AY$5)/Data!$F4</f>
        <v>0</v>
      </c>
      <c r="AZ94" s="165">
        <f>Inputs!AZ106*IF(Inputs!$E106="Real",1,AZ$5)/Data!$F4</f>
        <v>0</v>
      </c>
    </row>
    <row r="95" spans="1:52" x14ac:dyDescent="0.25">
      <c r="A95" s="25"/>
      <c r="B95" s="170" t="str">
        <f>Inputs!B107</f>
        <v>Coal - sub bituminous</v>
      </c>
      <c r="C95" s="171" t="s">
        <v>170</v>
      </c>
      <c r="D95" s="171" t="s">
        <v>26</v>
      </c>
      <c r="E95" s="171" t="s">
        <v>124</v>
      </c>
      <c r="F95" s="228">
        <f t="shared" ca="1" si="6"/>
        <v>2025</v>
      </c>
      <c r="G95" s="166">
        <f>Inputs!G107</f>
        <v>0</v>
      </c>
      <c r="H95" s="165">
        <f>Inputs!H107*IF(Inputs!$E107="Real",1,H$5)/Data!$F5</f>
        <v>6.8181818181818183</v>
      </c>
      <c r="I95" s="165">
        <f>Inputs!I107*IF(Inputs!$E107="Real",1,I$5)/Data!$F5</f>
        <v>6.8181818181818183</v>
      </c>
      <c r="J95" s="165">
        <f>Inputs!J107*IF(Inputs!$E107="Real",1,J$5)/Data!$F5</f>
        <v>6.8181818181818183</v>
      </c>
      <c r="K95" s="165">
        <f>Inputs!K107*IF(Inputs!$E107="Real",1,K$5)/Data!$F5</f>
        <v>6.8181818181818183</v>
      </c>
      <c r="L95" s="165">
        <f>Inputs!L107*IF(Inputs!$E107="Real",1,L$5)/Data!$F5</f>
        <v>6.8181818181818183</v>
      </c>
      <c r="M95" s="165">
        <f>Inputs!M107*IF(Inputs!$E107="Real",1,M$5)/Data!$F5</f>
        <v>6.8181818181818183</v>
      </c>
      <c r="N95" s="165">
        <f>Inputs!N107*IF(Inputs!$E107="Real",1,N$5)/Data!$F5</f>
        <v>6.8181818181818183</v>
      </c>
      <c r="O95" s="165">
        <f>Inputs!O107*IF(Inputs!$E107="Real",1,O$5)/Data!$F5</f>
        <v>6.8181818181818183</v>
      </c>
      <c r="P95" s="165">
        <f>Inputs!P107*IF(Inputs!$E107="Real",1,P$5)/Data!$F5</f>
        <v>6.8181818181818183</v>
      </c>
      <c r="Q95" s="165">
        <f>Inputs!Q107*IF(Inputs!$E107="Real",1,Q$5)/Data!$F5</f>
        <v>6.8181818181818183</v>
      </c>
      <c r="R95" s="165">
        <f>Inputs!R107*IF(Inputs!$E107="Real",1,R$5)/Data!$F5</f>
        <v>6.8181818181818183</v>
      </c>
      <c r="S95" s="165">
        <f>Inputs!S107*IF(Inputs!$E107="Real",1,S$5)/Data!$F5</f>
        <v>6.8181818181818183</v>
      </c>
      <c r="T95" s="165">
        <f>Inputs!T107*IF(Inputs!$E107="Real",1,T$5)/Data!$F5</f>
        <v>6.8181818181818183</v>
      </c>
      <c r="U95" s="165">
        <f>Inputs!U107*IF(Inputs!$E107="Real",1,U$5)/Data!$F5</f>
        <v>6.8181818181818183</v>
      </c>
      <c r="V95" s="165">
        <f>Inputs!V107*IF(Inputs!$E107="Real",1,V$5)/Data!$F5</f>
        <v>6.8181818181818183</v>
      </c>
      <c r="W95" s="165">
        <f>Inputs!W107*IF(Inputs!$E107="Real",1,W$5)/Data!$F5</f>
        <v>6.8181818181818183</v>
      </c>
      <c r="X95" s="165">
        <f>Inputs!X107*IF(Inputs!$E107="Real",1,X$5)/Data!$F5</f>
        <v>6.8181818181818183</v>
      </c>
      <c r="Y95" s="165">
        <f>Inputs!Y107*IF(Inputs!$E107="Real",1,Y$5)/Data!$F5</f>
        <v>6.8181818181818183</v>
      </c>
      <c r="Z95" s="165">
        <f>Inputs!Z107*IF(Inputs!$E107="Real",1,Z$5)/Data!$F5</f>
        <v>6.8181818181818183</v>
      </c>
      <c r="AA95" s="165">
        <f>Inputs!AA107*IF(Inputs!$E107="Real",1,AA$5)/Data!$F5</f>
        <v>6.8181818181818183</v>
      </c>
      <c r="AB95" s="165">
        <f>Inputs!AB107*IF(Inputs!$E107="Real",1,AB$5)/Data!$F5</f>
        <v>6.8181818181818183</v>
      </c>
      <c r="AC95" s="165">
        <f>Inputs!AC107*IF(Inputs!$E107="Real",1,AC$5)/Data!$F5</f>
        <v>6.8181818181818183</v>
      </c>
      <c r="AD95" s="165">
        <f>Inputs!AD107*IF(Inputs!$E107="Real",1,AD$5)/Data!$F5</f>
        <v>0</v>
      </c>
      <c r="AE95" s="165">
        <f>Inputs!AE107*IF(Inputs!$E107="Real",1,AE$5)/Data!$F5</f>
        <v>0</v>
      </c>
      <c r="AF95" s="165">
        <f>Inputs!AF107*IF(Inputs!$E107="Real",1,AF$5)/Data!$F5</f>
        <v>0</v>
      </c>
      <c r="AG95" s="165">
        <f>Inputs!AG107*IF(Inputs!$E107="Real",1,AG$5)/Data!$F5</f>
        <v>0</v>
      </c>
      <c r="AH95" s="165">
        <f>Inputs!AH107*IF(Inputs!$E107="Real",1,AH$5)/Data!$F5</f>
        <v>0</v>
      </c>
      <c r="AI95" s="165">
        <f>Inputs!AI107*IF(Inputs!$E107="Real",1,AI$5)/Data!$F5</f>
        <v>0</v>
      </c>
      <c r="AJ95" s="165">
        <f>Inputs!AJ107*IF(Inputs!$E107="Real",1,AJ$5)/Data!$F5</f>
        <v>0</v>
      </c>
      <c r="AK95" s="165">
        <f>Inputs!AK107*IF(Inputs!$E107="Real",1,AK$5)/Data!$F5</f>
        <v>0</v>
      </c>
      <c r="AL95" s="165">
        <f>Inputs!AL107*IF(Inputs!$E107="Real",1,AL$5)/Data!$F5</f>
        <v>0</v>
      </c>
      <c r="AM95" s="165">
        <f>Inputs!AM107*IF(Inputs!$E107="Real",1,AM$5)/Data!$F5</f>
        <v>0</v>
      </c>
      <c r="AN95" s="165">
        <f>Inputs!AN107*IF(Inputs!$E107="Real",1,AN$5)/Data!$F5</f>
        <v>0</v>
      </c>
      <c r="AO95" s="165">
        <f>Inputs!AO107*IF(Inputs!$E107="Real",1,AO$5)/Data!$F5</f>
        <v>0</v>
      </c>
      <c r="AP95" s="165">
        <f>Inputs!AP107*IF(Inputs!$E107="Real",1,AP$5)/Data!$F5</f>
        <v>0</v>
      </c>
      <c r="AQ95" s="165">
        <f>Inputs!AQ107*IF(Inputs!$E107="Real",1,AQ$5)/Data!$F5</f>
        <v>0</v>
      </c>
      <c r="AR95" s="165">
        <f>Inputs!AR107*IF(Inputs!$E107="Real",1,AR$5)/Data!$F5</f>
        <v>0</v>
      </c>
      <c r="AS95" s="165">
        <f>Inputs!AS107*IF(Inputs!$E107="Real",1,AS$5)/Data!$F5</f>
        <v>0</v>
      </c>
      <c r="AT95" s="165">
        <f>Inputs!AT107*IF(Inputs!$E107="Real",1,AT$5)/Data!$F5</f>
        <v>0</v>
      </c>
      <c r="AU95" s="165">
        <f>Inputs!AU107*IF(Inputs!$E107="Real",1,AU$5)/Data!$F5</f>
        <v>0</v>
      </c>
      <c r="AV95" s="165">
        <f>Inputs!AV107*IF(Inputs!$E107="Real",1,AV$5)/Data!$F5</f>
        <v>0</v>
      </c>
      <c r="AW95" s="165">
        <f>Inputs!AW107*IF(Inputs!$E107="Real",1,AW$5)/Data!$F5</f>
        <v>0</v>
      </c>
      <c r="AX95" s="165">
        <f>Inputs!AX107*IF(Inputs!$E107="Real",1,AX$5)/Data!$F5</f>
        <v>0</v>
      </c>
      <c r="AY95" s="165">
        <f>Inputs!AY107*IF(Inputs!$E107="Real",1,AY$5)/Data!$F5</f>
        <v>0</v>
      </c>
      <c r="AZ95" s="165">
        <f>Inputs!AZ107*IF(Inputs!$E107="Real",1,AZ$5)/Data!$F5</f>
        <v>0</v>
      </c>
    </row>
    <row r="96" spans="1:52" x14ac:dyDescent="0.25">
      <c r="A96" s="25"/>
      <c r="B96" s="170" t="str">
        <f>Inputs!B108</f>
        <v>Coal - bituminous</v>
      </c>
      <c r="C96" s="171" t="s">
        <v>170</v>
      </c>
      <c r="D96" s="171" t="s">
        <v>26</v>
      </c>
      <c r="E96" s="171" t="s">
        <v>124</v>
      </c>
      <c r="F96" s="228">
        <f t="shared" ca="1" si="6"/>
        <v>2025</v>
      </c>
      <c r="G96" s="166">
        <f>Inputs!G108</f>
        <v>0</v>
      </c>
      <c r="H96" s="165">
        <f>Inputs!H108*IF(Inputs!$E108="Real",1,H$5)/Data!$F6</f>
        <v>0</v>
      </c>
      <c r="I96" s="165">
        <f>Inputs!I108*IF(Inputs!$E108="Real",1,I$5)/Data!$F6</f>
        <v>0</v>
      </c>
      <c r="J96" s="165">
        <f>Inputs!J108*IF(Inputs!$E108="Real",1,J$5)/Data!$F6</f>
        <v>0</v>
      </c>
      <c r="K96" s="165">
        <f>Inputs!K108*IF(Inputs!$E108="Real",1,K$5)/Data!$F6</f>
        <v>0</v>
      </c>
      <c r="L96" s="165">
        <f>Inputs!L108*IF(Inputs!$E108="Real",1,L$5)/Data!$F6</f>
        <v>0</v>
      </c>
      <c r="M96" s="165">
        <f>Inputs!M108*IF(Inputs!$E108="Real",1,M$5)/Data!$F6</f>
        <v>0</v>
      </c>
      <c r="N96" s="165">
        <f>Inputs!N108*IF(Inputs!$E108="Real",1,N$5)/Data!$F6</f>
        <v>0</v>
      </c>
      <c r="O96" s="165">
        <f>Inputs!O108*IF(Inputs!$E108="Real",1,O$5)/Data!$F6</f>
        <v>0</v>
      </c>
      <c r="P96" s="165">
        <f>Inputs!P108*IF(Inputs!$E108="Real",1,P$5)/Data!$F6</f>
        <v>0</v>
      </c>
      <c r="Q96" s="165">
        <f>Inputs!Q108*IF(Inputs!$E108="Real",1,Q$5)/Data!$F6</f>
        <v>0</v>
      </c>
      <c r="R96" s="165">
        <f>Inputs!R108*IF(Inputs!$E108="Real",1,R$5)/Data!$F6</f>
        <v>0</v>
      </c>
      <c r="S96" s="165">
        <f>Inputs!S108*IF(Inputs!$E108="Real",1,S$5)/Data!$F6</f>
        <v>0</v>
      </c>
      <c r="T96" s="165">
        <f>Inputs!T108*IF(Inputs!$E108="Real",1,T$5)/Data!$F6</f>
        <v>0</v>
      </c>
      <c r="U96" s="165">
        <f>Inputs!U108*IF(Inputs!$E108="Real",1,U$5)/Data!$F6</f>
        <v>0</v>
      </c>
      <c r="V96" s="165">
        <f>Inputs!V108*IF(Inputs!$E108="Real",1,V$5)/Data!$F6</f>
        <v>0</v>
      </c>
      <c r="W96" s="165">
        <f>Inputs!W108*IF(Inputs!$E108="Real",1,W$5)/Data!$F6</f>
        <v>0</v>
      </c>
      <c r="X96" s="165">
        <f>Inputs!X108*IF(Inputs!$E108="Real",1,X$5)/Data!$F6</f>
        <v>0</v>
      </c>
      <c r="Y96" s="165">
        <f>Inputs!Y108*IF(Inputs!$E108="Real",1,Y$5)/Data!$F6</f>
        <v>0</v>
      </c>
      <c r="Z96" s="165">
        <f>Inputs!Z108*IF(Inputs!$E108="Real",1,Z$5)/Data!$F6</f>
        <v>0</v>
      </c>
      <c r="AA96" s="165">
        <f>Inputs!AA108*IF(Inputs!$E108="Real",1,AA$5)/Data!$F6</f>
        <v>0</v>
      </c>
      <c r="AB96" s="165">
        <f>Inputs!AB108*IF(Inputs!$E108="Real",1,AB$5)/Data!$F6</f>
        <v>0</v>
      </c>
      <c r="AC96" s="165">
        <f>Inputs!AC108*IF(Inputs!$E108="Real",1,AC$5)/Data!$F6</f>
        <v>0</v>
      </c>
      <c r="AD96" s="165">
        <f>Inputs!AD108*IF(Inputs!$E108="Real",1,AD$5)/Data!$F6</f>
        <v>0</v>
      </c>
      <c r="AE96" s="165">
        <f>Inputs!AE108*IF(Inputs!$E108="Real",1,AE$5)/Data!$F6</f>
        <v>0</v>
      </c>
      <c r="AF96" s="165">
        <f>Inputs!AF108*IF(Inputs!$E108="Real",1,AF$5)/Data!$F6</f>
        <v>0</v>
      </c>
      <c r="AG96" s="165">
        <f>Inputs!AG108*IF(Inputs!$E108="Real",1,AG$5)/Data!$F6</f>
        <v>0</v>
      </c>
      <c r="AH96" s="165">
        <f>Inputs!AH108*IF(Inputs!$E108="Real",1,AH$5)/Data!$F6</f>
        <v>0</v>
      </c>
      <c r="AI96" s="165">
        <f>Inputs!AI108*IF(Inputs!$E108="Real",1,AI$5)/Data!$F6</f>
        <v>0</v>
      </c>
      <c r="AJ96" s="165">
        <f>Inputs!AJ108*IF(Inputs!$E108="Real",1,AJ$5)/Data!$F6</f>
        <v>0</v>
      </c>
      <c r="AK96" s="165">
        <f>Inputs!AK108*IF(Inputs!$E108="Real",1,AK$5)/Data!$F6</f>
        <v>0</v>
      </c>
      <c r="AL96" s="165">
        <f>Inputs!AL108*IF(Inputs!$E108="Real",1,AL$5)/Data!$F6</f>
        <v>0</v>
      </c>
      <c r="AM96" s="165">
        <f>Inputs!AM108*IF(Inputs!$E108="Real",1,AM$5)/Data!$F6</f>
        <v>0</v>
      </c>
      <c r="AN96" s="165">
        <f>Inputs!AN108*IF(Inputs!$E108="Real",1,AN$5)/Data!$F6</f>
        <v>0</v>
      </c>
      <c r="AO96" s="165">
        <f>Inputs!AO108*IF(Inputs!$E108="Real",1,AO$5)/Data!$F6</f>
        <v>0</v>
      </c>
      <c r="AP96" s="165">
        <f>Inputs!AP108*IF(Inputs!$E108="Real",1,AP$5)/Data!$F6</f>
        <v>0</v>
      </c>
      <c r="AQ96" s="165">
        <f>Inputs!AQ108*IF(Inputs!$E108="Real",1,AQ$5)/Data!$F6</f>
        <v>0</v>
      </c>
      <c r="AR96" s="165">
        <f>Inputs!AR108*IF(Inputs!$E108="Real",1,AR$5)/Data!$F6</f>
        <v>0</v>
      </c>
      <c r="AS96" s="165">
        <f>Inputs!AS108*IF(Inputs!$E108="Real",1,AS$5)/Data!$F6</f>
        <v>0</v>
      </c>
      <c r="AT96" s="165">
        <f>Inputs!AT108*IF(Inputs!$E108="Real",1,AT$5)/Data!$F6</f>
        <v>0</v>
      </c>
      <c r="AU96" s="165">
        <f>Inputs!AU108*IF(Inputs!$E108="Real",1,AU$5)/Data!$F6</f>
        <v>0</v>
      </c>
      <c r="AV96" s="165">
        <f>Inputs!AV108*IF(Inputs!$E108="Real",1,AV$5)/Data!$F6</f>
        <v>0</v>
      </c>
      <c r="AW96" s="165">
        <f>Inputs!AW108*IF(Inputs!$E108="Real",1,AW$5)/Data!$F6</f>
        <v>0</v>
      </c>
      <c r="AX96" s="165">
        <f>Inputs!AX108*IF(Inputs!$E108="Real",1,AX$5)/Data!$F6</f>
        <v>0</v>
      </c>
      <c r="AY96" s="165">
        <f>Inputs!AY108*IF(Inputs!$E108="Real",1,AY$5)/Data!$F6</f>
        <v>0</v>
      </c>
      <c r="AZ96" s="165">
        <f>Inputs!AZ108*IF(Inputs!$E108="Real",1,AZ$5)/Data!$F6</f>
        <v>0</v>
      </c>
    </row>
    <row r="97" spans="1:52" x14ac:dyDescent="0.25">
      <c r="A97" s="25"/>
      <c r="B97" s="170" t="str">
        <f>Inputs!B109</f>
        <v>Coal - lignite</v>
      </c>
      <c r="C97" s="171" t="s">
        <v>170</v>
      </c>
      <c r="D97" s="171" t="s">
        <v>26</v>
      </c>
      <c r="E97" s="171" t="s">
        <v>124</v>
      </c>
      <c r="F97" s="228">
        <f t="shared" ca="1" si="6"/>
        <v>2025</v>
      </c>
      <c r="G97" s="166">
        <f>Inputs!G109</f>
        <v>0</v>
      </c>
      <c r="H97" s="165">
        <f>Inputs!H109*IF(Inputs!$E109="Real",1,H$5)/Data!$F7</f>
        <v>0</v>
      </c>
      <c r="I97" s="165">
        <f>Inputs!I109*IF(Inputs!$E109="Real",1,I$5)/Data!$F7</f>
        <v>0</v>
      </c>
      <c r="J97" s="165">
        <f>Inputs!J109*IF(Inputs!$E109="Real",1,J$5)/Data!$F7</f>
        <v>0</v>
      </c>
      <c r="K97" s="165">
        <f>Inputs!K109*IF(Inputs!$E109="Real",1,K$5)/Data!$F7</f>
        <v>0</v>
      </c>
      <c r="L97" s="165">
        <f>Inputs!L109*IF(Inputs!$E109="Real",1,L$5)/Data!$F7</f>
        <v>0</v>
      </c>
      <c r="M97" s="165">
        <f>Inputs!M109*IF(Inputs!$E109="Real",1,M$5)/Data!$F7</f>
        <v>0</v>
      </c>
      <c r="N97" s="165">
        <f>Inputs!N109*IF(Inputs!$E109="Real",1,N$5)/Data!$F7</f>
        <v>0</v>
      </c>
      <c r="O97" s="165">
        <f>Inputs!O109*IF(Inputs!$E109="Real",1,O$5)/Data!$F7</f>
        <v>0</v>
      </c>
      <c r="P97" s="165">
        <f>Inputs!P109*IF(Inputs!$E109="Real",1,P$5)/Data!$F7</f>
        <v>0</v>
      </c>
      <c r="Q97" s="165">
        <f>Inputs!Q109*IF(Inputs!$E109="Real",1,Q$5)/Data!$F7</f>
        <v>0</v>
      </c>
      <c r="R97" s="165">
        <f>Inputs!R109*IF(Inputs!$E109="Real",1,R$5)/Data!$F7</f>
        <v>0</v>
      </c>
      <c r="S97" s="165">
        <f>Inputs!S109*IF(Inputs!$E109="Real",1,S$5)/Data!$F7</f>
        <v>0</v>
      </c>
      <c r="T97" s="165">
        <f>Inputs!T109*IF(Inputs!$E109="Real",1,T$5)/Data!$F7</f>
        <v>0</v>
      </c>
      <c r="U97" s="165">
        <f>Inputs!U109*IF(Inputs!$E109="Real",1,U$5)/Data!$F7</f>
        <v>0</v>
      </c>
      <c r="V97" s="165">
        <f>Inputs!V109*IF(Inputs!$E109="Real",1,V$5)/Data!$F7</f>
        <v>0</v>
      </c>
      <c r="W97" s="165">
        <f>Inputs!W109*IF(Inputs!$E109="Real",1,W$5)/Data!$F7</f>
        <v>0</v>
      </c>
      <c r="X97" s="165">
        <f>Inputs!X109*IF(Inputs!$E109="Real",1,X$5)/Data!$F7</f>
        <v>0</v>
      </c>
      <c r="Y97" s="165">
        <f>Inputs!Y109*IF(Inputs!$E109="Real",1,Y$5)/Data!$F7</f>
        <v>0</v>
      </c>
      <c r="Z97" s="165">
        <f>Inputs!Z109*IF(Inputs!$E109="Real",1,Z$5)/Data!$F7</f>
        <v>0</v>
      </c>
      <c r="AA97" s="165">
        <f>Inputs!AA109*IF(Inputs!$E109="Real",1,AA$5)/Data!$F7</f>
        <v>0</v>
      </c>
      <c r="AB97" s="165">
        <f>Inputs!AB109*IF(Inputs!$E109="Real",1,AB$5)/Data!$F7</f>
        <v>0</v>
      </c>
      <c r="AC97" s="165">
        <f>Inputs!AC109*IF(Inputs!$E109="Real",1,AC$5)/Data!$F7</f>
        <v>0</v>
      </c>
      <c r="AD97" s="165">
        <f>Inputs!AD109*IF(Inputs!$E109="Real",1,AD$5)/Data!$F7</f>
        <v>0</v>
      </c>
      <c r="AE97" s="165">
        <f>Inputs!AE109*IF(Inputs!$E109="Real",1,AE$5)/Data!$F7</f>
        <v>0</v>
      </c>
      <c r="AF97" s="165">
        <f>Inputs!AF109*IF(Inputs!$E109="Real",1,AF$5)/Data!$F7</f>
        <v>0</v>
      </c>
      <c r="AG97" s="165">
        <f>Inputs!AG109*IF(Inputs!$E109="Real",1,AG$5)/Data!$F7</f>
        <v>0</v>
      </c>
      <c r="AH97" s="165">
        <f>Inputs!AH109*IF(Inputs!$E109="Real",1,AH$5)/Data!$F7</f>
        <v>0</v>
      </c>
      <c r="AI97" s="165">
        <f>Inputs!AI109*IF(Inputs!$E109="Real",1,AI$5)/Data!$F7</f>
        <v>0</v>
      </c>
      <c r="AJ97" s="165">
        <f>Inputs!AJ109*IF(Inputs!$E109="Real",1,AJ$5)/Data!$F7</f>
        <v>0</v>
      </c>
      <c r="AK97" s="165">
        <f>Inputs!AK109*IF(Inputs!$E109="Real",1,AK$5)/Data!$F7</f>
        <v>0</v>
      </c>
      <c r="AL97" s="165">
        <f>Inputs!AL109*IF(Inputs!$E109="Real",1,AL$5)/Data!$F7</f>
        <v>0</v>
      </c>
      <c r="AM97" s="165">
        <f>Inputs!AM109*IF(Inputs!$E109="Real",1,AM$5)/Data!$F7</f>
        <v>0</v>
      </c>
      <c r="AN97" s="165">
        <f>Inputs!AN109*IF(Inputs!$E109="Real",1,AN$5)/Data!$F7</f>
        <v>0</v>
      </c>
      <c r="AO97" s="165">
        <f>Inputs!AO109*IF(Inputs!$E109="Real",1,AO$5)/Data!$F7</f>
        <v>0</v>
      </c>
      <c r="AP97" s="165">
        <f>Inputs!AP109*IF(Inputs!$E109="Real",1,AP$5)/Data!$F7</f>
        <v>0</v>
      </c>
      <c r="AQ97" s="165">
        <f>Inputs!AQ109*IF(Inputs!$E109="Real",1,AQ$5)/Data!$F7</f>
        <v>0</v>
      </c>
      <c r="AR97" s="165">
        <f>Inputs!AR109*IF(Inputs!$E109="Real",1,AR$5)/Data!$F7</f>
        <v>0</v>
      </c>
      <c r="AS97" s="165">
        <f>Inputs!AS109*IF(Inputs!$E109="Real",1,AS$5)/Data!$F7</f>
        <v>0</v>
      </c>
      <c r="AT97" s="165">
        <f>Inputs!AT109*IF(Inputs!$E109="Real",1,AT$5)/Data!$F7</f>
        <v>0</v>
      </c>
      <c r="AU97" s="165">
        <f>Inputs!AU109*IF(Inputs!$E109="Real",1,AU$5)/Data!$F7</f>
        <v>0</v>
      </c>
      <c r="AV97" s="165">
        <f>Inputs!AV109*IF(Inputs!$E109="Real",1,AV$5)/Data!$F7</f>
        <v>0</v>
      </c>
      <c r="AW97" s="165">
        <f>Inputs!AW109*IF(Inputs!$E109="Real",1,AW$5)/Data!$F7</f>
        <v>0</v>
      </c>
      <c r="AX97" s="165">
        <f>Inputs!AX109*IF(Inputs!$E109="Real",1,AX$5)/Data!$F7</f>
        <v>0</v>
      </c>
      <c r="AY97" s="165">
        <f>Inputs!AY109*IF(Inputs!$E109="Real",1,AY$5)/Data!$F7</f>
        <v>0</v>
      </c>
      <c r="AZ97" s="165">
        <f>Inputs!AZ109*IF(Inputs!$E109="Real",1,AZ$5)/Data!$F7</f>
        <v>0</v>
      </c>
    </row>
    <row r="98" spans="1:52" x14ac:dyDescent="0.25">
      <c r="A98" s="25"/>
      <c r="B98" s="170" t="str">
        <f>Inputs!B110</f>
        <v>Diesel</v>
      </c>
      <c r="C98" s="171" t="s">
        <v>170</v>
      </c>
      <c r="D98" s="171" t="s">
        <v>26</v>
      </c>
      <c r="E98" s="171" t="s">
        <v>124</v>
      </c>
      <c r="F98" s="228">
        <f t="shared" ca="1" si="6"/>
        <v>2025</v>
      </c>
      <c r="G98" s="166">
        <f>Inputs!G110</f>
        <v>0</v>
      </c>
      <c r="H98" s="165">
        <f>Inputs!H110*IF(Inputs!$E110="Real",1,H$5)/Data!$F8</f>
        <v>5.6022408963585429E-2</v>
      </c>
      <c r="I98" s="165">
        <f>Inputs!I110*IF(Inputs!$E110="Real",1,I$5)/Data!$F8</f>
        <v>5.6022408963585429E-2</v>
      </c>
      <c r="J98" s="165">
        <f>Inputs!J110*IF(Inputs!$E110="Real",1,J$5)/Data!$F8</f>
        <v>5.6022408963585429E-2</v>
      </c>
      <c r="K98" s="165">
        <f>Inputs!K110*IF(Inputs!$E110="Real",1,K$5)/Data!$F8</f>
        <v>5.6022408963585429E-2</v>
      </c>
      <c r="L98" s="165">
        <f>Inputs!L110*IF(Inputs!$E110="Real",1,L$5)/Data!$F8</f>
        <v>5.6022408963585429E-2</v>
      </c>
      <c r="M98" s="165">
        <f>Inputs!M110*IF(Inputs!$E110="Real",1,M$5)/Data!$F8</f>
        <v>5.6022408963585429E-2</v>
      </c>
      <c r="N98" s="165">
        <f>Inputs!N110*IF(Inputs!$E110="Real",1,N$5)/Data!$F8</f>
        <v>5.6022408963585429E-2</v>
      </c>
      <c r="O98" s="165">
        <f>Inputs!O110*IF(Inputs!$E110="Real",1,O$5)/Data!$F8</f>
        <v>5.6022408963585429E-2</v>
      </c>
      <c r="P98" s="165">
        <f>Inputs!P110*IF(Inputs!$E110="Real",1,P$5)/Data!$F8</f>
        <v>5.6022408963585429E-2</v>
      </c>
      <c r="Q98" s="165">
        <f>Inputs!Q110*IF(Inputs!$E110="Real",1,Q$5)/Data!$F8</f>
        <v>5.6022408963585429E-2</v>
      </c>
      <c r="R98" s="165">
        <f>Inputs!R110*IF(Inputs!$E110="Real",1,R$5)/Data!$F8</f>
        <v>5.6022408963585429E-2</v>
      </c>
      <c r="S98" s="165">
        <f>Inputs!S110*IF(Inputs!$E110="Real",1,S$5)/Data!$F8</f>
        <v>5.6022408963585429E-2</v>
      </c>
      <c r="T98" s="165">
        <f>Inputs!T110*IF(Inputs!$E110="Real",1,T$5)/Data!$F8</f>
        <v>5.6022408963585429E-2</v>
      </c>
      <c r="U98" s="165">
        <f>Inputs!U110*IF(Inputs!$E110="Real",1,U$5)/Data!$F8</f>
        <v>5.6022408963585429E-2</v>
      </c>
      <c r="V98" s="165">
        <f>Inputs!V110*IF(Inputs!$E110="Real",1,V$5)/Data!$F8</f>
        <v>5.6022408963585429E-2</v>
      </c>
      <c r="W98" s="165">
        <f>Inputs!W110*IF(Inputs!$E110="Real",1,W$5)/Data!$F8</f>
        <v>5.6022408963585429E-2</v>
      </c>
      <c r="X98" s="165">
        <f>Inputs!X110*IF(Inputs!$E110="Real",1,X$5)/Data!$F8</f>
        <v>5.6022408963585429E-2</v>
      </c>
      <c r="Y98" s="165">
        <f>Inputs!Y110*IF(Inputs!$E110="Real",1,Y$5)/Data!$F8</f>
        <v>5.6022408963585429E-2</v>
      </c>
      <c r="Z98" s="165">
        <f>Inputs!Z110*IF(Inputs!$E110="Real",1,Z$5)/Data!$F8</f>
        <v>5.6022408963585429E-2</v>
      </c>
      <c r="AA98" s="165">
        <f>Inputs!AA110*IF(Inputs!$E110="Real",1,AA$5)/Data!$F8</f>
        <v>5.6022408963585429E-2</v>
      </c>
      <c r="AB98" s="165">
        <f>Inputs!AB110*IF(Inputs!$E110="Real",1,AB$5)/Data!$F8</f>
        <v>5.6022408963585429E-2</v>
      </c>
      <c r="AC98" s="165">
        <f>Inputs!AC110*IF(Inputs!$E110="Real",1,AC$5)/Data!$F8</f>
        <v>5.6022408963585429E-2</v>
      </c>
      <c r="AD98" s="165">
        <f>Inputs!AD110*IF(Inputs!$E110="Real",1,AD$5)/Data!$F8</f>
        <v>5.6022408963585429E-2</v>
      </c>
      <c r="AE98" s="165">
        <f>Inputs!AE110*IF(Inputs!$E110="Real",1,AE$5)/Data!$F8</f>
        <v>5.6022408963585429E-2</v>
      </c>
      <c r="AF98" s="165">
        <f>Inputs!AF110*IF(Inputs!$E110="Real",1,AF$5)/Data!$F8</f>
        <v>5.6022408963585429E-2</v>
      </c>
      <c r="AG98" s="165">
        <f>Inputs!AG110*IF(Inputs!$E110="Real",1,AG$5)/Data!$F8</f>
        <v>5.6022408963585429E-2</v>
      </c>
      <c r="AH98" s="165">
        <f>Inputs!AH110*IF(Inputs!$E110="Real",1,AH$5)/Data!$F8</f>
        <v>5.6022408963585429E-2</v>
      </c>
      <c r="AI98" s="165">
        <f>Inputs!AI110*IF(Inputs!$E110="Real",1,AI$5)/Data!$F8</f>
        <v>5.6022408963585429E-2</v>
      </c>
      <c r="AJ98" s="165">
        <f>Inputs!AJ110*IF(Inputs!$E110="Real",1,AJ$5)/Data!$F8</f>
        <v>5.6022408963585429E-2</v>
      </c>
      <c r="AK98" s="165">
        <f>Inputs!AK110*IF(Inputs!$E110="Real",1,AK$5)/Data!$F8</f>
        <v>5.6022408963585429E-2</v>
      </c>
      <c r="AL98" s="165">
        <f>Inputs!AL110*IF(Inputs!$E110="Real",1,AL$5)/Data!$F8</f>
        <v>5.6022408963585429E-2</v>
      </c>
      <c r="AM98" s="165">
        <f>Inputs!AM110*IF(Inputs!$E110="Real",1,AM$5)/Data!$F8</f>
        <v>5.6022408963585429E-2</v>
      </c>
      <c r="AN98" s="165">
        <f>Inputs!AN110*IF(Inputs!$E110="Real",1,AN$5)/Data!$F8</f>
        <v>5.6022408963585429E-2</v>
      </c>
      <c r="AO98" s="165">
        <f>Inputs!AO110*IF(Inputs!$E110="Real",1,AO$5)/Data!$F8</f>
        <v>5.6022408963585429E-2</v>
      </c>
      <c r="AP98" s="165">
        <f>Inputs!AP110*IF(Inputs!$E110="Real",1,AP$5)/Data!$F8</f>
        <v>5.6022408963585429E-2</v>
      </c>
      <c r="AQ98" s="165">
        <f>Inputs!AQ110*IF(Inputs!$E110="Real",1,AQ$5)/Data!$F8</f>
        <v>5.6022408963585429E-2</v>
      </c>
      <c r="AR98" s="165">
        <f>Inputs!AR110*IF(Inputs!$E110="Real",1,AR$5)/Data!$F8</f>
        <v>5.6022408963585429E-2</v>
      </c>
      <c r="AS98" s="165">
        <f>Inputs!AS110*IF(Inputs!$E110="Real",1,AS$5)/Data!$F8</f>
        <v>5.6022408963585429E-2</v>
      </c>
      <c r="AT98" s="165">
        <f>Inputs!AT110*IF(Inputs!$E110="Real",1,AT$5)/Data!$F8</f>
        <v>5.6022408963585429E-2</v>
      </c>
      <c r="AU98" s="165">
        <f>Inputs!AU110*IF(Inputs!$E110="Real",1,AU$5)/Data!$F8</f>
        <v>5.6022408963585429E-2</v>
      </c>
      <c r="AV98" s="165">
        <f>Inputs!AV110*IF(Inputs!$E110="Real",1,AV$5)/Data!$F8</f>
        <v>5.6022408963585429E-2</v>
      </c>
      <c r="AW98" s="165">
        <f>Inputs!AW110*IF(Inputs!$E110="Real",1,AW$5)/Data!$F8</f>
        <v>5.6022408963585429E-2</v>
      </c>
      <c r="AX98" s="165">
        <f>Inputs!AX110*IF(Inputs!$E110="Real",1,AX$5)/Data!$F8</f>
        <v>5.6022408963585429E-2</v>
      </c>
      <c r="AY98" s="165">
        <f>Inputs!AY110*IF(Inputs!$E110="Real",1,AY$5)/Data!$F8</f>
        <v>5.6022408963585429E-2</v>
      </c>
      <c r="AZ98" s="165">
        <f>Inputs!AZ110*IF(Inputs!$E110="Real",1,AZ$5)/Data!$F8</f>
        <v>5.6022408963585429E-2</v>
      </c>
    </row>
    <row r="99" spans="1:52" x14ac:dyDescent="0.25">
      <c r="A99" s="25"/>
      <c r="B99" s="170" t="str">
        <f>Inputs!B111</f>
        <v>LPG</v>
      </c>
      <c r="C99" s="171" t="s">
        <v>170</v>
      </c>
      <c r="D99" s="171" t="s">
        <v>26</v>
      </c>
      <c r="E99" s="171" t="s">
        <v>124</v>
      </c>
      <c r="F99" s="228">
        <f t="shared" ca="1" si="6"/>
        <v>2025</v>
      </c>
      <c r="G99" s="166">
        <f>Inputs!G111</f>
        <v>0</v>
      </c>
      <c r="H99" s="165">
        <f>Inputs!H111*IF(Inputs!$E111="Real",1,H$5)/Data!$F9</f>
        <v>0</v>
      </c>
      <c r="I99" s="165">
        <f>Inputs!I111*IF(Inputs!$E111="Real",1,I$5)/Data!$F9</f>
        <v>0</v>
      </c>
      <c r="J99" s="165">
        <f>Inputs!J111*IF(Inputs!$E111="Real",1,J$5)/Data!$F9</f>
        <v>0</v>
      </c>
      <c r="K99" s="165">
        <f>Inputs!K111*IF(Inputs!$E111="Real",1,K$5)/Data!$F9</f>
        <v>0</v>
      </c>
      <c r="L99" s="165">
        <f>Inputs!L111*IF(Inputs!$E111="Real",1,L$5)/Data!$F9</f>
        <v>0</v>
      </c>
      <c r="M99" s="165">
        <f>Inputs!M111*IF(Inputs!$E111="Real",1,M$5)/Data!$F9</f>
        <v>0</v>
      </c>
      <c r="N99" s="165">
        <f>Inputs!N111*IF(Inputs!$E111="Real",1,N$5)/Data!$F9</f>
        <v>0</v>
      </c>
      <c r="O99" s="165">
        <f>Inputs!O111*IF(Inputs!$E111="Real",1,O$5)/Data!$F9</f>
        <v>0</v>
      </c>
      <c r="P99" s="165">
        <f>Inputs!P111*IF(Inputs!$E111="Real",1,P$5)/Data!$F9</f>
        <v>0</v>
      </c>
      <c r="Q99" s="165">
        <f>Inputs!Q111*IF(Inputs!$E111="Real",1,Q$5)/Data!$F9</f>
        <v>0</v>
      </c>
      <c r="R99" s="165">
        <f>Inputs!R111*IF(Inputs!$E111="Real",1,R$5)/Data!$F9</f>
        <v>0</v>
      </c>
      <c r="S99" s="165">
        <f>Inputs!S111*IF(Inputs!$E111="Real",1,S$5)/Data!$F9</f>
        <v>0</v>
      </c>
      <c r="T99" s="165">
        <f>Inputs!T111*IF(Inputs!$E111="Real",1,T$5)/Data!$F9</f>
        <v>0</v>
      </c>
      <c r="U99" s="165">
        <f>Inputs!U111*IF(Inputs!$E111="Real",1,U$5)/Data!$F9</f>
        <v>0</v>
      </c>
      <c r="V99" s="165">
        <f>Inputs!V111*IF(Inputs!$E111="Real",1,V$5)/Data!$F9</f>
        <v>0</v>
      </c>
      <c r="W99" s="165">
        <f>Inputs!W111*IF(Inputs!$E111="Real",1,W$5)/Data!$F9</f>
        <v>0</v>
      </c>
      <c r="X99" s="165">
        <f>Inputs!X111*IF(Inputs!$E111="Real",1,X$5)/Data!$F9</f>
        <v>0</v>
      </c>
      <c r="Y99" s="165">
        <f>Inputs!Y111*IF(Inputs!$E111="Real",1,Y$5)/Data!$F9</f>
        <v>0</v>
      </c>
      <c r="Z99" s="165">
        <f>Inputs!Z111*IF(Inputs!$E111="Real",1,Z$5)/Data!$F9</f>
        <v>0</v>
      </c>
      <c r="AA99" s="165">
        <f>Inputs!AA111*IF(Inputs!$E111="Real",1,AA$5)/Data!$F9</f>
        <v>0</v>
      </c>
      <c r="AB99" s="165">
        <f>Inputs!AB111*IF(Inputs!$E111="Real",1,AB$5)/Data!$F9</f>
        <v>0</v>
      </c>
      <c r="AC99" s="165">
        <f>Inputs!AC111*IF(Inputs!$E111="Real",1,AC$5)/Data!$F9</f>
        <v>0</v>
      </c>
      <c r="AD99" s="165">
        <f>Inputs!AD111*IF(Inputs!$E111="Real",1,AD$5)/Data!$F9</f>
        <v>0</v>
      </c>
      <c r="AE99" s="165">
        <f>Inputs!AE111*IF(Inputs!$E111="Real",1,AE$5)/Data!$F9</f>
        <v>0</v>
      </c>
      <c r="AF99" s="165">
        <f>Inputs!AF111*IF(Inputs!$E111="Real",1,AF$5)/Data!$F9</f>
        <v>0</v>
      </c>
      <c r="AG99" s="165">
        <f>Inputs!AG111*IF(Inputs!$E111="Real",1,AG$5)/Data!$F9</f>
        <v>0</v>
      </c>
      <c r="AH99" s="165">
        <f>Inputs!AH111*IF(Inputs!$E111="Real",1,AH$5)/Data!$F9</f>
        <v>0</v>
      </c>
      <c r="AI99" s="165">
        <f>Inputs!AI111*IF(Inputs!$E111="Real",1,AI$5)/Data!$F9</f>
        <v>0</v>
      </c>
      <c r="AJ99" s="165">
        <f>Inputs!AJ111*IF(Inputs!$E111="Real",1,AJ$5)/Data!$F9</f>
        <v>0</v>
      </c>
      <c r="AK99" s="165">
        <f>Inputs!AK111*IF(Inputs!$E111="Real",1,AK$5)/Data!$F9</f>
        <v>0</v>
      </c>
      <c r="AL99" s="165">
        <f>Inputs!AL111*IF(Inputs!$E111="Real",1,AL$5)/Data!$F9</f>
        <v>0</v>
      </c>
      <c r="AM99" s="165">
        <f>Inputs!AM111*IF(Inputs!$E111="Real",1,AM$5)/Data!$F9</f>
        <v>0</v>
      </c>
      <c r="AN99" s="165">
        <f>Inputs!AN111*IF(Inputs!$E111="Real",1,AN$5)/Data!$F9</f>
        <v>0</v>
      </c>
      <c r="AO99" s="165">
        <f>Inputs!AO111*IF(Inputs!$E111="Real",1,AO$5)/Data!$F9</f>
        <v>0</v>
      </c>
      <c r="AP99" s="165">
        <f>Inputs!AP111*IF(Inputs!$E111="Real",1,AP$5)/Data!$F9</f>
        <v>0</v>
      </c>
      <c r="AQ99" s="165">
        <f>Inputs!AQ111*IF(Inputs!$E111="Real",1,AQ$5)/Data!$F9</f>
        <v>0</v>
      </c>
      <c r="AR99" s="165">
        <f>Inputs!AR111*IF(Inputs!$E111="Real",1,AR$5)/Data!$F9</f>
        <v>0</v>
      </c>
      <c r="AS99" s="165">
        <f>Inputs!AS111*IF(Inputs!$E111="Real",1,AS$5)/Data!$F9</f>
        <v>0</v>
      </c>
      <c r="AT99" s="165">
        <f>Inputs!AT111*IF(Inputs!$E111="Real",1,AT$5)/Data!$F9</f>
        <v>0</v>
      </c>
      <c r="AU99" s="165">
        <f>Inputs!AU111*IF(Inputs!$E111="Real",1,AU$5)/Data!$F9</f>
        <v>0</v>
      </c>
      <c r="AV99" s="165">
        <f>Inputs!AV111*IF(Inputs!$E111="Real",1,AV$5)/Data!$F9</f>
        <v>0</v>
      </c>
      <c r="AW99" s="165">
        <f>Inputs!AW111*IF(Inputs!$E111="Real",1,AW$5)/Data!$F9</f>
        <v>0</v>
      </c>
      <c r="AX99" s="165">
        <f>Inputs!AX111*IF(Inputs!$E111="Real",1,AX$5)/Data!$F9</f>
        <v>0</v>
      </c>
      <c r="AY99" s="165">
        <f>Inputs!AY111*IF(Inputs!$E111="Real",1,AY$5)/Data!$F9</f>
        <v>0</v>
      </c>
      <c r="AZ99" s="165">
        <f>Inputs!AZ111*IF(Inputs!$E111="Real",1,AZ$5)/Data!$F9</f>
        <v>0</v>
      </c>
    </row>
    <row r="100" spans="1:52" x14ac:dyDescent="0.25">
      <c r="A100" s="25"/>
      <c r="B100" s="170" t="str">
        <f>Inputs!B112</f>
        <v>Light fuel oil</v>
      </c>
      <c r="C100" s="171" t="s">
        <v>170</v>
      </c>
      <c r="D100" s="171" t="s">
        <v>26</v>
      </c>
      <c r="E100" s="171" t="s">
        <v>124</v>
      </c>
      <c r="F100" s="228">
        <f t="shared" ca="1" si="6"/>
        <v>2025</v>
      </c>
      <c r="G100" s="166">
        <f>Inputs!G112</f>
        <v>0</v>
      </c>
      <c r="H100" s="165">
        <f>Inputs!H112*IF(Inputs!$E112="Real",1,H$5)/Data!$F10</f>
        <v>0</v>
      </c>
      <c r="I100" s="165">
        <f>Inputs!I112*IF(Inputs!$E112="Real",1,I$5)/Data!$F10</f>
        <v>0</v>
      </c>
      <c r="J100" s="165">
        <f>Inputs!J112*IF(Inputs!$E112="Real",1,J$5)/Data!$F10</f>
        <v>0</v>
      </c>
      <c r="K100" s="165">
        <f>Inputs!K112*IF(Inputs!$E112="Real",1,K$5)/Data!$F10</f>
        <v>0</v>
      </c>
      <c r="L100" s="165">
        <f>Inputs!L112*IF(Inputs!$E112="Real",1,L$5)/Data!$F10</f>
        <v>0</v>
      </c>
      <c r="M100" s="165">
        <f>Inputs!M112*IF(Inputs!$E112="Real",1,M$5)/Data!$F10</f>
        <v>0</v>
      </c>
      <c r="N100" s="165">
        <f>Inputs!N112*IF(Inputs!$E112="Real",1,N$5)/Data!$F10</f>
        <v>0</v>
      </c>
      <c r="O100" s="165">
        <f>Inputs!O112*IF(Inputs!$E112="Real",1,O$5)/Data!$F10</f>
        <v>0</v>
      </c>
      <c r="P100" s="165">
        <f>Inputs!P112*IF(Inputs!$E112="Real",1,P$5)/Data!$F10</f>
        <v>0</v>
      </c>
      <c r="Q100" s="165">
        <f>Inputs!Q112*IF(Inputs!$E112="Real",1,Q$5)/Data!$F10</f>
        <v>0</v>
      </c>
      <c r="R100" s="165">
        <f>Inputs!R112*IF(Inputs!$E112="Real",1,R$5)/Data!$F10</f>
        <v>0</v>
      </c>
      <c r="S100" s="165">
        <f>Inputs!S112*IF(Inputs!$E112="Real",1,S$5)/Data!$F10</f>
        <v>0</v>
      </c>
      <c r="T100" s="165">
        <f>Inputs!T112*IF(Inputs!$E112="Real",1,T$5)/Data!$F10</f>
        <v>0</v>
      </c>
      <c r="U100" s="165">
        <f>Inputs!U112*IF(Inputs!$E112="Real",1,U$5)/Data!$F10</f>
        <v>0</v>
      </c>
      <c r="V100" s="165">
        <f>Inputs!V112*IF(Inputs!$E112="Real",1,V$5)/Data!$F10</f>
        <v>0</v>
      </c>
      <c r="W100" s="165">
        <f>Inputs!W112*IF(Inputs!$E112="Real",1,W$5)/Data!$F10</f>
        <v>0</v>
      </c>
      <c r="X100" s="165">
        <f>Inputs!X112*IF(Inputs!$E112="Real",1,X$5)/Data!$F10</f>
        <v>0</v>
      </c>
      <c r="Y100" s="165">
        <f>Inputs!Y112*IF(Inputs!$E112="Real",1,Y$5)/Data!$F10</f>
        <v>0</v>
      </c>
      <c r="Z100" s="165">
        <f>Inputs!Z112*IF(Inputs!$E112="Real",1,Z$5)/Data!$F10</f>
        <v>0</v>
      </c>
      <c r="AA100" s="165">
        <f>Inputs!AA112*IF(Inputs!$E112="Real",1,AA$5)/Data!$F10</f>
        <v>0</v>
      </c>
      <c r="AB100" s="165">
        <f>Inputs!AB112*IF(Inputs!$E112="Real",1,AB$5)/Data!$F10</f>
        <v>0</v>
      </c>
      <c r="AC100" s="165">
        <f>Inputs!AC112*IF(Inputs!$E112="Real",1,AC$5)/Data!$F10</f>
        <v>0</v>
      </c>
      <c r="AD100" s="165">
        <f>Inputs!AD112*IF(Inputs!$E112="Real",1,AD$5)/Data!$F10</f>
        <v>0</v>
      </c>
      <c r="AE100" s="165">
        <f>Inputs!AE112*IF(Inputs!$E112="Real",1,AE$5)/Data!$F10</f>
        <v>0</v>
      </c>
      <c r="AF100" s="165">
        <f>Inputs!AF112*IF(Inputs!$E112="Real",1,AF$5)/Data!$F10</f>
        <v>0</v>
      </c>
      <c r="AG100" s="165">
        <f>Inputs!AG112*IF(Inputs!$E112="Real",1,AG$5)/Data!$F10</f>
        <v>0</v>
      </c>
      <c r="AH100" s="165">
        <f>Inputs!AH112*IF(Inputs!$E112="Real",1,AH$5)/Data!$F10</f>
        <v>0</v>
      </c>
      <c r="AI100" s="165">
        <f>Inputs!AI112*IF(Inputs!$E112="Real",1,AI$5)/Data!$F10</f>
        <v>0</v>
      </c>
      <c r="AJ100" s="165">
        <f>Inputs!AJ112*IF(Inputs!$E112="Real",1,AJ$5)/Data!$F10</f>
        <v>0</v>
      </c>
      <c r="AK100" s="165">
        <f>Inputs!AK112*IF(Inputs!$E112="Real",1,AK$5)/Data!$F10</f>
        <v>0</v>
      </c>
      <c r="AL100" s="165">
        <f>Inputs!AL112*IF(Inputs!$E112="Real",1,AL$5)/Data!$F10</f>
        <v>0</v>
      </c>
      <c r="AM100" s="165">
        <f>Inputs!AM112*IF(Inputs!$E112="Real",1,AM$5)/Data!$F10</f>
        <v>0</v>
      </c>
      <c r="AN100" s="165">
        <f>Inputs!AN112*IF(Inputs!$E112="Real",1,AN$5)/Data!$F10</f>
        <v>0</v>
      </c>
      <c r="AO100" s="165">
        <f>Inputs!AO112*IF(Inputs!$E112="Real",1,AO$5)/Data!$F10</f>
        <v>0</v>
      </c>
      <c r="AP100" s="165">
        <f>Inputs!AP112*IF(Inputs!$E112="Real",1,AP$5)/Data!$F10</f>
        <v>0</v>
      </c>
      <c r="AQ100" s="165">
        <f>Inputs!AQ112*IF(Inputs!$E112="Real",1,AQ$5)/Data!$F10</f>
        <v>0</v>
      </c>
      <c r="AR100" s="165">
        <f>Inputs!AR112*IF(Inputs!$E112="Real",1,AR$5)/Data!$F10</f>
        <v>0</v>
      </c>
      <c r="AS100" s="165">
        <f>Inputs!AS112*IF(Inputs!$E112="Real",1,AS$5)/Data!$F10</f>
        <v>0</v>
      </c>
      <c r="AT100" s="165">
        <f>Inputs!AT112*IF(Inputs!$E112="Real",1,AT$5)/Data!$F10</f>
        <v>0</v>
      </c>
      <c r="AU100" s="165">
        <f>Inputs!AU112*IF(Inputs!$E112="Real",1,AU$5)/Data!$F10</f>
        <v>0</v>
      </c>
      <c r="AV100" s="165">
        <f>Inputs!AV112*IF(Inputs!$E112="Real",1,AV$5)/Data!$F10</f>
        <v>0</v>
      </c>
      <c r="AW100" s="165">
        <f>Inputs!AW112*IF(Inputs!$E112="Real",1,AW$5)/Data!$F10</f>
        <v>0</v>
      </c>
      <c r="AX100" s="165">
        <f>Inputs!AX112*IF(Inputs!$E112="Real",1,AX$5)/Data!$F10</f>
        <v>0</v>
      </c>
      <c r="AY100" s="165">
        <f>Inputs!AY112*IF(Inputs!$E112="Real",1,AY$5)/Data!$F10</f>
        <v>0</v>
      </c>
      <c r="AZ100" s="165">
        <f>Inputs!AZ112*IF(Inputs!$E112="Real",1,AZ$5)/Data!$F10</f>
        <v>0</v>
      </c>
    </row>
    <row r="101" spans="1:52" x14ac:dyDescent="0.25">
      <c r="A101" s="25"/>
      <c r="B101" s="170" t="str">
        <f>Inputs!B113</f>
        <v>Heavy fuel oil</v>
      </c>
      <c r="C101" s="171" t="s">
        <v>170</v>
      </c>
      <c r="D101" s="171" t="s">
        <v>26</v>
      </c>
      <c r="E101" s="171" t="s">
        <v>124</v>
      </c>
      <c r="F101" s="228">
        <f t="shared" ca="1" si="6"/>
        <v>2025</v>
      </c>
      <c r="G101" s="166">
        <f>Inputs!G113</f>
        <v>0</v>
      </c>
      <c r="H101" s="165">
        <f>Inputs!H113*IF(Inputs!$E113="Real",1,H$5)/Data!$F11</f>
        <v>0</v>
      </c>
      <c r="I101" s="165">
        <f>Inputs!I113*IF(Inputs!$E113="Real",1,I$5)/Data!$F11</f>
        <v>0</v>
      </c>
      <c r="J101" s="165">
        <f>Inputs!J113*IF(Inputs!$E113="Real",1,J$5)/Data!$F11</f>
        <v>0</v>
      </c>
      <c r="K101" s="165">
        <f>Inputs!K113*IF(Inputs!$E113="Real",1,K$5)/Data!$F11</f>
        <v>0</v>
      </c>
      <c r="L101" s="165">
        <f>Inputs!L113*IF(Inputs!$E113="Real",1,L$5)/Data!$F11</f>
        <v>0</v>
      </c>
      <c r="M101" s="165">
        <f>Inputs!M113*IF(Inputs!$E113="Real",1,M$5)/Data!$F11</f>
        <v>0</v>
      </c>
      <c r="N101" s="165">
        <f>Inputs!N113*IF(Inputs!$E113="Real",1,N$5)/Data!$F11</f>
        <v>0</v>
      </c>
      <c r="O101" s="165">
        <f>Inputs!O113*IF(Inputs!$E113="Real",1,O$5)/Data!$F11</f>
        <v>0</v>
      </c>
      <c r="P101" s="165">
        <f>Inputs!P113*IF(Inputs!$E113="Real",1,P$5)/Data!$F11</f>
        <v>0</v>
      </c>
      <c r="Q101" s="165">
        <f>Inputs!Q113*IF(Inputs!$E113="Real",1,Q$5)/Data!$F11</f>
        <v>0</v>
      </c>
      <c r="R101" s="165">
        <f>Inputs!R113*IF(Inputs!$E113="Real",1,R$5)/Data!$F11</f>
        <v>0</v>
      </c>
      <c r="S101" s="165">
        <f>Inputs!S113*IF(Inputs!$E113="Real",1,S$5)/Data!$F11</f>
        <v>0</v>
      </c>
      <c r="T101" s="165">
        <f>Inputs!T113*IF(Inputs!$E113="Real",1,T$5)/Data!$F11</f>
        <v>0</v>
      </c>
      <c r="U101" s="165">
        <f>Inputs!U113*IF(Inputs!$E113="Real",1,U$5)/Data!$F11</f>
        <v>0</v>
      </c>
      <c r="V101" s="165">
        <f>Inputs!V113*IF(Inputs!$E113="Real",1,V$5)/Data!$F11</f>
        <v>0</v>
      </c>
      <c r="W101" s="165">
        <f>Inputs!W113*IF(Inputs!$E113="Real",1,W$5)/Data!$F11</f>
        <v>0</v>
      </c>
      <c r="X101" s="165">
        <f>Inputs!X113*IF(Inputs!$E113="Real",1,X$5)/Data!$F11</f>
        <v>0</v>
      </c>
      <c r="Y101" s="165">
        <f>Inputs!Y113*IF(Inputs!$E113="Real",1,Y$5)/Data!$F11</f>
        <v>0</v>
      </c>
      <c r="Z101" s="165">
        <f>Inputs!Z113*IF(Inputs!$E113="Real",1,Z$5)/Data!$F11</f>
        <v>0</v>
      </c>
      <c r="AA101" s="165">
        <f>Inputs!AA113*IF(Inputs!$E113="Real",1,AA$5)/Data!$F11</f>
        <v>0</v>
      </c>
      <c r="AB101" s="165">
        <f>Inputs!AB113*IF(Inputs!$E113="Real",1,AB$5)/Data!$F11</f>
        <v>0</v>
      </c>
      <c r="AC101" s="165">
        <f>Inputs!AC113*IF(Inputs!$E113="Real",1,AC$5)/Data!$F11</f>
        <v>0</v>
      </c>
      <c r="AD101" s="165">
        <f>Inputs!AD113*IF(Inputs!$E113="Real",1,AD$5)/Data!$F11</f>
        <v>0</v>
      </c>
      <c r="AE101" s="165">
        <f>Inputs!AE113*IF(Inputs!$E113="Real",1,AE$5)/Data!$F11</f>
        <v>0</v>
      </c>
      <c r="AF101" s="165">
        <f>Inputs!AF113*IF(Inputs!$E113="Real",1,AF$5)/Data!$F11</f>
        <v>0</v>
      </c>
      <c r="AG101" s="165">
        <f>Inputs!AG113*IF(Inputs!$E113="Real",1,AG$5)/Data!$F11</f>
        <v>0</v>
      </c>
      <c r="AH101" s="165">
        <f>Inputs!AH113*IF(Inputs!$E113="Real",1,AH$5)/Data!$F11</f>
        <v>0</v>
      </c>
      <c r="AI101" s="165">
        <f>Inputs!AI113*IF(Inputs!$E113="Real",1,AI$5)/Data!$F11</f>
        <v>0</v>
      </c>
      <c r="AJ101" s="165">
        <f>Inputs!AJ113*IF(Inputs!$E113="Real",1,AJ$5)/Data!$F11</f>
        <v>0</v>
      </c>
      <c r="AK101" s="165">
        <f>Inputs!AK113*IF(Inputs!$E113="Real",1,AK$5)/Data!$F11</f>
        <v>0</v>
      </c>
      <c r="AL101" s="165">
        <f>Inputs!AL113*IF(Inputs!$E113="Real",1,AL$5)/Data!$F11</f>
        <v>0</v>
      </c>
      <c r="AM101" s="165">
        <f>Inputs!AM113*IF(Inputs!$E113="Real",1,AM$5)/Data!$F11</f>
        <v>0</v>
      </c>
      <c r="AN101" s="165">
        <f>Inputs!AN113*IF(Inputs!$E113="Real",1,AN$5)/Data!$F11</f>
        <v>0</v>
      </c>
      <c r="AO101" s="165">
        <f>Inputs!AO113*IF(Inputs!$E113="Real",1,AO$5)/Data!$F11</f>
        <v>0</v>
      </c>
      <c r="AP101" s="165">
        <f>Inputs!AP113*IF(Inputs!$E113="Real",1,AP$5)/Data!$F11</f>
        <v>0</v>
      </c>
      <c r="AQ101" s="165">
        <f>Inputs!AQ113*IF(Inputs!$E113="Real",1,AQ$5)/Data!$F11</f>
        <v>0</v>
      </c>
      <c r="AR101" s="165">
        <f>Inputs!AR113*IF(Inputs!$E113="Real",1,AR$5)/Data!$F11</f>
        <v>0</v>
      </c>
      <c r="AS101" s="165">
        <f>Inputs!AS113*IF(Inputs!$E113="Real",1,AS$5)/Data!$F11</f>
        <v>0</v>
      </c>
      <c r="AT101" s="165">
        <f>Inputs!AT113*IF(Inputs!$E113="Real",1,AT$5)/Data!$F11</f>
        <v>0</v>
      </c>
      <c r="AU101" s="165">
        <f>Inputs!AU113*IF(Inputs!$E113="Real",1,AU$5)/Data!$F11</f>
        <v>0</v>
      </c>
      <c r="AV101" s="165">
        <f>Inputs!AV113*IF(Inputs!$E113="Real",1,AV$5)/Data!$F11</f>
        <v>0</v>
      </c>
      <c r="AW101" s="165">
        <f>Inputs!AW113*IF(Inputs!$E113="Real",1,AW$5)/Data!$F11</f>
        <v>0</v>
      </c>
      <c r="AX101" s="165">
        <f>Inputs!AX113*IF(Inputs!$E113="Real",1,AX$5)/Data!$F11</f>
        <v>0</v>
      </c>
      <c r="AY101" s="165">
        <f>Inputs!AY113*IF(Inputs!$E113="Real",1,AY$5)/Data!$F11</f>
        <v>0</v>
      </c>
      <c r="AZ101" s="165">
        <f>Inputs!AZ113*IF(Inputs!$E113="Real",1,AZ$5)/Data!$F11</f>
        <v>0</v>
      </c>
    </row>
    <row r="102" spans="1:52" x14ac:dyDescent="0.25">
      <c r="A102" s="25"/>
      <c r="B102" s="170" t="str">
        <f>Inputs!B114</f>
        <v>Geothermal</v>
      </c>
      <c r="C102" s="171" t="s">
        <v>170</v>
      </c>
      <c r="D102" s="171" t="s">
        <v>26</v>
      </c>
      <c r="E102" s="171" t="s">
        <v>124</v>
      </c>
      <c r="F102" s="228">
        <f t="shared" ca="1" si="6"/>
        <v>2025</v>
      </c>
      <c r="G102" s="166">
        <f>Inputs!G114</f>
        <v>0</v>
      </c>
      <c r="H102" s="165">
        <f>Inputs!H114*IF(Inputs!$E114="Real",1,H$5)/Data!$F12</f>
        <v>0</v>
      </c>
      <c r="I102" s="165">
        <f>Inputs!I114*IF(Inputs!$E114="Real",1,I$5)/Data!$F12</f>
        <v>0</v>
      </c>
      <c r="J102" s="165">
        <f>Inputs!J114*IF(Inputs!$E114="Real",1,J$5)/Data!$F12</f>
        <v>0</v>
      </c>
      <c r="K102" s="165">
        <f>Inputs!K114*IF(Inputs!$E114="Real",1,K$5)/Data!$F12</f>
        <v>0</v>
      </c>
      <c r="L102" s="165">
        <f>Inputs!L114*IF(Inputs!$E114="Real",1,L$5)/Data!$F12</f>
        <v>0</v>
      </c>
      <c r="M102" s="165">
        <f>Inputs!M114*IF(Inputs!$E114="Real",1,M$5)/Data!$F12</f>
        <v>0</v>
      </c>
      <c r="N102" s="165">
        <f>Inputs!N114*IF(Inputs!$E114="Real",1,N$5)/Data!$F12</f>
        <v>0</v>
      </c>
      <c r="O102" s="165">
        <f>Inputs!O114*IF(Inputs!$E114="Real",1,O$5)/Data!$F12</f>
        <v>0</v>
      </c>
      <c r="P102" s="165">
        <f>Inputs!P114*IF(Inputs!$E114="Real",1,P$5)/Data!$F12</f>
        <v>0</v>
      </c>
      <c r="Q102" s="165">
        <f>Inputs!Q114*IF(Inputs!$E114="Real",1,Q$5)/Data!$F12</f>
        <v>0</v>
      </c>
      <c r="R102" s="165">
        <f>Inputs!R114*IF(Inputs!$E114="Real",1,R$5)/Data!$F12</f>
        <v>0</v>
      </c>
      <c r="S102" s="165">
        <f>Inputs!S114*IF(Inputs!$E114="Real",1,S$5)/Data!$F12</f>
        <v>0</v>
      </c>
      <c r="T102" s="165">
        <f>Inputs!T114*IF(Inputs!$E114="Real",1,T$5)/Data!$F12</f>
        <v>0</v>
      </c>
      <c r="U102" s="165">
        <f>Inputs!U114*IF(Inputs!$E114="Real",1,U$5)/Data!$F12</f>
        <v>0</v>
      </c>
      <c r="V102" s="165">
        <f>Inputs!V114*IF(Inputs!$E114="Real",1,V$5)/Data!$F12</f>
        <v>0</v>
      </c>
      <c r="W102" s="165">
        <f>Inputs!W114*IF(Inputs!$E114="Real",1,W$5)/Data!$F12</f>
        <v>0</v>
      </c>
      <c r="X102" s="165">
        <f>Inputs!X114*IF(Inputs!$E114="Real",1,X$5)/Data!$F12</f>
        <v>0</v>
      </c>
      <c r="Y102" s="165">
        <f>Inputs!Y114*IF(Inputs!$E114="Real",1,Y$5)/Data!$F12</f>
        <v>0</v>
      </c>
      <c r="Z102" s="165">
        <f>Inputs!Z114*IF(Inputs!$E114="Real",1,Z$5)/Data!$F12</f>
        <v>0</v>
      </c>
      <c r="AA102" s="165">
        <f>Inputs!AA114*IF(Inputs!$E114="Real",1,AA$5)/Data!$F12</f>
        <v>0</v>
      </c>
      <c r="AB102" s="165">
        <f>Inputs!AB114*IF(Inputs!$E114="Real",1,AB$5)/Data!$F12</f>
        <v>0</v>
      </c>
      <c r="AC102" s="165">
        <f>Inputs!AC114*IF(Inputs!$E114="Real",1,AC$5)/Data!$F12</f>
        <v>0</v>
      </c>
      <c r="AD102" s="165">
        <f>Inputs!AD114*IF(Inputs!$E114="Real",1,AD$5)/Data!$F12</f>
        <v>0</v>
      </c>
      <c r="AE102" s="165">
        <f>Inputs!AE114*IF(Inputs!$E114="Real",1,AE$5)/Data!$F12</f>
        <v>0</v>
      </c>
      <c r="AF102" s="165">
        <f>Inputs!AF114*IF(Inputs!$E114="Real",1,AF$5)/Data!$F12</f>
        <v>0</v>
      </c>
      <c r="AG102" s="165">
        <f>Inputs!AG114*IF(Inputs!$E114="Real",1,AG$5)/Data!$F12</f>
        <v>0</v>
      </c>
      <c r="AH102" s="165">
        <f>Inputs!AH114*IF(Inputs!$E114="Real",1,AH$5)/Data!$F12</f>
        <v>0</v>
      </c>
      <c r="AI102" s="165">
        <f>Inputs!AI114*IF(Inputs!$E114="Real",1,AI$5)/Data!$F12</f>
        <v>0</v>
      </c>
      <c r="AJ102" s="165">
        <f>Inputs!AJ114*IF(Inputs!$E114="Real",1,AJ$5)/Data!$F12</f>
        <v>0</v>
      </c>
      <c r="AK102" s="165">
        <f>Inputs!AK114*IF(Inputs!$E114="Real",1,AK$5)/Data!$F12</f>
        <v>0</v>
      </c>
      <c r="AL102" s="165">
        <f>Inputs!AL114*IF(Inputs!$E114="Real",1,AL$5)/Data!$F12</f>
        <v>0</v>
      </c>
      <c r="AM102" s="165">
        <f>Inputs!AM114*IF(Inputs!$E114="Real",1,AM$5)/Data!$F12</f>
        <v>0</v>
      </c>
      <c r="AN102" s="165">
        <f>Inputs!AN114*IF(Inputs!$E114="Real",1,AN$5)/Data!$F12</f>
        <v>0</v>
      </c>
      <c r="AO102" s="165">
        <f>Inputs!AO114*IF(Inputs!$E114="Real",1,AO$5)/Data!$F12</f>
        <v>0</v>
      </c>
      <c r="AP102" s="165">
        <f>Inputs!AP114*IF(Inputs!$E114="Real",1,AP$5)/Data!$F12</f>
        <v>0</v>
      </c>
      <c r="AQ102" s="165">
        <f>Inputs!AQ114*IF(Inputs!$E114="Real",1,AQ$5)/Data!$F12</f>
        <v>0</v>
      </c>
      <c r="AR102" s="165">
        <f>Inputs!AR114*IF(Inputs!$E114="Real",1,AR$5)/Data!$F12</f>
        <v>0</v>
      </c>
      <c r="AS102" s="165">
        <f>Inputs!AS114*IF(Inputs!$E114="Real",1,AS$5)/Data!$F12</f>
        <v>0</v>
      </c>
      <c r="AT102" s="165">
        <f>Inputs!AT114*IF(Inputs!$E114="Real",1,AT$5)/Data!$F12</f>
        <v>0</v>
      </c>
      <c r="AU102" s="165">
        <f>Inputs!AU114*IF(Inputs!$E114="Real",1,AU$5)/Data!$F12</f>
        <v>0</v>
      </c>
      <c r="AV102" s="165">
        <f>Inputs!AV114*IF(Inputs!$E114="Real",1,AV$5)/Data!$F12</f>
        <v>0</v>
      </c>
      <c r="AW102" s="165">
        <f>Inputs!AW114*IF(Inputs!$E114="Real",1,AW$5)/Data!$F12</f>
        <v>0</v>
      </c>
      <c r="AX102" s="165">
        <f>Inputs!AX114*IF(Inputs!$E114="Real",1,AX$5)/Data!$F12</f>
        <v>0</v>
      </c>
      <c r="AY102" s="165">
        <f>Inputs!AY114*IF(Inputs!$E114="Real",1,AY$5)/Data!$F12</f>
        <v>0</v>
      </c>
      <c r="AZ102" s="165">
        <f>Inputs!AZ114*IF(Inputs!$E114="Real",1,AZ$5)/Data!$F12</f>
        <v>0</v>
      </c>
    </row>
    <row r="103" spans="1:52" x14ac:dyDescent="0.25">
      <c r="A103" s="25"/>
      <c r="B103" s="170" t="str">
        <f>Inputs!B115</f>
        <v>Wood or wood chips</v>
      </c>
      <c r="C103" s="171" t="s">
        <v>170</v>
      </c>
      <c r="D103" s="171" t="s">
        <v>26</v>
      </c>
      <c r="E103" s="171" t="s">
        <v>124</v>
      </c>
      <c r="F103" s="228">
        <f t="shared" ca="1" si="6"/>
        <v>2025</v>
      </c>
      <c r="G103" s="166">
        <f>Inputs!G115</f>
        <v>0</v>
      </c>
      <c r="H103" s="165">
        <f>Inputs!H115*IF(Inputs!$E115="Real",1,H$5)/Data!$F13</f>
        <v>0</v>
      </c>
      <c r="I103" s="165">
        <f>Inputs!I115*IF(Inputs!$E115="Real",1,I$5)/Data!$F13</f>
        <v>0</v>
      </c>
      <c r="J103" s="165">
        <f>Inputs!J115*IF(Inputs!$E115="Real",1,J$5)/Data!$F13</f>
        <v>0</v>
      </c>
      <c r="K103" s="165">
        <f>Inputs!K115*IF(Inputs!$E115="Real",1,K$5)/Data!$F13</f>
        <v>0</v>
      </c>
      <c r="L103" s="165">
        <f>Inputs!L115*IF(Inputs!$E115="Real",1,L$5)/Data!$F13</f>
        <v>0</v>
      </c>
      <c r="M103" s="165">
        <f>Inputs!M115*IF(Inputs!$E115="Real",1,M$5)/Data!$F13</f>
        <v>0</v>
      </c>
      <c r="N103" s="165">
        <f>Inputs!N115*IF(Inputs!$E115="Real",1,N$5)/Data!$F13</f>
        <v>0</v>
      </c>
      <c r="O103" s="165">
        <f>Inputs!O115*IF(Inputs!$E115="Real",1,O$5)/Data!$F13</f>
        <v>0</v>
      </c>
      <c r="P103" s="165">
        <f>Inputs!P115*IF(Inputs!$E115="Real",1,P$5)/Data!$F13</f>
        <v>0</v>
      </c>
      <c r="Q103" s="165">
        <f>Inputs!Q115*IF(Inputs!$E115="Real",1,Q$5)/Data!$F13</f>
        <v>0</v>
      </c>
      <c r="R103" s="165">
        <f>Inputs!R115*IF(Inputs!$E115="Real",1,R$5)/Data!$F13</f>
        <v>0</v>
      </c>
      <c r="S103" s="165">
        <f>Inputs!S115*IF(Inputs!$E115="Real",1,S$5)/Data!$F13</f>
        <v>0</v>
      </c>
      <c r="T103" s="165">
        <f>Inputs!T115*IF(Inputs!$E115="Real",1,T$5)/Data!$F13</f>
        <v>0</v>
      </c>
      <c r="U103" s="165">
        <f>Inputs!U115*IF(Inputs!$E115="Real",1,U$5)/Data!$F13</f>
        <v>0</v>
      </c>
      <c r="V103" s="165">
        <f>Inputs!V115*IF(Inputs!$E115="Real",1,V$5)/Data!$F13</f>
        <v>0</v>
      </c>
      <c r="W103" s="165">
        <f>Inputs!W115*IF(Inputs!$E115="Real",1,W$5)/Data!$F13</f>
        <v>0</v>
      </c>
      <c r="X103" s="165">
        <f>Inputs!X115*IF(Inputs!$E115="Real",1,X$5)/Data!$F13</f>
        <v>0</v>
      </c>
      <c r="Y103" s="165">
        <f>Inputs!Y115*IF(Inputs!$E115="Real",1,Y$5)/Data!$F13</f>
        <v>0</v>
      </c>
      <c r="Z103" s="165">
        <f>Inputs!Z115*IF(Inputs!$E115="Real",1,Z$5)/Data!$F13</f>
        <v>0</v>
      </c>
      <c r="AA103" s="165">
        <f>Inputs!AA115*IF(Inputs!$E115="Real",1,AA$5)/Data!$F13</f>
        <v>0</v>
      </c>
      <c r="AB103" s="165">
        <f>Inputs!AB115*IF(Inputs!$E115="Real",1,AB$5)/Data!$F13</f>
        <v>0</v>
      </c>
      <c r="AC103" s="165">
        <f>Inputs!AC115*IF(Inputs!$E115="Real",1,AC$5)/Data!$F13</f>
        <v>0</v>
      </c>
      <c r="AD103" s="165">
        <f>Inputs!AD115*IF(Inputs!$E115="Real",1,AD$5)/Data!$F13</f>
        <v>0</v>
      </c>
      <c r="AE103" s="165">
        <f>Inputs!AE115*IF(Inputs!$E115="Real",1,AE$5)/Data!$F13</f>
        <v>0</v>
      </c>
      <c r="AF103" s="165">
        <f>Inputs!AF115*IF(Inputs!$E115="Real",1,AF$5)/Data!$F13</f>
        <v>0</v>
      </c>
      <c r="AG103" s="165">
        <f>Inputs!AG115*IF(Inputs!$E115="Real",1,AG$5)/Data!$F13</f>
        <v>0</v>
      </c>
      <c r="AH103" s="165">
        <f>Inputs!AH115*IF(Inputs!$E115="Real",1,AH$5)/Data!$F13</f>
        <v>0</v>
      </c>
      <c r="AI103" s="165">
        <f>Inputs!AI115*IF(Inputs!$E115="Real",1,AI$5)/Data!$F13</f>
        <v>0</v>
      </c>
      <c r="AJ103" s="165">
        <f>Inputs!AJ115*IF(Inputs!$E115="Real",1,AJ$5)/Data!$F13</f>
        <v>0</v>
      </c>
      <c r="AK103" s="165">
        <f>Inputs!AK115*IF(Inputs!$E115="Real",1,AK$5)/Data!$F13</f>
        <v>0</v>
      </c>
      <c r="AL103" s="165">
        <f>Inputs!AL115*IF(Inputs!$E115="Real",1,AL$5)/Data!$F13</f>
        <v>0</v>
      </c>
      <c r="AM103" s="165">
        <f>Inputs!AM115*IF(Inputs!$E115="Real",1,AM$5)/Data!$F13</f>
        <v>0</v>
      </c>
      <c r="AN103" s="165">
        <f>Inputs!AN115*IF(Inputs!$E115="Real",1,AN$5)/Data!$F13</f>
        <v>0</v>
      </c>
      <c r="AO103" s="165">
        <f>Inputs!AO115*IF(Inputs!$E115="Real",1,AO$5)/Data!$F13</f>
        <v>0</v>
      </c>
      <c r="AP103" s="165">
        <f>Inputs!AP115*IF(Inputs!$E115="Real",1,AP$5)/Data!$F13</f>
        <v>0</v>
      </c>
      <c r="AQ103" s="165">
        <f>Inputs!AQ115*IF(Inputs!$E115="Real",1,AQ$5)/Data!$F13</f>
        <v>0</v>
      </c>
      <c r="AR103" s="165">
        <f>Inputs!AR115*IF(Inputs!$E115="Real",1,AR$5)/Data!$F13</f>
        <v>0</v>
      </c>
      <c r="AS103" s="165">
        <f>Inputs!AS115*IF(Inputs!$E115="Real",1,AS$5)/Data!$F13</f>
        <v>0</v>
      </c>
      <c r="AT103" s="165">
        <f>Inputs!AT115*IF(Inputs!$E115="Real",1,AT$5)/Data!$F13</f>
        <v>0</v>
      </c>
      <c r="AU103" s="165">
        <f>Inputs!AU115*IF(Inputs!$E115="Real",1,AU$5)/Data!$F13</f>
        <v>0</v>
      </c>
      <c r="AV103" s="165">
        <f>Inputs!AV115*IF(Inputs!$E115="Real",1,AV$5)/Data!$F13</f>
        <v>0</v>
      </c>
      <c r="AW103" s="165">
        <f>Inputs!AW115*IF(Inputs!$E115="Real",1,AW$5)/Data!$F13</f>
        <v>0</v>
      </c>
      <c r="AX103" s="165">
        <f>Inputs!AX115*IF(Inputs!$E115="Real",1,AX$5)/Data!$F13</f>
        <v>0</v>
      </c>
      <c r="AY103" s="165">
        <f>Inputs!AY115*IF(Inputs!$E115="Real",1,AY$5)/Data!$F13</f>
        <v>0</v>
      </c>
      <c r="AZ103" s="165">
        <f>Inputs!AZ115*IF(Inputs!$E115="Real",1,AZ$5)/Data!$F13</f>
        <v>0</v>
      </c>
    </row>
    <row r="104" spans="1:52" x14ac:dyDescent="0.25">
      <c r="A104" s="25"/>
      <c r="B104" s="4"/>
      <c r="C104" s="4"/>
      <c r="D104" s="4"/>
      <c r="E104" s="4"/>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row>
    <row r="105" spans="1:52" x14ac:dyDescent="0.25">
      <c r="A105" s="3" t="s">
        <v>125</v>
      </c>
      <c r="B105" s="4"/>
      <c r="C105" s="4"/>
      <c r="D105" s="4"/>
      <c r="E105" s="4"/>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row>
    <row r="106" spans="1:52" ht="60" x14ac:dyDescent="0.25">
      <c r="A106" s="52" t="s">
        <v>126</v>
      </c>
      <c r="B106" s="49"/>
      <c r="C106" s="49"/>
      <c r="D106" s="52" t="s">
        <v>75</v>
      </c>
      <c r="E106" s="53" t="s">
        <v>48</v>
      </c>
      <c r="F106" s="53" t="s">
        <v>319</v>
      </c>
      <c r="G106" s="53" t="s">
        <v>52</v>
      </c>
      <c r="H106" s="62" t="s">
        <v>77</v>
      </c>
      <c r="I106" s="62" t="s">
        <v>78</v>
      </c>
      <c r="J106" s="62" t="s">
        <v>79</v>
      </c>
      <c r="K106" s="62" t="s">
        <v>80</v>
      </c>
      <c r="L106" s="62" t="s">
        <v>81</v>
      </c>
      <c r="M106" s="62" t="s">
        <v>82</v>
      </c>
      <c r="N106" s="62" t="s">
        <v>83</v>
      </c>
      <c r="O106" s="62" t="s">
        <v>84</v>
      </c>
      <c r="P106" s="62" t="s">
        <v>85</v>
      </c>
      <c r="Q106" s="62" t="s">
        <v>86</v>
      </c>
      <c r="R106" s="62" t="s">
        <v>87</v>
      </c>
      <c r="S106" s="62" t="s">
        <v>88</v>
      </c>
      <c r="T106" s="62" t="s">
        <v>89</v>
      </c>
      <c r="U106" s="62" t="s">
        <v>90</v>
      </c>
      <c r="V106" s="62" t="s">
        <v>91</v>
      </c>
      <c r="W106" s="62" t="s">
        <v>92</v>
      </c>
      <c r="X106" s="62" t="s">
        <v>93</v>
      </c>
      <c r="Y106" s="62" t="s">
        <v>94</v>
      </c>
      <c r="Z106" s="62" t="s">
        <v>95</v>
      </c>
      <c r="AA106" s="62" t="s">
        <v>96</v>
      </c>
      <c r="AB106" s="62" t="s">
        <v>97</v>
      </c>
      <c r="AC106" s="62" t="s">
        <v>98</v>
      </c>
      <c r="AD106" s="62" t="s">
        <v>99</v>
      </c>
      <c r="AE106" s="62" t="s">
        <v>100</v>
      </c>
      <c r="AF106" s="62" t="s">
        <v>101</v>
      </c>
      <c r="AG106" s="62" t="s">
        <v>102</v>
      </c>
      <c r="AH106" s="62" t="s">
        <v>103</v>
      </c>
      <c r="AI106" s="62" t="s">
        <v>104</v>
      </c>
      <c r="AJ106" s="62" t="s">
        <v>105</v>
      </c>
      <c r="AK106" s="62" t="s">
        <v>106</v>
      </c>
      <c r="AL106" s="62" t="s">
        <v>107</v>
      </c>
      <c r="AM106" s="62" t="s">
        <v>108</v>
      </c>
      <c r="AN106" s="62" t="s">
        <v>109</v>
      </c>
      <c r="AO106" s="62" t="s">
        <v>110</v>
      </c>
      <c r="AP106" s="62" t="s">
        <v>111</v>
      </c>
      <c r="AQ106" s="62" t="s">
        <v>112</v>
      </c>
      <c r="AR106" s="62" t="s">
        <v>113</v>
      </c>
      <c r="AS106" s="62" t="s">
        <v>114</v>
      </c>
      <c r="AT106" s="62" t="s">
        <v>115</v>
      </c>
      <c r="AU106" s="62" t="s">
        <v>116</v>
      </c>
      <c r="AV106" s="62" t="s">
        <v>117</v>
      </c>
      <c r="AW106" s="62" t="s">
        <v>118</v>
      </c>
      <c r="AX106" s="62" t="s">
        <v>119</v>
      </c>
      <c r="AY106" s="62" t="s">
        <v>120</v>
      </c>
      <c r="AZ106" s="62" t="s">
        <v>121</v>
      </c>
    </row>
    <row r="107" spans="1:52" x14ac:dyDescent="0.25">
      <c r="A107" s="25"/>
      <c r="B107" s="4"/>
      <c r="C107" s="4"/>
      <c r="D107" s="21" t="str">
        <f t="shared" ref="D107:D117" si="7">IF(E53="&lt;Select&gt;","",E53)</f>
        <v>Electricity</v>
      </c>
      <c r="E107" s="185" t="str">
        <f>E80</f>
        <v>Real</v>
      </c>
      <c r="F107" s="185">
        <f t="shared" ref="F107:F117" ca="1" si="8">Analysis_year</f>
        <v>2025</v>
      </c>
      <c r="G107" s="186">
        <f>Inputs!G119</f>
        <v>0</v>
      </c>
      <c r="H107" s="134">
        <f t="shared" ref="H107:AZ107" si="9">H53*H80</f>
        <v>19617.399560138409</v>
      </c>
      <c r="I107" s="134">
        <f t="shared" si="9"/>
        <v>782692.6614662942</v>
      </c>
      <c r="J107" s="134">
        <f t="shared" si="9"/>
        <v>733993.81984517514</v>
      </c>
      <c r="K107" s="134">
        <f t="shared" si="9"/>
        <v>701879.78736295295</v>
      </c>
      <c r="L107" s="134">
        <f t="shared" si="9"/>
        <v>669756.95037531562</v>
      </c>
      <c r="M107" s="134">
        <f t="shared" si="9"/>
        <v>637628.98724873818</v>
      </c>
      <c r="N107" s="134">
        <f t="shared" si="9"/>
        <v>602003.24420442851</v>
      </c>
      <c r="O107" s="134">
        <f t="shared" si="9"/>
        <v>571262.0980467418</v>
      </c>
      <c r="P107" s="134">
        <f t="shared" si="9"/>
        <v>580864.713280675</v>
      </c>
      <c r="Q107" s="134">
        <f t="shared" si="9"/>
        <v>590872.47372510564</v>
      </c>
      <c r="R107" s="134">
        <f t="shared" si="9"/>
        <v>590767.59243185818</v>
      </c>
      <c r="S107" s="134">
        <f t="shared" si="9"/>
        <v>591954.05312707834</v>
      </c>
      <c r="T107" s="134">
        <f t="shared" si="9"/>
        <v>591738.33704602881</v>
      </c>
      <c r="U107" s="134">
        <f t="shared" si="9"/>
        <v>591447.69852380583</v>
      </c>
      <c r="V107" s="134">
        <f t="shared" si="9"/>
        <v>591158.23253536865</v>
      </c>
      <c r="W107" s="134">
        <f t="shared" si="9"/>
        <v>590867.83459718933</v>
      </c>
      <c r="X107" s="134">
        <f t="shared" si="9"/>
        <v>590577.51476474979</v>
      </c>
      <c r="Y107" s="134">
        <f t="shared" si="9"/>
        <v>590286.98444038979</v>
      </c>
      <c r="Z107" s="134">
        <f t="shared" si="9"/>
        <v>589996.15809187316</v>
      </c>
      <c r="AA107" s="134">
        <f t="shared" si="9"/>
        <v>589704.82079377316</v>
      </c>
      <c r="AB107" s="134">
        <f t="shared" si="9"/>
        <v>589413.65738798329</v>
      </c>
      <c r="AC107" s="134">
        <f t="shared" si="9"/>
        <v>589122.07896909909</v>
      </c>
      <c r="AD107" s="134">
        <f t="shared" si="9"/>
        <v>0</v>
      </c>
      <c r="AE107" s="134">
        <f t="shared" si="9"/>
        <v>0</v>
      </c>
      <c r="AF107" s="134">
        <f t="shared" si="9"/>
        <v>0</v>
      </c>
      <c r="AG107" s="134">
        <f t="shared" si="9"/>
        <v>0</v>
      </c>
      <c r="AH107" s="134">
        <f t="shared" si="9"/>
        <v>0</v>
      </c>
      <c r="AI107" s="134">
        <f t="shared" si="9"/>
        <v>0</v>
      </c>
      <c r="AJ107" s="134">
        <f t="shared" si="9"/>
        <v>0</v>
      </c>
      <c r="AK107" s="134">
        <f t="shared" si="9"/>
        <v>0</v>
      </c>
      <c r="AL107" s="134">
        <f t="shared" si="9"/>
        <v>0</v>
      </c>
      <c r="AM107" s="134">
        <f t="shared" si="9"/>
        <v>0</v>
      </c>
      <c r="AN107" s="134">
        <f t="shared" si="9"/>
        <v>0</v>
      </c>
      <c r="AO107" s="134">
        <f t="shared" si="9"/>
        <v>0</v>
      </c>
      <c r="AP107" s="134">
        <f t="shared" si="9"/>
        <v>0</v>
      </c>
      <c r="AQ107" s="134">
        <f t="shared" si="9"/>
        <v>0</v>
      </c>
      <c r="AR107" s="134">
        <f t="shared" si="9"/>
        <v>0</v>
      </c>
      <c r="AS107" s="134">
        <f t="shared" si="9"/>
        <v>0</v>
      </c>
      <c r="AT107" s="134">
        <f t="shared" si="9"/>
        <v>0</v>
      </c>
      <c r="AU107" s="134">
        <f t="shared" si="9"/>
        <v>0</v>
      </c>
      <c r="AV107" s="134">
        <f t="shared" si="9"/>
        <v>0</v>
      </c>
      <c r="AW107" s="134">
        <f t="shared" si="9"/>
        <v>0</v>
      </c>
      <c r="AX107" s="134">
        <f t="shared" si="9"/>
        <v>0</v>
      </c>
      <c r="AY107" s="134">
        <f t="shared" si="9"/>
        <v>0</v>
      </c>
      <c r="AZ107" s="134">
        <f t="shared" si="9"/>
        <v>0</v>
      </c>
    </row>
    <row r="108" spans="1:52" x14ac:dyDescent="0.25">
      <c r="A108" s="25"/>
      <c r="B108" s="4"/>
      <c r="C108" s="4"/>
      <c r="D108" s="21" t="str">
        <f t="shared" si="7"/>
        <v>Natural Gas</v>
      </c>
      <c r="E108" s="185" t="str">
        <f t="shared" ref="E108:E117" si="10">E81</f>
        <v>Real</v>
      </c>
      <c r="F108" s="185">
        <f t="shared" ca="1" si="8"/>
        <v>2025</v>
      </c>
      <c r="G108" s="186">
        <f>Inputs!G120</f>
        <v>0</v>
      </c>
      <c r="H108" s="134">
        <f t="shared" ref="H108:AZ108" si="11">H54*H81</f>
        <v>700000</v>
      </c>
      <c r="I108" s="134">
        <f t="shared" si="11"/>
        <v>0</v>
      </c>
      <c r="J108" s="134">
        <f t="shared" si="11"/>
        <v>0</v>
      </c>
      <c r="K108" s="134">
        <f t="shared" si="11"/>
        <v>0</v>
      </c>
      <c r="L108" s="134">
        <f t="shared" si="11"/>
        <v>0</v>
      </c>
      <c r="M108" s="134">
        <f t="shared" si="11"/>
        <v>0</v>
      </c>
      <c r="N108" s="134">
        <f t="shared" si="11"/>
        <v>0</v>
      </c>
      <c r="O108" s="134">
        <f t="shared" si="11"/>
        <v>0</v>
      </c>
      <c r="P108" s="134">
        <f t="shared" si="11"/>
        <v>0</v>
      </c>
      <c r="Q108" s="134">
        <f t="shared" si="11"/>
        <v>0</v>
      </c>
      <c r="R108" s="134">
        <f t="shared" si="11"/>
        <v>0</v>
      </c>
      <c r="S108" s="134">
        <f t="shared" si="11"/>
        <v>0</v>
      </c>
      <c r="T108" s="134">
        <f t="shared" si="11"/>
        <v>0</v>
      </c>
      <c r="U108" s="134">
        <f t="shared" si="11"/>
        <v>0</v>
      </c>
      <c r="V108" s="134">
        <f t="shared" si="11"/>
        <v>0</v>
      </c>
      <c r="W108" s="134">
        <f t="shared" si="11"/>
        <v>0</v>
      </c>
      <c r="X108" s="134">
        <f t="shared" si="11"/>
        <v>0</v>
      </c>
      <c r="Y108" s="134">
        <f t="shared" si="11"/>
        <v>0</v>
      </c>
      <c r="Z108" s="134">
        <f t="shared" si="11"/>
        <v>0</v>
      </c>
      <c r="AA108" s="134">
        <f t="shared" si="11"/>
        <v>0</v>
      </c>
      <c r="AB108" s="134">
        <f t="shared" si="11"/>
        <v>0</v>
      </c>
      <c r="AC108" s="134">
        <f t="shared" si="11"/>
        <v>0</v>
      </c>
      <c r="AD108" s="134">
        <f t="shared" si="11"/>
        <v>0</v>
      </c>
      <c r="AE108" s="134">
        <f t="shared" si="11"/>
        <v>0</v>
      </c>
      <c r="AF108" s="134">
        <f t="shared" si="11"/>
        <v>0</v>
      </c>
      <c r="AG108" s="134">
        <f t="shared" si="11"/>
        <v>0</v>
      </c>
      <c r="AH108" s="134">
        <f t="shared" si="11"/>
        <v>0</v>
      </c>
      <c r="AI108" s="134">
        <f t="shared" si="11"/>
        <v>0</v>
      </c>
      <c r="AJ108" s="134">
        <f t="shared" si="11"/>
        <v>0</v>
      </c>
      <c r="AK108" s="134">
        <f t="shared" si="11"/>
        <v>0</v>
      </c>
      <c r="AL108" s="134">
        <f t="shared" si="11"/>
        <v>0</v>
      </c>
      <c r="AM108" s="134">
        <f t="shared" si="11"/>
        <v>0</v>
      </c>
      <c r="AN108" s="134">
        <f t="shared" si="11"/>
        <v>0</v>
      </c>
      <c r="AO108" s="134">
        <f t="shared" si="11"/>
        <v>0</v>
      </c>
      <c r="AP108" s="134">
        <f t="shared" si="11"/>
        <v>0</v>
      </c>
      <c r="AQ108" s="134">
        <f t="shared" si="11"/>
        <v>0</v>
      </c>
      <c r="AR108" s="134">
        <f t="shared" si="11"/>
        <v>0</v>
      </c>
      <c r="AS108" s="134">
        <f t="shared" si="11"/>
        <v>0</v>
      </c>
      <c r="AT108" s="134">
        <f t="shared" si="11"/>
        <v>0</v>
      </c>
      <c r="AU108" s="134">
        <f t="shared" si="11"/>
        <v>0</v>
      </c>
      <c r="AV108" s="134">
        <f t="shared" si="11"/>
        <v>0</v>
      </c>
      <c r="AW108" s="134">
        <f t="shared" si="11"/>
        <v>0</v>
      </c>
      <c r="AX108" s="134">
        <f t="shared" si="11"/>
        <v>0</v>
      </c>
      <c r="AY108" s="134">
        <f t="shared" si="11"/>
        <v>0</v>
      </c>
      <c r="AZ108" s="134">
        <f t="shared" si="11"/>
        <v>0</v>
      </c>
    </row>
    <row r="109" spans="1:52" x14ac:dyDescent="0.25">
      <c r="A109" s="25"/>
      <c r="B109" s="4"/>
      <c r="C109" s="4"/>
      <c r="D109" s="21" t="str">
        <f t="shared" si="7"/>
        <v>Coal - sub bituminous</v>
      </c>
      <c r="E109" s="185" t="str">
        <f t="shared" si="10"/>
        <v>Real</v>
      </c>
      <c r="F109" s="185">
        <f t="shared" ca="1" si="8"/>
        <v>2025</v>
      </c>
      <c r="G109" s="186">
        <f>Inputs!G121</f>
        <v>0</v>
      </c>
      <c r="H109" s="134">
        <f t="shared" ref="H109:AZ109" si="12">H55*H82</f>
        <v>0</v>
      </c>
      <c r="I109" s="134">
        <f t="shared" si="12"/>
        <v>0</v>
      </c>
      <c r="J109" s="134">
        <f t="shared" si="12"/>
        <v>0</v>
      </c>
      <c r="K109" s="134">
        <f t="shared" si="12"/>
        <v>0</v>
      </c>
      <c r="L109" s="134">
        <f t="shared" si="12"/>
        <v>0</v>
      </c>
      <c r="M109" s="134">
        <f t="shared" si="12"/>
        <v>0</v>
      </c>
      <c r="N109" s="134">
        <f t="shared" si="12"/>
        <v>0</v>
      </c>
      <c r="O109" s="134">
        <f t="shared" si="12"/>
        <v>0</v>
      </c>
      <c r="P109" s="134">
        <f t="shared" si="12"/>
        <v>0</v>
      </c>
      <c r="Q109" s="134">
        <f t="shared" si="12"/>
        <v>0</v>
      </c>
      <c r="R109" s="134">
        <f t="shared" si="12"/>
        <v>0</v>
      </c>
      <c r="S109" s="134">
        <f t="shared" si="12"/>
        <v>0</v>
      </c>
      <c r="T109" s="134">
        <f t="shared" si="12"/>
        <v>0</v>
      </c>
      <c r="U109" s="134">
        <f t="shared" si="12"/>
        <v>0</v>
      </c>
      <c r="V109" s="134">
        <f t="shared" si="12"/>
        <v>0</v>
      </c>
      <c r="W109" s="134">
        <f t="shared" si="12"/>
        <v>0</v>
      </c>
      <c r="X109" s="134">
        <f t="shared" si="12"/>
        <v>0</v>
      </c>
      <c r="Y109" s="134">
        <f t="shared" si="12"/>
        <v>0</v>
      </c>
      <c r="Z109" s="134">
        <f t="shared" si="12"/>
        <v>0</v>
      </c>
      <c r="AA109" s="134">
        <f t="shared" si="12"/>
        <v>0</v>
      </c>
      <c r="AB109" s="134">
        <f t="shared" si="12"/>
        <v>0</v>
      </c>
      <c r="AC109" s="134">
        <f t="shared" si="12"/>
        <v>0</v>
      </c>
      <c r="AD109" s="134">
        <f t="shared" si="12"/>
        <v>0</v>
      </c>
      <c r="AE109" s="134">
        <f t="shared" si="12"/>
        <v>0</v>
      </c>
      <c r="AF109" s="134">
        <f t="shared" si="12"/>
        <v>0</v>
      </c>
      <c r="AG109" s="134">
        <f t="shared" si="12"/>
        <v>0</v>
      </c>
      <c r="AH109" s="134">
        <f t="shared" si="12"/>
        <v>0</v>
      </c>
      <c r="AI109" s="134">
        <f t="shared" si="12"/>
        <v>0</v>
      </c>
      <c r="AJ109" s="134">
        <f t="shared" si="12"/>
        <v>0</v>
      </c>
      <c r="AK109" s="134">
        <f t="shared" si="12"/>
        <v>0</v>
      </c>
      <c r="AL109" s="134">
        <f t="shared" si="12"/>
        <v>0</v>
      </c>
      <c r="AM109" s="134">
        <f t="shared" si="12"/>
        <v>0</v>
      </c>
      <c r="AN109" s="134">
        <f t="shared" si="12"/>
        <v>0</v>
      </c>
      <c r="AO109" s="134">
        <f t="shared" si="12"/>
        <v>0</v>
      </c>
      <c r="AP109" s="134">
        <f t="shared" si="12"/>
        <v>0</v>
      </c>
      <c r="AQ109" s="134">
        <f t="shared" si="12"/>
        <v>0</v>
      </c>
      <c r="AR109" s="134">
        <f t="shared" si="12"/>
        <v>0</v>
      </c>
      <c r="AS109" s="134">
        <f t="shared" si="12"/>
        <v>0</v>
      </c>
      <c r="AT109" s="134">
        <f t="shared" si="12"/>
        <v>0</v>
      </c>
      <c r="AU109" s="134">
        <f t="shared" si="12"/>
        <v>0</v>
      </c>
      <c r="AV109" s="134">
        <f t="shared" si="12"/>
        <v>0</v>
      </c>
      <c r="AW109" s="134">
        <f t="shared" si="12"/>
        <v>0</v>
      </c>
      <c r="AX109" s="134">
        <f t="shared" si="12"/>
        <v>0</v>
      </c>
      <c r="AY109" s="134">
        <f t="shared" si="12"/>
        <v>0</v>
      </c>
      <c r="AZ109" s="134">
        <f t="shared" si="12"/>
        <v>0</v>
      </c>
    </row>
    <row r="110" spans="1:52" x14ac:dyDescent="0.25">
      <c r="A110" s="25"/>
      <c r="B110" s="4"/>
      <c r="C110" s="4"/>
      <c r="D110" s="21" t="str">
        <f t="shared" si="7"/>
        <v>Coal - bituminous</v>
      </c>
      <c r="E110" s="185" t="str">
        <f t="shared" si="10"/>
        <v>Real</v>
      </c>
      <c r="F110" s="185">
        <f t="shared" ca="1" si="8"/>
        <v>2025</v>
      </c>
      <c r="G110" s="186">
        <f>Inputs!G122</f>
        <v>0</v>
      </c>
      <c r="H110" s="134">
        <f t="shared" ref="H110:AZ110" si="13">H56*H83</f>
        <v>0</v>
      </c>
      <c r="I110" s="134">
        <f t="shared" si="13"/>
        <v>0</v>
      </c>
      <c r="J110" s="134">
        <f t="shared" si="13"/>
        <v>0</v>
      </c>
      <c r="K110" s="134">
        <f t="shared" si="13"/>
        <v>0</v>
      </c>
      <c r="L110" s="134">
        <f t="shared" si="13"/>
        <v>0</v>
      </c>
      <c r="M110" s="134">
        <f t="shared" si="13"/>
        <v>0</v>
      </c>
      <c r="N110" s="134">
        <f t="shared" si="13"/>
        <v>0</v>
      </c>
      <c r="O110" s="134">
        <f t="shared" si="13"/>
        <v>0</v>
      </c>
      <c r="P110" s="134">
        <f t="shared" si="13"/>
        <v>0</v>
      </c>
      <c r="Q110" s="134">
        <f t="shared" si="13"/>
        <v>0</v>
      </c>
      <c r="R110" s="134">
        <f t="shared" si="13"/>
        <v>0</v>
      </c>
      <c r="S110" s="134">
        <f t="shared" si="13"/>
        <v>0</v>
      </c>
      <c r="T110" s="134">
        <f t="shared" si="13"/>
        <v>0</v>
      </c>
      <c r="U110" s="134">
        <f t="shared" si="13"/>
        <v>0</v>
      </c>
      <c r="V110" s="134">
        <f t="shared" si="13"/>
        <v>0</v>
      </c>
      <c r="W110" s="134">
        <f t="shared" si="13"/>
        <v>0</v>
      </c>
      <c r="X110" s="134">
        <f t="shared" si="13"/>
        <v>0</v>
      </c>
      <c r="Y110" s="134">
        <f t="shared" si="13"/>
        <v>0</v>
      </c>
      <c r="Z110" s="134">
        <f t="shared" si="13"/>
        <v>0</v>
      </c>
      <c r="AA110" s="134">
        <f t="shared" si="13"/>
        <v>0</v>
      </c>
      <c r="AB110" s="134">
        <f t="shared" si="13"/>
        <v>0</v>
      </c>
      <c r="AC110" s="134">
        <f t="shared" si="13"/>
        <v>0</v>
      </c>
      <c r="AD110" s="134">
        <f t="shared" si="13"/>
        <v>0</v>
      </c>
      <c r="AE110" s="134">
        <f t="shared" si="13"/>
        <v>0</v>
      </c>
      <c r="AF110" s="134">
        <f t="shared" si="13"/>
        <v>0</v>
      </c>
      <c r="AG110" s="134">
        <f t="shared" si="13"/>
        <v>0</v>
      </c>
      <c r="AH110" s="134">
        <f t="shared" si="13"/>
        <v>0</v>
      </c>
      <c r="AI110" s="134">
        <f t="shared" si="13"/>
        <v>0</v>
      </c>
      <c r="AJ110" s="134">
        <f t="shared" si="13"/>
        <v>0</v>
      </c>
      <c r="AK110" s="134">
        <f t="shared" si="13"/>
        <v>0</v>
      </c>
      <c r="AL110" s="134">
        <f t="shared" si="13"/>
        <v>0</v>
      </c>
      <c r="AM110" s="134">
        <f t="shared" si="13"/>
        <v>0</v>
      </c>
      <c r="AN110" s="134">
        <f t="shared" si="13"/>
        <v>0</v>
      </c>
      <c r="AO110" s="134">
        <f t="shared" si="13"/>
        <v>0</v>
      </c>
      <c r="AP110" s="134">
        <f t="shared" si="13"/>
        <v>0</v>
      </c>
      <c r="AQ110" s="134">
        <f t="shared" si="13"/>
        <v>0</v>
      </c>
      <c r="AR110" s="134">
        <f t="shared" si="13"/>
        <v>0</v>
      </c>
      <c r="AS110" s="134">
        <f t="shared" si="13"/>
        <v>0</v>
      </c>
      <c r="AT110" s="134">
        <f t="shared" si="13"/>
        <v>0</v>
      </c>
      <c r="AU110" s="134">
        <f t="shared" si="13"/>
        <v>0</v>
      </c>
      <c r="AV110" s="134">
        <f t="shared" si="13"/>
        <v>0</v>
      </c>
      <c r="AW110" s="134">
        <f t="shared" si="13"/>
        <v>0</v>
      </c>
      <c r="AX110" s="134">
        <f t="shared" si="13"/>
        <v>0</v>
      </c>
      <c r="AY110" s="134">
        <f t="shared" si="13"/>
        <v>0</v>
      </c>
      <c r="AZ110" s="134">
        <f t="shared" si="13"/>
        <v>0</v>
      </c>
    </row>
    <row r="111" spans="1:52" x14ac:dyDescent="0.25">
      <c r="A111" s="25"/>
      <c r="B111" s="4"/>
      <c r="C111" s="4"/>
      <c r="D111" s="21" t="str">
        <f t="shared" si="7"/>
        <v>Coal - lignite</v>
      </c>
      <c r="E111" s="185" t="str">
        <f t="shared" si="10"/>
        <v>Real</v>
      </c>
      <c r="F111" s="185">
        <f t="shared" ca="1" si="8"/>
        <v>2025</v>
      </c>
      <c r="G111" s="186">
        <f>Inputs!G123</f>
        <v>0</v>
      </c>
      <c r="H111" s="134">
        <f t="shared" ref="H111:AZ111" si="14">H57*H84</f>
        <v>0</v>
      </c>
      <c r="I111" s="134">
        <f t="shared" si="14"/>
        <v>0</v>
      </c>
      <c r="J111" s="134">
        <f t="shared" si="14"/>
        <v>0</v>
      </c>
      <c r="K111" s="134">
        <f t="shared" si="14"/>
        <v>0</v>
      </c>
      <c r="L111" s="134">
        <f t="shared" si="14"/>
        <v>0</v>
      </c>
      <c r="M111" s="134">
        <f t="shared" si="14"/>
        <v>0</v>
      </c>
      <c r="N111" s="134">
        <f t="shared" si="14"/>
        <v>0</v>
      </c>
      <c r="O111" s="134">
        <f t="shared" si="14"/>
        <v>0</v>
      </c>
      <c r="P111" s="134">
        <f t="shared" si="14"/>
        <v>0</v>
      </c>
      <c r="Q111" s="134">
        <f t="shared" si="14"/>
        <v>0</v>
      </c>
      <c r="R111" s="134">
        <f t="shared" si="14"/>
        <v>0</v>
      </c>
      <c r="S111" s="134">
        <f t="shared" si="14"/>
        <v>0</v>
      </c>
      <c r="T111" s="134">
        <f t="shared" si="14"/>
        <v>0</v>
      </c>
      <c r="U111" s="134">
        <f t="shared" si="14"/>
        <v>0</v>
      </c>
      <c r="V111" s="134">
        <f t="shared" si="14"/>
        <v>0</v>
      </c>
      <c r="W111" s="134">
        <f t="shared" si="14"/>
        <v>0</v>
      </c>
      <c r="X111" s="134">
        <f t="shared" si="14"/>
        <v>0</v>
      </c>
      <c r="Y111" s="134">
        <f t="shared" si="14"/>
        <v>0</v>
      </c>
      <c r="Z111" s="134">
        <f t="shared" si="14"/>
        <v>0</v>
      </c>
      <c r="AA111" s="134">
        <f t="shared" si="14"/>
        <v>0</v>
      </c>
      <c r="AB111" s="134">
        <f t="shared" si="14"/>
        <v>0</v>
      </c>
      <c r="AC111" s="134">
        <f t="shared" si="14"/>
        <v>0</v>
      </c>
      <c r="AD111" s="134">
        <f t="shared" si="14"/>
        <v>0</v>
      </c>
      <c r="AE111" s="134">
        <f t="shared" si="14"/>
        <v>0</v>
      </c>
      <c r="AF111" s="134">
        <f t="shared" si="14"/>
        <v>0</v>
      </c>
      <c r="AG111" s="134">
        <f t="shared" si="14"/>
        <v>0</v>
      </c>
      <c r="AH111" s="134">
        <f t="shared" si="14"/>
        <v>0</v>
      </c>
      <c r="AI111" s="134">
        <f t="shared" si="14"/>
        <v>0</v>
      </c>
      <c r="AJ111" s="134">
        <f t="shared" si="14"/>
        <v>0</v>
      </c>
      <c r="AK111" s="134">
        <f t="shared" si="14"/>
        <v>0</v>
      </c>
      <c r="AL111" s="134">
        <f t="shared" si="14"/>
        <v>0</v>
      </c>
      <c r="AM111" s="134">
        <f t="shared" si="14"/>
        <v>0</v>
      </c>
      <c r="AN111" s="134">
        <f t="shared" si="14"/>
        <v>0</v>
      </c>
      <c r="AO111" s="134">
        <f t="shared" si="14"/>
        <v>0</v>
      </c>
      <c r="AP111" s="134">
        <f t="shared" si="14"/>
        <v>0</v>
      </c>
      <c r="AQ111" s="134">
        <f t="shared" si="14"/>
        <v>0</v>
      </c>
      <c r="AR111" s="134">
        <f t="shared" si="14"/>
        <v>0</v>
      </c>
      <c r="AS111" s="134">
        <f t="shared" si="14"/>
        <v>0</v>
      </c>
      <c r="AT111" s="134">
        <f t="shared" si="14"/>
        <v>0</v>
      </c>
      <c r="AU111" s="134">
        <f t="shared" si="14"/>
        <v>0</v>
      </c>
      <c r="AV111" s="134">
        <f t="shared" si="14"/>
        <v>0</v>
      </c>
      <c r="AW111" s="134">
        <f t="shared" si="14"/>
        <v>0</v>
      </c>
      <c r="AX111" s="134">
        <f t="shared" si="14"/>
        <v>0</v>
      </c>
      <c r="AY111" s="134">
        <f t="shared" si="14"/>
        <v>0</v>
      </c>
      <c r="AZ111" s="134">
        <f t="shared" si="14"/>
        <v>0</v>
      </c>
    </row>
    <row r="112" spans="1:52" x14ac:dyDescent="0.25">
      <c r="A112" s="25"/>
      <c r="B112" s="4"/>
      <c r="C112" s="4"/>
      <c r="D112" s="21" t="str">
        <f t="shared" si="7"/>
        <v>Diesel</v>
      </c>
      <c r="E112" s="185" t="str">
        <f t="shared" si="10"/>
        <v>Real</v>
      </c>
      <c r="F112" s="185">
        <f t="shared" ca="1" si="8"/>
        <v>2025</v>
      </c>
      <c r="G112" s="186">
        <f>Inputs!G124</f>
        <v>0</v>
      </c>
      <c r="H112" s="134">
        <f t="shared" ref="H112:AZ112" si="15">H58*H85</f>
        <v>0</v>
      </c>
      <c r="I112" s="134">
        <f t="shared" si="15"/>
        <v>0</v>
      </c>
      <c r="J112" s="134">
        <f t="shared" si="15"/>
        <v>0</v>
      </c>
      <c r="K112" s="134">
        <f t="shared" si="15"/>
        <v>0</v>
      </c>
      <c r="L112" s="134">
        <f t="shared" si="15"/>
        <v>0</v>
      </c>
      <c r="M112" s="134">
        <f t="shared" si="15"/>
        <v>0</v>
      </c>
      <c r="N112" s="134">
        <f t="shared" si="15"/>
        <v>0</v>
      </c>
      <c r="O112" s="134">
        <f t="shared" si="15"/>
        <v>0</v>
      </c>
      <c r="P112" s="134">
        <f t="shared" si="15"/>
        <v>0</v>
      </c>
      <c r="Q112" s="134">
        <f t="shared" si="15"/>
        <v>0</v>
      </c>
      <c r="R112" s="134">
        <f t="shared" si="15"/>
        <v>0</v>
      </c>
      <c r="S112" s="134">
        <f t="shared" si="15"/>
        <v>0</v>
      </c>
      <c r="T112" s="134">
        <f t="shared" si="15"/>
        <v>0</v>
      </c>
      <c r="U112" s="134">
        <f t="shared" si="15"/>
        <v>0</v>
      </c>
      <c r="V112" s="134">
        <f t="shared" si="15"/>
        <v>0</v>
      </c>
      <c r="W112" s="134">
        <f t="shared" si="15"/>
        <v>0</v>
      </c>
      <c r="X112" s="134">
        <f t="shared" si="15"/>
        <v>0</v>
      </c>
      <c r="Y112" s="134">
        <f t="shared" si="15"/>
        <v>0</v>
      </c>
      <c r="Z112" s="134">
        <f t="shared" si="15"/>
        <v>0</v>
      </c>
      <c r="AA112" s="134">
        <f t="shared" si="15"/>
        <v>0</v>
      </c>
      <c r="AB112" s="134">
        <f t="shared" si="15"/>
        <v>0</v>
      </c>
      <c r="AC112" s="134">
        <f t="shared" si="15"/>
        <v>0</v>
      </c>
      <c r="AD112" s="134">
        <f t="shared" si="15"/>
        <v>0</v>
      </c>
      <c r="AE112" s="134">
        <f t="shared" si="15"/>
        <v>0</v>
      </c>
      <c r="AF112" s="134">
        <f t="shared" si="15"/>
        <v>0</v>
      </c>
      <c r="AG112" s="134">
        <f t="shared" si="15"/>
        <v>0</v>
      </c>
      <c r="AH112" s="134">
        <f t="shared" si="15"/>
        <v>0</v>
      </c>
      <c r="AI112" s="134">
        <f t="shared" si="15"/>
        <v>0</v>
      </c>
      <c r="AJ112" s="134">
        <f t="shared" si="15"/>
        <v>0</v>
      </c>
      <c r="AK112" s="134">
        <f t="shared" si="15"/>
        <v>0</v>
      </c>
      <c r="AL112" s="134">
        <f t="shared" si="15"/>
        <v>0</v>
      </c>
      <c r="AM112" s="134">
        <f t="shared" si="15"/>
        <v>0</v>
      </c>
      <c r="AN112" s="134">
        <f t="shared" si="15"/>
        <v>0</v>
      </c>
      <c r="AO112" s="134">
        <f t="shared" si="15"/>
        <v>0</v>
      </c>
      <c r="AP112" s="134">
        <f t="shared" si="15"/>
        <v>0</v>
      </c>
      <c r="AQ112" s="134">
        <f t="shared" si="15"/>
        <v>0</v>
      </c>
      <c r="AR112" s="134">
        <f t="shared" si="15"/>
        <v>0</v>
      </c>
      <c r="AS112" s="134">
        <f t="shared" si="15"/>
        <v>0</v>
      </c>
      <c r="AT112" s="134">
        <f t="shared" si="15"/>
        <v>0</v>
      </c>
      <c r="AU112" s="134">
        <f t="shared" si="15"/>
        <v>0</v>
      </c>
      <c r="AV112" s="134">
        <f t="shared" si="15"/>
        <v>0</v>
      </c>
      <c r="AW112" s="134">
        <f t="shared" si="15"/>
        <v>0</v>
      </c>
      <c r="AX112" s="134">
        <f t="shared" si="15"/>
        <v>0</v>
      </c>
      <c r="AY112" s="134">
        <f t="shared" si="15"/>
        <v>0</v>
      </c>
      <c r="AZ112" s="134">
        <f t="shared" si="15"/>
        <v>0</v>
      </c>
    </row>
    <row r="113" spans="1:52" x14ac:dyDescent="0.25">
      <c r="A113" s="25"/>
      <c r="B113" s="4"/>
      <c r="C113" s="4"/>
      <c r="D113" s="21" t="str">
        <f t="shared" si="7"/>
        <v>LPG</v>
      </c>
      <c r="E113" s="185" t="str">
        <f t="shared" si="10"/>
        <v>Real</v>
      </c>
      <c r="F113" s="185">
        <f t="shared" ca="1" si="8"/>
        <v>2025</v>
      </c>
      <c r="G113" s="186">
        <f>Inputs!G125</f>
        <v>0</v>
      </c>
      <c r="H113" s="134">
        <f t="shared" ref="H113:AZ113" si="16">H59*H86</f>
        <v>0</v>
      </c>
      <c r="I113" s="134">
        <f t="shared" si="16"/>
        <v>0</v>
      </c>
      <c r="J113" s="134">
        <f t="shared" si="16"/>
        <v>0</v>
      </c>
      <c r="K113" s="134">
        <f t="shared" si="16"/>
        <v>0</v>
      </c>
      <c r="L113" s="134">
        <f t="shared" si="16"/>
        <v>0</v>
      </c>
      <c r="M113" s="134">
        <f t="shared" si="16"/>
        <v>0</v>
      </c>
      <c r="N113" s="134">
        <f t="shared" si="16"/>
        <v>0</v>
      </c>
      <c r="O113" s="134">
        <f t="shared" si="16"/>
        <v>0</v>
      </c>
      <c r="P113" s="134">
        <f t="shared" si="16"/>
        <v>0</v>
      </c>
      <c r="Q113" s="134">
        <f t="shared" si="16"/>
        <v>0</v>
      </c>
      <c r="R113" s="134">
        <f t="shared" si="16"/>
        <v>0</v>
      </c>
      <c r="S113" s="134">
        <f t="shared" si="16"/>
        <v>0</v>
      </c>
      <c r="T113" s="134">
        <f t="shared" si="16"/>
        <v>0</v>
      </c>
      <c r="U113" s="134">
        <f t="shared" si="16"/>
        <v>0</v>
      </c>
      <c r="V113" s="134">
        <f t="shared" si="16"/>
        <v>0</v>
      </c>
      <c r="W113" s="134">
        <f t="shared" si="16"/>
        <v>0</v>
      </c>
      <c r="X113" s="134">
        <f t="shared" si="16"/>
        <v>0</v>
      </c>
      <c r="Y113" s="134">
        <f t="shared" si="16"/>
        <v>0</v>
      </c>
      <c r="Z113" s="134">
        <f t="shared" si="16"/>
        <v>0</v>
      </c>
      <c r="AA113" s="134">
        <f t="shared" si="16"/>
        <v>0</v>
      </c>
      <c r="AB113" s="134">
        <f t="shared" si="16"/>
        <v>0</v>
      </c>
      <c r="AC113" s="134">
        <f t="shared" si="16"/>
        <v>0</v>
      </c>
      <c r="AD113" s="134">
        <f t="shared" si="16"/>
        <v>0</v>
      </c>
      <c r="AE113" s="134">
        <f t="shared" si="16"/>
        <v>0</v>
      </c>
      <c r="AF113" s="134">
        <f t="shared" si="16"/>
        <v>0</v>
      </c>
      <c r="AG113" s="134">
        <f t="shared" si="16"/>
        <v>0</v>
      </c>
      <c r="AH113" s="134">
        <f t="shared" si="16"/>
        <v>0</v>
      </c>
      <c r="AI113" s="134">
        <f t="shared" si="16"/>
        <v>0</v>
      </c>
      <c r="AJ113" s="134">
        <f t="shared" si="16"/>
        <v>0</v>
      </c>
      <c r="AK113" s="134">
        <f t="shared" si="16"/>
        <v>0</v>
      </c>
      <c r="AL113" s="134">
        <f t="shared" si="16"/>
        <v>0</v>
      </c>
      <c r="AM113" s="134">
        <f t="shared" si="16"/>
        <v>0</v>
      </c>
      <c r="AN113" s="134">
        <f t="shared" si="16"/>
        <v>0</v>
      </c>
      <c r="AO113" s="134">
        <f t="shared" si="16"/>
        <v>0</v>
      </c>
      <c r="AP113" s="134">
        <f t="shared" si="16"/>
        <v>0</v>
      </c>
      <c r="AQ113" s="134">
        <f t="shared" si="16"/>
        <v>0</v>
      </c>
      <c r="AR113" s="134">
        <f t="shared" si="16"/>
        <v>0</v>
      </c>
      <c r="AS113" s="134">
        <f t="shared" si="16"/>
        <v>0</v>
      </c>
      <c r="AT113" s="134">
        <f t="shared" si="16"/>
        <v>0</v>
      </c>
      <c r="AU113" s="134">
        <f t="shared" si="16"/>
        <v>0</v>
      </c>
      <c r="AV113" s="134">
        <f t="shared" si="16"/>
        <v>0</v>
      </c>
      <c r="AW113" s="134">
        <f t="shared" si="16"/>
        <v>0</v>
      </c>
      <c r="AX113" s="134">
        <f t="shared" si="16"/>
        <v>0</v>
      </c>
      <c r="AY113" s="134">
        <f t="shared" si="16"/>
        <v>0</v>
      </c>
      <c r="AZ113" s="134">
        <f t="shared" si="16"/>
        <v>0</v>
      </c>
    </row>
    <row r="114" spans="1:52" x14ac:dyDescent="0.25">
      <c r="A114" s="25"/>
      <c r="B114" s="4"/>
      <c r="C114" s="4"/>
      <c r="D114" s="21" t="str">
        <f t="shared" si="7"/>
        <v>Light fuel oil</v>
      </c>
      <c r="E114" s="185" t="str">
        <f t="shared" si="10"/>
        <v>Real</v>
      </c>
      <c r="F114" s="185">
        <f t="shared" ca="1" si="8"/>
        <v>2025</v>
      </c>
      <c r="G114" s="186">
        <f>Inputs!G126</f>
        <v>0</v>
      </c>
      <c r="H114" s="134">
        <f t="shared" ref="H114:AZ114" si="17">H60*H87</f>
        <v>0</v>
      </c>
      <c r="I114" s="134">
        <f t="shared" si="17"/>
        <v>0</v>
      </c>
      <c r="J114" s="134">
        <f t="shared" si="17"/>
        <v>0</v>
      </c>
      <c r="K114" s="134">
        <f t="shared" si="17"/>
        <v>0</v>
      </c>
      <c r="L114" s="134">
        <f t="shared" si="17"/>
        <v>0</v>
      </c>
      <c r="M114" s="134">
        <f t="shared" si="17"/>
        <v>0</v>
      </c>
      <c r="N114" s="134">
        <f t="shared" si="17"/>
        <v>0</v>
      </c>
      <c r="O114" s="134">
        <f t="shared" si="17"/>
        <v>0</v>
      </c>
      <c r="P114" s="134">
        <f t="shared" si="17"/>
        <v>0</v>
      </c>
      <c r="Q114" s="134">
        <f t="shared" si="17"/>
        <v>0</v>
      </c>
      <c r="R114" s="134">
        <f t="shared" si="17"/>
        <v>0</v>
      </c>
      <c r="S114" s="134">
        <f t="shared" si="17"/>
        <v>0</v>
      </c>
      <c r="T114" s="134">
        <f t="shared" si="17"/>
        <v>0</v>
      </c>
      <c r="U114" s="134">
        <f t="shared" si="17"/>
        <v>0</v>
      </c>
      <c r="V114" s="134">
        <f t="shared" si="17"/>
        <v>0</v>
      </c>
      <c r="W114" s="134">
        <f t="shared" si="17"/>
        <v>0</v>
      </c>
      <c r="X114" s="134">
        <f t="shared" si="17"/>
        <v>0</v>
      </c>
      <c r="Y114" s="134">
        <f t="shared" si="17"/>
        <v>0</v>
      </c>
      <c r="Z114" s="134">
        <f t="shared" si="17"/>
        <v>0</v>
      </c>
      <c r="AA114" s="134">
        <f t="shared" si="17"/>
        <v>0</v>
      </c>
      <c r="AB114" s="134">
        <f t="shared" si="17"/>
        <v>0</v>
      </c>
      <c r="AC114" s="134">
        <f t="shared" si="17"/>
        <v>0</v>
      </c>
      <c r="AD114" s="134">
        <f t="shared" si="17"/>
        <v>0</v>
      </c>
      <c r="AE114" s="134">
        <f t="shared" si="17"/>
        <v>0</v>
      </c>
      <c r="AF114" s="134">
        <f t="shared" si="17"/>
        <v>0</v>
      </c>
      <c r="AG114" s="134">
        <f t="shared" si="17"/>
        <v>0</v>
      </c>
      <c r="AH114" s="134">
        <f t="shared" si="17"/>
        <v>0</v>
      </c>
      <c r="AI114" s="134">
        <f t="shared" si="17"/>
        <v>0</v>
      </c>
      <c r="AJ114" s="134">
        <f t="shared" si="17"/>
        <v>0</v>
      </c>
      <c r="AK114" s="134">
        <f t="shared" si="17"/>
        <v>0</v>
      </c>
      <c r="AL114" s="134">
        <f t="shared" si="17"/>
        <v>0</v>
      </c>
      <c r="AM114" s="134">
        <f t="shared" si="17"/>
        <v>0</v>
      </c>
      <c r="AN114" s="134">
        <f t="shared" si="17"/>
        <v>0</v>
      </c>
      <c r="AO114" s="134">
        <f t="shared" si="17"/>
        <v>0</v>
      </c>
      <c r="AP114" s="134">
        <f t="shared" si="17"/>
        <v>0</v>
      </c>
      <c r="AQ114" s="134">
        <f t="shared" si="17"/>
        <v>0</v>
      </c>
      <c r="AR114" s="134">
        <f t="shared" si="17"/>
        <v>0</v>
      </c>
      <c r="AS114" s="134">
        <f t="shared" si="17"/>
        <v>0</v>
      </c>
      <c r="AT114" s="134">
        <f t="shared" si="17"/>
        <v>0</v>
      </c>
      <c r="AU114" s="134">
        <f t="shared" si="17"/>
        <v>0</v>
      </c>
      <c r="AV114" s="134">
        <f t="shared" si="17"/>
        <v>0</v>
      </c>
      <c r="AW114" s="134">
        <f t="shared" si="17"/>
        <v>0</v>
      </c>
      <c r="AX114" s="134">
        <f t="shared" si="17"/>
        <v>0</v>
      </c>
      <c r="AY114" s="134">
        <f t="shared" si="17"/>
        <v>0</v>
      </c>
      <c r="AZ114" s="134">
        <f t="shared" si="17"/>
        <v>0</v>
      </c>
    </row>
    <row r="115" spans="1:52" x14ac:dyDescent="0.25">
      <c r="A115" s="25"/>
      <c r="B115" s="4"/>
      <c r="C115" s="4"/>
      <c r="D115" s="21" t="str">
        <f t="shared" si="7"/>
        <v>Heavy fuel oil</v>
      </c>
      <c r="E115" s="185" t="str">
        <f t="shared" si="10"/>
        <v>Real</v>
      </c>
      <c r="F115" s="185">
        <f t="shared" ca="1" si="8"/>
        <v>2025</v>
      </c>
      <c r="G115" s="186">
        <f>Inputs!G127</f>
        <v>0</v>
      </c>
      <c r="H115" s="134">
        <f t="shared" ref="H115:AZ115" si="18">H61*H88</f>
        <v>0</v>
      </c>
      <c r="I115" s="134">
        <f t="shared" si="18"/>
        <v>0</v>
      </c>
      <c r="J115" s="134">
        <f t="shared" si="18"/>
        <v>0</v>
      </c>
      <c r="K115" s="134">
        <f t="shared" si="18"/>
        <v>0</v>
      </c>
      <c r="L115" s="134">
        <f t="shared" si="18"/>
        <v>0</v>
      </c>
      <c r="M115" s="134">
        <f t="shared" si="18"/>
        <v>0</v>
      </c>
      <c r="N115" s="134">
        <f t="shared" si="18"/>
        <v>0</v>
      </c>
      <c r="O115" s="134">
        <f t="shared" si="18"/>
        <v>0</v>
      </c>
      <c r="P115" s="134">
        <f t="shared" si="18"/>
        <v>0</v>
      </c>
      <c r="Q115" s="134">
        <f t="shared" si="18"/>
        <v>0</v>
      </c>
      <c r="R115" s="134">
        <f t="shared" si="18"/>
        <v>0</v>
      </c>
      <c r="S115" s="134">
        <f t="shared" si="18"/>
        <v>0</v>
      </c>
      <c r="T115" s="134">
        <f t="shared" si="18"/>
        <v>0</v>
      </c>
      <c r="U115" s="134">
        <f t="shared" si="18"/>
        <v>0</v>
      </c>
      <c r="V115" s="134">
        <f t="shared" si="18"/>
        <v>0</v>
      </c>
      <c r="W115" s="134">
        <f t="shared" si="18"/>
        <v>0</v>
      </c>
      <c r="X115" s="134">
        <f t="shared" si="18"/>
        <v>0</v>
      </c>
      <c r="Y115" s="134">
        <f t="shared" si="18"/>
        <v>0</v>
      </c>
      <c r="Z115" s="134">
        <f t="shared" si="18"/>
        <v>0</v>
      </c>
      <c r="AA115" s="134">
        <f t="shared" si="18"/>
        <v>0</v>
      </c>
      <c r="AB115" s="134">
        <f t="shared" si="18"/>
        <v>0</v>
      </c>
      <c r="AC115" s="134">
        <f t="shared" si="18"/>
        <v>0</v>
      </c>
      <c r="AD115" s="134">
        <f t="shared" si="18"/>
        <v>0</v>
      </c>
      <c r="AE115" s="134">
        <f t="shared" si="18"/>
        <v>0</v>
      </c>
      <c r="AF115" s="134">
        <f t="shared" si="18"/>
        <v>0</v>
      </c>
      <c r="AG115" s="134">
        <f t="shared" si="18"/>
        <v>0</v>
      </c>
      <c r="AH115" s="134">
        <f t="shared" si="18"/>
        <v>0</v>
      </c>
      <c r="AI115" s="134">
        <f t="shared" si="18"/>
        <v>0</v>
      </c>
      <c r="AJ115" s="134">
        <f t="shared" si="18"/>
        <v>0</v>
      </c>
      <c r="AK115" s="134">
        <f t="shared" si="18"/>
        <v>0</v>
      </c>
      <c r="AL115" s="134">
        <f t="shared" si="18"/>
        <v>0</v>
      </c>
      <c r="AM115" s="134">
        <f t="shared" si="18"/>
        <v>0</v>
      </c>
      <c r="AN115" s="134">
        <f t="shared" si="18"/>
        <v>0</v>
      </c>
      <c r="AO115" s="134">
        <f t="shared" si="18"/>
        <v>0</v>
      </c>
      <c r="AP115" s="134">
        <f t="shared" si="18"/>
        <v>0</v>
      </c>
      <c r="AQ115" s="134">
        <f t="shared" si="18"/>
        <v>0</v>
      </c>
      <c r="AR115" s="134">
        <f t="shared" si="18"/>
        <v>0</v>
      </c>
      <c r="AS115" s="134">
        <f t="shared" si="18"/>
        <v>0</v>
      </c>
      <c r="AT115" s="134">
        <f t="shared" si="18"/>
        <v>0</v>
      </c>
      <c r="AU115" s="134">
        <f t="shared" si="18"/>
        <v>0</v>
      </c>
      <c r="AV115" s="134">
        <f t="shared" si="18"/>
        <v>0</v>
      </c>
      <c r="AW115" s="134">
        <f t="shared" si="18"/>
        <v>0</v>
      </c>
      <c r="AX115" s="134">
        <f t="shared" si="18"/>
        <v>0</v>
      </c>
      <c r="AY115" s="134">
        <f t="shared" si="18"/>
        <v>0</v>
      </c>
      <c r="AZ115" s="134">
        <f t="shared" si="18"/>
        <v>0</v>
      </c>
    </row>
    <row r="116" spans="1:52" x14ac:dyDescent="0.25">
      <c r="A116" s="25"/>
      <c r="B116" s="4"/>
      <c r="C116" s="4"/>
      <c r="D116" s="21" t="str">
        <f t="shared" si="7"/>
        <v>Geothermal</v>
      </c>
      <c r="E116" s="185" t="str">
        <f t="shared" si="10"/>
        <v>Real</v>
      </c>
      <c r="F116" s="185">
        <f t="shared" ca="1" si="8"/>
        <v>2025</v>
      </c>
      <c r="G116" s="186">
        <f>Inputs!G128</f>
        <v>0</v>
      </c>
      <c r="H116" s="134">
        <f t="shared" ref="H116:AZ116" si="19">H62*H89</f>
        <v>0</v>
      </c>
      <c r="I116" s="134">
        <f t="shared" si="19"/>
        <v>0</v>
      </c>
      <c r="J116" s="134">
        <f t="shared" si="19"/>
        <v>0</v>
      </c>
      <c r="K116" s="134">
        <f t="shared" si="19"/>
        <v>0</v>
      </c>
      <c r="L116" s="134">
        <f t="shared" si="19"/>
        <v>0</v>
      </c>
      <c r="M116" s="134">
        <f t="shared" si="19"/>
        <v>0</v>
      </c>
      <c r="N116" s="134">
        <f t="shared" si="19"/>
        <v>0</v>
      </c>
      <c r="O116" s="134">
        <f t="shared" si="19"/>
        <v>0</v>
      </c>
      <c r="P116" s="134">
        <f t="shared" si="19"/>
        <v>0</v>
      </c>
      <c r="Q116" s="134">
        <f t="shared" si="19"/>
        <v>0</v>
      </c>
      <c r="R116" s="134">
        <f t="shared" si="19"/>
        <v>0</v>
      </c>
      <c r="S116" s="134">
        <f t="shared" si="19"/>
        <v>0</v>
      </c>
      <c r="T116" s="134">
        <f t="shared" si="19"/>
        <v>0</v>
      </c>
      <c r="U116" s="134">
        <f t="shared" si="19"/>
        <v>0</v>
      </c>
      <c r="V116" s="134">
        <f t="shared" si="19"/>
        <v>0</v>
      </c>
      <c r="W116" s="134">
        <f t="shared" si="19"/>
        <v>0</v>
      </c>
      <c r="X116" s="134">
        <f t="shared" si="19"/>
        <v>0</v>
      </c>
      <c r="Y116" s="134">
        <f t="shared" si="19"/>
        <v>0</v>
      </c>
      <c r="Z116" s="134">
        <f t="shared" si="19"/>
        <v>0</v>
      </c>
      <c r="AA116" s="134">
        <f t="shared" si="19"/>
        <v>0</v>
      </c>
      <c r="AB116" s="134">
        <f t="shared" si="19"/>
        <v>0</v>
      </c>
      <c r="AC116" s="134">
        <f t="shared" si="19"/>
        <v>0</v>
      </c>
      <c r="AD116" s="134">
        <f t="shared" si="19"/>
        <v>0</v>
      </c>
      <c r="AE116" s="134">
        <f t="shared" si="19"/>
        <v>0</v>
      </c>
      <c r="AF116" s="134">
        <f t="shared" si="19"/>
        <v>0</v>
      </c>
      <c r="AG116" s="134">
        <f t="shared" si="19"/>
        <v>0</v>
      </c>
      <c r="AH116" s="134">
        <f t="shared" si="19"/>
        <v>0</v>
      </c>
      <c r="AI116" s="134">
        <f t="shared" si="19"/>
        <v>0</v>
      </c>
      <c r="AJ116" s="134">
        <f t="shared" si="19"/>
        <v>0</v>
      </c>
      <c r="AK116" s="134">
        <f t="shared" si="19"/>
        <v>0</v>
      </c>
      <c r="AL116" s="134">
        <f t="shared" si="19"/>
        <v>0</v>
      </c>
      <c r="AM116" s="134">
        <f t="shared" si="19"/>
        <v>0</v>
      </c>
      <c r="AN116" s="134">
        <f t="shared" si="19"/>
        <v>0</v>
      </c>
      <c r="AO116" s="134">
        <f t="shared" si="19"/>
        <v>0</v>
      </c>
      <c r="AP116" s="134">
        <f t="shared" si="19"/>
        <v>0</v>
      </c>
      <c r="AQ116" s="134">
        <f t="shared" si="19"/>
        <v>0</v>
      </c>
      <c r="AR116" s="134">
        <f t="shared" si="19"/>
        <v>0</v>
      </c>
      <c r="AS116" s="134">
        <f t="shared" si="19"/>
        <v>0</v>
      </c>
      <c r="AT116" s="134">
        <f t="shared" si="19"/>
        <v>0</v>
      </c>
      <c r="AU116" s="134">
        <f t="shared" si="19"/>
        <v>0</v>
      </c>
      <c r="AV116" s="134">
        <f t="shared" si="19"/>
        <v>0</v>
      </c>
      <c r="AW116" s="134">
        <f t="shared" si="19"/>
        <v>0</v>
      </c>
      <c r="AX116" s="134">
        <f t="shared" si="19"/>
        <v>0</v>
      </c>
      <c r="AY116" s="134">
        <f t="shared" si="19"/>
        <v>0</v>
      </c>
      <c r="AZ116" s="134">
        <f t="shared" si="19"/>
        <v>0</v>
      </c>
    </row>
    <row r="117" spans="1:52" x14ac:dyDescent="0.25">
      <c r="A117" s="25"/>
      <c r="B117" s="4"/>
      <c r="C117" s="4"/>
      <c r="D117" s="21" t="str">
        <f t="shared" si="7"/>
        <v>Wood or wood chips</v>
      </c>
      <c r="E117" s="185" t="str">
        <f t="shared" si="10"/>
        <v>Real</v>
      </c>
      <c r="F117" s="185">
        <f t="shared" ca="1" si="8"/>
        <v>2025</v>
      </c>
      <c r="G117" s="186">
        <f>Inputs!G129</f>
        <v>0</v>
      </c>
      <c r="H117" s="134">
        <f t="shared" ref="H117:AZ117" si="20">H63*H90</f>
        <v>0</v>
      </c>
      <c r="I117" s="134">
        <f t="shared" si="20"/>
        <v>0</v>
      </c>
      <c r="J117" s="134">
        <f t="shared" si="20"/>
        <v>0</v>
      </c>
      <c r="K117" s="134">
        <f t="shared" si="20"/>
        <v>0</v>
      </c>
      <c r="L117" s="134">
        <f t="shared" si="20"/>
        <v>0</v>
      </c>
      <c r="M117" s="134">
        <f t="shared" si="20"/>
        <v>0</v>
      </c>
      <c r="N117" s="134">
        <f t="shared" si="20"/>
        <v>0</v>
      </c>
      <c r="O117" s="134">
        <f t="shared" si="20"/>
        <v>0</v>
      </c>
      <c r="P117" s="134">
        <f t="shared" si="20"/>
        <v>0</v>
      </c>
      <c r="Q117" s="134">
        <f t="shared" si="20"/>
        <v>0</v>
      </c>
      <c r="R117" s="134">
        <f t="shared" si="20"/>
        <v>0</v>
      </c>
      <c r="S117" s="134">
        <f t="shared" si="20"/>
        <v>0</v>
      </c>
      <c r="T117" s="134">
        <f t="shared" si="20"/>
        <v>0</v>
      </c>
      <c r="U117" s="134">
        <f t="shared" si="20"/>
        <v>0</v>
      </c>
      <c r="V117" s="134">
        <f t="shared" si="20"/>
        <v>0</v>
      </c>
      <c r="W117" s="134">
        <f t="shared" si="20"/>
        <v>0</v>
      </c>
      <c r="X117" s="134">
        <f t="shared" si="20"/>
        <v>0</v>
      </c>
      <c r="Y117" s="134">
        <f t="shared" si="20"/>
        <v>0</v>
      </c>
      <c r="Z117" s="134">
        <f t="shared" si="20"/>
        <v>0</v>
      </c>
      <c r="AA117" s="134">
        <f t="shared" si="20"/>
        <v>0</v>
      </c>
      <c r="AB117" s="134">
        <f t="shared" si="20"/>
        <v>0</v>
      </c>
      <c r="AC117" s="134">
        <f t="shared" si="20"/>
        <v>0</v>
      </c>
      <c r="AD117" s="134">
        <f t="shared" si="20"/>
        <v>0</v>
      </c>
      <c r="AE117" s="134">
        <f t="shared" si="20"/>
        <v>0</v>
      </c>
      <c r="AF117" s="134">
        <f t="shared" si="20"/>
        <v>0</v>
      </c>
      <c r="AG117" s="134">
        <f t="shared" si="20"/>
        <v>0</v>
      </c>
      <c r="AH117" s="134">
        <f t="shared" si="20"/>
        <v>0</v>
      </c>
      <c r="AI117" s="134">
        <f t="shared" si="20"/>
        <v>0</v>
      </c>
      <c r="AJ117" s="134">
        <f t="shared" si="20"/>
        <v>0</v>
      </c>
      <c r="AK117" s="134">
        <f t="shared" si="20"/>
        <v>0</v>
      </c>
      <c r="AL117" s="134">
        <f t="shared" si="20"/>
        <v>0</v>
      </c>
      <c r="AM117" s="134">
        <f t="shared" si="20"/>
        <v>0</v>
      </c>
      <c r="AN117" s="134">
        <f t="shared" si="20"/>
        <v>0</v>
      </c>
      <c r="AO117" s="134">
        <f t="shared" si="20"/>
        <v>0</v>
      </c>
      <c r="AP117" s="134">
        <f t="shared" si="20"/>
        <v>0</v>
      </c>
      <c r="AQ117" s="134">
        <f t="shared" si="20"/>
        <v>0</v>
      </c>
      <c r="AR117" s="134">
        <f t="shared" si="20"/>
        <v>0</v>
      </c>
      <c r="AS117" s="134">
        <f t="shared" si="20"/>
        <v>0</v>
      </c>
      <c r="AT117" s="134">
        <f t="shared" si="20"/>
        <v>0</v>
      </c>
      <c r="AU117" s="134">
        <f t="shared" si="20"/>
        <v>0</v>
      </c>
      <c r="AV117" s="134">
        <f t="shared" si="20"/>
        <v>0</v>
      </c>
      <c r="AW117" s="134">
        <f t="shared" si="20"/>
        <v>0</v>
      </c>
      <c r="AX117" s="134">
        <f t="shared" si="20"/>
        <v>0</v>
      </c>
      <c r="AY117" s="134">
        <f t="shared" si="20"/>
        <v>0</v>
      </c>
      <c r="AZ117" s="134">
        <f t="shared" si="20"/>
        <v>0</v>
      </c>
    </row>
    <row r="118" spans="1:52" x14ac:dyDescent="0.25">
      <c r="A118" s="25"/>
      <c r="B118" s="4"/>
      <c r="C118" s="4"/>
      <c r="D118" s="20" t="str">
        <f ca="1">"Total  fuel opex in "&amp;Analysis_year&amp;" dollars"</f>
        <v>Total  fuel opex in 2025 dollars</v>
      </c>
      <c r="E118" s="20"/>
      <c r="F118" s="20"/>
      <c r="H118" s="131">
        <f>SUBTOTAL(109,Opex_Fuel_PP[2026])</f>
        <v>719617.39956013835</v>
      </c>
      <c r="I118" s="131">
        <f>SUBTOTAL(109,Opex_Fuel_PP[2027])</f>
        <v>782692.6614662942</v>
      </c>
      <c r="J118" s="131">
        <f>SUBTOTAL(109,Opex_Fuel_PP[2028])</f>
        <v>733993.81984517514</v>
      </c>
      <c r="K118" s="131">
        <f>SUBTOTAL(109,Opex_Fuel_PP[2029])</f>
        <v>701879.78736295295</v>
      </c>
      <c r="L118" s="131">
        <f>SUBTOTAL(109,Opex_Fuel_PP[2030])</f>
        <v>669756.95037531562</v>
      </c>
      <c r="M118" s="131">
        <f>SUBTOTAL(109,Opex_Fuel_PP[2031])</f>
        <v>637628.98724873818</v>
      </c>
      <c r="N118" s="131">
        <f>SUBTOTAL(109,Opex_Fuel_PP[2032])</f>
        <v>602003.24420442851</v>
      </c>
      <c r="O118" s="131">
        <f>SUBTOTAL(109,Opex_Fuel_PP[2033])</f>
        <v>571262.0980467418</v>
      </c>
      <c r="P118" s="131">
        <f>SUBTOTAL(109,Opex_Fuel_PP[2034])</f>
        <v>580864.713280675</v>
      </c>
      <c r="Q118" s="131">
        <f>SUBTOTAL(109,Opex_Fuel_PP[2035])</f>
        <v>590872.47372510564</v>
      </c>
      <c r="R118" s="131">
        <f>SUBTOTAL(109,Opex_Fuel_PP[2036])</f>
        <v>590767.59243185818</v>
      </c>
      <c r="S118" s="131">
        <f>SUBTOTAL(109,Opex_Fuel_PP[2037])</f>
        <v>591954.05312707834</v>
      </c>
      <c r="T118" s="131">
        <f>SUBTOTAL(109,Opex_Fuel_PP[2038])</f>
        <v>591738.33704602881</v>
      </c>
      <c r="U118" s="131">
        <f>SUBTOTAL(109,Opex_Fuel_PP[2039])</f>
        <v>591447.69852380583</v>
      </c>
      <c r="V118" s="131">
        <f>SUBTOTAL(109,Opex_Fuel_PP[2040])</f>
        <v>591158.23253536865</v>
      </c>
      <c r="W118" s="131">
        <f>SUBTOTAL(109,Opex_Fuel_PP[2041])</f>
        <v>590867.83459718933</v>
      </c>
      <c r="X118" s="131">
        <f>SUBTOTAL(109,Opex_Fuel_PP[2042])</f>
        <v>590577.51476474979</v>
      </c>
      <c r="Y118" s="131">
        <f>SUBTOTAL(109,Opex_Fuel_PP[2043])</f>
        <v>590286.98444038979</v>
      </c>
      <c r="Z118" s="131">
        <f>SUBTOTAL(109,Opex_Fuel_PP[2044])</f>
        <v>589996.15809187316</v>
      </c>
      <c r="AA118" s="131">
        <f>SUBTOTAL(109,Opex_Fuel_PP[2045])</f>
        <v>589704.82079377316</v>
      </c>
      <c r="AB118" s="131">
        <f>SUBTOTAL(109,Opex_Fuel_PP[2046])</f>
        <v>589413.65738798329</v>
      </c>
      <c r="AC118" s="131">
        <f>SUBTOTAL(109,Opex_Fuel_PP[2047])</f>
        <v>589122.07896909909</v>
      </c>
      <c r="AD118" s="131">
        <f>SUBTOTAL(109,Opex_Fuel_PP[2048])</f>
        <v>0</v>
      </c>
      <c r="AE118" s="131">
        <f>SUBTOTAL(109,Opex_Fuel_PP[2049])</f>
        <v>0</v>
      </c>
      <c r="AF118" s="131">
        <f>SUBTOTAL(109,Opex_Fuel_PP[2050])</f>
        <v>0</v>
      </c>
      <c r="AG118" s="131">
        <f>SUBTOTAL(109,Opex_Fuel_PP[2051])</f>
        <v>0</v>
      </c>
      <c r="AH118" s="131">
        <f>SUBTOTAL(109,Opex_Fuel_PP[2052])</f>
        <v>0</v>
      </c>
      <c r="AI118" s="131">
        <f>SUBTOTAL(109,Opex_Fuel_PP[2053])</f>
        <v>0</v>
      </c>
      <c r="AJ118" s="131">
        <f>SUBTOTAL(109,Opex_Fuel_PP[2054])</f>
        <v>0</v>
      </c>
      <c r="AK118" s="131">
        <f>SUBTOTAL(109,Opex_Fuel_PP[2055])</f>
        <v>0</v>
      </c>
      <c r="AL118" s="131">
        <f>SUBTOTAL(109,Opex_Fuel_PP[2056])</f>
        <v>0</v>
      </c>
      <c r="AM118" s="131">
        <f>SUBTOTAL(109,Opex_Fuel_PP[2057])</f>
        <v>0</v>
      </c>
      <c r="AN118" s="131">
        <f>SUBTOTAL(109,Opex_Fuel_PP[2058])</f>
        <v>0</v>
      </c>
      <c r="AO118" s="131">
        <f>SUBTOTAL(109,Opex_Fuel_PP[2059])</f>
        <v>0</v>
      </c>
      <c r="AP118" s="131">
        <f>SUBTOTAL(109,Opex_Fuel_PP[2060])</f>
        <v>0</v>
      </c>
      <c r="AQ118" s="131">
        <f>SUBTOTAL(109,Opex_Fuel_PP[2061])</f>
        <v>0</v>
      </c>
      <c r="AR118" s="131">
        <f>SUBTOTAL(109,Opex_Fuel_PP[2062])</f>
        <v>0</v>
      </c>
      <c r="AS118" s="131">
        <f>SUBTOTAL(109,Opex_Fuel_PP[2063])</f>
        <v>0</v>
      </c>
      <c r="AT118" s="131">
        <f>SUBTOTAL(109,Opex_Fuel_PP[2064])</f>
        <v>0</v>
      </c>
      <c r="AU118" s="131">
        <f>SUBTOTAL(109,Opex_Fuel_PP[2065])</f>
        <v>0</v>
      </c>
      <c r="AV118" s="131">
        <f>SUBTOTAL(109,Opex_Fuel_PP[2066])</f>
        <v>0</v>
      </c>
      <c r="AW118" s="131">
        <f>SUBTOTAL(109,Opex_Fuel_PP[2067])</f>
        <v>0</v>
      </c>
      <c r="AX118" s="131">
        <f>SUBTOTAL(109,Opex_Fuel_PP[2068])</f>
        <v>0</v>
      </c>
      <c r="AY118" s="131">
        <f>SUBTOTAL(109,Opex_Fuel_PP[2069])</f>
        <v>0</v>
      </c>
      <c r="AZ118" s="131">
        <f>SUBTOTAL(109,Opex_Fuel_PP[2070])</f>
        <v>0</v>
      </c>
    </row>
    <row r="119" spans="1:52" x14ac:dyDescent="0.25">
      <c r="A119" s="25"/>
      <c r="B119" s="4"/>
      <c r="C119" s="4"/>
      <c r="D119" s="4"/>
      <c r="E119" s="4"/>
      <c r="F119" s="4"/>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row>
    <row r="120" spans="1:52" ht="60" x14ac:dyDescent="0.25">
      <c r="A120" s="50" t="s">
        <v>61</v>
      </c>
      <c r="B120" s="49"/>
      <c r="C120" s="49"/>
      <c r="D120" s="50" t="s">
        <v>75</v>
      </c>
      <c r="E120" s="51" t="s">
        <v>48</v>
      </c>
      <c r="F120" s="51" t="s">
        <v>319</v>
      </c>
      <c r="G120" s="51" t="s">
        <v>52</v>
      </c>
      <c r="H120" s="54" t="s">
        <v>77</v>
      </c>
      <c r="I120" s="54" t="s">
        <v>78</v>
      </c>
      <c r="J120" s="54" t="s">
        <v>79</v>
      </c>
      <c r="K120" s="54" t="s">
        <v>80</v>
      </c>
      <c r="L120" s="54" t="s">
        <v>81</v>
      </c>
      <c r="M120" s="54" t="s">
        <v>82</v>
      </c>
      <c r="N120" s="54" t="s">
        <v>83</v>
      </c>
      <c r="O120" s="54" t="s">
        <v>84</v>
      </c>
      <c r="P120" s="54" t="s">
        <v>85</v>
      </c>
      <c r="Q120" s="54" t="s">
        <v>86</v>
      </c>
      <c r="R120" s="54" t="s">
        <v>87</v>
      </c>
      <c r="S120" s="54" t="s">
        <v>88</v>
      </c>
      <c r="T120" s="54" t="s">
        <v>89</v>
      </c>
      <c r="U120" s="54" t="s">
        <v>90</v>
      </c>
      <c r="V120" s="54" t="s">
        <v>91</v>
      </c>
      <c r="W120" s="54" t="s">
        <v>92</v>
      </c>
      <c r="X120" s="54" t="s">
        <v>93</v>
      </c>
      <c r="Y120" s="54" t="s">
        <v>94</v>
      </c>
      <c r="Z120" s="54" t="s">
        <v>95</v>
      </c>
      <c r="AA120" s="54" t="s">
        <v>96</v>
      </c>
      <c r="AB120" s="54" t="s">
        <v>97</v>
      </c>
      <c r="AC120" s="54" t="s">
        <v>98</v>
      </c>
      <c r="AD120" s="54" t="s">
        <v>99</v>
      </c>
      <c r="AE120" s="54" t="s">
        <v>100</v>
      </c>
      <c r="AF120" s="54" t="s">
        <v>101</v>
      </c>
      <c r="AG120" s="54" t="s">
        <v>102</v>
      </c>
      <c r="AH120" s="54" t="s">
        <v>103</v>
      </c>
      <c r="AI120" s="54" t="s">
        <v>104</v>
      </c>
      <c r="AJ120" s="54" t="s">
        <v>105</v>
      </c>
      <c r="AK120" s="54" t="s">
        <v>106</v>
      </c>
      <c r="AL120" s="54" t="s">
        <v>107</v>
      </c>
      <c r="AM120" s="54" t="s">
        <v>108</v>
      </c>
      <c r="AN120" s="54" t="s">
        <v>109</v>
      </c>
      <c r="AO120" s="54" t="s">
        <v>110</v>
      </c>
      <c r="AP120" s="54" t="s">
        <v>111</v>
      </c>
      <c r="AQ120" s="54" t="s">
        <v>112</v>
      </c>
      <c r="AR120" s="54" t="s">
        <v>113</v>
      </c>
      <c r="AS120" s="54" t="s">
        <v>114</v>
      </c>
      <c r="AT120" s="54" t="s">
        <v>115</v>
      </c>
      <c r="AU120" s="54" t="s">
        <v>116</v>
      </c>
      <c r="AV120" s="54" t="s">
        <v>117</v>
      </c>
      <c r="AW120" s="54" t="s">
        <v>118</v>
      </c>
      <c r="AX120" s="54" t="s">
        <v>119</v>
      </c>
      <c r="AY120" s="54" t="s">
        <v>120</v>
      </c>
      <c r="AZ120" s="54" t="s">
        <v>121</v>
      </c>
    </row>
    <row r="121" spans="1:52" x14ac:dyDescent="0.25">
      <c r="A121" s="25"/>
      <c r="B121" s="4"/>
      <c r="C121" s="4"/>
      <c r="D121" s="27" t="str">
        <f t="shared" ref="D121:D131" si="21">IF(E66="&lt;Select&gt;","",E66)</f>
        <v>Electricity</v>
      </c>
      <c r="E121" s="46" t="str">
        <f>E93</f>
        <v>Real</v>
      </c>
      <c r="F121" s="46">
        <f t="shared" ref="F121:F131" ca="1" si="22">Analysis_year</f>
        <v>2025</v>
      </c>
      <c r="G121" s="158">
        <f>Inputs!G134</f>
        <v>0</v>
      </c>
      <c r="H121" s="135">
        <f t="shared" ref="H121:AZ121" si="23">H66*H93</f>
        <v>19617.399560138409</v>
      </c>
      <c r="I121" s="135">
        <f t="shared" si="23"/>
        <v>18751.273609999262</v>
      </c>
      <c r="J121" s="135">
        <f t="shared" si="23"/>
        <v>17584.576451989753</v>
      </c>
      <c r="K121" s="135">
        <f t="shared" si="23"/>
        <v>16815.208040298716</v>
      </c>
      <c r="L121" s="135">
        <f t="shared" si="23"/>
        <v>16045.628695634667</v>
      </c>
      <c r="M121" s="135">
        <f t="shared" si="23"/>
        <v>15275.926542059069</v>
      </c>
      <c r="N121" s="135">
        <f t="shared" si="23"/>
        <v>14422.426709657555</v>
      </c>
      <c r="O121" s="135">
        <f t="shared" si="23"/>
        <v>13685.949071541123</v>
      </c>
      <c r="P121" s="135">
        <f t="shared" si="23"/>
        <v>13916.002673022069</v>
      </c>
      <c r="Q121" s="135">
        <f t="shared" si="23"/>
        <v>14155.762496456837</v>
      </c>
      <c r="R121" s="135">
        <f t="shared" si="23"/>
        <v>14153.249814374742</v>
      </c>
      <c r="S121" s="135">
        <f t="shared" si="23"/>
        <v>14181.674316377745</v>
      </c>
      <c r="T121" s="135">
        <f t="shared" si="23"/>
        <v>14176.506322020599</v>
      </c>
      <c r="U121" s="135">
        <f t="shared" si="23"/>
        <v>14169.543381494746</v>
      </c>
      <c r="V121" s="135">
        <f t="shared" si="23"/>
        <v>14162.608531818498</v>
      </c>
      <c r="W121" s="135">
        <f t="shared" si="23"/>
        <v>14155.651355058491</v>
      </c>
      <c r="X121" s="135">
        <f t="shared" si="23"/>
        <v>14148.696049508182</v>
      </c>
      <c r="Y121" s="135">
        <f t="shared" si="23"/>
        <v>14141.735701120768</v>
      </c>
      <c r="Z121" s="135">
        <f t="shared" si="23"/>
        <v>14134.768260767085</v>
      </c>
      <c r="AA121" s="135">
        <f t="shared" si="23"/>
        <v>14127.788579394786</v>
      </c>
      <c r="AB121" s="135">
        <f t="shared" si="23"/>
        <v>14120.81306402844</v>
      </c>
      <c r="AC121" s="135">
        <f t="shared" si="23"/>
        <v>14113.827606031395</v>
      </c>
      <c r="AD121" s="135">
        <f t="shared" si="23"/>
        <v>0</v>
      </c>
      <c r="AE121" s="135">
        <f t="shared" si="23"/>
        <v>0</v>
      </c>
      <c r="AF121" s="135">
        <f t="shared" si="23"/>
        <v>0</v>
      </c>
      <c r="AG121" s="135">
        <f t="shared" si="23"/>
        <v>0</v>
      </c>
      <c r="AH121" s="135">
        <f t="shared" si="23"/>
        <v>0</v>
      </c>
      <c r="AI121" s="135">
        <f t="shared" si="23"/>
        <v>0</v>
      </c>
      <c r="AJ121" s="135">
        <f t="shared" si="23"/>
        <v>0</v>
      </c>
      <c r="AK121" s="135">
        <f t="shared" si="23"/>
        <v>0</v>
      </c>
      <c r="AL121" s="135">
        <f t="shared" si="23"/>
        <v>0</v>
      </c>
      <c r="AM121" s="135">
        <f t="shared" si="23"/>
        <v>0</v>
      </c>
      <c r="AN121" s="135">
        <f t="shared" si="23"/>
        <v>0</v>
      </c>
      <c r="AO121" s="135">
        <f t="shared" si="23"/>
        <v>0</v>
      </c>
      <c r="AP121" s="135">
        <f t="shared" si="23"/>
        <v>0</v>
      </c>
      <c r="AQ121" s="135">
        <f t="shared" si="23"/>
        <v>0</v>
      </c>
      <c r="AR121" s="135">
        <f t="shared" si="23"/>
        <v>0</v>
      </c>
      <c r="AS121" s="135">
        <f t="shared" si="23"/>
        <v>0</v>
      </c>
      <c r="AT121" s="135">
        <f t="shared" si="23"/>
        <v>0</v>
      </c>
      <c r="AU121" s="135">
        <f t="shared" si="23"/>
        <v>0</v>
      </c>
      <c r="AV121" s="135">
        <f t="shared" si="23"/>
        <v>0</v>
      </c>
      <c r="AW121" s="135">
        <f t="shared" si="23"/>
        <v>0</v>
      </c>
      <c r="AX121" s="135">
        <f t="shared" si="23"/>
        <v>0</v>
      </c>
      <c r="AY121" s="135">
        <f t="shared" si="23"/>
        <v>0</v>
      </c>
      <c r="AZ121" s="135">
        <f t="shared" si="23"/>
        <v>0</v>
      </c>
    </row>
    <row r="122" spans="1:52" x14ac:dyDescent="0.25">
      <c r="A122" s="25"/>
      <c r="B122" s="4"/>
      <c r="C122" s="4"/>
      <c r="D122" s="27" t="str">
        <f t="shared" si="21"/>
        <v>Natural Gas</v>
      </c>
      <c r="E122" s="46" t="str">
        <f t="shared" ref="E122:E131" si="24">E94</f>
        <v>Real</v>
      </c>
      <c r="F122" s="46">
        <f t="shared" ca="1" si="22"/>
        <v>2025</v>
      </c>
      <c r="G122" s="158">
        <f>Inputs!G135</f>
        <v>0</v>
      </c>
      <c r="H122" s="135">
        <f t="shared" ref="H122:AZ122" si="25">H67*H94</f>
        <v>700000</v>
      </c>
      <c r="I122" s="135">
        <f t="shared" si="25"/>
        <v>700000</v>
      </c>
      <c r="J122" s="135">
        <f t="shared" si="25"/>
        <v>700000</v>
      </c>
      <c r="K122" s="135">
        <f t="shared" si="25"/>
        <v>700000</v>
      </c>
      <c r="L122" s="135">
        <f t="shared" si="25"/>
        <v>700000</v>
      </c>
      <c r="M122" s="135">
        <f t="shared" si="25"/>
        <v>700000</v>
      </c>
      <c r="N122" s="135">
        <f t="shared" si="25"/>
        <v>700000</v>
      </c>
      <c r="O122" s="135">
        <f t="shared" si="25"/>
        <v>700000</v>
      </c>
      <c r="P122" s="135">
        <f t="shared" si="25"/>
        <v>700000</v>
      </c>
      <c r="Q122" s="135">
        <f t="shared" si="25"/>
        <v>700000</v>
      </c>
      <c r="R122" s="135">
        <f t="shared" si="25"/>
        <v>700000</v>
      </c>
      <c r="S122" s="135">
        <f t="shared" si="25"/>
        <v>700000</v>
      </c>
      <c r="T122" s="135">
        <f t="shared" si="25"/>
        <v>700000</v>
      </c>
      <c r="U122" s="135">
        <f t="shared" si="25"/>
        <v>700000</v>
      </c>
      <c r="V122" s="135">
        <f t="shared" si="25"/>
        <v>700000</v>
      </c>
      <c r="W122" s="135">
        <f t="shared" si="25"/>
        <v>700000</v>
      </c>
      <c r="X122" s="135">
        <f t="shared" si="25"/>
        <v>700000</v>
      </c>
      <c r="Y122" s="135">
        <f t="shared" si="25"/>
        <v>700000</v>
      </c>
      <c r="Z122" s="135">
        <f t="shared" si="25"/>
        <v>700000</v>
      </c>
      <c r="AA122" s="135">
        <f t="shared" si="25"/>
        <v>700000</v>
      </c>
      <c r="AB122" s="135">
        <f t="shared" si="25"/>
        <v>700000</v>
      </c>
      <c r="AC122" s="135">
        <f t="shared" si="25"/>
        <v>700000</v>
      </c>
      <c r="AD122" s="135">
        <f t="shared" si="25"/>
        <v>0</v>
      </c>
      <c r="AE122" s="135">
        <f t="shared" si="25"/>
        <v>0</v>
      </c>
      <c r="AF122" s="135">
        <f t="shared" si="25"/>
        <v>0</v>
      </c>
      <c r="AG122" s="135">
        <f t="shared" si="25"/>
        <v>0</v>
      </c>
      <c r="AH122" s="135">
        <f t="shared" si="25"/>
        <v>0</v>
      </c>
      <c r="AI122" s="135">
        <f t="shared" si="25"/>
        <v>0</v>
      </c>
      <c r="AJ122" s="135">
        <f t="shared" si="25"/>
        <v>0</v>
      </c>
      <c r="AK122" s="135">
        <f t="shared" si="25"/>
        <v>0</v>
      </c>
      <c r="AL122" s="135">
        <f t="shared" si="25"/>
        <v>0</v>
      </c>
      <c r="AM122" s="135">
        <f t="shared" si="25"/>
        <v>0</v>
      </c>
      <c r="AN122" s="135">
        <f t="shared" si="25"/>
        <v>0</v>
      </c>
      <c r="AO122" s="135">
        <f t="shared" si="25"/>
        <v>0</v>
      </c>
      <c r="AP122" s="135">
        <f t="shared" si="25"/>
        <v>0</v>
      </c>
      <c r="AQ122" s="135">
        <f t="shared" si="25"/>
        <v>0</v>
      </c>
      <c r="AR122" s="135">
        <f t="shared" si="25"/>
        <v>0</v>
      </c>
      <c r="AS122" s="135">
        <f t="shared" si="25"/>
        <v>0</v>
      </c>
      <c r="AT122" s="135">
        <f t="shared" si="25"/>
        <v>0</v>
      </c>
      <c r="AU122" s="135">
        <f t="shared" si="25"/>
        <v>0</v>
      </c>
      <c r="AV122" s="135">
        <f t="shared" si="25"/>
        <v>0</v>
      </c>
      <c r="AW122" s="135">
        <f t="shared" si="25"/>
        <v>0</v>
      </c>
      <c r="AX122" s="135">
        <f t="shared" si="25"/>
        <v>0</v>
      </c>
      <c r="AY122" s="135">
        <f t="shared" si="25"/>
        <v>0</v>
      </c>
      <c r="AZ122" s="135">
        <f t="shared" si="25"/>
        <v>0</v>
      </c>
    </row>
    <row r="123" spans="1:52" x14ac:dyDescent="0.25">
      <c r="A123" s="25"/>
      <c r="B123" s="4"/>
      <c r="C123" s="4"/>
      <c r="D123" s="27" t="str">
        <f t="shared" si="21"/>
        <v>Coal - sub bituminous</v>
      </c>
      <c r="E123" s="46" t="str">
        <f t="shared" si="24"/>
        <v>Real</v>
      </c>
      <c r="F123" s="46">
        <f t="shared" ca="1" si="22"/>
        <v>2025</v>
      </c>
      <c r="G123" s="158">
        <f>Inputs!G136</f>
        <v>0</v>
      </c>
      <c r="H123" s="135">
        <f t="shared" ref="H123:AZ123" si="26">H68*H95</f>
        <v>0</v>
      </c>
      <c r="I123" s="135">
        <f t="shared" si="26"/>
        <v>0</v>
      </c>
      <c r="J123" s="135">
        <f t="shared" si="26"/>
        <v>0</v>
      </c>
      <c r="K123" s="135">
        <f t="shared" si="26"/>
        <v>0</v>
      </c>
      <c r="L123" s="135">
        <f t="shared" si="26"/>
        <v>0</v>
      </c>
      <c r="M123" s="135">
        <f t="shared" si="26"/>
        <v>0</v>
      </c>
      <c r="N123" s="135">
        <f t="shared" si="26"/>
        <v>0</v>
      </c>
      <c r="O123" s="135">
        <f t="shared" si="26"/>
        <v>0</v>
      </c>
      <c r="P123" s="135">
        <f t="shared" si="26"/>
        <v>0</v>
      </c>
      <c r="Q123" s="135">
        <f t="shared" si="26"/>
        <v>0</v>
      </c>
      <c r="R123" s="135">
        <f t="shared" si="26"/>
        <v>0</v>
      </c>
      <c r="S123" s="135">
        <f t="shared" si="26"/>
        <v>0</v>
      </c>
      <c r="T123" s="135">
        <f t="shared" si="26"/>
        <v>0</v>
      </c>
      <c r="U123" s="135">
        <f t="shared" si="26"/>
        <v>0</v>
      </c>
      <c r="V123" s="135">
        <f t="shared" si="26"/>
        <v>0</v>
      </c>
      <c r="W123" s="135">
        <f t="shared" si="26"/>
        <v>0</v>
      </c>
      <c r="X123" s="135">
        <f t="shared" si="26"/>
        <v>0</v>
      </c>
      <c r="Y123" s="135">
        <f t="shared" si="26"/>
        <v>0</v>
      </c>
      <c r="Z123" s="135">
        <f t="shared" si="26"/>
        <v>0</v>
      </c>
      <c r="AA123" s="135">
        <f t="shared" si="26"/>
        <v>0</v>
      </c>
      <c r="AB123" s="135">
        <f t="shared" si="26"/>
        <v>0</v>
      </c>
      <c r="AC123" s="135">
        <f t="shared" si="26"/>
        <v>0</v>
      </c>
      <c r="AD123" s="135">
        <f t="shared" si="26"/>
        <v>0</v>
      </c>
      <c r="AE123" s="135">
        <f t="shared" si="26"/>
        <v>0</v>
      </c>
      <c r="AF123" s="135">
        <f t="shared" si="26"/>
        <v>0</v>
      </c>
      <c r="AG123" s="135">
        <f t="shared" si="26"/>
        <v>0</v>
      </c>
      <c r="AH123" s="135">
        <f t="shared" si="26"/>
        <v>0</v>
      </c>
      <c r="AI123" s="135">
        <f t="shared" si="26"/>
        <v>0</v>
      </c>
      <c r="AJ123" s="135">
        <f t="shared" si="26"/>
        <v>0</v>
      </c>
      <c r="AK123" s="135">
        <f t="shared" si="26"/>
        <v>0</v>
      </c>
      <c r="AL123" s="135">
        <f t="shared" si="26"/>
        <v>0</v>
      </c>
      <c r="AM123" s="135">
        <f t="shared" si="26"/>
        <v>0</v>
      </c>
      <c r="AN123" s="135">
        <f t="shared" si="26"/>
        <v>0</v>
      </c>
      <c r="AO123" s="135">
        <f t="shared" si="26"/>
        <v>0</v>
      </c>
      <c r="AP123" s="135">
        <f t="shared" si="26"/>
        <v>0</v>
      </c>
      <c r="AQ123" s="135">
        <f t="shared" si="26"/>
        <v>0</v>
      </c>
      <c r="AR123" s="135">
        <f t="shared" si="26"/>
        <v>0</v>
      </c>
      <c r="AS123" s="135">
        <f t="shared" si="26"/>
        <v>0</v>
      </c>
      <c r="AT123" s="135">
        <f t="shared" si="26"/>
        <v>0</v>
      </c>
      <c r="AU123" s="135">
        <f t="shared" si="26"/>
        <v>0</v>
      </c>
      <c r="AV123" s="135">
        <f t="shared" si="26"/>
        <v>0</v>
      </c>
      <c r="AW123" s="135">
        <f t="shared" si="26"/>
        <v>0</v>
      </c>
      <c r="AX123" s="135">
        <f t="shared" si="26"/>
        <v>0</v>
      </c>
      <c r="AY123" s="135">
        <f t="shared" si="26"/>
        <v>0</v>
      </c>
      <c r="AZ123" s="135">
        <f t="shared" si="26"/>
        <v>0</v>
      </c>
    </row>
    <row r="124" spans="1:52" x14ac:dyDescent="0.25">
      <c r="A124" s="25"/>
      <c r="B124" s="4"/>
      <c r="C124" s="4"/>
      <c r="D124" s="27" t="str">
        <f t="shared" si="21"/>
        <v>Coal - bituminous</v>
      </c>
      <c r="E124" s="46" t="str">
        <f t="shared" si="24"/>
        <v>Real</v>
      </c>
      <c r="F124" s="46">
        <f t="shared" ca="1" si="22"/>
        <v>2025</v>
      </c>
      <c r="G124" s="158">
        <f>Inputs!G137</f>
        <v>0</v>
      </c>
      <c r="H124" s="135">
        <f t="shared" ref="H124:AZ124" si="27">H69*H96</f>
        <v>0</v>
      </c>
      <c r="I124" s="135">
        <f t="shared" si="27"/>
        <v>0</v>
      </c>
      <c r="J124" s="135">
        <f t="shared" si="27"/>
        <v>0</v>
      </c>
      <c r="K124" s="135">
        <f t="shared" si="27"/>
        <v>0</v>
      </c>
      <c r="L124" s="135">
        <f t="shared" si="27"/>
        <v>0</v>
      </c>
      <c r="M124" s="135">
        <f t="shared" si="27"/>
        <v>0</v>
      </c>
      <c r="N124" s="135">
        <f t="shared" si="27"/>
        <v>0</v>
      </c>
      <c r="O124" s="135">
        <f t="shared" si="27"/>
        <v>0</v>
      </c>
      <c r="P124" s="135">
        <f t="shared" si="27"/>
        <v>0</v>
      </c>
      <c r="Q124" s="135">
        <f t="shared" si="27"/>
        <v>0</v>
      </c>
      <c r="R124" s="135">
        <f t="shared" si="27"/>
        <v>0</v>
      </c>
      <c r="S124" s="135">
        <f t="shared" si="27"/>
        <v>0</v>
      </c>
      <c r="T124" s="135">
        <f t="shared" si="27"/>
        <v>0</v>
      </c>
      <c r="U124" s="135">
        <f t="shared" si="27"/>
        <v>0</v>
      </c>
      <c r="V124" s="135">
        <f t="shared" si="27"/>
        <v>0</v>
      </c>
      <c r="W124" s="135">
        <f t="shared" si="27"/>
        <v>0</v>
      </c>
      <c r="X124" s="135">
        <f t="shared" si="27"/>
        <v>0</v>
      </c>
      <c r="Y124" s="135">
        <f t="shared" si="27"/>
        <v>0</v>
      </c>
      <c r="Z124" s="135">
        <f t="shared" si="27"/>
        <v>0</v>
      </c>
      <c r="AA124" s="135">
        <f t="shared" si="27"/>
        <v>0</v>
      </c>
      <c r="AB124" s="135">
        <f t="shared" si="27"/>
        <v>0</v>
      </c>
      <c r="AC124" s="135">
        <f t="shared" si="27"/>
        <v>0</v>
      </c>
      <c r="AD124" s="135">
        <f t="shared" si="27"/>
        <v>0</v>
      </c>
      <c r="AE124" s="135">
        <f t="shared" si="27"/>
        <v>0</v>
      </c>
      <c r="AF124" s="135">
        <f t="shared" si="27"/>
        <v>0</v>
      </c>
      <c r="AG124" s="135">
        <f t="shared" si="27"/>
        <v>0</v>
      </c>
      <c r="AH124" s="135">
        <f t="shared" si="27"/>
        <v>0</v>
      </c>
      <c r="AI124" s="135">
        <f t="shared" si="27"/>
        <v>0</v>
      </c>
      <c r="AJ124" s="135">
        <f t="shared" si="27"/>
        <v>0</v>
      </c>
      <c r="AK124" s="135">
        <f t="shared" si="27"/>
        <v>0</v>
      </c>
      <c r="AL124" s="135">
        <f t="shared" si="27"/>
        <v>0</v>
      </c>
      <c r="AM124" s="135">
        <f t="shared" si="27"/>
        <v>0</v>
      </c>
      <c r="AN124" s="135">
        <f t="shared" si="27"/>
        <v>0</v>
      </c>
      <c r="AO124" s="135">
        <f t="shared" si="27"/>
        <v>0</v>
      </c>
      <c r="AP124" s="135">
        <f t="shared" si="27"/>
        <v>0</v>
      </c>
      <c r="AQ124" s="135">
        <f t="shared" si="27"/>
        <v>0</v>
      </c>
      <c r="AR124" s="135">
        <f t="shared" si="27"/>
        <v>0</v>
      </c>
      <c r="AS124" s="135">
        <f t="shared" si="27"/>
        <v>0</v>
      </c>
      <c r="AT124" s="135">
        <f t="shared" si="27"/>
        <v>0</v>
      </c>
      <c r="AU124" s="135">
        <f t="shared" si="27"/>
        <v>0</v>
      </c>
      <c r="AV124" s="135">
        <f t="shared" si="27"/>
        <v>0</v>
      </c>
      <c r="AW124" s="135">
        <f t="shared" si="27"/>
        <v>0</v>
      </c>
      <c r="AX124" s="135">
        <f t="shared" si="27"/>
        <v>0</v>
      </c>
      <c r="AY124" s="135">
        <f t="shared" si="27"/>
        <v>0</v>
      </c>
      <c r="AZ124" s="135">
        <f t="shared" si="27"/>
        <v>0</v>
      </c>
    </row>
    <row r="125" spans="1:52" x14ac:dyDescent="0.25">
      <c r="A125" s="25"/>
      <c r="B125" s="4"/>
      <c r="C125" s="4"/>
      <c r="D125" s="27" t="str">
        <f t="shared" si="21"/>
        <v>Coal - lignite</v>
      </c>
      <c r="E125" s="46" t="str">
        <f t="shared" si="24"/>
        <v>Real</v>
      </c>
      <c r="F125" s="46">
        <f t="shared" ca="1" si="22"/>
        <v>2025</v>
      </c>
      <c r="G125" s="158">
        <f>Inputs!G138</f>
        <v>0</v>
      </c>
      <c r="H125" s="135">
        <f t="shared" ref="H125:AZ125" si="28">H70*H97</f>
        <v>0</v>
      </c>
      <c r="I125" s="135">
        <f t="shared" si="28"/>
        <v>0</v>
      </c>
      <c r="J125" s="135">
        <f t="shared" si="28"/>
        <v>0</v>
      </c>
      <c r="K125" s="135">
        <f t="shared" si="28"/>
        <v>0</v>
      </c>
      <c r="L125" s="135">
        <f t="shared" si="28"/>
        <v>0</v>
      </c>
      <c r="M125" s="135">
        <f t="shared" si="28"/>
        <v>0</v>
      </c>
      <c r="N125" s="135">
        <f t="shared" si="28"/>
        <v>0</v>
      </c>
      <c r="O125" s="135">
        <f t="shared" si="28"/>
        <v>0</v>
      </c>
      <c r="P125" s="135">
        <f t="shared" si="28"/>
        <v>0</v>
      </c>
      <c r="Q125" s="135">
        <f t="shared" si="28"/>
        <v>0</v>
      </c>
      <c r="R125" s="135">
        <f t="shared" si="28"/>
        <v>0</v>
      </c>
      <c r="S125" s="135">
        <f t="shared" si="28"/>
        <v>0</v>
      </c>
      <c r="T125" s="135">
        <f t="shared" si="28"/>
        <v>0</v>
      </c>
      <c r="U125" s="135">
        <f t="shared" si="28"/>
        <v>0</v>
      </c>
      <c r="V125" s="135">
        <f t="shared" si="28"/>
        <v>0</v>
      </c>
      <c r="W125" s="135">
        <f t="shared" si="28"/>
        <v>0</v>
      </c>
      <c r="X125" s="135">
        <f t="shared" si="28"/>
        <v>0</v>
      </c>
      <c r="Y125" s="135">
        <f t="shared" si="28"/>
        <v>0</v>
      </c>
      <c r="Z125" s="135">
        <f t="shared" si="28"/>
        <v>0</v>
      </c>
      <c r="AA125" s="135">
        <f t="shared" si="28"/>
        <v>0</v>
      </c>
      <c r="AB125" s="135">
        <f t="shared" si="28"/>
        <v>0</v>
      </c>
      <c r="AC125" s="135">
        <f t="shared" si="28"/>
        <v>0</v>
      </c>
      <c r="AD125" s="135">
        <f t="shared" si="28"/>
        <v>0</v>
      </c>
      <c r="AE125" s="135">
        <f t="shared" si="28"/>
        <v>0</v>
      </c>
      <c r="AF125" s="135">
        <f t="shared" si="28"/>
        <v>0</v>
      </c>
      <c r="AG125" s="135">
        <f t="shared" si="28"/>
        <v>0</v>
      </c>
      <c r="AH125" s="135">
        <f t="shared" si="28"/>
        <v>0</v>
      </c>
      <c r="AI125" s="135">
        <f t="shared" si="28"/>
        <v>0</v>
      </c>
      <c r="AJ125" s="135">
        <f t="shared" si="28"/>
        <v>0</v>
      </c>
      <c r="AK125" s="135">
        <f t="shared" si="28"/>
        <v>0</v>
      </c>
      <c r="AL125" s="135">
        <f t="shared" si="28"/>
        <v>0</v>
      </c>
      <c r="AM125" s="135">
        <f t="shared" si="28"/>
        <v>0</v>
      </c>
      <c r="AN125" s="135">
        <f t="shared" si="28"/>
        <v>0</v>
      </c>
      <c r="AO125" s="135">
        <f t="shared" si="28"/>
        <v>0</v>
      </c>
      <c r="AP125" s="135">
        <f t="shared" si="28"/>
        <v>0</v>
      </c>
      <c r="AQ125" s="135">
        <f t="shared" si="28"/>
        <v>0</v>
      </c>
      <c r="AR125" s="135">
        <f t="shared" si="28"/>
        <v>0</v>
      </c>
      <c r="AS125" s="135">
        <f t="shared" si="28"/>
        <v>0</v>
      </c>
      <c r="AT125" s="135">
        <f t="shared" si="28"/>
        <v>0</v>
      </c>
      <c r="AU125" s="135">
        <f t="shared" si="28"/>
        <v>0</v>
      </c>
      <c r="AV125" s="135">
        <f t="shared" si="28"/>
        <v>0</v>
      </c>
      <c r="AW125" s="135">
        <f t="shared" si="28"/>
        <v>0</v>
      </c>
      <c r="AX125" s="135">
        <f t="shared" si="28"/>
        <v>0</v>
      </c>
      <c r="AY125" s="135">
        <f t="shared" si="28"/>
        <v>0</v>
      </c>
      <c r="AZ125" s="135">
        <f t="shared" si="28"/>
        <v>0</v>
      </c>
    </row>
    <row r="126" spans="1:52" x14ac:dyDescent="0.25">
      <c r="A126" s="25"/>
      <c r="B126" s="4"/>
      <c r="C126" s="4"/>
      <c r="D126" s="27" t="str">
        <f t="shared" si="21"/>
        <v>Diesel</v>
      </c>
      <c r="E126" s="46" t="str">
        <f t="shared" si="24"/>
        <v>Real</v>
      </c>
      <c r="F126" s="46">
        <f t="shared" ca="1" si="22"/>
        <v>2025</v>
      </c>
      <c r="G126" s="158">
        <f>Inputs!G139</f>
        <v>0</v>
      </c>
      <c r="H126" s="135">
        <f t="shared" ref="H126:AZ126" si="29">H71*H98</f>
        <v>0</v>
      </c>
      <c r="I126" s="135">
        <f t="shared" si="29"/>
        <v>0</v>
      </c>
      <c r="J126" s="135">
        <f t="shared" si="29"/>
        <v>0</v>
      </c>
      <c r="K126" s="135">
        <f t="shared" si="29"/>
        <v>0</v>
      </c>
      <c r="L126" s="135">
        <f t="shared" si="29"/>
        <v>0</v>
      </c>
      <c r="M126" s="135">
        <f t="shared" si="29"/>
        <v>0</v>
      </c>
      <c r="N126" s="135">
        <f t="shared" si="29"/>
        <v>0</v>
      </c>
      <c r="O126" s="135">
        <f t="shared" si="29"/>
        <v>0</v>
      </c>
      <c r="P126" s="135">
        <f t="shared" si="29"/>
        <v>0</v>
      </c>
      <c r="Q126" s="135">
        <f t="shared" si="29"/>
        <v>0</v>
      </c>
      <c r="R126" s="135">
        <f t="shared" si="29"/>
        <v>0</v>
      </c>
      <c r="S126" s="135">
        <f t="shared" si="29"/>
        <v>0</v>
      </c>
      <c r="T126" s="135">
        <f t="shared" si="29"/>
        <v>0</v>
      </c>
      <c r="U126" s="135">
        <f t="shared" si="29"/>
        <v>0</v>
      </c>
      <c r="V126" s="135">
        <f t="shared" si="29"/>
        <v>0</v>
      </c>
      <c r="W126" s="135">
        <f t="shared" si="29"/>
        <v>0</v>
      </c>
      <c r="X126" s="135">
        <f t="shared" si="29"/>
        <v>0</v>
      </c>
      <c r="Y126" s="135">
        <f t="shared" si="29"/>
        <v>0</v>
      </c>
      <c r="Z126" s="135">
        <f t="shared" si="29"/>
        <v>0</v>
      </c>
      <c r="AA126" s="135">
        <f t="shared" si="29"/>
        <v>0</v>
      </c>
      <c r="AB126" s="135">
        <f t="shared" si="29"/>
        <v>0</v>
      </c>
      <c r="AC126" s="135">
        <f t="shared" si="29"/>
        <v>0</v>
      </c>
      <c r="AD126" s="135">
        <f t="shared" si="29"/>
        <v>0</v>
      </c>
      <c r="AE126" s="135">
        <f t="shared" si="29"/>
        <v>0</v>
      </c>
      <c r="AF126" s="135">
        <f t="shared" si="29"/>
        <v>0</v>
      </c>
      <c r="AG126" s="135">
        <f t="shared" si="29"/>
        <v>0</v>
      </c>
      <c r="AH126" s="135">
        <f t="shared" si="29"/>
        <v>0</v>
      </c>
      <c r="AI126" s="135">
        <f t="shared" si="29"/>
        <v>0</v>
      </c>
      <c r="AJ126" s="135">
        <f t="shared" si="29"/>
        <v>0</v>
      </c>
      <c r="AK126" s="135">
        <f t="shared" si="29"/>
        <v>0</v>
      </c>
      <c r="AL126" s="135">
        <f t="shared" si="29"/>
        <v>0</v>
      </c>
      <c r="AM126" s="135">
        <f t="shared" si="29"/>
        <v>0</v>
      </c>
      <c r="AN126" s="135">
        <f t="shared" si="29"/>
        <v>0</v>
      </c>
      <c r="AO126" s="135">
        <f t="shared" si="29"/>
        <v>0</v>
      </c>
      <c r="AP126" s="135">
        <f t="shared" si="29"/>
        <v>0</v>
      </c>
      <c r="AQ126" s="135">
        <f t="shared" si="29"/>
        <v>0</v>
      </c>
      <c r="AR126" s="135">
        <f t="shared" si="29"/>
        <v>0</v>
      </c>
      <c r="AS126" s="135">
        <f t="shared" si="29"/>
        <v>0</v>
      </c>
      <c r="AT126" s="135">
        <f t="shared" si="29"/>
        <v>0</v>
      </c>
      <c r="AU126" s="135">
        <f t="shared" si="29"/>
        <v>0</v>
      </c>
      <c r="AV126" s="135">
        <f t="shared" si="29"/>
        <v>0</v>
      </c>
      <c r="AW126" s="135">
        <f t="shared" si="29"/>
        <v>0</v>
      </c>
      <c r="AX126" s="135">
        <f t="shared" si="29"/>
        <v>0</v>
      </c>
      <c r="AY126" s="135">
        <f t="shared" si="29"/>
        <v>0</v>
      </c>
      <c r="AZ126" s="135">
        <f t="shared" si="29"/>
        <v>0</v>
      </c>
    </row>
    <row r="127" spans="1:52" x14ac:dyDescent="0.25">
      <c r="A127" s="25"/>
      <c r="B127" s="4"/>
      <c r="C127" s="4"/>
      <c r="D127" s="27" t="str">
        <f t="shared" si="21"/>
        <v>LPG</v>
      </c>
      <c r="E127" s="46" t="str">
        <f t="shared" si="24"/>
        <v>Real</v>
      </c>
      <c r="F127" s="46">
        <f t="shared" ca="1" si="22"/>
        <v>2025</v>
      </c>
      <c r="G127" s="158">
        <f>Inputs!G140</f>
        <v>0</v>
      </c>
      <c r="H127" s="135">
        <f t="shared" ref="H127:AZ127" si="30">H72*H99</f>
        <v>0</v>
      </c>
      <c r="I127" s="135">
        <f t="shared" si="30"/>
        <v>0</v>
      </c>
      <c r="J127" s="135">
        <f t="shared" si="30"/>
        <v>0</v>
      </c>
      <c r="K127" s="135">
        <f t="shared" si="30"/>
        <v>0</v>
      </c>
      <c r="L127" s="135">
        <f t="shared" si="30"/>
        <v>0</v>
      </c>
      <c r="M127" s="135">
        <f t="shared" si="30"/>
        <v>0</v>
      </c>
      <c r="N127" s="135">
        <f t="shared" si="30"/>
        <v>0</v>
      </c>
      <c r="O127" s="135">
        <f t="shared" si="30"/>
        <v>0</v>
      </c>
      <c r="P127" s="135">
        <f t="shared" si="30"/>
        <v>0</v>
      </c>
      <c r="Q127" s="135">
        <f t="shared" si="30"/>
        <v>0</v>
      </c>
      <c r="R127" s="135">
        <f t="shared" si="30"/>
        <v>0</v>
      </c>
      <c r="S127" s="135">
        <f t="shared" si="30"/>
        <v>0</v>
      </c>
      <c r="T127" s="135">
        <f t="shared" si="30"/>
        <v>0</v>
      </c>
      <c r="U127" s="135">
        <f t="shared" si="30"/>
        <v>0</v>
      </c>
      <c r="V127" s="135">
        <f t="shared" si="30"/>
        <v>0</v>
      </c>
      <c r="W127" s="135">
        <f t="shared" si="30"/>
        <v>0</v>
      </c>
      <c r="X127" s="135">
        <f t="shared" si="30"/>
        <v>0</v>
      </c>
      <c r="Y127" s="135">
        <f t="shared" si="30"/>
        <v>0</v>
      </c>
      <c r="Z127" s="135">
        <f t="shared" si="30"/>
        <v>0</v>
      </c>
      <c r="AA127" s="135">
        <f t="shared" si="30"/>
        <v>0</v>
      </c>
      <c r="AB127" s="135">
        <f t="shared" si="30"/>
        <v>0</v>
      </c>
      <c r="AC127" s="135">
        <f t="shared" si="30"/>
        <v>0</v>
      </c>
      <c r="AD127" s="135">
        <f t="shared" si="30"/>
        <v>0</v>
      </c>
      <c r="AE127" s="135">
        <f t="shared" si="30"/>
        <v>0</v>
      </c>
      <c r="AF127" s="135">
        <f t="shared" si="30"/>
        <v>0</v>
      </c>
      <c r="AG127" s="135">
        <f t="shared" si="30"/>
        <v>0</v>
      </c>
      <c r="AH127" s="135">
        <f t="shared" si="30"/>
        <v>0</v>
      </c>
      <c r="AI127" s="135">
        <f t="shared" si="30"/>
        <v>0</v>
      </c>
      <c r="AJ127" s="135">
        <f t="shared" si="30"/>
        <v>0</v>
      </c>
      <c r="AK127" s="135">
        <f t="shared" si="30"/>
        <v>0</v>
      </c>
      <c r="AL127" s="135">
        <f t="shared" si="30"/>
        <v>0</v>
      </c>
      <c r="AM127" s="135">
        <f t="shared" si="30"/>
        <v>0</v>
      </c>
      <c r="AN127" s="135">
        <f t="shared" si="30"/>
        <v>0</v>
      </c>
      <c r="AO127" s="135">
        <f t="shared" si="30"/>
        <v>0</v>
      </c>
      <c r="AP127" s="135">
        <f t="shared" si="30"/>
        <v>0</v>
      </c>
      <c r="AQ127" s="135">
        <f t="shared" si="30"/>
        <v>0</v>
      </c>
      <c r="AR127" s="135">
        <f t="shared" si="30"/>
        <v>0</v>
      </c>
      <c r="AS127" s="135">
        <f t="shared" si="30"/>
        <v>0</v>
      </c>
      <c r="AT127" s="135">
        <f t="shared" si="30"/>
        <v>0</v>
      </c>
      <c r="AU127" s="135">
        <f t="shared" si="30"/>
        <v>0</v>
      </c>
      <c r="AV127" s="135">
        <f t="shared" si="30"/>
        <v>0</v>
      </c>
      <c r="AW127" s="135">
        <f t="shared" si="30"/>
        <v>0</v>
      </c>
      <c r="AX127" s="135">
        <f t="shared" si="30"/>
        <v>0</v>
      </c>
      <c r="AY127" s="135">
        <f t="shared" si="30"/>
        <v>0</v>
      </c>
      <c r="AZ127" s="135">
        <f t="shared" si="30"/>
        <v>0</v>
      </c>
    </row>
    <row r="128" spans="1:52" x14ac:dyDescent="0.25">
      <c r="A128" s="25"/>
      <c r="B128" s="4"/>
      <c r="C128" s="4"/>
      <c r="D128" s="27" t="str">
        <f t="shared" si="21"/>
        <v>Light fuel oil</v>
      </c>
      <c r="E128" s="46" t="str">
        <f t="shared" si="24"/>
        <v>Real</v>
      </c>
      <c r="F128" s="46">
        <f t="shared" ca="1" si="22"/>
        <v>2025</v>
      </c>
      <c r="G128" s="158">
        <f>Inputs!G141</f>
        <v>0</v>
      </c>
      <c r="H128" s="135">
        <f t="shared" ref="H128:AZ128" si="31">H73*H100</f>
        <v>0</v>
      </c>
      <c r="I128" s="135">
        <f t="shared" si="31"/>
        <v>0</v>
      </c>
      <c r="J128" s="135">
        <f t="shared" si="31"/>
        <v>0</v>
      </c>
      <c r="K128" s="135">
        <f t="shared" si="31"/>
        <v>0</v>
      </c>
      <c r="L128" s="135">
        <f t="shared" si="31"/>
        <v>0</v>
      </c>
      <c r="M128" s="135">
        <f t="shared" si="31"/>
        <v>0</v>
      </c>
      <c r="N128" s="135">
        <f t="shared" si="31"/>
        <v>0</v>
      </c>
      <c r="O128" s="135">
        <f t="shared" si="31"/>
        <v>0</v>
      </c>
      <c r="P128" s="135">
        <f t="shared" si="31"/>
        <v>0</v>
      </c>
      <c r="Q128" s="135">
        <f t="shared" si="31"/>
        <v>0</v>
      </c>
      <c r="R128" s="135">
        <f t="shared" si="31"/>
        <v>0</v>
      </c>
      <c r="S128" s="135">
        <f t="shared" si="31"/>
        <v>0</v>
      </c>
      <c r="T128" s="135">
        <f t="shared" si="31"/>
        <v>0</v>
      </c>
      <c r="U128" s="135">
        <f t="shared" si="31"/>
        <v>0</v>
      </c>
      <c r="V128" s="135">
        <f t="shared" si="31"/>
        <v>0</v>
      </c>
      <c r="W128" s="135">
        <f t="shared" si="31"/>
        <v>0</v>
      </c>
      <c r="X128" s="135">
        <f t="shared" si="31"/>
        <v>0</v>
      </c>
      <c r="Y128" s="135">
        <f t="shared" si="31"/>
        <v>0</v>
      </c>
      <c r="Z128" s="135">
        <f t="shared" si="31"/>
        <v>0</v>
      </c>
      <c r="AA128" s="135">
        <f t="shared" si="31"/>
        <v>0</v>
      </c>
      <c r="AB128" s="135">
        <f t="shared" si="31"/>
        <v>0</v>
      </c>
      <c r="AC128" s="135">
        <f t="shared" si="31"/>
        <v>0</v>
      </c>
      <c r="AD128" s="135">
        <f t="shared" si="31"/>
        <v>0</v>
      </c>
      <c r="AE128" s="135">
        <f t="shared" si="31"/>
        <v>0</v>
      </c>
      <c r="AF128" s="135">
        <f t="shared" si="31"/>
        <v>0</v>
      </c>
      <c r="AG128" s="135">
        <f t="shared" si="31"/>
        <v>0</v>
      </c>
      <c r="AH128" s="135">
        <f t="shared" si="31"/>
        <v>0</v>
      </c>
      <c r="AI128" s="135">
        <f t="shared" si="31"/>
        <v>0</v>
      </c>
      <c r="AJ128" s="135">
        <f t="shared" si="31"/>
        <v>0</v>
      </c>
      <c r="AK128" s="135">
        <f t="shared" si="31"/>
        <v>0</v>
      </c>
      <c r="AL128" s="135">
        <f t="shared" si="31"/>
        <v>0</v>
      </c>
      <c r="AM128" s="135">
        <f t="shared" si="31"/>
        <v>0</v>
      </c>
      <c r="AN128" s="135">
        <f t="shared" si="31"/>
        <v>0</v>
      </c>
      <c r="AO128" s="135">
        <f t="shared" si="31"/>
        <v>0</v>
      </c>
      <c r="AP128" s="135">
        <f t="shared" si="31"/>
        <v>0</v>
      </c>
      <c r="AQ128" s="135">
        <f t="shared" si="31"/>
        <v>0</v>
      </c>
      <c r="AR128" s="135">
        <f t="shared" si="31"/>
        <v>0</v>
      </c>
      <c r="AS128" s="135">
        <f t="shared" si="31"/>
        <v>0</v>
      </c>
      <c r="AT128" s="135">
        <f t="shared" si="31"/>
        <v>0</v>
      </c>
      <c r="AU128" s="135">
        <f t="shared" si="31"/>
        <v>0</v>
      </c>
      <c r="AV128" s="135">
        <f t="shared" si="31"/>
        <v>0</v>
      </c>
      <c r="AW128" s="135">
        <f t="shared" si="31"/>
        <v>0</v>
      </c>
      <c r="AX128" s="135">
        <f t="shared" si="31"/>
        <v>0</v>
      </c>
      <c r="AY128" s="135">
        <f t="shared" si="31"/>
        <v>0</v>
      </c>
      <c r="AZ128" s="135">
        <f t="shared" si="31"/>
        <v>0</v>
      </c>
    </row>
    <row r="129" spans="1:52" x14ac:dyDescent="0.25">
      <c r="A129" s="25"/>
      <c r="B129" s="4"/>
      <c r="C129" s="4"/>
      <c r="D129" s="27" t="str">
        <f t="shared" si="21"/>
        <v>Heavy fuel oil</v>
      </c>
      <c r="E129" s="46" t="str">
        <f t="shared" si="24"/>
        <v>Real</v>
      </c>
      <c r="F129" s="46">
        <f t="shared" ca="1" si="22"/>
        <v>2025</v>
      </c>
      <c r="G129" s="158">
        <f>Inputs!G142</f>
        <v>0</v>
      </c>
      <c r="H129" s="135">
        <f t="shared" ref="H129:AZ129" si="32">H74*H101</f>
        <v>0</v>
      </c>
      <c r="I129" s="135">
        <f t="shared" si="32"/>
        <v>0</v>
      </c>
      <c r="J129" s="135">
        <f t="shared" si="32"/>
        <v>0</v>
      </c>
      <c r="K129" s="135">
        <f t="shared" si="32"/>
        <v>0</v>
      </c>
      <c r="L129" s="135">
        <f t="shared" si="32"/>
        <v>0</v>
      </c>
      <c r="M129" s="135">
        <f t="shared" si="32"/>
        <v>0</v>
      </c>
      <c r="N129" s="135">
        <f t="shared" si="32"/>
        <v>0</v>
      </c>
      <c r="O129" s="135">
        <f t="shared" si="32"/>
        <v>0</v>
      </c>
      <c r="P129" s="135">
        <f t="shared" si="32"/>
        <v>0</v>
      </c>
      <c r="Q129" s="135">
        <f t="shared" si="32"/>
        <v>0</v>
      </c>
      <c r="R129" s="135">
        <f t="shared" si="32"/>
        <v>0</v>
      </c>
      <c r="S129" s="135">
        <f t="shared" si="32"/>
        <v>0</v>
      </c>
      <c r="T129" s="135">
        <f t="shared" si="32"/>
        <v>0</v>
      </c>
      <c r="U129" s="135">
        <f t="shared" si="32"/>
        <v>0</v>
      </c>
      <c r="V129" s="135">
        <f t="shared" si="32"/>
        <v>0</v>
      </c>
      <c r="W129" s="135">
        <f t="shared" si="32"/>
        <v>0</v>
      </c>
      <c r="X129" s="135">
        <f t="shared" si="32"/>
        <v>0</v>
      </c>
      <c r="Y129" s="135">
        <f t="shared" si="32"/>
        <v>0</v>
      </c>
      <c r="Z129" s="135">
        <f t="shared" si="32"/>
        <v>0</v>
      </c>
      <c r="AA129" s="135">
        <f t="shared" si="32"/>
        <v>0</v>
      </c>
      <c r="AB129" s="135">
        <f t="shared" si="32"/>
        <v>0</v>
      </c>
      <c r="AC129" s="135">
        <f t="shared" si="32"/>
        <v>0</v>
      </c>
      <c r="AD129" s="135">
        <f t="shared" si="32"/>
        <v>0</v>
      </c>
      <c r="AE129" s="135">
        <f t="shared" si="32"/>
        <v>0</v>
      </c>
      <c r="AF129" s="135">
        <f t="shared" si="32"/>
        <v>0</v>
      </c>
      <c r="AG129" s="135">
        <f t="shared" si="32"/>
        <v>0</v>
      </c>
      <c r="AH129" s="135">
        <f t="shared" si="32"/>
        <v>0</v>
      </c>
      <c r="AI129" s="135">
        <f t="shared" si="32"/>
        <v>0</v>
      </c>
      <c r="AJ129" s="135">
        <f t="shared" si="32"/>
        <v>0</v>
      </c>
      <c r="AK129" s="135">
        <f t="shared" si="32"/>
        <v>0</v>
      </c>
      <c r="AL129" s="135">
        <f t="shared" si="32"/>
        <v>0</v>
      </c>
      <c r="AM129" s="135">
        <f t="shared" si="32"/>
        <v>0</v>
      </c>
      <c r="AN129" s="135">
        <f t="shared" si="32"/>
        <v>0</v>
      </c>
      <c r="AO129" s="135">
        <f t="shared" si="32"/>
        <v>0</v>
      </c>
      <c r="AP129" s="135">
        <f t="shared" si="32"/>
        <v>0</v>
      </c>
      <c r="AQ129" s="135">
        <f t="shared" si="32"/>
        <v>0</v>
      </c>
      <c r="AR129" s="135">
        <f t="shared" si="32"/>
        <v>0</v>
      </c>
      <c r="AS129" s="135">
        <f t="shared" si="32"/>
        <v>0</v>
      </c>
      <c r="AT129" s="135">
        <f t="shared" si="32"/>
        <v>0</v>
      </c>
      <c r="AU129" s="135">
        <f t="shared" si="32"/>
        <v>0</v>
      </c>
      <c r="AV129" s="135">
        <f t="shared" si="32"/>
        <v>0</v>
      </c>
      <c r="AW129" s="135">
        <f t="shared" si="32"/>
        <v>0</v>
      </c>
      <c r="AX129" s="135">
        <f t="shared" si="32"/>
        <v>0</v>
      </c>
      <c r="AY129" s="135">
        <f t="shared" si="32"/>
        <v>0</v>
      </c>
      <c r="AZ129" s="135">
        <f t="shared" si="32"/>
        <v>0</v>
      </c>
    </row>
    <row r="130" spans="1:52" x14ac:dyDescent="0.25">
      <c r="A130" s="25"/>
      <c r="B130" s="4"/>
      <c r="C130" s="4"/>
      <c r="D130" s="27" t="str">
        <f t="shared" si="21"/>
        <v>Geothermal</v>
      </c>
      <c r="E130" s="46" t="str">
        <f t="shared" si="24"/>
        <v>Real</v>
      </c>
      <c r="F130" s="46">
        <f t="shared" ca="1" si="22"/>
        <v>2025</v>
      </c>
      <c r="G130" s="158">
        <f>Inputs!G143</f>
        <v>0</v>
      </c>
      <c r="H130" s="135">
        <f t="shared" ref="H130:AZ130" si="33">H75*H102</f>
        <v>0</v>
      </c>
      <c r="I130" s="135">
        <f t="shared" si="33"/>
        <v>0</v>
      </c>
      <c r="J130" s="135">
        <f t="shared" si="33"/>
        <v>0</v>
      </c>
      <c r="K130" s="135">
        <f t="shared" si="33"/>
        <v>0</v>
      </c>
      <c r="L130" s="135">
        <f t="shared" si="33"/>
        <v>0</v>
      </c>
      <c r="M130" s="135">
        <f t="shared" si="33"/>
        <v>0</v>
      </c>
      <c r="N130" s="135">
        <f t="shared" si="33"/>
        <v>0</v>
      </c>
      <c r="O130" s="135">
        <f t="shared" si="33"/>
        <v>0</v>
      </c>
      <c r="P130" s="135">
        <f t="shared" si="33"/>
        <v>0</v>
      </c>
      <c r="Q130" s="135">
        <f t="shared" si="33"/>
        <v>0</v>
      </c>
      <c r="R130" s="135">
        <f t="shared" si="33"/>
        <v>0</v>
      </c>
      <c r="S130" s="135">
        <f t="shared" si="33"/>
        <v>0</v>
      </c>
      <c r="T130" s="135">
        <f t="shared" si="33"/>
        <v>0</v>
      </c>
      <c r="U130" s="135">
        <f t="shared" si="33"/>
        <v>0</v>
      </c>
      <c r="V130" s="135">
        <f t="shared" si="33"/>
        <v>0</v>
      </c>
      <c r="W130" s="135">
        <f t="shared" si="33"/>
        <v>0</v>
      </c>
      <c r="X130" s="135">
        <f t="shared" si="33"/>
        <v>0</v>
      </c>
      <c r="Y130" s="135">
        <f t="shared" si="33"/>
        <v>0</v>
      </c>
      <c r="Z130" s="135">
        <f t="shared" si="33"/>
        <v>0</v>
      </c>
      <c r="AA130" s="135">
        <f t="shared" si="33"/>
        <v>0</v>
      </c>
      <c r="AB130" s="135">
        <f t="shared" si="33"/>
        <v>0</v>
      </c>
      <c r="AC130" s="135">
        <f t="shared" si="33"/>
        <v>0</v>
      </c>
      <c r="AD130" s="135">
        <f t="shared" si="33"/>
        <v>0</v>
      </c>
      <c r="AE130" s="135">
        <f t="shared" si="33"/>
        <v>0</v>
      </c>
      <c r="AF130" s="135">
        <f t="shared" si="33"/>
        <v>0</v>
      </c>
      <c r="AG130" s="135">
        <f t="shared" si="33"/>
        <v>0</v>
      </c>
      <c r="AH130" s="135">
        <f t="shared" si="33"/>
        <v>0</v>
      </c>
      <c r="AI130" s="135">
        <f t="shared" si="33"/>
        <v>0</v>
      </c>
      <c r="AJ130" s="135">
        <f t="shared" si="33"/>
        <v>0</v>
      </c>
      <c r="AK130" s="135">
        <f t="shared" si="33"/>
        <v>0</v>
      </c>
      <c r="AL130" s="135">
        <f t="shared" si="33"/>
        <v>0</v>
      </c>
      <c r="AM130" s="135">
        <f t="shared" si="33"/>
        <v>0</v>
      </c>
      <c r="AN130" s="135">
        <f t="shared" si="33"/>
        <v>0</v>
      </c>
      <c r="AO130" s="135">
        <f t="shared" si="33"/>
        <v>0</v>
      </c>
      <c r="AP130" s="135">
        <f t="shared" si="33"/>
        <v>0</v>
      </c>
      <c r="AQ130" s="135">
        <f t="shared" si="33"/>
        <v>0</v>
      </c>
      <c r="AR130" s="135">
        <f t="shared" si="33"/>
        <v>0</v>
      </c>
      <c r="AS130" s="135">
        <f t="shared" si="33"/>
        <v>0</v>
      </c>
      <c r="AT130" s="135">
        <f t="shared" si="33"/>
        <v>0</v>
      </c>
      <c r="AU130" s="135">
        <f t="shared" si="33"/>
        <v>0</v>
      </c>
      <c r="AV130" s="135">
        <f t="shared" si="33"/>
        <v>0</v>
      </c>
      <c r="AW130" s="135">
        <f t="shared" si="33"/>
        <v>0</v>
      </c>
      <c r="AX130" s="135">
        <f t="shared" si="33"/>
        <v>0</v>
      </c>
      <c r="AY130" s="135">
        <f t="shared" si="33"/>
        <v>0</v>
      </c>
      <c r="AZ130" s="135">
        <f t="shared" si="33"/>
        <v>0</v>
      </c>
    </row>
    <row r="131" spans="1:52" x14ac:dyDescent="0.25">
      <c r="A131" s="25"/>
      <c r="B131" s="4"/>
      <c r="C131" s="4"/>
      <c r="D131" s="27" t="str">
        <f t="shared" si="21"/>
        <v>Wood or wood chips</v>
      </c>
      <c r="E131" s="46" t="str">
        <f t="shared" si="24"/>
        <v>Real</v>
      </c>
      <c r="F131" s="46">
        <f t="shared" ca="1" si="22"/>
        <v>2025</v>
      </c>
      <c r="G131" s="158">
        <f>Inputs!G144</f>
        <v>0</v>
      </c>
      <c r="H131" s="135">
        <f t="shared" ref="H131:AZ131" si="34">H76*H103</f>
        <v>0</v>
      </c>
      <c r="I131" s="135">
        <f t="shared" si="34"/>
        <v>0</v>
      </c>
      <c r="J131" s="135">
        <f t="shared" si="34"/>
        <v>0</v>
      </c>
      <c r="K131" s="135">
        <f t="shared" si="34"/>
        <v>0</v>
      </c>
      <c r="L131" s="135">
        <f t="shared" si="34"/>
        <v>0</v>
      </c>
      <c r="M131" s="135">
        <f t="shared" si="34"/>
        <v>0</v>
      </c>
      <c r="N131" s="135">
        <f t="shared" si="34"/>
        <v>0</v>
      </c>
      <c r="O131" s="135">
        <f t="shared" si="34"/>
        <v>0</v>
      </c>
      <c r="P131" s="135">
        <f t="shared" si="34"/>
        <v>0</v>
      </c>
      <c r="Q131" s="135">
        <f t="shared" si="34"/>
        <v>0</v>
      </c>
      <c r="R131" s="135">
        <f t="shared" si="34"/>
        <v>0</v>
      </c>
      <c r="S131" s="135">
        <f t="shared" si="34"/>
        <v>0</v>
      </c>
      <c r="T131" s="135">
        <f t="shared" si="34"/>
        <v>0</v>
      </c>
      <c r="U131" s="135">
        <f t="shared" si="34"/>
        <v>0</v>
      </c>
      <c r="V131" s="135">
        <f t="shared" si="34"/>
        <v>0</v>
      </c>
      <c r="W131" s="135">
        <f t="shared" si="34"/>
        <v>0</v>
      </c>
      <c r="X131" s="135">
        <f t="shared" si="34"/>
        <v>0</v>
      </c>
      <c r="Y131" s="135">
        <f t="shared" si="34"/>
        <v>0</v>
      </c>
      <c r="Z131" s="135">
        <f t="shared" si="34"/>
        <v>0</v>
      </c>
      <c r="AA131" s="135">
        <f t="shared" si="34"/>
        <v>0</v>
      </c>
      <c r="AB131" s="135">
        <f t="shared" si="34"/>
        <v>0</v>
      </c>
      <c r="AC131" s="135">
        <f t="shared" si="34"/>
        <v>0</v>
      </c>
      <c r="AD131" s="135">
        <f t="shared" si="34"/>
        <v>0</v>
      </c>
      <c r="AE131" s="135">
        <f t="shared" si="34"/>
        <v>0</v>
      </c>
      <c r="AF131" s="135">
        <f t="shared" si="34"/>
        <v>0</v>
      </c>
      <c r="AG131" s="135">
        <f t="shared" si="34"/>
        <v>0</v>
      </c>
      <c r="AH131" s="135">
        <f t="shared" si="34"/>
        <v>0</v>
      </c>
      <c r="AI131" s="135">
        <f t="shared" si="34"/>
        <v>0</v>
      </c>
      <c r="AJ131" s="135">
        <f t="shared" si="34"/>
        <v>0</v>
      </c>
      <c r="AK131" s="135">
        <f t="shared" si="34"/>
        <v>0</v>
      </c>
      <c r="AL131" s="135">
        <f t="shared" si="34"/>
        <v>0</v>
      </c>
      <c r="AM131" s="135">
        <f t="shared" si="34"/>
        <v>0</v>
      </c>
      <c r="AN131" s="135">
        <f t="shared" si="34"/>
        <v>0</v>
      </c>
      <c r="AO131" s="135">
        <f t="shared" si="34"/>
        <v>0</v>
      </c>
      <c r="AP131" s="135">
        <f t="shared" si="34"/>
        <v>0</v>
      </c>
      <c r="AQ131" s="135">
        <f t="shared" si="34"/>
        <v>0</v>
      </c>
      <c r="AR131" s="135">
        <f t="shared" si="34"/>
        <v>0</v>
      </c>
      <c r="AS131" s="135">
        <f t="shared" si="34"/>
        <v>0</v>
      </c>
      <c r="AT131" s="135">
        <f t="shared" si="34"/>
        <v>0</v>
      </c>
      <c r="AU131" s="135">
        <f t="shared" si="34"/>
        <v>0</v>
      </c>
      <c r="AV131" s="135">
        <f t="shared" si="34"/>
        <v>0</v>
      </c>
      <c r="AW131" s="135">
        <f t="shared" si="34"/>
        <v>0</v>
      </c>
      <c r="AX131" s="135">
        <f t="shared" si="34"/>
        <v>0</v>
      </c>
      <c r="AY131" s="135">
        <f t="shared" si="34"/>
        <v>0</v>
      </c>
      <c r="AZ131" s="135">
        <f t="shared" si="34"/>
        <v>0</v>
      </c>
    </row>
    <row r="132" spans="1:52" x14ac:dyDescent="0.25">
      <c r="A132" s="25"/>
      <c r="B132" s="4"/>
      <c r="C132" s="4"/>
      <c r="D132" s="9" t="str">
        <f ca="1">D118</f>
        <v>Total  fuel opex in 2025 dollars</v>
      </c>
      <c r="E132" s="9"/>
      <c r="F132" s="172"/>
      <c r="H132" s="133">
        <f>SUBTOTAL(109,Opex_Fuel_BC[2026])</f>
        <v>719617.39956013835</v>
      </c>
      <c r="I132" s="133">
        <f>SUBTOTAL(109,Opex_Fuel_BC[2027])</f>
        <v>718751.27360999922</v>
      </c>
      <c r="J132" s="133">
        <f>SUBTOTAL(109,Opex_Fuel_BC[2028])</f>
        <v>717584.57645198971</v>
      </c>
      <c r="K132" s="133">
        <f>SUBTOTAL(109,Opex_Fuel_BC[2029])</f>
        <v>716815.20804029866</v>
      </c>
      <c r="L132" s="133">
        <f>SUBTOTAL(109,Opex_Fuel_BC[2030])</f>
        <v>716045.62869563466</v>
      </c>
      <c r="M132" s="133">
        <f>SUBTOTAL(109,Opex_Fuel_BC[2031])</f>
        <v>715275.92654205905</v>
      </c>
      <c r="N132" s="133">
        <f>SUBTOTAL(109,Opex_Fuel_BC[2032])</f>
        <v>714422.42670965753</v>
      </c>
      <c r="O132" s="133">
        <f>SUBTOTAL(109,Opex_Fuel_BC[2033])</f>
        <v>713685.94907154108</v>
      </c>
      <c r="P132" s="133">
        <f>SUBTOTAL(109,Opex_Fuel_BC[2034])</f>
        <v>713916.0026730221</v>
      </c>
      <c r="Q132" s="133">
        <f>SUBTOTAL(109,Opex_Fuel_BC[2035])</f>
        <v>714155.76249645685</v>
      </c>
      <c r="R132" s="133">
        <f>SUBTOTAL(109,Opex_Fuel_BC[2036])</f>
        <v>714153.24981437472</v>
      </c>
      <c r="S132" s="133">
        <f>SUBTOTAL(109,Opex_Fuel_BC[2037])</f>
        <v>714181.67431637773</v>
      </c>
      <c r="T132" s="133">
        <f>SUBTOTAL(109,Opex_Fuel_BC[2038])</f>
        <v>714176.50632202055</v>
      </c>
      <c r="U132" s="133">
        <f>SUBTOTAL(109,Opex_Fuel_BC[2039])</f>
        <v>714169.5433814947</v>
      </c>
      <c r="V132" s="133">
        <f>SUBTOTAL(109,Opex_Fuel_BC[2040])</f>
        <v>714162.60853181849</v>
      </c>
      <c r="W132" s="133">
        <f>SUBTOTAL(109,Opex_Fuel_BC[2041])</f>
        <v>714155.65135505854</v>
      </c>
      <c r="X132" s="133">
        <f>SUBTOTAL(109,Opex_Fuel_BC[2042])</f>
        <v>714148.69604950817</v>
      </c>
      <c r="Y132" s="133">
        <f>SUBTOTAL(109,Opex_Fuel_BC[2043])</f>
        <v>714141.73570112081</v>
      </c>
      <c r="Z132" s="133">
        <f>SUBTOTAL(109,Opex_Fuel_BC[2044])</f>
        <v>714134.7682607671</v>
      </c>
      <c r="AA132" s="133">
        <f>SUBTOTAL(109,Opex_Fuel_BC[2045])</f>
        <v>714127.78857939481</v>
      </c>
      <c r="AB132" s="133">
        <f>SUBTOTAL(109,Opex_Fuel_BC[2046])</f>
        <v>714120.81306402839</v>
      </c>
      <c r="AC132" s="133">
        <f>SUBTOTAL(109,Opex_Fuel_BC[2047])</f>
        <v>714113.82760603144</v>
      </c>
      <c r="AD132" s="133">
        <f>SUBTOTAL(109,Opex_Fuel_BC[2048])</f>
        <v>0</v>
      </c>
      <c r="AE132" s="133">
        <f>SUBTOTAL(109,Opex_Fuel_BC[2049])</f>
        <v>0</v>
      </c>
      <c r="AF132" s="133">
        <f>SUBTOTAL(109,Opex_Fuel_BC[2050])</f>
        <v>0</v>
      </c>
      <c r="AG132" s="133">
        <f>SUBTOTAL(109,Opex_Fuel_BC[2051])</f>
        <v>0</v>
      </c>
      <c r="AH132" s="133">
        <f>SUBTOTAL(109,Opex_Fuel_BC[2052])</f>
        <v>0</v>
      </c>
      <c r="AI132" s="133">
        <f>SUBTOTAL(109,Opex_Fuel_BC[2053])</f>
        <v>0</v>
      </c>
      <c r="AJ132" s="133">
        <f>SUBTOTAL(109,Opex_Fuel_BC[2054])</f>
        <v>0</v>
      </c>
      <c r="AK132" s="133">
        <f>SUBTOTAL(109,Opex_Fuel_BC[2055])</f>
        <v>0</v>
      </c>
      <c r="AL132" s="133">
        <f>SUBTOTAL(109,Opex_Fuel_BC[2056])</f>
        <v>0</v>
      </c>
      <c r="AM132" s="133">
        <f>SUBTOTAL(109,Opex_Fuel_BC[2057])</f>
        <v>0</v>
      </c>
      <c r="AN132" s="133">
        <f>SUBTOTAL(109,Opex_Fuel_BC[2058])</f>
        <v>0</v>
      </c>
      <c r="AO132" s="133">
        <f>SUBTOTAL(109,Opex_Fuel_BC[2059])</f>
        <v>0</v>
      </c>
      <c r="AP132" s="133">
        <f>SUBTOTAL(109,Opex_Fuel_BC[2060])</f>
        <v>0</v>
      </c>
      <c r="AQ132" s="133">
        <f>SUBTOTAL(109,Opex_Fuel_BC[2061])</f>
        <v>0</v>
      </c>
      <c r="AR132" s="133">
        <f>SUBTOTAL(109,Opex_Fuel_BC[2062])</f>
        <v>0</v>
      </c>
      <c r="AS132" s="133">
        <f>SUBTOTAL(109,Opex_Fuel_BC[2063])</f>
        <v>0</v>
      </c>
      <c r="AT132" s="133">
        <f>SUBTOTAL(109,Opex_Fuel_BC[2064])</f>
        <v>0</v>
      </c>
      <c r="AU132" s="133">
        <f>SUBTOTAL(109,Opex_Fuel_BC[2065])</f>
        <v>0</v>
      </c>
      <c r="AV132" s="133">
        <f>SUBTOTAL(109,Opex_Fuel_BC[2066])</f>
        <v>0</v>
      </c>
      <c r="AW132" s="133">
        <f>SUBTOTAL(109,Opex_Fuel_BC[2067])</f>
        <v>0</v>
      </c>
      <c r="AX132" s="133">
        <f>SUBTOTAL(109,Opex_Fuel_BC[2068])</f>
        <v>0</v>
      </c>
      <c r="AY132" s="133">
        <f>SUBTOTAL(109,Opex_Fuel_BC[2069])</f>
        <v>0</v>
      </c>
      <c r="AZ132" s="133">
        <f>SUBTOTAL(109,Opex_Fuel_BC[2070])</f>
        <v>0</v>
      </c>
    </row>
    <row r="133" spans="1:5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spans="1:52" ht="18.75" x14ac:dyDescent="0.3">
      <c r="A134" s="18" t="s">
        <v>128</v>
      </c>
      <c r="B134" s="18"/>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spans="1:52" ht="60" x14ac:dyDescent="0.25">
      <c r="A135" s="52" t="s">
        <v>50</v>
      </c>
      <c r="B135" s="47"/>
      <c r="C135" s="47"/>
      <c r="D135" s="52" t="s">
        <v>171</v>
      </c>
      <c r="E135" s="52" t="s">
        <v>48</v>
      </c>
      <c r="F135" s="52" t="s">
        <v>319</v>
      </c>
      <c r="G135" s="53" t="s">
        <v>52</v>
      </c>
      <c r="H135" s="62" t="s">
        <v>77</v>
      </c>
      <c r="I135" s="62" t="s">
        <v>78</v>
      </c>
      <c r="J135" s="62" t="s">
        <v>79</v>
      </c>
      <c r="K135" s="62" t="s">
        <v>80</v>
      </c>
      <c r="L135" s="62" t="s">
        <v>81</v>
      </c>
      <c r="M135" s="62" t="s">
        <v>82</v>
      </c>
      <c r="N135" s="62" t="s">
        <v>83</v>
      </c>
      <c r="O135" s="62" t="s">
        <v>84</v>
      </c>
      <c r="P135" s="62" t="s">
        <v>85</v>
      </c>
      <c r="Q135" s="62" t="s">
        <v>86</v>
      </c>
      <c r="R135" s="62" t="s">
        <v>87</v>
      </c>
      <c r="S135" s="62" t="s">
        <v>88</v>
      </c>
      <c r="T135" s="62" t="s">
        <v>89</v>
      </c>
      <c r="U135" s="62" t="s">
        <v>90</v>
      </c>
      <c r="V135" s="62" t="s">
        <v>91</v>
      </c>
      <c r="W135" s="62" t="s">
        <v>92</v>
      </c>
      <c r="X135" s="62" t="s">
        <v>93</v>
      </c>
      <c r="Y135" s="62" t="s">
        <v>94</v>
      </c>
      <c r="Z135" s="62" t="s">
        <v>95</v>
      </c>
      <c r="AA135" s="62" t="s">
        <v>96</v>
      </c>
      <c r="AB135" s="62" t="s">
        <v>97</v>
      </c>
      <c r="AC135" s="62" t="s">
        <v>98</v>
      </c>
      <c r="AD135" s="62" t="s">
        <v>99</v>
      </c>
      <c r="AE135" s="62" t="s">
        <v>100</v>
      </c>
      <c r="AF135" s="62" t="s">
        <v>101</v>
      </c>
      <c r="AG135" s="62" t="s">
        <v>102</v>
      </c>
      <c r="AH135" s="62" t="s">
        <v>103</v>
      </c>
      <c r="AI135" s="62" t="s">
        <v>104</v>
      </c>
      <c r="AJ135" s="62" t="s">
        <v>105</v>
      </c>
      <c r="AK135" s="62" t="s">
        <v>106</v>
      </c>
      <c r="AL135" s="62" t="s">
        <v>107</v>
      </c>
      <c r="AM135" s="62" t="s">
        <v>108</v>
      </c>
      <c r="AN135" s="62" t="s">
        <v>109</v>
      </c>
      <c r="AO135" s="62" t="s">
        <v>110</v>
      </c>
      <c r="AP135" s="62" t="s">
        <v>111</v>
      </c>
      <c r="AQ135" s="62" t="s">
        <v>112</v>
      </c>
      <c r="AR135" s="62" t="s">
        <v>113</v>
      </c>
      <c r="AS135" s="62" t="s">
        <v>114</v>
      </c>
      <c r="AT135" s="62" t="s">
        <v>115</v>
      </c>
      <c r="AU135" s="62" t="s">
        <v>116</v>
      </c>
      <c r="AV135" s="62" t="s">
        <v>117</v>
      </c>
      <c r="AW135" s="62" t="s">
        <v>118</v>
      </c>
      <c r="AX135" s="62" t="s">
        <v>119</v>
      </c>
      <c r="AY135" s="62" t="s">
        <v>120</v>
      </c>
      <c r="AZ135" s="62" t="s">
        <v>121</v>
      </c>
    </row>
    <row r="136" spans="1:52" x14ac:dyDescent="0.25">
      <c r="A136" s="30"/>
      <c r="B136" s="55"/>
      <c r="C136" s="63"/>
      <c r="D136" s="55" t="s">
        <v>131</v>
      </c>
      <c r="E136" s="55" t="s">
        <v>124</v>
      </c>
      <c r="F136" s="55">
        <f t="shared" ref="F136:F144" ca="1" si="35">Analysis_year</f>
        <v>2025</v>
      </c>
      <c r="G136" s="188">
        <f>Inputs!G151</f>
        <v>0</v>
      </c>
      <c r="H136" s="140">
        <f>Inputs!H151*H$5</f>
        <v>0</v>
      </c>
      <c r="I136" s="140">
        <f>Inputs!I151*I$5</f>
        <v>0</v>
      </c>
      <c r="J136" s="140">
        <f>Inputs!J151*J$5</f>
        <v>0</v>
      </c>
      <c r="K136" s="140">
        <f>Inputs!K151*K$5</f>
        <v>0</v>
      </c>
      <c r="L136" s="140">
        <f>Inputs!L151*L$5</f>
        <v>0</v>
      </c>
      <c r="M136" s="140">
        <f>Inputs!M151*M$5</f>
        <v>0</v>
      </c>
      <c r="N136" s="140">
        <f>Inputs!N151*N$5</f>
        <v>0</v>
      </c>
      <c r="O136" s="140">
        <f>Inputs!O151*O$5</f>
        <v>0</v>
      </c>
      <c r="P136" s="140">
        <f>Inputs!P151*P$5</f>
        <v>0</v>
      </c>
      <c r="Q136" s="140">
        <f>Inputs!Q151*Q$5</f>
        <v>0</v>
      </c>
      <c r="R136" s="140">
        <f>Inputs!R151*R$5</f>
        <v>0</v>
      </c>
      <c r="S136" s="140">
        <f>Inputs!S151*S$5</f>
        <v>0</v>
      </c>
      <c r="T136" s="140">
        <f>Inputs!T151*T$5</f>
        <v>0</v>
      </c>
      <c r="U136" s="140">
        <f>Inputs!U151*U$5</f>
        <v>0</v>
      </c>
      <c r="V136" s="140">
        <f>Inputs!V151*V$5</f>
        <v>0</v>
      </c>
      <c r="W136" s="140">
        <f>Inputs!W151*W$5</f>
        <v>0</v>
      </c>
      <c r="X136" s="140">
        <f>Inputs!X151*X$5</f>
        <v>0</v>
      </c>
      <c r="Y136" s="140">
        <f>Inputs!Y151*Y$5</f>
        <v>0</v>
      </c>
      <c r="Z136" s="140">
        <f>Inputs!Z151*Z$5</f>
        <v>0</v>
      </c>
      <c r="AA136" s="140">
        <f>Inputs!AA151*AA$5</f>
        <v>0</v>
      </c>
      <c r="AB136" s="140">
        <f>Inputs!AB151*AB$5</f>
        <v>0</v>
      </c>
      <c r="AC136" s="140">
        <f>Inputs!AC151*AC$5</f>
        <v>0</v>
      </c>
      <c r="AD136" s="140">
        <f>Inputs!AD151*AD$5</f>
        <v>0</v>
      </c>
      <c r="AE136" s="140">
        <f>Inputs!AE151*AE$5</f>
        <v>0</v>
      </c>
      <c r="AF136" s="140">
        <f>Inputs!AF151*AF$5</f>
        <v>0</v>
      </c>
      <c r="AG136" s="140">
        <f>Inputs!AG151*AG$5</f>
        <v>0</v>
      </c>
      <c r="AH136" s="140">
        <f>Inputs!AH151*AH$5</f>
        <v>0</v>
      </c>
      <c r="AI136" s="140">
        <f>Inputs!AI151*AI$5</f>
        <v>0</v>
      </c>
      <c r="AJ136" s="140">
        <f>Inputs!AJ151*AJ$5</f>
        <v>0</v>
      </c>
      <c r="AK136" s="140">
        <f>Inputs!AK151*AK$5</f>
        <v>0</v>
      </c>
      <c r="AL136" s="140">
        <f>Inputs!AL151*AL$5</f>
        <v>0</v>
      </c>
      <c r="AM136" s="140">
        <f>Inputs!AM151*AM$5</f>
        <v>0</v>
      </c>
      <c r="AN136" s="140">
        <f>Inputs!AN151*AN$5</f>
        <v>0</v>
      </c>
      <c r="AO136" s="140">
        <f>Inputs!AO151*AO$5</f>
        <v>0</v>
      </c>
      <c r="AP136" s="140">
        <f>Inputs!AP151*AP$5</f>
        <v>0</v>
      </c>
      <c r="AQ136" s="140">
        <f>Inputs!AQ151*AQ$5</f>
        <v>0</v>
      </c>
      <c r="AR136" s="140">
        <f>Inputs!AR151*AR$5</f>
        <v>0</v>
      </c>
      <c r="AS136" s="140">
        <f>Inputs!AS151*AS$5</f>
        <v>0</v>
      </c>
      <c r="AT136" s="140">
        <f>Inputs!AT151*AT$5</f>
        <v>0</v>
      </c>
      <c r="AU136" s="140">
        <f>Inputs!AU151*AU$5</f>
        <v>0</v>
      </c>
      <c r="AV136" s="140">
        <f>Inputs!AV151*AV$5</f>
        <v>0</v>
      </c>
      <c r="AW136" s="140">
        <f>Inputs!AW151*AW$5</f>
        <v>0</v>
      </c>
      <c r="AX136" s="140">
        <f>Inputs!AX151*AX$5</f>
        <v>0</v>
      </c>
      <c r="AY136" s="140">
        <f>Inputs!AY151*AY$5</f>
        <v>0</v>
      </c>
      <c r="AZ136" s="140">
        <f>Inputs!AZ151*AZ$5</f>
        <v>0</v>
      </c>
    </row>
    <row r="137" spans="1:52" x14ac:dyDescent="0.25">
      <c r="A137" s="4"/>
      <c r="B137" s="55"/>
      <c r="C137" s="63"/>
      <c r="D137" s="55" t="s">
        <v>132</v>
      </c>
      <c r="E137" s="55" t="s">
        <v>124</v>
      </c>
      <c r="F137" s="55">
        <f t="shared" ca="1" si="35"/>
        <v>2025</v>
      </c>
      <c r="G137" s="188">
        <f>Inputs!G152</f>
        <v>0</v>
      </c>
      <c r="H137" s="140">
        <f>Inputs!H152*H$5</f>
        <v>0</v>
      </c>
      <c r="I137" s="140">
        <f>Inputs!I152*I$5</f>
        <v>0</v>
      </c>
      <c r="J137" s="140">
        <f>Inputs!J152*J$5</f>
        <v>0</v>
      </c>
      <c r="K137" s="140">
        <f>Inputs!K152*K$5</f>
        <v>0</v>
      </c>
      <c r="L137" s="140">
        <f>Inputs!L152*L$5</f>
        <v>0</v>
      </c>
      <c r="M137" s="140">
        <f>Inputs!M152*M$5</f>
        <v>0</v>
      </c>
      <c r="N137" s="140">
        <f>Inputs!N152*N$5</f>
        <v>0</v>
      </c>
      <c r="O137" s="140">
        <f>Inputs!O152*O$5</f>
        <v>0</v>
      </c>
      <c r="P137" s="140">
        <f>Inputs!P152*P$5</f>
        <v>0</v>
      </c>
      <c r="Q137" s="140">
        <f>Inputs!Q152*Q$5</f>
        <v>0</v>
      </c>
      <c r="R137" s="140">
        <f>Inputs!R152*R$5</f>
        <v>0</v>
      </c>
      <c r="S137" s="140">
        <f>Inputs!S152*S$5</f>
        <v>0</v>
      </c>
      <c r="T137" s="140">
        <f>Inputs!T152*T$5</f>
        <v>0</v>
      </c>
      <c r="U137" s="140">
        <f>Inputs!U152*U$5</f>
        <v>0</v>
      </c>
      <c r="V137" s="140">
        <f>Inputs!V152*V$5</f>
        <v>0</v>
      </c>
      <c r="W137" s="140">
        <f>Inputs!W152*W$5</f>
        <v>0</v>
      </c>
      <c r="X137" s="140">
        <f>Inputs!X152*X$5</f>
        <v>0</v>
      </c>
      <c r="Y137" s="140">
        <f>Inputs!Y152*Y$5</f>
        <v>0</v>
      </c>
      <c r="Z137" s="140">
        <f>Inputs!Z152*Z$5</f>
        <v>0</v>
      </c>
      <c r="AA137" s="140">
        <f>Inputs!AA152*AA$5</f>
        <v>0</v>
      </c>
      <c r="AB137" s="140">
        <f>Inputs!AB152*AB$5</f>
        <v>0</v>
      </c>
      <c r="AC137" s="140">
        <f>Inputs!AC152*AC$5</f>
        <v>0</v>
      </c>
      <c r="AD137" s="140">
        <f>Inputs!AD152*AD$5</f>
        <v>0</v>
      </c>
      <c r="AE137" s="140">
        <f>Inputs!AE152*AE$5</f>
        <v>0</v>
      </c>
      <c r="AF137" s="140">
        <f>Inputs!AF152*AF$5</f>
        <v>0</v>
      </c>
      <c r="AG137" s="140">
        <f>Inputs!AG152*AG$5</f>
        <v>0</v>
      </c>
      <c r="AH137" s="140">
        <f>Inputs!AH152*AH$5</f>
        <v>0</v>
      </c>
      <c r="AI137" s="140">
        <f>Inputs!AI152*AI$5</f>
        <v>0</v>
      </c>
      <c r="AJ137" s="140">
        <f>Inputs!AJ152*AJ$5</f>
        <v>0</v>
      </c>
      <c r="AK137" s="140">
        <f>Inputs!AK152*AK$5</f>
        <v>0</v>
      </c>
      <c r="AL137" s="140">
        <f>Inputs!AL152*AL$5</f>
        <v>0</v>
      </c>
      <c r="AM137" s="140">
        <f>Inputs!AM152*AM$5</f>
        <v>0</v>
      </c>
      <c r="AN137" s="140">
        <f>Inputs!AN152*AN$5</f>
        <v>0</v>
      </c>
      <c r="AO137" s="140">
        <f>Inputs!AO152*AO$5</f>
        <v>0</v>
      </c>
      <c r="AP137" s="140">
        <f>Inputs!AP152*AP$5</f>
        <v>0</v>
      </c>
      <c r="AQ137" s="140">
        <f>Inputs!AQ152*AQ$5</f>
        <v>0</v>
      </c>
      <c r="AR137" s="140">
        <f>Inputs!AR152*AR$5</f>
        <v>0</v>
      </c>
      <c r="AS137" s="140">
        <f>Inputs!AS152*AS$5</f>
        <v>0</v>
      </c>
      <c r="AT137" s="140">
        <f>Inputs!AT152*AT$5</f>
        <v>0</v>
      </c>
      <c r="AU137" s="140">
        <f>Inputs!AU152*AU$5</f>
        <v>0</v>
      </c>
      <c r="AV137" s="140">
        <f>Inputs!AV152*AV$5</f>
        <v>0</v>
      </c>
      <c r="AW137" s="140">
        <f>Inputs!AW152*AW$5</f>
        <v>0</v>
      </c>
      <c r="AX137" s="140">
        <f>Inputs!AX152*AX$5</f>
        <v>0</v>
      </c>
      <c r="AY137" s="140">
        <f>Inputs!AY152*AY$5</f>
        <v>0</v>
      </c>
      <c r="AZ137" s="140">
        <f>Inputs!AZ152*AZ$5</f>
        <v>0</v>
      </c>
    </row>
    <row r="138" spans="1:52" x14ac:dyDescent="0.25">
      <c r="A138" s="4"/>
      <c r="B138" s="55"/>
      <c r="C138" s="63"/>
      <c r="D138" s="55" t="s">
        <v>134</v>
      </c>
      <c r="E138" s="55" t="s">
        <v>124</v>
      </c>
      <c r="F138" s="55">
        <f t="shared" ca="1" si="35"/>
        <v>2025</v>
      </c>
      <c r="G138" s="188">
        <f>Inputs!G154</f>
        <v>0</v>
      </c>
      <c r="H138" s="140">
        <f>Inputs!H154*H$5</f>
        <v>0</v>
      </c>
      <c r="I138" s="140">
        <f>Inputs!I154*I$5</f>
        <v>0</v>
      </c>
      <c r="J138" s="140">
        <f>Inputs!J154*J$5</f>
        <v>0</v>
      </c>
      <c r="K138" s="140">
        <f>Inputs!K154*K$5</f>
        <v>0</v>
      </c>
      <c r="L138" s="140">
        <f>Inputs!L154*L$5</f>
        <v>0</v>
      </c>
      <c r="M138" s="140">
        <f>Inputs!M154*M$5</f>
        <v>0</v>
      </c>
      <c r="N138" s="140">
        <f>Inputs!N154*N$5</f>
        <v>0</v>
      </c>
      <c r="O138" s="140">
        <f>Inputs!O154*O$5</f>
        <v>0</v>
      </c>
      <c r="P138" s="140">
        <f>Inputs!P154*P$5</f>
        <v>0</v>
      </c>
      <c r="Q138" s="140">
        <f>Inputs!Q154*Q$5</f>
        <v>0</v>
      </c>
      <c r="R138" s="140">
        <f>Inputs!R154*R$5</f>
        <v>0</v>
      </c>
      <c r="S138" s="140">
        <f>Inputs!S154*S$5</f>
        <v>0</v>
      </c>
      <c r="T138" s="140">
        <f>Inputs!T154*T$5</f>
        <v>0</v>
      </c>
      <c r="U138" s="140">
        <f>Inputs!U154*U$5</f>
        <v>0</v>
      </c>
      <c r="V138" s="140">
        <f>Inputs!V154*V$5</f>
        <v>0</v>
      </c>
      <c r="W138" s="140">
        <f>Inputs!W154*W$5</f>
        <v>0</v>
      </c>
      <c r="X138" s="140">
        <f>Inputs!X154*X$5</f>
        <v>0</v>
      </c>
      <c r="Y138" s="140">
        <f>Inputs!Y154*Y$5</f>
        <v>0</v>
      </c>
      <c r="Z138" s="140">
        <f>Inputs!Z154*Z$5</f>
        <v>0</v>
      </c>
      <c r="AA138" s="140">
        <f>Inputs!AA154*AA$5</f>
        <v>0</v>
      </c>
      <c r="AB138" s="140">
        <f>Inputs!AB154*AB$5</f>
        <v>0</v>
      </c>
      <c r="AC138" s="140">
        <f>Inputs!AC154*AC$5</f>
        <v>0</v>
      </c>
      <c r="AD138" s="140">
        <f>Inputs!AD154*AD$5</f>
        <v>0</v>
      </c>
      <c r="AE138" s="140">
        <f>Inputs!AE154*AE$5</f>
        <v>0</v>
      </c>
      <c r="AF138" s="140">
        <f>Inputs!AF154*AF$5</f>
        <v>0</v>
      </c>
      <c r="AG138" s="140">
        <f>Inputs!AG154*AG$5</f>
        <v>0</v>
      </c>
      <c r="AH138" s="140">
        <f>Inputs!AH154*AH$5</f>
        <v>0</v>
      </c>
      <c r="AI138" s="140">
        <f>Inputs!AI154*AI$5</f>
        <v>0</v>
      </c>
      <c r="AJ138" s="140">
        <f>Inputs!AJ154*AJ$5</f>
        <v>0</v>
      </c>
      <c r="AK138" s="140">
        <f>Inputs!AK154*AK$5</f>
        <v>0</v>
      </c>
      <c r="AL138" s="140">
        <f>Inputs!AL154*AL$5</f>
        <v>0</v>
      </c>
      <c r="AM138" s="140">
        <f>Inputs!AM154*AM$5</f>
        <v>0</v>
      </c>
      <c r="AN138" s="140">
        <f>Inputs!AN154*AN$5</f>
        <v>0</v>
      </c>
      <c r="AO138" s="140">
        <f>Inputs!AO154*AO$5</f>
        <v>0</v>
      </c>
      <c r="AP138" s="140">
        <f>Inputs!AP154*AP$5</f>
        <v>0</v>
      </c>
      <c r="AQ138" s="140">
        <f>Inputs!AQ154*AQ$5</f>
        <v>0</v>
      </c>
      <c r="AR138" s="140">
        <f>Inputs!AR154*AR$5</f>
        <v>0</v>
      </c>
      <c r="AS138" s="140">
        <f>Inputs!AS154*AS$5</f>
        <v>0</v>
      </c>
      <c r="AT138" s="140">
        <f>Inputs!AT154*AT$5</f>
        <v>0</v>
      </c>
      <c r="AU138" s="140">
        <f>Inputs!AU154*AU$5</f>
        <v>0</v>
      </c>
      <c r="AV138" s="140">
        <f>Inputs!AV154*AV$5</f>
        <v>0</v>
      </c>
      <c r="AW138" s="140">
        <f>Inputs!AW154*AW$5</f>
        <v>0</v>
      </c>
      <c r="AX138" s="140">
        <f>Inputs!AX154*AX$5</f>
        <v>0</v>
      </c>
      <c r="AY138" s="140">
        <f>Inputs!AY154*AY$5</f>
        <v>0</v>
      </c>
      <c r="AZ138" s="140">
        <f>Inputs!AZ154*AZ$5</f>
        <v>0</v>
      </c>
    </row>
    <row r="139" spans="1:52" x14ac:dyDescent="0.25">
      <c r="A139" s="4"/>
      <c r="B139" s="55"/>
      <c r="C139" s="63"/>
      <c r="D139" s="55" t="s">
        <v>135</v>
      </c>
      <c r="E139" s="55" t="s">
        <v>124</v>
      </c>
      <c r="F139" s="55">
        <f t="shared" ca="1" si="35"/>
        <v>2025</v>
      </c>
      <c r="G139" s="188">
        <f>Inputs!G155</f>
        <v>0</v>
      </c>
      <c r="H139" s="140">
        <f>Inputs!H155*H$5</f>
        <v>0</v>
      </c>
      <c r="I139" s="140">
        <f>Inputs!I155*I$5</f>
        <v>0</v>
      </c>
      <c r="J139" s="140">
        <f>Inputs!J155*J$5</f>
        <v>0</v>
      </c>
      <c r="K139" s="140">
        <f>Inputs!K155*K$5</f>
        <v>0</v>
      </c>
      <c r="L139" s="140">
        <f>Inputs!L155*L$5</f>
        <v>0</v>
      </c>
      <c r="M139" s="140">
        <f>Inputs!M155*M$5</f>
        <v>0</v>
      </c>
      <c r="N139" s="140">
        <f>Inputs!N155*N$5</f>
        <v>0</v>
      </c>
      <c r="O139" s="140">
        <f>Inputs!O155*O$5</f>
        <v>0</v>
      </c>
      <c r="P139" s="140">
        <f>Inputs!P155*P$5</f>
        <v>0</v>
      </c>
      <c r="Q139" s="140">
        <f>Inputs!Q155*Q$5</f>
        <v>0</v>
      </c>
      <c r="R139" s="140">
        <f>Inputs!R155*R$5</f>
        <v>0</v>
      </c>
      <c r="S139" s="140">
        <f>Inputs!S155*S$5</f>
        <v>0</v>
      </c>
      <c r="T139" s="140">
        <f>Inputs!T155*T$5</f>
        <v>0</v>
      </c>
      <c r="U139" s="140">
        <f>Inputs!U155*U$5</f>
        <v>0</v>
      </c>
      <c r="V139" s="140">
        <f>Inputs!V155*V$5</f>
        <v>0</v>
      </c>
      <c r="W139" s="140">
        <f>Inputs!W155*W$5</f>
        <v>0</v>
      </c>
      <c r="X139" s="140">
        <f>Inputs!X155*X$5</f>
        <v>0</v>
      </c>
      <c r="Y139" s="140">
        <f>Inputs!Y155*Y$5</f>
        <v>0</v>
      </c>
      <c r="Z139" s="140">
        <f>Inputs!Z155*Z$5</f>
        <v>0</v>
      </c>
      <c r="AA139" s="140">
        <f>Inputs!AA155*AA$5</f>
        <v>0</v>
      </c>
      <c r="AB139" s="140">
        <f>Inputs!AB155*AB$5</f>
        <v>0</v>
      </c>
      <c r="AC139" s="140">
        <f>Inputs!AC155*AC$5</f>
        <v>0</v>
      </c>
      <c r="AD139" s="140">
        <f>Inputs!AD155*AD$5</f>
        <v>0</v>
      </c>
      <c r="AE139" s="140">
        <f>Inputs!AE155*AE$5</f>
        <v>0</v>
      </c>
      <c r="AF139" s="140">
        <f>Inputs!AF155*AF$5</f>
        <v>0</v>
      </c>
      <c r="AG139" s="140">
        <f>Inputs!AG155*AG$5</f>
        <v>0</v>
      </c>
      <c r="AH139" s="140">
        <f>Inputs!AH155*AH$5</f>
        <v>0</v>
      </c>
      <c r="AI139" s="140">
        <f>Inputs!AI155*AI$5</f>
        <v>0</v>
      </c>
      <c r="AJ139" s="140">
        <f>Inputs!AJ155*AJ$5</f>
        <v>0</v>
      </c>
      <c r="AK139" s="140">
        <f>Inputs!AK155*AK$5</f>
        <v>0</v>
      </c>
      <c r="AL139" s="140">
        <f>Inputs!AL155*AL$5</f>
        <v>0</v>
      </c>
      <c r="AM139" s="140">
        <f>Inputs!AM155*AM$5</f>
        <v>0</v>
      </c>
      <c r="AN139" s="140">
        <f>Inputs!AN155*AN$5</f>
        <v>0</v>
      </c>
      <c r="AO139" s="140">
        <f>Inputs!AO155*AO$5</f>
        <v>0</v>
      </c>
      <c r="AP139" s="140">
        <f>Inputs!AP155*AP$5</f>
        <v>0</v>
      </c>
      <c r="AQ139" s="140">
        <f>Inputs!AQ155*AQ$5</f>
        <v>0</v>
      </c>
      <c r="AR139" s="140">
        <f>Inputs!AR155*AR$5</f>
        <v>0</v>
      </c>
      <c r="AS139" s="140">
        <f>Inputs!AS155*AS$5</f>
        <v>0</v>
      </c>
      <c r="AT139" s="140">
        <f>Inputs!AT155*AT$5</f>
        <v>0</v>
      </c>
      <c r="AU139" s="140">
        <f>Inputs!AU155*AU$5</f>
        <v>0</v>
      </c>
      <c r="AV139" s="140">
        <f>Inputs!AV155*AV$5</f>
        <v>0</v>
      </c>
      <c r="AW139" s="140">
        <f>Inputs!AW155*AW$5</f>
        <v>0</v>
      </c>
      <c r="AX139" s="140">
        <f>Inputs!AX155*AX$5</f>
        <v>0</v>
      </c>
      <c r="AY139" s="140">
        <f>Inputs!AY155*AY$5</f>
        <v>0</v>
      </c>
      <c r="AZ139" s="140">
        <f>Inputs!AZ155*AZ$5</f>
        <v>0</v>
      </c>
    </row>
    <row r="140" spans="1:52" x14ac:dyDescent="0.25">
      <c r="A140" s="4"/>
      <c r="B140" s="55"/>
      <c r="C140" s="63"/>
      <c r="D140" s="20" t="s">
        <v>137</v>
      </c>
      <c r="E140" s="55" t="s">
        <v>124</v>
      </c>
      <c r="F140" s="55">
        <f t="shared" ca="1" si="35"/>
        <v>2025</v>
      </c>
      <c r="G140" s="189"/>
      <c r="H140" s="140">
        <f>Inputs!H158*H$5</f>
        <v>0</v>
      </c>
      <c r="I140" s="140">
        <f>Inputs!I158*I$5</f>
        <v>0</v>
      </c>
      <c r="J140" s="140">
        <f>Inputs!J158*J$5</f>
        <v>0</v>
      </c>
      <c r="K140" s="140">
        <f>Inputs!K158*K$5</f>
        <v>0</v>
      </c>
      <c r="L140" s="140">
        <f>Inputs!L158*L$5</f>
        <v>0</v>
      </c>
      <c r="M140" s="140">
        <f>Inputs!M158*M$5</f>
        <v>0</v>
      </c>
      <c r="N140" s="140">
        <f>Inputs!N158*N$5</f>
        <v>0</v>
      </c>
      <c r="O140" s="140">
        <f>Inputs!O158*O$5</f>
        <v>0</v>
      </c>
      <c r="P140" s="140">
        <f>Inputs!P158*P$5</f>
        <v>0</v>
      </c>
      <c r="Q140" s="140">
        <f>Inputs!Q158*Q$5</f>
        <v>0</v>
      </c>
      <c r="R140" s="140">
        <f>Inputs!R158*R$5</f>
        <v>0</v>
      </c>
      <c r="S140" s="140">
        <f>Inputs!S158*S$5</f>
        <v>0</v>
      </c>
      <c r="T140" s="140">
        <f>Inputs!T158*T$5</f>
        <v>0</v>
      </c>
      <c r="U140" s="140">
        <f>Inputs!U158*U$5</f>
        <v>0</v>
      </c>
      <c r="V140" s="140">
        <f>Inputs!V158*V$5</f>
        <v>0</v>
      </c>
      <c r="W140" s="140">
        <f>Inputs!W158*W$5</f>
        <v>0</v>
      </c>
      <c r="X140" s="140">
        <f>Inputs!X158*X$5</f>
        <v>0</v>
      </c>
      <c r="Y140" s="140">
        <f>Inputs!Y158*Y$5</f>
        <v>0</v>
      </c>
      <c r="Z140" s="140">
        <f>Inputs!Z158*Z$5</f>
        <v>0</v>
      </c>
      <c r="AA140" s="140">
        <f>Inputs!AA158*AA$5</f>
        <v>0</v>
      </c>
      <c r="AB140" s="140">
        <f>Inputs!AB158*AB$5</f>
        <v>0</v>
      </c>
      <c r="AC140" s="140">
        <f>Inputs!AC158*AC$5</f>
        <v>0</v>
      </c>
      <c r="AD140" s="140">
        <f>Inputs!AD158*AD$5</f>
        <v>0</v>
      </c>
      <c r="AE140" s="140">
        <f>Inputs!AE158*AE$5</f>
        <v>0</v>
      </c>
      <c r="AF140" s="140">
        <f>Inputs!AF158*AF$5</f>
        <v>0</v>
      </c>
      <c r="AG140" s="140">
        <f>Inputs!AG158*AG$5</f>
        <v>0</v>
      </c>
      <c r="AH140" s="140">
        <f>Inputs!AH158*AH$5</f>
        <v>0</v>
      </c>
      <c r="AI140" s="140">
        <f>Inputs!AI158*AI$5</f>
        <v>0</v>
      </c>
      <c r="AJ140" s="140">
        <f>Inputs!AJ158*AJ$5</f>
        <v>0</v>
      </c>
      <c r="AK140" s="140">
        <f>Inputs!AK158*AK$5</f>
        <v>0</v>
      </c>
      <c r="AL140" s="140">
        <f>Inputs!AL158*AL$5</f>
        <v>0</v>
      </c>
      <c r="AM140" s="140">
        <f>Inputs!AM158*AM$5</f>
        <v>0</v>
      </c>
      <c r="AN140" s="140">
        <f>Inputs!AN158*AN$5</f>
        <v>0</v>
      </c>
      <c r="AO140" s="140">
        <f>Inputs!AO158*AO$5</f>
        <v>0</v>
      </c>
      <c r="AP140" s="140">
        <f>Inputs!AP158*AP$5</f>
        <v>0</v>
      </c>
      <c r="AQ140" s="140">
        <f>Inputs!AQ158*AQ$5</f>
        <v>0</v>
      </c>
      <c r="AR140" s="140">
        <f>Inputs!AR158*AR$5</f>
        <v>0</v>
      </c>
      <c r="AS140" s="140">
        <f>Inputs!AS158*AS$5</f>
        <v>0</v>
      </c>
      <c r="AT140" s="140">
        <f>Inputs!AT158*AT$5</f>
        <v>0</v>
      </c>
      <c r="AU140" s="140">
        <f>Inputs!AU158*AU$5</f>
        <v>0</v>
      </c>
      <c r="AV140" s="140">
        <f>Inputs!AV158*AV$5</f>
        <v>0</v>
      </c>
      <c r="AW140" s="140">
        <f>Inputs!AW158*AW$5</f>
        <v>0</v>
      </c>
      <c r="AX140" s="140">
        <f>Inputs!AX158*AX$5</f>
        <v>0</v>
      </c>
      <c r="AY140" s="140">
        <f>Inputs!AY158*AY$5</f>
        <v>0</v>
      </c>
      <c r="AZ140" s="140">
        <f>Inputs!AZ158*AZ$5</f>
        <v>0</v>
      </c>
    </row>
    <row r="141" spans="1:52" x14ac:dyDescent="0.25">
      <c r="A141" s="4"/>
      <c r="B141" s="55"/>
      <c r="C141" s="63"/>
      <c r="D141" s="20" t="s">
        <v>132</v>
      </c>
      <c r="E141" s="55" t="s">
        <v>124</v>
      </c>
      <c r="F141" s="55">
        <f t="shared" ca="1" si="35"/>
        <v>2025</v>
      </c>
      <c r="G141" s="189"/>
      <c r="H141" s="190">
        <f>Inputs!H159*H$5</f>
        <v>0</v>
      </c>
      <c r="I141" s="190">
        <f>Inputs!I159*I$5</f>
        <v>0</v>
      </c>
      <c r="J141" s="190">
        <f>Inputs!J159*J$5</f>
        <v>0</v>
      </c>
      <c r="K141" s="190">
        <f>Inputs!K159*K$5</f>
        <v>0</v>
      </c>
      <c r="L141" s="190">
        <f>Inputs!L159*L$5</f>
        <v>0</v>
      </c>
      <c r="M141" s="190">
        <f>Inputs!M159*M$5</f>
        <v>0</v>
      </c>
      <c r="N141" s="190">
        <f>Inputs!N159*N$5</f>
        <v>0</v>
      </c>
      <c r="O141" s="190">
        <f>Inputs!O159*O$5</f>
        <v>0</v>
      </c>
      <c r="P141" s="190">
        <f>Inputs!P159*P$5</f>
        <v>0</v>
      </c>
      <c r="Q141" s="190">
        <f>Inputs!Q159*Q$5</f>
        <v>0</v>
      </c>
      <c r="R141" s="190">
        <f>Inputs!R159*R$5</f>
        <v>0</v>
      </c>
      <c r="S141" s="190">
        <f>Inputs!S159*S$5</f>
        <v>0</v>
      </c>
      <c r="T141" s="190">
        <f>Inputs!T159*T$5</f>
        <v>0</v>
      </c>
      <c r="U141" s="190">
        <f>Inputs!U159*U$5</f>
        <v>0</v>
      </c>
      <c r="V141" s="190">
        <f>Inputs!V159*V$5</f>
        <v>0</v>
      </c>
      <c r="W141" s="190">
        <f>Inputs!W159*W$5</f>
        <v>0</v>
      </c>
      <c r="X141" s="190">
        <f>Inputs!X159*X$5</f>
        <v>0</v>
      </c>
      <c r="Y141" s="190">
        <f>Inputs!Y159*Y$5</f>
        <v>0</v>
      </c>
      <c r="Z141" s="190">
        <f>Inputs!Z159*Z$5</f>
        <v>0</v>
      </c>
      <c r="AA141" s="190">
        <f>Inputs!AA159*AA$5</f>
        <v>0</v>
      </c>
      <c r="AB141" s="190">
        <f>Inputs!AB159*AB$5</f>
        <v>0</v>
      </c>
      <c r="AC141" s="190">
        <f>Inputs!AC159*AC$5</f>
        <v>0</v>
      </c>
      <c r="AD141" s="190">
        <f>Inputs!AD159*AD$5</f>
        <v>0</v>
      </c>
      <c r="AE141" s="190">
        <f>Inputs!AE159*AE$5</f>
        <v>0</v>
      </c>
      <c r="AF141" s="190">
        <f>Inputs!AF159*AF$5</f>
        <v>0</v>
      </c>
      <c r="AG141" s="190">
        <f>Inputs!AG159*AG$5</f>
        <v>0</v>
      </c>
      <c r="AH141" s="190">
        <f>Inputs!AH159*AH$5</f>
        <v>0</v>
      </c>
      <c r="AI141" s="190">
        <f>Inputs!AI159*AI$5</f>
        <v>0</v>
      </c>
      <c r="AJ141" s="190">
        <f>Inputs!AJ159*AJ$5</f>
        <v>0</v>
      </c>
      <c r="AK141" s="190">
        <f>Inputs!AK159*AK$5</f>
        <v>0</v>
      </c>
      <c r="AL141" s="190">
        <f>Inputs!AL159*AL$5</f>
        <v>0</v>
      </c>
      <c r="AM141" s="190">
        <f>Inputs!AM159*AM$5</f>
        <v>0</v>
      </c>
      <c r="AN141" s="190">
        <f>Inputs!AN159*AN$5</f>
        <v>0</v>
      </c>
      <c r="AO141" s="190">
        <f>Inputs!AO159*AO$5</f>
        <v>0</v>
      </c>
      <c r="AP141" s="190">
        <f>Inputs!AP159*AP$5</f>
        <v>0</v>
      </c>
      <c r="AQ141" s="190">
        <f>Inputs!AQ159*AQ$5</f>
        <v>0</v>
      </c>
      <c r="AR141" s="190">
        <f>Inputs!AR159*AR$5</f>
        <v>0</v>
      </c>
      <c r="AS141" s="190">
        <f>Inputs!AS159*AS$5</f>
        <v>0</v>
      </c>
      <c r="AT141" s="190">
        <f>Inputs!AT159*AT$5</f>
        <v>0</v>
      </c>
      <c r="AU141" s="190">
        <f>Inputs!AU159*AU$5</f>
        <v>0</v>
      </c>
      <c r="AV141" s="190">
        <f>Inputs!AV159*AV$5</f>
        <v>0</v>
      </c>
      <c r="AW141" s="190">
        <f>Inputs!AW159*AW$5</f>
        <v>0</v>
      </c>
      <c r="AX141" s="190">
        <f>Inputs!AX159*AX$5</f>
        <v>0</v>
      </c>
      <c r="AY141" s="190">
        <f>Inputs!AY159*AY$5</f>
        <v>0</v>
      </c>
      <c r="AZ141" s="190">
        <f>Inputs!AZ159*AZ$5</f>
        <v>0</v>
      </c>
    </row>
    <row r="142" spans="1:52" x14ac:dyDescent="0.25">
      <c r="A142" s="4"/>
      <c r="B142" s="55"/>
      <c r="C142" s="63"/>
      <c r="D142" s="55" t="s">
        <v>133</v>
      </c>
      <c r="E142" s="55" t="s">
        <v>124</v>
      </c>
      <c r="F142">
        <f t="shared" ca="1" si="35"/>
        <v>2025</v>
      </c>
      <c r="G142" s="191">
        <f>Inputs!G153</f>
        <v>0</v>
      </c>
      <c r="H142" s="192">
        <f>H136-H137</f>
        <v>0</v>
      </c>
      <c r="I142" s="192">
        <f t="shared" ref="I142:AZ142" si="36">H142+I136-I137</f>
        <v>0</v>
      </c>
      <c r="J142" s="192">
        <f t="shared" si="36"/>
        <v>0</v>
      </c>
      <c r="K142" s="192">
        <f t="shared" si="36"/>
        <v>0</v>
      </c>
      <c r="L142" s="192">
        <f t="shared" si="36"/>
        <v>0</v>
      </c>
      <c r="M142" s="192">
        <f t="shared" si="36"/>
        <v>0</v>
      </c>
      <c r="N142" s="192">
        <f t="shared" si="36"/>
        <v>0</v>
      </c>
      <c r="O142" s="192">
        <f t="shared" si="36"/>
        <v>0</v>
      </c>
      <c r="P142" s="192">
        <f t="shared" si="36"/>
        <v>0</v>
      </c>
      <c r="Q142" s="192">
        <f t="shared" si="36"/>
        <v>0</v>
      </c>
      <c r="R142" s="192">
        <f t="shared" si="36"/>
        <v>0</v>
      </c>
      <c r="S142" s="192">
        <f t="shared" si="36"/>
        <v>0</v>
      </c>
      <c r="T142" s="192">
        <f t="shared" si="36"/>
        <v>0</v>
      </c>
      <c r="U142" s="192">
        <f t="shared" si="36"/>
        <v>0</v>
      </c>
      <c r="V142" s="192">
        <f t="shared" si="36"/>
        <v>0</v>
      </c>
      <c r="W142" s="192">
        <f t="shared" si="36"/>
        <v>0</v>
      </c>
      <c r="X142" s="192">
        <f t="shared" si="36"/>
        <v>0</v>
      </c>
      <c r="Y142" s="192">
        <f t="shared" si="36"/>
        <v>0</v>
      </c>
      <c r="Z142" s="192">
        <f t="shared" si="36"/>
        <v>0</v>
      </c>
      <c r="AA142" s="192">
        <f t="shared" si="36"/>
        <v>0</v>
      </c>
      <c r="AB142" s="192">
        <f t="shared" si="36"/>
        <v>0</v>
      </c>
      <c r="AC142" s="192">
        <f t="shared" si="36"/>
        <v>0</v>
      </c>
      <c r="AD142" s="192">
        <f t="shared" si="36"/>
        <v>0</v>
      </c>
      <c r="AE142" s="192">
        <f t="shared" si="36"/>
        <v>0</v>
      </c>
      <c r="AF142" s="192">
        <f t="shared" si="36"/>
        <v>0</v>
      </c>
      <c r="AG142" s="192">
        <f t="shared" si="36"/>
        <v>0</v>
      </c>
      <c r="AH142" s="192">
        <f t="shared" si="36"/>
        <v>0</v>
      </c>
      <c r="AI142" s="192">
        <f t="shared" si="36"/>
        <v>0</v>
      </c>
      <c r="AJ142" s="192">
        <f t="shared" si="36"/>
        <v>0</v>
      </c>
      <c r="AK142" s="192">
        <f t="shared" si="36"/>
        <v>0</v>
      </c>
      <c r="AL142" s="192">
        <f t="shared" si="36"/>
        <v>0</v>
      </c>
      <c r="AM142" s="192">
        <f t="shared" si="36"/>
        <v>0</v>
      </c>
      <c r="AN142" s="192">
        <f t="shared" si="36"/>
        <v>0</v>
      </c>
      <c r="AO142" s="192">
        <f t="shared" si="36"/>
        <v>0</v>
      </c>
      <c r="AP142" s="192">
        <f t="shared" si="36"/>
        <v>0</v>
      </c>
      <c r="AQ142" s="192">
        <f t="shared" si="36"/>
        <v>0</v>
      </c>
      <c r="AR142" s="192">
        <f t="shared" si="36"/>
        <v>0</v>
      </c>
      <c r="AS142" s="192">
        <f t="shared" si="36"/>
        <v>0</v>
      </c>
      <c r="AT142" s="192">
        <f t="shared" si="36"/>
        <v>0</v>
      </c>
      <c r="AU142" s="192">
        <f t="shared" si="36"/>
        <v>0</v>
      </c>
      <c r="AV142" s="192">
        <f t="shared" si="36"/>
        <v>0</v>
      </c>
      <c r="AW142" s="192">
        <f t="shared" si="36"/>
        <v>0</v>
      </c>
      <c r="AX142" s="192">
        <f t="shared" si="36"/>
        <v>0</v>
      </c>
      <c r="AY142" s="192">
        <f t="shared" si="36"/>
        <v>0</v>
      </c>
      <c r="AZ142" s="192">
        <f t="shared" si="36"/>
        <v>0</v>
      </c>
    </row>
    <row r="143" spans="1:52" x14ac:dyDescent="0.25">
      <c r="A143" s="4"/>
      <c r="B143" s="55"/>
      <c r="C143" s="63"/>
      <c r="D143" s="20" t="s">
        <v>136</v>
      </c>
      <c r="E143" s="55" t="s">
        <v>124</v>
      </c>
      <c r="F143">
        <f t="shared" ca="1" si="35"/>
        <v>2025</v>
      </c>
      <c r="G143" s="191">
        <f>Inputs!G156</f>
        <v>0</v>
      </c>
      <c r="H143" s="142">
        <f t="shared" ref="H143:AZ143" si="37">H138+H139</f>
        <v>0</v>
      </c>
      <c r="I143" s="142">
        <f t="shared" si="37"/>
        <v>0</v>
      </c>
      <c r="J143" s="142">
        <f t="shared" si="37"/>
        <v>0</v>
      </c>
      <c r="K143" s="142">
        <f t="shared" si="37"/>
        <v>0</v>
      </c>
      <c r="L143" s="142">
        <f t="shared" si="37"/>
        <v>0</v>
      </c>
      <c r="M143" s="142">
        <f t="shared" si="37"/>
        <v>0</v>
      </c>
      <c r="N143" s="142">
        <f t="shared" si="37"/>
        <v>0</v>
      </c>
      <c r="O143" s="142">
        <f t="shared" si="37"/>
        <v>0</v>
      </c>
      <c r="P143" s="142">
        <f t="shared" si="37"/>
        <v>0</v>
      </c>
      <c r="Q143" s="142">
        <f t="shared" si="37"/>
        <v>0</v>
      </c>
      <c r="R143" s="142">
        <f t="shared" si="37"/>
        <v>0</v>
      </c>
      <c r="S143" s="142">
        <f t="shared" si="37"/>
        <v>0</v>
      </c>
      <c r="T143" s="142">
        <f t="shared" si="37"/>
        <v>0</v>
      </c>
      <c r="U143" s="142">
        <f t="shared" si="37"/>
        <v>0</v>
      </c>
      <c r="V143" s="142">
        <f t="shared" si="37"/>
        <v>0</v>
      </c>
      <c r="W143" s="142">
        <f t="shared" si="37"/>
        <v>0</v>
      </c>
      <c r="X143" s="142">
        <f t="shared" si="37"/>
        <v>0</v>
      </c>
      <c r="Y143" s="142">
        <f t="shared" si="37"/>
        <v>0</v>
      </c>
      <c r="Z143" s="142">
        <f t="shared" si="37"/>
        <v>0</v>
      </c>
      <c r="AA143" s="142">
        <f t="shared" si="37"/>
        <v>0</v>
      </c>
      <c r="AB143" s="142">
        <f t="shared" si="37"/>
        <v>0</v>
      </c>
      <c r="AC143" s="142">
        <f t="shared" si="37"/>
        <v>0</v>
      </c>
      <c r="AD143" s="142">
        <f t="shared" si="37"/>
        <v>0</v>
      </c>
      <c r="AE143" s="142">
        <f t="shared" si="37"/>
        <v>0</v>
      </c>
      <c r="AF143" s="142">
        <f t="shared" si="37"/>
        <v>0</v>
      </c>
      <c r="AG143" s="142">
        <f t="shared" si="37"/>
        <v>0</v>
      </c>
      <c r="AH143" s="142">
        <f t="shared" si="37"/>
        <v>0</v>
      </c>
      <c r="AI143" s="142">
        <f t="shared" si="37"/>
        <v>0</v>
      </c>
      <c r="AJ143" s="142">
        <f t="shared" si="37"/>
        <v>0</v>
      </c>
      <c r="AK143" s="142">
        <f t="shared" si="37"/>
        <v>0</v>
      </c>
      <c r="AL143" s="142">
        <f t="shared" si="37"/>
        <v>0</v>
      </c>
      <c r="AM143" s="142">
        <f t="shared" si="37"/>
        <v>0</v>
      </c>
      <c r="AN143" s="142">
        <f t="shared" si="37"/>
        <v>0</v>
      </c>
      <c r="AO143" s="142">
        <f t="shared" si="37"/>
        <v>0</v>
      </c>
      <c r="AP143" s="142">
        <f t="shared" si="37"/>
        <v>0</v>
      </c>
      <c r="AQ143" s="142">
        <f t="shared" si="37"/>
        <v>0</v>
      </c>
      <c r="AR143" s="142">
        <f t="shared" si="37"/>
        <v>0</v>
      </c>
      <c r="AS143" s="142">
        <f t="shared" si="37"/>
        <v>0</v>
      </c>
      <c r="AT143" s="142">
        <f t="shared" si="37"/>
        <v>0</v>
      </c>
      <c r="AU143" s="142">
        <f t="shared" si="37"/>
        <v>0</v>
      </c>
      <c r="AV143" s="142">
        <f t="shared" si="37"/>
        <v>0</v>
      </c>
      <c r="AW143" s="142">
        <f t="shared" si="37"/>
        <v>0</v>
      </c>
      <c r="AX143" s="142">
        <f t="shared" si="37"/>
        <v>0</v>
      </c>
      <c r="AY143" s="142">
        <f t="shared" si="37"/>
        <v>0</v>
      </c>
      <c r="AZ143" s="142">
        <f t="shared" si="37"/>
        <v>0</v>
      </c>
    </row>
    <row r="144" spans="1:52" x14ac:dyDescent="0.25">
      <c r="A144" s="4"/>
      <c r="B144" s="55"/>
      <c r="C144" s="63"/>
      <c r="D144" s="62" t="str">
        <f ca="1">"Costs of debt in "&amp;Analysis_year&amp;" dollars"</f>
        <v>Costs of debt in 2025 dollars</v>
      </c>
      <c r="E144" s="109" t="s">
        <v>124</v>
      </c>
      <c r="F144">
        <f t="shared" ca="1" si="35"/>
        <v>2025</v>
      </c>
      <c r="G144" s="193">
        <f>Inputs!G157</f>
        <v>0</v>
      </c>
      <c r="H144" s="143">
        <f t="shared" ref="H144:AZ144" si="38">H143/H5</f>
        <v>0</v>
      </c>
      <c r="I144" s="143">
        <f t="shared" si="38"/>
        <v>0</v>
      </c>
      <c r="J144" s="143">
        <f t="shared" si="38"/>
        <v>0</v>
      </c>
      <c r="K144" s="143">
        <f t="shared" si="38"/>
        <v>0</v>
      </c>
      <c r="L144" s="143">
        <f t="shared" si="38"/>
        <v>0</v>
      </c>
      <c r="M144" s="143">
        <f t="shared" si="38"/>
        <v>0</v>
      </c>
      <c r="N144" s="143">
        <f t="shared" si="38"/>
        <v>0</v>
      </c>
      <c r="O144" s="143">
        <f t="shared" si="38"/>
        <v>0</v>
      </c>
      <c r="P144" s="143">
        <f t="shared" si="38"/>
        <v>0</v>
      </c>
      <c r="Q144" s="143">
        <f t="shared" si="38"/>
        <v>0</v>
      </c>
      <c r="R144" s="143">
        <f t="shared" si="38"/>
        <v>0</v>
      </c>
      <c r="S144" s="143">
        <f t="shared" si="38"/>
        <v>0</v>
      </c>
      <c r="T144" s="143">
        <f t="shared" si="38"/>
        <v>0</v>
      </c>
      <c r="U144" s="143">
        <f t="shared" si="38"/>
        <v>0</v>
      </c>
      <c r="V144" s="143">
        <f t="shared" si="38"/>
        <v>0</v>
      </c>
      <c r="W144" s="143">
        <f t="shared" si="38"/>
        <v>0</v>
      </c>
      <c r="X144" s="143">
        <f t="shared" si="38"/>
        <v>0</v>
      </c>
      <c r="Y144" s="143">
        <f t="shared" si="38"/>
        <v>0</v>
      </c>
      <c r="Z144" s="143">
        <f t="shared" si="38"/>
        <v>0</v>
      </c>
      <c r="AA144" s="143">
        <f t="shared" si="38"/>
        <v>0</v>
      </c>
      <c r="AB144" s="143">
        <f t="shared" si="38"/>
        <v>0</v>
      </c>
      <c r="AC144" s="143">
        <f t="shared" si="38"/>
        <v>0</v>
      </c>
      <c r="AD144" s="143">
        <f t="shared" si="38"/>
        <v>0</v>
      </c>
      <c r="AE144" s="143">
        <f t="shared" si="38"/>
        <v>0</v>
      </c>
      <c r="AF144" s="143">
        <f t="shared" si="38"/>
        <v>0</v>
      </c>
      <c r="AG144" s="143">
        <f t="shared" si="38"/>
        <v>0</v>
      </c>
      <c r="AH144" s="143">
        <f t="shared" si="38"/>
        <v>0</v>
      </c>
      <c r="AI144" s="143">
        <f t="shared" si="38"/>
        <v>0</v>
      </c>
      <c r="AJ144" s="143">
        <f t="shared" si="38"/>
        <v>0</v>
      </c>
      <c r="AK144" s="143">
        <f t="shared" si="38"/>
        <v>0</v>
      </c>
      <c r="AL144" s="143">
        <f t="shared" si="38"/>
        <v>0</v>
      </c>
      <c r="AM144" s="143">
        <f t="shared" si="38"/>
        <v>0</v>
      </c>
      <c r="AN144" s="143">
        <f t="shared" si="38"/>
        <v>0</v>
      </c>
      <c r="AO144" s="143">
        <f t="shared" si="38"/>
        <v>0</v>
      </c>
      <c r="AP144" s="143">
        <f t="shared" si="38"/>
        <v>0</v>
      </c>
      <c r="AQ144" s="143">
        <f t="shared" si="38"/>
        <v>0</v>
      </c>
      <c r="AR144" s="143">
        <f t="shared" si="38"/>
        <v>0</v>
      </c>
      <c r="AS144" s="143">
        <f t="shared" si="38"/>
        <v>0</v>
      </c>
      <c r="AT144" s="143">
        <f t="shared" si="38"/>
        <v>0</v>
      </c>
      <c r="AU144" s="143">
        <f t="shared" si="38"/>
        <v>0</v>
      </c>
      <c r="AV144" s="143">
        <f t="shared" si="38"/>
        <v>0</v>
      </c>
      <c r="AW144" s="143">
        <f t="shared" si="38"/>
        <v>0</v>
      </c>
      <c r="AX144" s="143">
        <f t="shared" si="38"/>
        <v>0</v>
      </c>
      <c r="AY144" s="143">
        <f t="shared" si="38"/>
        <v>0</v>
      </c>
      <c r="AZ144" s="143">
        <f t="shared" si="38"/>
        <v>0</v>
      </c>
    </row>
    <row r="145" spans="1:52" x14ac:dyDescent="0.25">
      <c r="A145" s="4"/>
      <c r="B145" s="4"/>
      <c r="C145" s="4"/>
      <c r="D145" s="4"/>
      <c r="E145" s="4"/>
      <c r="F145" s="4"/>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row>
    <row r="146" spans="1:52" ht="60" x14ac:dyDescent="0.25">
      <c r="A146" s="50" t="s">
        <v>61</v>
      </c>
      <c r="B146" s="47"/>
      <c r="C146" s="54"/>
      <c r="D146" s="54" t="s">
        <v>171</v>
      </c>
      <c r="E146" s="54" t="s">
        <v>48</v>
      </c>
      <c r="F146" s="54" t="s">
        <v>319</v>
      </c>
      <c r="G146" s="51" t="s">
        <v>52</v>
      </c>
      <c r="H146" s="54" t="s">
        <v>77</v>
      </c>
      <c r="I146" s="54" t="s">
        <v>78</v>
      </c>
      <c r="J146" s="54" t="s">
        <v>79</v>
      </c>
      <c r="K146" s="54" t="s">
        <v>80</v>
      </c>
      <c r="L146" s="54" t="s">
        <v>81</v>
      </c>
      <c r="M146" s="54" t="s">
        <v>82</v>
      </c>
      <c r="N146" s="54" t="s">
        <v>83</v>
      </c>
      <c r="O146" s="54" t="s">
        <v>84</v>
      </c>
      <c r="P146" s="54" t="s">
        <v>85</v>
      </c>
      <c r="Q146" s="54" t="s">
        <v>86</v>
      </c>
      <c r="R146" s="54" t="s">
        <v>87</v>
      </c>
      <c r="S146" s="54" t="s">
        <v>88</v>
      </c>
      <c r="T146" s="54" t="s">
        <v>89</v>
      </c>
      <c r="U146" s="54" t="s">
        <v>90</v>
      </c>
      <c r="V146" s="54" t="s">
        <v>91</v>
      </c>
      <c r="W146" s="54" t="s">
        <v>92</v>
      </c>
      <c r="X146" s="54" t="s">
        <v>93</v>
      </c>
      <c r="Y146" s="54" t="s">
        <v>94</v>
      </c>
      <c r="Z146" s="54" t="s">
        <v>95</v>
      </c>
      <c r="AA146" s="54" t="s">
        <v>96</v>
      </c>
      <c r="AB146" s="54" t="s">
        <v>97</v>
      </c>
      <c r="AC146" s="54" t="s">
        <v>98</v>
      </c>
      <c r="AD146" s="54" t="s">
        <v>99</v>
      </c>
      <c r="AE146" s="54" t="s">
        <v>100</v>
      </c>
      <c r="AF146" s="54" t="s">
        <v>101</v>
      </c>
      <c r="AG146" s="54" t="s">
        <v>102</v>
      </c>
      <c r="AH146" s="54" t="s">
        <v>103</v>
      </c>
      <c r="AI146" s="54" t="s">
        <v>104</v>
      </c>
      <c r="AJ146" s="54" t="s">
        <v>105</v>
      </c>
      <c r="AK146" s="54" t="s">
        <v>106</v>
      </c>
      <c r="AL146" s="54" t="s">
        <v>107</v>
      </c>
      <c r="AM146" s="54" t="s">
        <v>108</v>
      </c>
      <c r="AN146" s="54" t="s">
        <v>109</v>
      </c>
      <c r="AO146" s="54" t="s">
        <v>110</v>
      </c>
      <c r="AP146" s="54" t="s">
        <v>111</v>
      </c>
      <c r="AQ146" s="54" t="s">
        <v>112</v>
      </c>
      <c r="AR146" s="54" t="s">
        <v>113</v>
      </c>
      <c r="AS146" s="54" t="s">
        <v>114</v>
      </c>
      <c r="AT146" s="54" t="s">
        <v>115</v>
      </c>
      <c r="AU146" s="54" t="s">
        <v>116</v>
      </c>
      <c r="AV146" s="54" t="s">
        <v>117</v>
      </c>
      <c r="AW146" s="54" t="s">
        <v>118</v>
      </c>
      <c r="AX146" s="54" t="s">
        <v>119</v>
      </c>
      <c r="AY146" s="54" t="s">
        <v>120</v>
      </c>
      <c r="AZ146" s="54" t="s">
        <v>121</v>
      </c>
    </row>
    <row r="147" spans="1:52" x14ac:dyDescent="0.25">
      <c r="A147" s="4"/>
      <c r="B147" s="56"/>
      <c r="C147" s="56"/>
      <c r="D147" s="56" t="s">
        <v>138</v>
      </c>
      <c r="E147" s="56" t="s">
        <v>124</v>
      </c>
      <c r="F147" s="56">
        <f t="shared" ref="F147:F153" ca="1" si="39">Analysis_year</f>
        <v>2025</v>
      </c>
      <c r="G147" s="189"/>
      <c r="H147" s="138"/>
      <c r="I147" s="138"/>
      <c r="J147" s="138"/>
      <c r="K147" s="138"/>
      <c r="L147" s="138"/>
      <c r="M147" s="138"/>
      <c r="N147" s="138"/>
      <c r="O147" s="138"/>
      <c r="P147" s="138"/>
      <c r="Q147" s="138"/>
      <c r="R147" s="138"/>
      <c r="S147" s="138"/>
      <c r="T147" s="138"/>
      <c r="U147" s="138"/>
      <c r="V147" s="138"/>
      <c r="W147" s="144"/>
      <c r="X147" s="144"/>
      <c r="Y147" s="144"/>
      <c r="Z147" s="144"/>
      <c r="AA147" s="144"/>
      <c r="AB147" s="144"/>
      <c r="AC147" s="144"/>
      <c r="AD147" s="144"/>
      <c r="AE147" s="144"/>
      <c r="AF147" s="144"/>
      <c r="AG147" s="144"/>
      <c r="AH147" s="144"/>
      <c r="AI147" s="144"/>
      <c r="AJ147" s="144"/>
      <c r="AK147" s="144"/>
      <c r="AL147" s="144"/>
      <c r="AM147" s="144"/>
      <c r="AN147" s="144"/>
      <c r="AO147" s="144"/>
      <c r="AP147" s="144"/>
      <c r="AQ147" s="144"/>
      <c r="AR147" s="144"/>
      <c r="AS147" s="144"/>
      <c r="AT147" s="144"/>
      <c r="AU147" s="144"/>
      <c r="AV147" s="144"/>
      <c r="AW147" s="144"/>
      <c r="AX147" s="144"/>
      <c r="AY147" s="144"/>
      <c r="AZ147" s="144"/>
    </row>
    <row r="148" spans="1:52" x14ac:dyDescent="0.25">
      <c r="A148" s="4"/>
      <c r="B148" s="56"/>
      <c r="C148" s="56"/>
      <c r="D148" s="56" t="s">
        <v>132</v>
      </c>
      <c r="E148" s="56" t="s">
        <v>124</v>
      </c>
      <c r="F148" s="56">
        <f t="shared" ca="1" si="39"/>
        <v>2025</v>
      </c>
      <c r="G148" s="189"/>
      <c r="H148" s="138"/>
      <c r="I148" s="138"/>
      <c r="J148" s="138"/>
      <c r="K148" s="138"/>
      <c r="L148" s="138"/>
      <c r="M148" s="138"/>
      <c r="N148" s="138"/>
      <c r="O148" s="138"/>
      <c r="P148" s="138"/>
      <c r="Q148" s="138"/>
      <c r="R148" s="138"/>
      <c r="S148" s="138"/>
      <c r="T148" s="138"/>
      <c r="U148" s="138"/>
      <c r="V148" s="138"/>
      <c r="W148" s="138"/>
      <c r="X148" s="138"/>
      <c r="Y148" s="138"/>
      <c r="Z148" s="138"/>
      <c r="AA148" s="138"/>
      <c r="AB148" s="138"/>
      <c r="AC148" s="138"/>
      <c r="AD148" s="138"/>
      <c r="AE148" s="138"/>
      <c r="AF148" s="138"/>
      <c r="AG148" s="138"/>
      <c r="AH148" s="138"/>
      <c r="AI148" s="138"/>
      <c r="AJ148" s="138"/>
      <c r="AK148" s="138"/>
      <c r="AL148" s="138"/>
      <c r="AM148" s="138"/>
      <c r="AN148" s="138"/>
      <c r="AO148" s="138"/>
      <c r="AP148" s="138"/>
      <c r="AQ148" s="138"/>
      <c r="AR148" s="138"/>
      <c r="AS148" s="138"/>
      <c r="AT148" s="138"/>
      <c r="AU148" s="138"/>
      <c r="AV148" s="138"/>
      <c r="AW148" s="138"/>
      <c r="AX148" s="138"/>
      <c r="AY148" s="138"/>
      <c r="AZ148" s="138"/>
    </row>
    <row r="149" spans="1:52" x14ac:dyDescent="0.25">
      <c r="A149" s="4"/>
      <c r="B149" s="56"/>
      <c r="C149" s="56"/>
      <c r="D149" s="56" t="s">
        <v>134</v>
      </c>
      <c r="E149" s="56" t="s">
        <v>124</v>
      </c>
      <c r="F149" s="56">
        <f t="shared" ca="1" si="39"/>
        <v>2025</v>
      </c>
      <c r="G149" s="189"/>
      <c r="H149" s="138"/>
      <c r="I149" s="138"/>
      <c r="J149" s="138"/>
      <c r="K149" s="138"/>
      <c r="L149" s="138"/>
      <c r="M149" s="138"/>
      <c r="N149" s="138"/>
      <c r="O149" s="138"/>
      <c r="P149" s="138"/>
      <c r="Q149" s="138"/>
      <c r="R149" s="138"/>
      <c r="S149" s="138"/>
      <c r="T149" s="138"/>
      <c r="U149" s="138"/>
      <c r="V149" s="138"/>
      <c r="W149" s="138"/>
      <c r="X149" s="138"/>
      <c r="Y149" s="138"/>
      <c r="Z149" s="138"/>
      <c r="AA149" s="138"/>
      <c r="AB149" s="138"/>
      <c r="AC149" s="138"/>
      <c r="AD149" s="138"/>
      <c r="AE149" s="138"/>
      <c r="AF149" s="138"/>
      <c r="AG149" s="138"/>
      <c r="AH149" s="138"/>
      <c r="AI149" s="138"/>
      <c r="AJ149" s="138"/>
      <c r="AK149" s="138"/>
      <c r="AL149" s="138"/>
      <c r="AM149" s="138"/>
      <c r="AN149" s="138"/>
      <c r="AO149" s="138"/>
      <c r="AP149" s="138"/>
      <c r="AQ149" s="138"/>
      <c r="AR149" s="138"/>
      <c r="AS149" s="138"/>
      <c r="AT149" s="138"/>
      <c r="AU149" s="138"/>
      <c r="AV149" s="138"/>
      <c r="AW149" s="138"/>
      <c r="AX149" s="138"/>
      <c r="AY149" s="138"/>
      <c r="AZ149" s="138"/>
    </row>
    <row r="150" spans="1:52" x14ac:dyDescent="0.25">
      <c r="A150" s="4"/>
      <c r="B150" s="56"/>
      <c r="C150" s="56"/>
      <c r="D150" s="56" t="s">
        <v>135</v>
      </c>
      <c r="E150" s="56" t="s">
        <v>124</v>
      </c>
      <c r="F150" s="56">
        <f t="shared" ca="1" si="39"/>
        <v>2025</v>
      </c>
      <c r="G150" s="189"/>
      <c r="H150" s="194"/>
      <c r="I150" s="194"/>
      <c r="J150" s="194"/>
      <c r="K150" s="194"/>
      <c r="L150" s="194"/>
      <c r="M150" s="194"/>
      <c r="N150" s="194"/>
      <c r="O150" s="194"/>
      <c r="P150" s="194"/>
      <c r="Q150" s="194"/>
      <c r="R150" s="194"/>
      <c r="S150" s="194"/>
      <c r="T150" s="194"/>
      <c r="U150" s="194"/>
      <c r="V150" s="194"/>
      <c r="W150" s="194"/>
      <c r="X150" s="194"/>
      <c r="Y150" s="194"/>
      <c r="Z150" s="194"/>
      <c r="AA150" s="194"/>
      <c r="AB150" s="194"/>
      <c r="AC150" s="194"/>
      <c r="AD150" s="194"/>
      <c r="AE150" s="194"/>
      <c r="AF150" s="194"/>
      <c r="AG150" s="194"/>
      <c r="AH150" s="194"/>
      <c r="AI150" s="194"/>
      <c r="AJ150" s="194"/>
      <c r="AK150" s="194"/>
      <c r="AL150" s="194"/>
      <c r="AM150" s="194"/>
      <c r="AN150" s="194"/>
      <c r="AO150" s="194"/>
      <c r="AP150" s="194"/>
      <c r="AQ150" s="194"/>
      <c r="AR150" s="194"/>
      <c r="AS150" s="194"/>
      <c r="AT150" s="194"/>
      <c r="AU150" s="194"/>
      <c r="AV150" s="194"/>
      <c r="AW150" s="194"/>
      <c r="AX150" s="194"/>
      <c r="AY150" s="194"/>
      <c r="AZ150" s="194"/>
    </row>
    <row r="151" spans="1:52" x14ac:dyDescent="0.25">
      <c r="A151" s="4"/>
      <c r="B151" s="56"/>
      <c r="C151" s="56"/>
      <c r="D151" s="56" t="s">
        <v>139</v>
      </c>
      <c r="E151" s="56" t="s">
        <v>124</v>
      </c>
      <c r="F151" s="195">
        <f t="shared" ca="1" si="39"/>
        <v>2025</v>
      </c>
      <c r="H151" s="196">
        <f>H147-H148</f>
        <v>0</v>
      </c>
      <c r="I151" s="196">
        <f t="shared" ref="I151:AZ151" si="40">H151+I147-I148</f>
        <v>0</v>
      </c>
      <c r="J151" s="196">
        <f t="shared" si="40"/>
        <v>0</v>
      </c>
      <c r="K151" s="196">
        <f t="shared" si="40"/>
        <v>0</v>
      </c>
      <c r="L151" s="196">
        <f t="shared" si="40"/>
        <v>0</v>
      </c>
      <c r="M151" s="196">
        <f t="shared" si="40"/>
        <v>0</v>
      </c>
      <c r="N151" s="196">
        <f t="shared" si="40"/>
        <v>0</v>
      </c>
      <c r="O151" s="196">
        <f t="shared" si="40"/>
        <v>0</v>
      </c>
      <c r="P151" s="196">
        <f t="shared" si="40"/>
        <v>0</v>
      </c>
      <c r="Q151" s="196">
        <f t="shared" si="40"/>
        <v>0</v>
      </c>
      <c r="R151" s="196">
        <f t="shared" si="40"/>
        <v>0</v>
      </c>
      <c r="S151" s="196">
        <f t="shared" si="40"/>
        <v>0</v>
      </c>
      <c r="T151" s="196">
        <f t="shared" si="40"/>
        <v>0</v>
      </c>
      <c r="U151" s="196">
        <f t="shared" si="40"/>
        <v>0</v>
      </c>
      <c r="V151" s="196">
        <f t="shared" si="40"/>
        <v>0</v>
      </c>
      <c r="W151" s="196">
        <f t="shared" si="40"/>
        <v>0</v>
      </c>
      <c r="X151" s="196">
        <f t="shared" si="40"/>
        <v>0</v>
      </c>
      <c r="Y151" s="196">
        <f t="shared" si="40"/>
        <v>0</v>
      </c>
      <c r="Z151" s="196">
        <f t="shared" si="40"/>
        <v>0</v>
      </c>
      <c r="AA151" s="196">
        <f t="shared" si="40"/>
        <v>0</v>
      </c>
      <c r="AB151" s="196">
        <f t="shared" si="40"/>
        <v>0</v>
      </c>
      <c r="AC151" s="196">
        <f t="shared" si="40"/>
        <v>0</v>
      </c>
      <c r="AD151" s="196">
        <f t="shared" si="40"/>
        <v>0</v>
      </c>
      <c r="AE151" s="196">
        <f t="shared" si="40"/>
        <v>0</v>
      </c>
      <c r="AF151" s="196">
        <f t="shared" si="40"/>
        <v>0</v>
      </c>
      <c r="AG151" s="196">
        <f t="shared" si="40"/>
        <v>0</v>
      </c>
      <c r="AH151" s="196">
        <f t="shared" si="40"/>
        <v>0</v>
      </c>
      <c r="AI151" s="196">
        <f t="shared" si="40"/>
        <v>0</v>
      </c>
      <c r="AJ151" s="196">
        <f t="shared" si="40"/>
        <v>0</v>
      </c>
      <c r="AK151" s="196">
        <f t="shared" si="40"/>
        <v>0</v>
      </c>
      <c r="AL151" s="196">
        <f t="shared" si="40"/>
        <v>0</v>
      </c>
      <c r="AM151" s="196">
        <f t="shared" si="40"/>
        <v>0</v>
      </c>
      <c r="AN151" s="196">
        <f t="shared" si="40"/>
        <v>0</v>
      </c>
      <c r="AO151" s="196">
        <f t="shared" si="40"/>
        <v>0</v>
      </c>
      <c r="AP151" s="196">
        <f t="shared" si="40"/>
        <v>0</v>
      </c>
      <c r="AQ151" s="196">
        <f t="shared" si="40"/>
        <v>0</v>
      </c>
      <c r="AR151" s="196">
        <f t="shared" si="40"/>
        <v>0</v>
      </c>
      <c r="AS151" s="196">
        <f t="shared" si="40"/>
        <v>0</v>
      </c>
      <c r="AT151" s="196">
        <f t="shared" si="40"/>
        <v>0</v>
      </c>
      <c r="AU151" s="196">
        <f t="shared" si="40"/>
        <v>0</v>
      </c>
      <c r="AV151" s="196">
        <f t="shared" si="40"/>
        <v>0</v>
      </c>
      <c r="AW151" s="196">
        <f t="shared" si="40"/>
        <v>0</v>
      </c>
      <c r="AX151" s="196">
        <f t="shared" si="40"/>
        <v>0</v>
      </c>
      <c r="AY151" s="196">
        <f t="shared" si="40"/>
        <v>0</v>
      </c>
      <c r="AZ151" s="196">
        <f t="shared" si="40"/>
        <v>0</v>
      </c>
    </row>
    <row r="152" spans="1:52" x14ac:dyDescent="0.25">
      <c r="A152" s="4"/>
      <c r="B152" s="9"/>
      <c r="C152" s="9"/>
      <c r="D152" s="9" t="s">
        <v>136</v>
      </c>
      <c r="E152" s="56" t="s">
        <v>124</v>
      </c>
      <c r="F152" s="172">
        <f t="shared" ca="1" si="39"/>
        <v>2025</v>
      </c>
      <c r="H152" s="145">
        <f t="shared" ref="H152:AZ152" si="41">H149+H150</f>
        <v>0</v>
      </c>
      <c r="I152" s="145">
        <f t="shared" si="41"/>
        <v>0</v>
      </c>
      <c r="J152" s="145">
        <f t="shared" si="41"/>
        <v>0</v>
      </c>
      <c r="K152" s="145">
        <f t="shared" si="41"/>
        <v>0</v>
      </c>
      <c r="L152" s="145">
        <f t="shared" si="41"/>
        <v>0</v>
      </c>
      <c r="M152" s="145">
        <f t="shared" si="41"/>
        <v>0</v>
      </c>
      <c r="N152" s="145">
        <f t="shared" si="41"/>
        <v>0</v>
      </c>
      <c r="O152" s="145">
        <f t="shared" si="41"/>
        <v>0</v>
      </c>
      <c r="P152" s="145">
        <f t="shared" si="41"/>
        <v>0</v>
      </c>
      <c r="Q152" s="145">
        <f t="shared" si="41"/>
        <v>0</v>
      </c>
      <c r="R152" s="145">
        <f t="shared" si="41"/>
        <v>0</v>
      </c>
      <c r="S152" s="145">
        <f t="shared" si="41"/>
        <v>0</v>
      </c>
      <c r="T152" s="145">
        <f t="shared" si="41"/>
        <v>0</v>
      </c>
      <c r="U152" s="145">
        <f t="shared" si="41"/>
        <v>0</v>
      </c>
      <c r="V152" s="145">
        <f t="shared" si="41"/>
        <v>0</v>
      </c>
      <c r="W152" s="145">
        <f t="shared" si="41"/>
        <v>0</v>
      </c>
      <c r="X152" s="145">
        <f t="shared" si="41"/>
        <v>0</v>
      </c>
      <c r="Y152" s="145">
        <f t="shared" si="41"/>
        <v>0</v>
      </c>
      <c r="Z152" s="145">
        <f t="shared" si="41"/>
        <v>0</v>
      </c>
      <c r="AA152" s="145">
        <f t="shared" si="41"/>
        <v>0</v>
      </c>
      <c r="AB152" s="145">
        <f t="shared" si="41"/>
        <v>0</v>
      </c>
      <c r="AC152" s="145">
        <f t="shared" si="41"/>
        <v>0</v>
      </c>
      <c r="AD152" s="145">
        <f t="shared" si="41"/>
        <v>0</v>
      </c>
      <c r="AE152" s="145">
        <f t="shared" si="41"/>
        <v>0</v>
      </c>
      <c r="AF152" s="145">
        <f t="shared" si="41"/>
        <v>0</v>
      </c>
      <c r="AG152" s="145">
        <f t="shared" si="41"/>
        <v>0</v>
      </c>
      <c r="AH152" s="145">
        <f t="shared" si="41"/>
        <v>0</v>
      </c>
      <c r="AI152" s="145">
        <f t="shared" si="41"/>
        <v>0</v>
      </c>
      <c r="AJ152" s="145">
        <f t="shared" si="41"/>
        <v>0</v>
      </c>
      <c r="AK152" s="145">
        <f t="shared" si="41"/>
        <v>0</v>
      </c>
      <c r="AL152" s="145">
        <f t="shared" si="41"/>
        <v>0</v>
      </c>
      <c r="AM152" s="145">
        <f t="shared" si="41"/>
        <v>0</v>
      </c>
      <c r="AN152" s="145">
        <f t="shared" si="41"/>
        <v>0</v>
      </c>
      <c r="AO152" s="145">
        <f t="shared" si="41"/>
        <v>0</v>
      </c>
      <c r="AP152" s="145">
        <f t="shared" si="41"/>
        <v>0</v>
      </c>
      <c r="AQ152" s="145">
        <f t="shared" si="41"/>
        <v>0</v>
      </c>
      <c r="AR152" s="145">
        <f t="shared" si="41"/>
        <v>0</v>
      </c>
      <c r="AS152" s="145">
        <f t="shared" si="41"/>
        <v>0</v>
      </c>
      <c r="AT152" s="145">
        <f t="shared" si="41"/>
        <v>0</v>
      </c>
      <c r="AU152" s="145">
        <f t="shared" si="41"/>
        <v>0</v>
      </c>
      <c r="AV152" s="145">
        <f t="shared" si="41"/>
        <v>0</v>
      </c>
      <c r="AW152" s="145">
        <f t="shared" si="41"/>
        <v>0</v>
      </c>
      <c r="AX152" s="145">
        <f t="shared" si="41"/>
        <v>0</v>
      </c>
      <c r="AY152" s="145">
        <f t="shared" si="41"/>
        <v>0</v>
      </c>
      <c r="AZ152" s="145">
        <f t="shared" si="41"/>
        <v>0</v>
      </c>
    </row>
    <row r="153" spans="1:52" x14ac:dyDescent="0.25">
      <c r="A153" s="4"/>
      <c r="B153" s="9"/>
      <c r="C153" s="6"/>
      <c r="D153" s="9" t="str">
        <f ca="1">"Costs of debt in "&amp;Analysis_year&amp;" dollars"</f>
        <v>Costs of debt in 2025 dollars</v>
      </c>
      <c r="E153" s="56" t="s">
        <v>124</v>
      </c>
      <c r="F153" s="197">
        <f t="shared" ca="1" si="39"/>
        <v>2025</v>
      </c>
      <c r="H153" s="146">
        <f t="shared" ref="H153:AZ153" si="42">H152/H5</f>
        <v>0</v>
      </c>
      <c r="I153" s="146">
        <f t="shared" si="42"/>
        <v>0</v>
      </c>
      <c r="J153" s="146">
        <f t="shared" si="42"/>
        <v>0</v>
      </c>
      <c r="K153" s="146">
        <f t="shared" si="42"/>
        <v>0</v>
      </c>
      <c r="L153" s="146">
        <f t="shared" si="42"/>
        <v>0</v>
      </c>
      <c r="M153" s="146">
        <f t="shared" si="42"/>
        <v>0</v>
      </c>
      <c r="N153" s="146">
        <f t="shared" si="42"/>
        <v>0</v>
      </c>
      <c r="O153" s="146">
        <f t="shared" si="42"/>
        <v>0</v>
      </c>
      <c r="P153" s="146">
        <f t="shared" si="42"/>
        <v>0</v>
      </c>
      <c r="Q153" s="146">
        <f t="shared" si="42"/>
        <v>0</v>
      </c>
      <c r="R153" s="146">
        <f t="shared" si="42"/>
        <v>0</v>
      </c>
      <c r="S153" s="146">
        <f t="shared" si="42"/>
        <v>0</v>
      </c>
      <c r="T153" s="146">
        <f t="shared" si="42"/>
        <v>0</v>
      </c>
      <c r="U153" s="146">
        <f t="shared" si="42"/>
        <v>0</v>
      </c>
      <c r="V153" s="146">
        <f t="shared" si="42"/>
        <v>0</v>
      </c>
      <c r="W153" s="146">
        <f t="shared" si="42"/>
        <v>0</v>
      </c>
      <c r="X153" s="146">
        <f t="shared" si="42"/>
        <v>0</v>
      </c>
      <c r="Y153" s="146">
        <f t="shared" si="42"/>
        <v>0</v>
      </c>
      <c r="Z153" s="146">
        <f t="shared" si="42"/>
        <v>0</v>
      </c>
      <c r="AA153" s="146">
        <f t="shared" si="42"/>
        <v>0</v>
      </c>
      <c r="AB153" s="146">
        <f t="shared" si="42"/>
        <v>0</v>
      </c>
      <c r="AC153" s="146">
        <f t="shared" si="42"/>
        <v>0</v>
      </c>
      <c r="AD153" s="146">
        <f t="shared" si="42"/>
        <v>0</v>
      </c>
      <c r="AE153" s="146">
        <f t="shared" si="42"/>
        <v>0</v>
      </c>
      <c r="AF153" s="146">
        <f t="shared" si="42"/>
        <v>0</v>
      </c>
      <c r="AG153" s="146">
        <f t="shared" si="42"/>
        <v>0</v>
      </c>
      <c r="AH153" s="146">
        <f t="shared" si="42"/>
        <v>0</v>
      </c>
      <c r="AI153" s="146">
        <f t="shared" si="42"/>
        <v>0</v>
      </c>
      <c r="AJ153" s="146">
        <f t="shared" si="42"/>
        <v>0</v>
      </c>
      <c r="AK153" s="146">
        <f t="shared" si="42"/>
        <v>0</v>
      </c>
      <c r="AL153" s="146">
        <f t="shared" si="42"/>
        <v>0</v>
      </c>
      <c r="AM153" s="146">
        <f t="shared" si="42"/>
        <v>0</v>
      </c>
      <c r="AN153" s="146">
        <f t="shared" si="42"/>
        <v>0</v>
      </c>
      <c r="AO153" s="146">
        <f t="shared" si="42"/>
        <v>0</v>
      </c>
      <c r="AP153" s="146">
        <f t="shared" si="42"/>
        <v>0</v>
      </c>
      <c r="AQ153" s="146">
        <f t="shared" si="42"/>
        <v>0</v>
      </c>
      <c r="AR153" s="146">
        <f t="shared" si="42"/>
        <v>0</v>
      </c>
      <c r="AS153" s="146">
        <f t="shared" si="42"/>
        <v>0</v>
      </c>
      <c r="AT153" s="146">
        <f t="shared" si="42"/>
        <v>0</v>
      </c>
      <c r="AU153" s="146">
        <f t="shared" si="42"/>
        <v>0</v>
      </c>
      <c r="AV153" s="146">
        <f t="shared" si="42"/>
        <v>0</v>
      </c>
      <c r="AW153" s="146">
        <f t="shared" si="42"/>
        <v>0</v>
      </c>
      <c r="AX153" s="146">
        <f t="shared" si="42"/>
        <v>0</v>
      </c>
      <c r="AY153" s="146">
        <f t="shared" si="42"/>
        <v>0</v>
      </c>
      <c r="AZ153" s="146">
        <f t="shared" si="42"/>
        <v>0</v>
      </c>
    </row>
    <row r="154" spans="1:52" x14ac:dyDescent="0.25">
      <c r="A154" s="4"/>
      <c r="B154" s="9"/>
      <c r="C154" s="6"/>
      <c r="D154" s="9"/>
      <c r="E154" s="56"/>
      <c r="F154" s="6"/>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row>
    <row r="155" spans="1:52" x14ac:dyDescent="0.25">
      <c r="A155" s="4"/>
      <c r="B155" s="4"/>
      <c r="C155" s="6"/>
      <c r="D155" s="6"/>
      <c r="E155" s="6"/>
      <c r="F155" s="6"/>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c r="AG155" s="42"/>
      <c r="AH155" s="42"/>
      <c r="AI155" s="42"/>
      <c r="AJ155" s="42"/>
      <c r="AK155" s="42"/>
      <c r="AL155" s="42"/>
      <c r="AM155" s="42"/>
      <c r="AN155" s="42"/>
      <c r="AO155" s="42"/>
      <c r="AP155" s="42"/>
      <c r="AQ155" s="42"/>
      <c r="AR155" s="42"/>
      <c r="AS155" s="42"/>
      <c r="AT155" s="42"/>
      <c r="AU155" s="42"/>
      <c r="AV155" s="42"/>
      <c r="AW155" s="42"/>
      <c r="AX155" s="42"/>
      <c r="AY155" s="42"/>
    </row>
    <row r="156" spans="1:5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spans="1:52" ht="18.75" x14ac:dyDescent="0.3">
      <c r="A157" s="18" t="s">
        <v>140</v>
      </c>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row>
    <row r="158" spans="1:52" ht="18.75" x14ac:dyDescent="0.3">
      <c r="A158" s="229" t="s">
        <v>141</v>
      </c>
      <c r="B158" s="229"/>
      <c r="C158" s="229"/>
      <c r="D158" s="229"/>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row>
    <row r="159" spans="1:52" ht="18.75" x14ac:dyDescent="0.3">
      <c r="A159" s="105"/>
      <c r="B159" s="4"/>
      <c r="C159" s="19"/>
      <c r="D159" s="105"/>
      <c r="E159" s="105"/>
      <c r="F159" s="105"/>
      <c r="G159" s="105"/>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row>
    <row r="160" spans="1:52" ht="60" x14ac:dyDescent="0.25">
      <c r="A160" s="52" t="s">
        <v>50</v>
      </c>
      <c r="B160" s="49"/>
      <c r="C160" s="47"/>
      <c r="D160" s="52" t="s">
        <v>142</v>
      </c>
      <c r="E160" s="53" t="s">
        <v>48</v>
      </c>
      <c r="F160" s="53" t="s">
        <v>319</v>
      </c>
      <c r="G160" s="53" t="s">
        <v>52</v>
      </c>
      <c r="H160" s="62" t="s">
        <v>77</v>
      </c>
      <c r="I160" s="62" t="s">
        <v>78</v>
      </c>
      <c r="J160" s="62" t="s">
        <v>79</v>
      </c>
      <c r="K160" s="62" t="s">
        <v>80</v>
      </c>
      <c r="L160" s="62" t="s">
        <v>81</v>
      </c>
      <c r="M160" s="62" t="s">
        <v>82</v>
      </c>
      <c r="N160" s="62" t="s">
        <v>83</v>
      </c>
      <c r="O160" s="62" t="s">
        <v>84</v>
      </c>
      <c r="P160" s="62" t="s">
        <v>85</v>
      </c>
      <c r="Q160" s="62" t="s">
        <v>86</v>
      </c>
      <c r="R160" s="62" t="s">
        <v>87</v>
      </c>
      <c r="S160" s="62" t="s">
        <v>88</v>
      </c>
      <c r="T160" s="62" t="s">
        <v>89</v>
      </c>
      <c r="U160" s="62" t="s">
        <v>90</v>
      </c>
      <c r="V160" s="62" t="s">
        <v>91</v>
      </c>
      <c r="W160" s="62" t="s">
        <v>92</v>
      </c>
      <c r="X160" s="62" t="s">
        <v>93</v>
      </c>
      <c r="Y160" s="62" t="s">
        <v>94</v>
      </c>
      <c r="Z160" s="62" t="s">
        <v>95</v>
      </c>
      <c r="AA160" s="62" t="s">
        <v>96</v>
      </c>
      <c r="AB160" s="62" t="s">
        <v>97</v>
      </c>
      <c r="AC160" s="62" t="s">
        <v>98</v>
      </c>
      <c r="AD160" s="62" t="s">
        <v>99</v>
      </c>
      <c r="AE160" s="62" t="s">
        <v>100</v>
      </c>
      <c r="AF160" s="62" t="s">
        <v>101</v>
      </c>
      <c r="AG160" s="62" t="s">
        <v>102</v>
      </c>
      <c r="AH160" s="62" t="s">
        <v>103</v>
      </c>
      <c r="AI160" s="62" t="s">
        <v>104</v>
      </c>
      <c r="AJ160" s="62" t="s">
        <v>105</v>
      </c>
      <c r="AK160" s="62" t="s">
        <v>106</v>
      </c>
      <c r="AL160" s="62" t="s">
        <v>107</v>
      </c>
      <c r="AM160" s="62" t="s">
        <v>108</v>
      </c>
      <c r="AN160" s="62" t="s">
        <v>109</v>
      </c>
      <c r="AO160" s="62" t="s">
        <v>110</v>
      </c>
      <c r="AP160" s="62" t="s">
        <v>111</v>
      </c>
      <c r="AQ160" s="62" t="s">
        <v>112</v>
      </c>
      <c r="AR160" s="62" t="s">
        <v>113</v>
      </c>
      <c r="AS160" s="62" t="s">
        <v>114</v>
      </c>
      <c r="AT160" s="62" t="s">
        <v>115</v>
      </c>
      <c r="AU160" s="62" t="s">
        <v>116</v>
      </c>
      <c r="AV160" s="62" t="s">
        <v>117</v>
      </c>
      <c r="AW160" s="62" t="s">
        <v>118</v>
      </c>
      <c r="AX160" s="62" t="s">
        <v>119</v>
      </c>
      <c r="AY160" s="62" t="s">
        <v>120</v>
      </c>
      <c r="AZ160" s="62" t="s">
        <v>121</v>
      </c>
    </row>
    <row r="161" spans="1:52" x14ac:dyDescent="0.25">
      <c r="A161" s="4"/>
      <c r="B161" s="4"/>
      <c r="C161" s="55"/>
      <c r="D161" s="20" t="s">
        <v>143</v>
      </c>
      <c r="E161" s="20" t="s">
        <v>124</v>
      </c>
      <c r="F161" s="20">
        <f ca="1">Analysis_year</f>
        <v>2025</v>
      </c>
      <c r="G161" s="189"/>
      <c r="H161" s="198">
        <f>Inputs!H175*IF(Inputs!$E175="Real",1,H$5)</f>
        <v>979326.41928881314</v>
      </c>
      <c r="I161" s="198">
        <f>Inputs!I175*IF(Inputs!$E175="Real",1,I$5)</f>
        <v>1056032.8018995142</v>
      </c>
      <c r="J161" s="198">
        <f>Inputs!J175*IF(Inputs!$E175="Real",1,J$5)</f>
        <v>1035224.7837462154</v>
      </c>
      <c r="K161" s="198">
        <f>Inputs!K175*IF(Inputs!$E175="Real",1,K$5)</f>
        <v>1014826.7657545489</v>
      </c>
      <c r="L161" s="198">
        <f>Inputs!L175*IF(Inputs!$E175="Real",1,L$5)</f>
        <v>994830.66930158692</v>
      </c>
      <c r="M161" s="198">
        <f>Inputs!M175*IF(Inputs!$E175="Real",1,M$5)</f>
        <v>975228.57494518859</v>
      </c>
      <c r="N161" s="198">
        <f>Inputs!N175*IF(Inputs!$E175="Real",1,N$5)</f>
        <v>956012.7192875098</v>
      </c>
      <c r="O161" s="198">
        <f>Inputs!O175*IF(Inputs!$E175="Real",1,O$5)</f>
        <v>937175.49190031341</v>
      </c>
      <c r="P161" s="198">
        <f>Inputs!P175*IF(Inputs!$E175="Real",1,P$5)</f>
        <v>918709.43231086503</v>
      </c>
      <c r="Q161" s="198">
        <f>Inputs!Q175*IF(Inputs!$E175="Real",1,Q$5)</f>
        <v>900607.22704721603</v>
      </c>
      <c r="R161" s="198">
        <f>Inputs!R175*IF(Inputs!$E175="Real",1,R$5)</f>
        <v>882861.70674170763</v>
      </c>
      <c r="S161" s="198">
        <f>Inputs!S175*IF(Inputs!$E175="Real",1,S$5)</f>
        <v>865465.8432915475</v>
      </c>
      <c r="T161" s="198">
        <f>Inputs!T175*IF(Inputs!$E175="Real",1,T$5)</f>
        <v>848412.74707533338</v>
      </c>
      <c r="U161" s="198">
        <f>Inputs!U175*IF(Inputs!$E175="Real",1,U$5)</f>
        <v>831695.66422442242</v>
      </c>
      <c r="V161" s="198">
        <f>Inputs!V175*IF(Inputs!$E175="Real",1,V$5)</f>
        <v>815307.97394806624</v>
      </c>
      <c r="W161" s="198">
        <f>Inputs!W175*IF(Inputs!$E175="Real",1,W$5)</f>
        <v>799243.18591125018</v>
      </c>
      <c r="X161" s="198">
        <f>Inputs!X175*IF(Inputs!$E175="Real",1,X$5)</f>
        <v>783494.93766419985</v>
      </c>
      <c r="Y161" s="198">
        <f>Inputs!Y175*IF(Inputs!$E175="Real",1,Y$5)</f>
        <v>768056.99212253687</v>
      </c>
      <c r="Z161" s="198">
        <f>Inputs!Z175*IF(Inputs!$E175="Real",1,Z$5)</f>
        <v>752923.23509708547</v>
      </c>
      <c r="AA161" s="198">
        <f>Inputs!AA175*IF(Inputs!$E175="Real",1,AA$5)</f>
        <v>738087.67287235113</v>
      </c>
      <c r="AB161" s="198">
        <f>Inputs!AB175*IF(Inputs!$E175="Real",1,AB$5)</f>
        <v>723544.42983271368</v>
      </c>
      <c r="AC161" s="198">
        <f>Inputs!AC175*IF(Inputs!$E175="Real",1,AC$5)</f>
        <v>709287.74613539223</v>
      </c>
      <c r="AD161" s="198">
        <f>Inputs!AD175*IF(Inputs!$E175="Real",1,AD$5)</f>
        <v>0</v>
      </c>
      <c r="AE161" s="198">
        <f>Inputs!AE175*IF(Inputs!$E175="Real",1,AE$5)</f>
        <v>0</v>
      </c>
      <c r="AF161" s="198">
        <f>Inputs!AF175*IF(Inputs!$E175="Real",1,AF$5)</f>
        <v>0</v>
      </c>
      <c r="AG161" s="198">
        <f>Inputs!AG175*IF(Inputs!$E175="Real",1,AG$5)</f>
        <v>0</v>
      </c>
      <c r="AH161" s="198">
        <f>Inputs!AH175*IF(Inputs!$E175="Real",1,AH$5)</f>
        <v>0</v>
      </c>
      <c r="AI161" s="198">
        <f>Inputs!AI175*IF(Inputs!$E175="Real",1,AI$5)</f>
        <v>0</v>
      </c>
      <c r="AJ161" s="198">
        <f>Inputs!AJ175*IF(Inputs!$E175="Real",1,AJ$5)</f>
        <v>0</v>
      </c>
      <c r="AK161" s="198">
        <f>Inputs!AK175*IF(Inputs!$E175="Real",1,AK$5)</f>
        <v>0</v>
      </c>
      <c r="AL161" s="198">
        <f>Inputs!AL175*IF(Inputs!$E175="Real",1,AL$5)</f>
        <v>0</v>
      </c>
      <c r="AM161" s="198">
        <f>Inputs!AM175*IF(Inputs!$E175="Real",1,AM$5)</f>
        <v>0</v>
      </c>
      <c r="AN161" s="198">
        <f>Inputs!AN175*IF(Inputs!$E175="Real",1,AN$5)</f>
        <v>0</v>
      </c>
      <c r="AO161" s="198">
        <f>Inputs!AO175*IF(Inputs!$E175="Real",1,AO$5)</f>
        <v>0</v>
      </c>
      <c r="AP161" s="198">
        <f>Inputs!AP175*IF(Inputs!$E175="Real",1,AP$5)</f>
        <v>0</v>
      </c>
      <c r="AQ161" s="198">
        <f>Inputs!AQ175*IF(Inputs!$E175="Real",1,AQ$5)</f>
        <v>0</v>
      </c>
      <c r="AR161" s="198">
        <f>Inputs!AR175*IF(Inputs!$E175="Real",1,AR$5)</f>
        <v>0</v>
      </c>
      <c r="AS161" s="198">
        <f>Inputs!AS175*IF(Inputs!$E175="Real",1,AS$5)</f>
        <v>0</v>
      </c>
      <c r="AT161" s="198">
        <f>Inputs!AT175*IF(Inputs!$E175="Real",1,AT$5)</f>
        <v>0</v>
      </c>
      <c r="AU161" s="198">
        <f>Inputs!AU175*IF(Inputs!$E175="Real",1,AU$5)</f>
        <v>0</v>
      </c>
      <c r="AV161" s="198">
        <f>Inputs!AV175*IF(Inputs!$E175="Real",1,AV$5)</f>
        <v>0</v>
      </c>
      <c r="AW161" s="198">
        <f>Inputs!AW175*IF(Inputs!$E175="Real",1,AW$5)</f>
        <v>0</v>
      </c>
      <c r="AX161" s="198">
        <f>Inputs!AX175*IF(Inputs!$E175="Real",1,AX$5)</f>
        <v>0</v>
      </c>
      <c r="AY161" s="198">
        <f>Inputs!AY175*IF(Inputs!$E175="Real",1,AY$5)</f>
        <v>0</v>
      </c>
      <c r="AZ161" s="198">
        <f>Inputs!AZ175*IF(Inputs!$E175="Real",1,AZ$5)</f>
        <v>0</v>
      </c>
    </row>
    <row r="162" spans="1:52" x14ac:dyDescent="0.25">
      <c r="A162" s="4"/>
      <c r="B162" s="4"/>
      <c r="C162" s="4"/>
      <c r="D162" s="4"/>
      <c r="E162" s="4"/>
      <c r="F162" s="4"/>
      <c r="G162" s="41"/>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1"/>
      <c r="AK162" s="41"/>
      <c r="AL162" s="41"/>
      <c r="AM162" s="41"/>
      <c r="AN162" s="41"/>
      <c r="AO162" s="41"/>
      <c r="AP162" s="41"/>
      <c r="AQ162" s="41"/>
      <c r="AR162" s="41"/>
      <c r="AS162" s="41"/>
      <c r="AT162" s="41"/>
      <c r="AU162" s="41"/>
      <c r="AV162" s="41"/>
      <c r="AW162" s="41"/>
      <c r="AX162" s="41"/>
      <c r="AY162" s="41"/>
    </row>
    <row r="163" spans="1:52" ht="60" x14ac:dyDescent="0.25">
      <c r="A163" s="50" t="s">
        <v>61</v>
      </c>
      <c r="B163" s="49"/>
      <c r="C163" s="50"/>
      <c r="D163" s="50" t="s">
        <v>142</v>
      </c>
      <c r="E163" s="51" t="s">
        <v>48</v>
      </c>
      <c r="F163" s="51" t="s">
        <v>319</v>
      </c>
      <c r="G163" s="51" t="s">
        <v>52</v>
      </c>
      <c r="H163" s="54" t="s">
        <v>77</v>
      </c>
      <c r="I163" s="54" t="s">
        <v>78</v>
      </c>
      <c r="J163" s="54" t="s">
        <v>79</v>
      </c>
      <c r="K163" s="54" t="s">
        <v>80</v>
      </c>
      <c r="L163" s="54" t="s">
        <v>81</v>
      </c>
      <c r="M163" s="54" t="s">
        <v>82</v>
      </c>
      <c r="N163" s="54" t="s">
        <v>83</v>
      </c>
      <c r="O163" s="54" t="s">
        <v>84</v>
      </c>
      <c r="P163" s="54" t="s">
        <v>85</v>
      </c>
      <c r="Q163" s="54" t="s">
        <v>86</v>
      </c>
      <c r="R163" s="54" t="s">
        <v>87</v>
      </c>
      <c r="S163" s="54" t="s">
        <v>88</v>
      </c>
      <c r="T163" s="54" t="s">
        <v>89</v>
      </c>
      <c r="U163" s="54" t="s">
        <v>90</v>
      </c>
      <c r="V163" s="54" t="s">
        <v>91</v>
      </c>
      <c r="W163" s="54" t="s">
        <v>92</v>
      </c>
      <c r="X163" s="54" t="s">
        <v>93</v>
      </c>
      <c r="Y163" s="54" t="s">
        <v>94</v>
      </c>
      <c r="Z163" s="54" t="s">
        <v>95</v>
      </c>
      <c r="AA163" s="54" t="s">
        <v>96</v>
      </c>
      <c r="AB163" s="54" t="s">
        <v>97</v>
      </c>
      <c r="AC163" s="54" t="s">
        <v>98</v>
      </c>
      <c r="AD163" s="54" t="s">
        <v>99</v>
      </c>
      <c r="AE163" s="54" t="s">
        <v>100</v>
      </c>
      <c r="AF163" s="54" t="s">
        <v>101</v>
      </c>
      <c r="AG163" s="54" t="s">
        <v>102</v>
      </c>
      <c r="AH163" s="54" t="s">
        <v>103</v>
      </c>
      <c r="AI163" s="54" t="s">
        <v>104</v>
      </c>
      <c r="AJ163" s="54" t="s">
        <v>105</v>
      </c>
      <c r="AK163" s="54" t="s">
        <v>106</v>
      </c>
      <c r="AL163" s="54" t="s">
        <v>107</v>
      </c>
      <c r="AM163" s="54" t="s">
        <v>108</v>
      </c>
      <c r="AN163" s="54" t="s">
        <v>109</v>
      </c>
      <c r="AO163" s="54" t="s">
        <v>110</v>
      </c>
      <c r="AP163" s="54" t="s">
        <v>111</v>
      </c>
      <c r="AQ163" s="54" t="s">
        <v>112</v>
      </c>
      <c r="AR163" s="54" t="s">
        <v>113</v>
      </c>
      <c r="AS163" s="54" t="s">
        <v>114</v>
      </c>
      <c r="AT163" s="54" t="s">
        <v>115</v>
      </c>
      <c r="AU163" s="54" t="s">
        <v>116</v>
      </c>
      <c r="AV163" s="54" t="s">
        <v>117</v>
      </c>
      <c r="AW163" s="54" t="s">
        <v>118</v>
      </c>
      <c r="AX163" s="54" t="s">
        <v>119</v>
      </c>
      <c r="AY163" s="54" t="s">
        <v>120</v>
      </c>
      <c r="AZ163" s="54" t="s">
        <v>121</v>
      </c>
    </row>
    <row r="164" spans="1:52" x14ac:dyDescent="0.25">
      <c r="A164" s="26"/>
      <c r="B164" s="4"/>
      <c r="C164" s="9"/>
      <c r="D164" s="9" t="s">
        <v>143</v>
      </c>
      <c r="E164" s="72" t="s">
        <v>124</v>
      </c>
      <c r="F164" s="72">
        <f ca="1">Analysis_year</f>
        <v>2025</v>
      </c>
      <c r="G164" s="189"/>
      <c r="H164" s="199">
        <f>Inputs!H178*IF(Inputs!$E178="Real",1,H$5)</f>
        <v>979326.41928881314</v>
      </c>
      <c r="I164" s="199">
        <f>Inputs!I178*IF(Inputs!$E178="Real",1,I$5)</f>
        <v>960029.81990864931</v>
      </c>
      <c r="J164" s="199">
        <f>Inputs!J178*IF(Inputs!$E178="Real",1,J$5)</f>
        <v>941113.43976928678</v>
      </c>
      <c r="K164" s="199">
        <f>Inputs!K178*IF(Inputs!$E178="Real",1,K$5)</f>
        <v>922569.78704958991</v>
      </c>
      <c r="L164" s="199">
        <f>Inputs!L178*IF(Inputs!$E178="Real",1,L$5)</f>
        <v>904391.51754689717</v>
      </c>
      <c r="M164" s="199">
        <f>Inputs!M178*IF(Inputs!$E178="Real",1,M$5)</f>
        <v>886571.43176835333</v>
      </c>
      <c r="N164" s="199">
        <f>Inputs!N178*IF(Inputs!$E178="Real",1,N$5)</f>
        <v>869102.47207955434</v>
      </c>
      <c r="O164" s="199">
        <f>Inputs!O178*IF(Inputs!$E178="Real",1,O$5)</f>
        <v>851977.71990937588</v>
      </c>
      <c r="P164" s="199">
        <f>Inputs!P178*IF(Inputs!$E178="Real",1,P$5)</f>
        <v>835190.3930098773</v>
      </c>
      <c r="Q164" s="199">
        <f>Inputs!Q178*IF(Inputs!$E178="Real",1,Q$5)</f>
        <v>818733.84277019638</v>
      </c>
      <c r="R164" s="199">
        <f>Inputs!R178*IF(Inputs!$E178="Real",1,R$5)</f>
        <v>802601.55158337054</v>
      </c>
      <c r="S164" s="199">
        <f>Inputs!S178*IF(Inputs!$E178="Real",1,S$5)</f>
        <v>786787.13026504323</v>
      </c>
      <c r="T164" s="199">
        <f>Inputs!T178*IF(Inputs!$E178="Real",1,T$5)</f>
        <v>771284.31552303035</v>
      </c>
      <c r="U164" s="199">
        <f>Inputs!U178*IF(Inputs!$E178="Real",1,U$5)</f>
        <v>756086.9674767477</v>
      </c>
      <c r="V164" s="199">
        <f>Inputs!V178*IF(Inputs!$E178="Real",1,V$5)</f>
        <v>741189.06722551479</v>
      </c>
      <c r="W164" s="199">
        <f>Inputs!W178*IF(Inputs!$E178="Real",1,W$5)</f>
        <v>726584.71446477296</v>
      </c>
      <c r="X164" s="199">
        <f>Inputs!X178*IF(Inputs!$E178="Real",1,X$5)</f>
        <v>712268.12514927262</v>
      </c>
      <c r="Y164" s="199">
        <f>Inputs!Y178*IF(Inputs!$E178="Real",1,Y$5)</f>
        <v>698233.62920230627</v>
      </c>
      <c r="Z164" s="199">
        <f>Inputs!Z178*IF(Inputs!$E178="Real",1,Z$5)</f>
        <v>684475.66827007767</v>
      </c>
      <c r="AA164" s="199">
        <f>Inputs!AA178*IF(Inputs!$E178="Real",1,AA$5)</f>
        <v>670988.79352031928</v>
      </c>
      <c r="AB164" s="199">
        <f>Inputs!AB178*IF(Inputs!$E178="Real",1,AB$5)</f>
        <v>657767.66348428512</v>
      </c>
      <c r="AC164" s="199">
        <f>Inputs!AC178*IF(Inputs!$E178="Real",1,AC$5)</f>
        <v>644807.04194126569</v>
      </c>
      <c r="AD164" s="199">
        <f>Inputs!AD178*IF(Inputs!$E178="Real",1,AD$5)</f>
        <v>0</v>
      </c>
      <c r="AE164" s="199">
        <f>Inputs!AE178*IF(Inputs!$E178="Real",1,AE$5)</f>
        <v>0</v>
      </c>
      <c r="AF164" s="199">
        <f>Inputs!AF178*IF(Inputs!$E178="Real",1,AF$5)</f>
        <v>0</v>
      </c>
      <c r="AG164" s="199">
        <f>Inputs!AG178*IF(Inputs!$E178="Real",1,AG$5)</f>
        <v>0</v>
      </c>
      <c r="AH164" s="199">
        <f>Inputs!AH178*IF(Inputs!$E178="Real",1,AH$5)</f>
        <v>0</v>
      </c>
      <c r="AI164" s="199">
        <f>Inputs!AI178*IF(Inputs!$E178="Real",1,AI$5)</f>
        <v>0</v>
      </c>
      <c r="AJ164" s="199">
        <f>Inputs!AJ178*IF(Inputs!$E178="Real",1,AJ$5)</f>
        <v>0</v>
      </c>
      <c r="AK164" s="199">
        <f>Inputs!AK178*IF(Inputs!$E178="Real",1,AK$5)</f>
        <v>0</v>
      </c>
      <c r="AL164" s="199">
        <f>Inputs!AL178*IF(Inputs!$E178="Real",1,AL$5)</f>
        <v>0</v>
      </c>
      <c r="AM164" s="199">
        <f>Inputs!AM178*IF(Inputs!$E178="Real",1,AM$5)</f>
        <v>0</v>
      </c>
      <c r="AN164" s="199">
        <f>Inputs!AN178*IF(Inputs!$E178="Real",1,AN$5)</f>
        <v>0</v>
      </c>
      <c r="AO164" s="199">
        <f>Inputs!AO178*IF(Inputs!$E178="Real",1,AO$5)</f>
        <v>0</v>
      </c>
      <c r="AP164" s="199">
        <f>Inputs!AP178*IF(Inputs!$E178="Real",1,AP$5)</f>
        <v>0</v>
      </c>
      <c r="AQ164" s="199">
        <f>Inputs!AQ178*IF(Inputs!$E178="Real",1,AQ$5)</f>
        <v>0</v>
      </c>
      <c r="AR164" s="199">
        <f>Inputs!AR178*IF(Inputs!$E178="Real",1,AR$5)</f>
        <v>0</v>
      </c>
      <c r="AS164" s="199">
        <f>Inputs!AS178*IF(Inputs!$E178="Real",1,AS$5)</f>
        <v>0</v>
      </c>
      <c r="AT164" s="199">
        <f>Inputs!AT178*IF(Inputs!$E178="Real",1,AT$5)</f>
        <v>0</v>
      </c>
      <c r="AU164" s="199">
        <f>Inputs!AU178*IF(Inputs!$E178="Real",1,AU$5)</f>
        <v>0</v>
      </c>
      <c r="AV164" s="199">
        <f>Inputs!AV178*IF(Inputs!$E178="Real",1,AV$5)</f>
        <v>0</v>
      </c>
      <c r="AW164" s="199">
        <f>Inputs!AW178*IF(Inputs!$E178="Real",1,AW$5)</f>
        <v>0</v>
      </c>
      <c r="AX164" s="199">
        <f>Inputs!AX178*IF(Inputs!$E178="Real",1,AX$5)</f>
        <v>0</v>
      </c>
      <c r="AY164" s="199">
        <f>Inputs!AY178*IF(Inputs!$E178="Real",1,AY$5)</f>
        <v>0</v>
      </c>
      <c r="AZ164" s="199">
        <f>Inputs!AZ178*IF(Inputs!$E178="Real",1,AZ$5)</f>
        <v>0</v>
      </c>
    </row>
    <row r="165" spans="1:52" x14ac:dyDescent="0.25">
      <c r="A165" s="26"/>
      <c r="B165" s="4"/>
      <c r="C165" s="9"/>
      <c r="D165" s="9"/>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c r="AM165" s="72"/>
      <c r="AN165" s="72"/>
      <c r="AO165" s="72"/>
      <c r="AP165" s="72"/>
      <c r="AQ165" s="72"/>
      <c r="AR165" s="72"/>
      <c r="AS165" s="72"/>
      <c r="AT165" s="72"/>
      <c r="AU165" s="72"/>
      <c r="AV165" s="72"/>
      <c r="AW165" s="72"/>
      <c r="AX165" s="72"/>
      <c r="AY165" s="72"/>
    </row>
    <row r="166" spans="1:52" ht="18.75" x14ac:dyDescent="0.3">
      <c r="A166" s="18" t="s">
        <v>144</v>
      </c>
      <c r="B166" s="4"/>
      <c r="C166" s="26"/>
      <c r="D166" s="9"/>
      <c r="E166" s="72"/>
      <c r="F166" s="72"/>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c r="AM166" s="72"/>
      <c r="AN166" s="72"/>
      <c r="AO166" s="72"/>
      <c r="AP166" s="72"/>
      <c r="AQ166" s="72"/>
      <c r="AR166" s="72"/>
      <c r="AS166" s="72"/>
      <c r="AT166" s="72"/>
      <c r="AU166" s="72"/>
      <c r="AV166" s="72"/>
      <c r="AW166" s="72"/>
      <c r="AX166" s="72"/>
      <c r="AY166" s="72"/>
    </row>
    <row r="167" spans="1:52" ht="60" x14ac:dyDescent="0.25">
      <c r="A167" s="52" t="s">
        <v>50</v>
      </c>
      <c r="B167" s="49"/>
      <c r="C167" s="47"/>
      <c r="D167" s="53" t="s">
        <v>172</v>
      </c>
      <c r="E167" s="53" t="s">
        <v>48</v>
      </c>
      <c r="F167" s="53" t="s">
        <v>319</v>
      </c>
      <c r="G167" s="53" t="s">
        <v>52</v>
      </c>
      <c r="H167" s="62" t="s">
        <v>77</v>
      </c>
      <c r="I167" s="62" t="s">
        <v>78</v>
      </c>
      <c r="J167" s="62" t="s">
        <v>79</v>
      </c>
      <c r="K167" s="62" t="s">
        <v>80</v>
      </c>
      <c r="L167" s="62" t="s">
        <v>81</v>
      </c>
      <c r="M167" s="62" t="s">
        <v>82</v>
      </c>
      <c r="N167" s="62" t="s">
        <v>83</v>
      </c>
      <c r="O167" s="62" t="s">
        <v>84</v>
      </c>
      <c r="P167" s="62" t="s">
        <v>85</v>
      </c>
      <c r="Q167" s="62" t="s">
        <v>86</v>
      </c>
      <c r="R167" s="62" t="s">
        <v>87</v>
      </c>
      <c r="S167" s="62" t="s">
        <v>88</v>
      </c>
      <c r="T167" s="62" t="s">
        <v>89</v>
      </c>
      <c r="U167" s="62" t="s">
        <v>90</v>
      </c>
      <c r="V167" s="62" t="s">
        <v>91</v>
      </c>
      <c r="W167" s="62" t="s">
        <v>92</v>
      </c>
      <c r="X167" s="62" t="s">
        <v>93</v>
      </c>
      <c r="Y167" s="62" t="s">
        <v>94</v>
      </c>
      <c r="Z167" s="62" t="s">
        <v>95</v>
      </c>
      <c r="AA167" s="62" t="s">
        <v>96</v>
      </c>
      <c r="AB167" s="62" t="s">
        <v>97</v>
      </c>
      <c r="AC167" s="62" t="s">
        <v>98</v>
      </c>
      <c r="AD167" s="62" t="s">
        <v>99</v>
      </c>
      <c r="AE167" s="62" t="s">
        <v>100</v>
      </c>
      <c r="AF167" s="62" t="s">
        <v>101</v>
      </c>
      <c r="AG167" s="62" t="s">
        <v>102</v>
      </c>
      <c r="AH167" s="62" t="s">
        <v>103</v>
      </c>
      <c r="AI167" s="62" t="s">
        <v>104</v>
      </c>
      <c r="AJ167" s="62" t="s">
        <v>105</v>
      </c>
      <c r="AK167" s="62" t="s">
        <v>106</v>
      </c>
      <c r="AL167" s="62" t="s">
        <v>107</v>
      </c>
      <c r="AM167" s="62" t="s">
        <v>108</v>
      </c>
      <c r="AN167" s="62" t="s">
        <v>109</v>
      </c>
      <c r="AO167" s="62" t="s">
        <v>110</v>
      </c>
      <c r="AP167" s="62" t="s">
        <v>111</v>
      </c>
      <c r="AQ167" s="62" t="s">
        <v>112</v>
      </c>
      <c r="AR167" s="62" t="s">
        <v>113</v>
      </c>
      <c r="AS167" s="62" t="s">
        <v>114</v>
      </c>
      <c r="AT167" s="62" t="s">
        <v>115</v>
      </c>
      <c r="AU167" s="62" t="s">
        <v>116</v>
      </c>
      <c r="AV167" s="62" t="s">
        <v>117</v>
      </c>
      <c r="AW167" s="62" t="s">
        <v>118</v>
      </c>
      <c r="AX167" s="62" t="s">
        <v>119</v>
      </c>
      <c r="AY167" s="62" t="s">
        <v>120</v>
      </c>
      <c r="AZ167" s="62" t="s">
        <v>121</v>
      </c>
    </row>
    <row r="168" spans="1:52" x14ac:dyDescent="0.25">
      <c r="A168" s="26"/>
      <c r="B168" s="4"/>
      <c r="C168" s="4"/>
      <c r="D168" s="55" t="s">
        <v>145</v>
      </c>
      <c r="E168" s="45" t="s">
        <v>49</v>
      </c>
      <c r="F168" s="45"/>
      <c r="G168" s="208">
        <f>Inputs!G182</f>
        <v>0</v>
      </c>
      <c r="H168" s="206">
        <f>Inputs!H182*H$5</f>
        <v>0</v>
      </c>
      <c r="I168" s="206">
        <f>Inputs!I182*I$5</f>
        <v>0</v>
      </c>
      <c r="J168" s="206">
        <f>Inputs!J182*J$5</f>
        <v>0</v>
      </c>
      <c r="K168" s="206">
        <f>Inputs!K182*K$5</f>
        <v>0</v>
      </c>
      <c r="L168" s="206">
        <f>Inputs!L182*L$5</f>
        <v>0</v>
      </c>
      <c r="M168" s="206">
        <f>Inputs!M182*M$5</f>
        <v>0</v>
      </c>
      <c r="N168" s="206">
        <f>Inputs!N182*N$5</f>
        <v>0</v>
      </c>
      <c r="O168" s="206">
        <f>Inputs!O182*O$5</f>
        <v>0</v>
      </c>
      <c r="P168" s="206">
        <f>Inputs!P182*P$5</f>
        <v>0</v>
      </c>
      <c r="Q168" s="206">
        <f>Inputs!Q182*Q$5</f>
        <v>0</v>
      </c>
      <c r="R168" s="206">
        <f>Inputs!R182*R$5</f>
        <v>0</v>
      </c>
      <c r="S168" s="206">
        <f>Inputs!S182*S$5</f>
        <v>0</v>
      </c>
      <c r="T168" s="206">
        <f>Inputs!T182*T$5</f>
        <v>0</v>
      </c>
      <c r="U168" s="206">
        <f>Inputs!U182*U$5</f>
        <v>0</v>
      </c>
      <c r="V168" s="206">
        <f>Inputs!V182*V$5</f>
        <v>0</v>
      </c>
      <c r="W168" s="206">
        <f>Inputs!W182*W$5</f>
        <v>0</v>
      </c>
      <c r="X168" s="206">
        <f>Inputs!X182*X$5</f>
        <v>0</v>
      </c>
      <c r="Y168" s="206">
        <f>Inputs!Y182*Y$5</f>
        <v>0</v>
      </c>
      <c r="Z168" s="206">
        <f>Inputs!Z182*Z$5</f>
        <v>0</v>
      </c>
      <c r="AA168" s="206">
        <f>Inputs!AA182*AA$5</f>
        <v>0</v>
      </c>
      <c r="AB168" s="206">
        <f>Inputs!AB182*AB$5</f>
        <v>0</v>
      </c>
      <c r="AC168" s="206">
        <f>Inputs!AC182*AC$5</f>
        <v>0</v>
      </c>
      <c r="AD168" s="206">
        <f>Inputs!AD182*AD$5</f>
        <v>0</v>
      </c>
      <c r="AE168" s="206">
        <f>Inputs!AE182*AE$5</f>
        <v>0</v>
      </c>
      <c r="AF168" s="206">
        <f>Inputs!AF182*AF$5</f>
        <v>0</v>
      </c>
      <c r="AG168" s="206">
        <f>Inputs!AG182*AG$5</f>
        <v>0</v>
      </c>
      <c r="AH168" s="206">
        <f>Inputs!AH182*AH$5</f>
        <v>0</v>
      </c>
      <c r="AI168" s="206">
        <f>Inputs!AI182*AI$5</f>
        <v>0</v>
      </c>
      <c r="AJ168" s="206">
        <f>Inputs!AJ182*AJ$5</f>
        <v>0</v>
      </c>
      <c r="AK168" s="206">
        <f>Inputs!AK182*AK$5</f>
        <v>0</v>
      </c>
      <c r="AL168" s="206">
        <f>Inputs!AL182*AL$5</f>
        <v>0</v>
      </c>
      <c r="AM168" s="206">
        <f>Inputs!AM182*AM$5</f>
        <v>0</v>
      </c>
      <c r="AN168" s="206">
        <f>Inputs!AN182*AN$5</f>
        <v>0</v>
      </c>
      <c r="AO168" s="206">
        <f>Inputs!AO182*AO$5</f>
        <v>0</v>
      </c>
      <c r="AP168" s="206">
        <f>Inputs!AP182*AP$5</f>
        <v>0</v>
      </c>
      <c r="AQ168" s="206">
        <f>Inputs!AQ182*AQ$5</f>
        <v>0</v>
      </c>
      <c r="AR168" s="206">
        <f>Inputs!AR182*AR$5</f>
        <v>0</v>
      </c>
      <c r="AS168" s="206">
        <f>Inputs!AS182*AS$5</f>
        <v>0</v>
      </c>
      <c r="AT168" s="206">
        <f>Inputs!AT182*AT$5</f>
        <v>0</v>
      </c>
      <c r="AU168" s="206">
        <f>Inputs!AU182*AU$5</f>
        <v>0</v>
      </c>
      <c r="AV168" s="206">
        <f>Inputs!AV182*AV$5</f>
        <v>0</v>
      </c>
      <c r="AW168" s="206">
        <f>Inputs!AW182*AW$5</f>
        <v>0</v>
      </c>
      <c r="AX168" s="206">
        <f>Inputs!AX182*AX$5</f>
        <v>0</v>
      </c>
      <c r="AY168" s="206">
        <f>Inputs!AY182*AY$5</f>
        <v>0</v>
      </c>
      <c r="AZ168" s="206">
        <f>Inputs!AZ182*AZ$5</f>
        <v>0</v>
      </c>
    </row>
    <row r="169" spans="1:52" x14ac:dyDescent="0.25">
      <c r="A169" s="26"/>
      <c r="B169" s="4"/>
      <c r="C169" s="4"/>
      <c r="D169" s="9"/>
      <c r="E169" s="72"/>
      <c r="F169" s="72"/>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row>
    <row r="170" spans="1:52" ht="60" x14ac:dyDescent="0.25">
      <c r="A170" s="50" t="s">
        <v>61</v>
      </c>
      <c r="B170" s="49"/>
      <c r="C170" s="49"/>
      <c r="D170" s="54" t="s">
        <v>172</v>
      </c>
      <c r="E170" s="51" t="s">
        <v>48</v>
      </c>
      <c r="F170" s="51" t="s">
        <v>319</v>
      </c>
      <c r="G170" s="51" t="s">
        <v>52</v>
      </c>
      <c r="H170" s="54" t="s">
        <v>77</v>
      </c>
      <c r="I170" s="54" t="s">
        <v>78</v>
      </c>
      <c r="J170" s="54" t="s">
        <v>79</v>
      </c>
      <c r="K170" s="54" t="s">
        <v>80</v>
      </c>
      <c r="L170" s="54" t="s">
        <v>81</v>
      </c>
      <c r="M170" s="54" t="s">
        <v>82</v>
      </c>
      <c r="N170" s="54" t="s">
        <v>83</v>
      </c>
      <c r="O170" s="54" t="s">
        <v>84</v>
      </c>
      <c r="P170" s="54" t="s">
        <v>85</v>
      </c>
      <c r="Q170" s="54" t="s">
        <v>86</v>
      </c>
      <c r="R170" s="54" t="s">
        <v>87</v>
      </c>
      <c r="S170" s="54" t="s">
        <v>88</v>
      </c>
      <c r="T170" s="54" t="s">
        <v>89</v>
      </c>
      <c r="U170" s="54" t="s">
        <v>90</v>
      </c>
      <c r="V170" s="54" t="s">
        <v>91</v>
      </c>
      <c r="W170" s="54" t="s">
        <v>92</v>
      </c>
      <c r="X170" s="54" t="s">
        <v>93</v>
      </c>
      <c r="Y170" s="54" t="s">
        <v>94</v>
      </c>
      <c r="Z170" s="54" t="s">
        <v>95</v>
      </c>
      <c r="AA170" s="54" t="s">
        <v>96</v>
      </c>
      <c r="AB170" s="54" t="s">
        <v>97</v>
      </c>
      <c r="AC170" s="54" t="s">
        <v>98</v>
      </c>
      <c r="AD170" s="54" t="s">
        <v>99</v>
      </c>
      <c r="AE170" s="54" t="s">
        <v>100</v>
      </c>
      <c r="AF170" s="54" t="s">
        <v>101</v>
      </c>
      <c r="AG170" s="54" t="s">
        <v>102</v>
      </c>
      <c r="AH170" s="54" t="s">
        <v>103</v>
      </c>
      <c r="AI170" s="54" t="s">
        <v>104</v>
      </c>
      <c r="AJ170" s="54" t="s">
        <v>105</v>
      </c>
      <c r="AK170" s="54" t="s">
        <v>106</v>
      </c>
      <c r="AL170" s="54" t="s">
        <v>107</v>
      </c>
      <c r="AM170" s="54" t="s">
        <v>108</v>
      </c>
      <c r="AN170" s="54" t="s">
        <v>109</v>
      </c>
      <c r="AO170" s="54" t="s">
        <v>110</v>
      </c>
      <c r="AP170" s="54" t="s">
        <v>111</v>
      </c>
      <c r="AQ170" s="54" t="s">
        <v>112</v>
      </c>
      <c r="AR170" s="54" t="s">
        <v>113</v>
      </c>
      <c r="AS170" s="54" t="s">
        <v>114</v>
      </c>
      <c r="AT170" s="54" t="s">
        <v>115</v>
      </c>
      <c r="AU170" s="54" t="s">
        <v>116</v>
      </c>
      <c r="AV170" s="54" t="s">
        <v>117</v>
      </c>
      <c r="AW170" s="54" t="s">
        <v>118</v>
      </c>
      <c r="AX170" s="54" t="s">
        <v>119</v>
      </c>
      <c r="AY170" s="54" t="s">
        <v>120</v>
      </c>
      <c r="AZ170" s="54" t="s">
        <v>121</v>
      </c>
    </row>
    <row r="171" spans="1:52" x14ac:dyDescent="0.25">
      <c r="A171" s="26"/>
      <c r="B171" s="4"/>
      <c r="C171" s="4"/>
      <c r="D171" s="9" t="s">
        <v>145</v>
      </c>
      <c r="E171" s="72" t="s">
        <v>49</v>
      </c>
      <c r="F171" s="72"/>
      <c r="G171" s="208">
        <f>Inputs!G185</f>
        <v>0</v>
      </c>
      <c r="H171" s="207">
        <f>Inputs!H185*H$5</f>
        <v>0</v>
      </c>
      <c r="I171" s="207">
        <f>Inputs!I185*I$5</f>
        <v>0</v>
      </c>
      <c r="J171" s="207">
        <f>Inputs!J185*J$5</f>
        <v>0</v>
      </c>
      <c r="K171" s="207">
        <f>Inputs!K185*K$5</f>
        <v>0</v>
      </c>
      <c r="L171" s="207">
        <f>Inputs!L185*L$5</f>
        <v>0</v>
      </c>
      <c r="M171" s="207">
        <f>Inputs!M185*M$5</f>
        <v>0</v>
      </c>
      <c r="N171" s="207">
        <f>Inputs!N185*N$5</f>
        <v>0</v>
      </c>
      <c r="O171" s="207">
        <f>Inputs!O185*O$5</f>
        <v>0</v>
      </c>
      <c r="P171" s="207">
        <f>Inputs!P185*P$5</f>
        <v>0</v>
      </c>
      <c r="Q171" s="207">
        <f>Inputs!Q185*Q$5</f>
        <v>0</v>
      </c>
      <c r="R171" s="207">
        <f>Inputs!R185*R$5</f>
        <v>0</v>
      </c>
      <c r="S171" s="207">
        <f>Inputs!S185*S$5</f>
        <v>0</v>
      </c>
      <c r="T171" s="207">
        <f>Inputs!T185*T$5</f>
        <v>0</v>
      </c>
      <c r="U171" s="207">
        <f>Inputs!U185*U$5</f>
        <v>0</v>
      </c>
      <c r="V171" s="207">
        <f>Inputs!V185*V$5</f>
        <v>0</v>
      </c>
      <c r="W171" s="207">
        <f>Inputs!W185*W$5</f>
        <v>0</v>
      </c>
      <c r="X171" s="207">
        <f>Inputs!X185*X$5</f>
        <v>0</v>
      </c>
      <c r="Y171" s="207">
        <f>Inputs!Y185*Y$5</f>
        <v>0</v>
      </c>
      <c r="Z171" s="207">
        <f>Inputs!Z185*Z$5</f>
        <v>0</v>
      </c>
      <c r="AA171" s="207">
        <f>Inputs!AA185*AA$5</f>
        <v>0</v>
      </c>
      <c r="AB171" s="207">
        <f>Inputs!AB185*AB$5</f>
        <v>0</v>
      </c>
      <c r="AC171" s="207">
        <f>Inputs!AC185*AC$5</f>
        <v>0</v>
      </c>
      <c r="AD171" s="207">
        <f>Inputs!AD185*AD$5</f>
        <v>0</v>
      </c>
      <c r="AE171" s="207">
        <f>Inputs!AE185*AE$5</f>
        <v>0</v>
      </c>
      <c r="AF171" s="207">
        <f>Inputs!AF185*AF$5</f>
        <v>0</v>
      </c>
      <c r="AG171" s="207">
        <f>Inputs!AG185*AG$5</f>
        <v>0</v>
      </c>
      <c r="AH171" s="207">
        <f>Inputs!AH185*AH$5</f>
        <v>0</v>
      </c>
      <c r="AI171" s="207">
        <f>Inputs!AI185*AI$5</f>
        <v>0</v>
      </c>
      <c r="AJ171" s="207">
        <f>Inputs!AJ185*AJ$5</f>
        <v>0</v>
      </c>
      <c r="AK171" s="207">
        <f>Inputs!AK185*AK$5</f>
        <v>0</v>
      </c>
      <c r="AL171" s="207">
        <f>Inputs!AL185*AL$5</f>
        <v>0</v>
      </c>
      <c r="AM171" s="207">
        <f>Inputs!AM185*AM$5</f>
        <v>0</v>
      </c>
      <c r="AN171" s="207">
        <f>Inputs!AN185*AN$5</f>
        <v>0</v>
      </c>
      <c r="AO171" s="207">
        <f>Inputs!AO185*AO$5</f>
        <v>0</v>
      </c>
      <c r="AP171" s="207">
        <f>Inputs!AP185*AP$5</f>
        <v>0</v>
      </c>
      <c r="AQ171" s="207">
        <f>Inputs!AQ185*AQ$5</f>
        <v>0</v>
      </c>
      <c r="AR171" s="207">
        <f>Inputs!AR185*AR$5</f>
        <v>0</v>
      </c>
      <c r="AS171" s="207">
        <f>Inputs!AS185*AS$5</f>
        <v>0</v>
      </c>
      <c r="AT171" s="207">
        <f>Inputs!AT185*AT$5</f>
        <v>0</v>
      </c>
      <c r="AU171" s="207">
        <f>Inputs!AU185*AU$5</f>
        <v>0</v>
      </c>
      <c r="AV171" s="207">
        <f>Inputs!AV185*AV$5</f>
        <v>0</v>
      </c>
      <c r="AW171" s="207">
        <f>Inputs!AW185*AW$5</f>
        <v>0</v>
      </c>
      <c r="AX171" s="207">
        <f>Inputs!AX185*AX$5</f>
        <v>0</v>
      </c>
      <c r="AY171" s="207">
        <f>Inputs!AY185*AY$5</f>
        <v>0</v>
      </c>
      <c r="AZ171" s="207">
        <f>Inputs!AZ185*AZ$5</f>
        <v>0</v>
      </c>
    </row>
    <row r="172" spans="1:52" x14ac:dyDescent="0.25">
      <c r="A172" s="26"/>
      <c r="B172" s="26"/>
      <c r="C172" s="9"/>
      <c r="D172" s="9"/>
      <c r="E172" s="72"/>
      <c r="F172" s="72"/>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c r="AM172" s="72"/>
      <c r="AN172" s="72"/>
      <c r="AO172" s="72"/>
      <c r="AP172" s="72"/>
      <c r="AQ172" s="72"/>
      <c r="AR172" s="72"/>
      <c r="AS172" s="72"/>
      <c r="AT172" s="72"/>
      <c r="AU172" s="72"/>
      <c r="AV172" s="72"/>
      <c r="AW172" s="72"/>
      <c r="AX172" s="72"/>
      <c r="AY172" s="72"/>
    </row>
  </sheetData>
  <mergeCells count="1">
    <mergeCell ref="A158:D158"/>
  </mergeCells>
  <pageMargins left="0.7" right="0.7" top="0.75" bottom="0.75" header="0.3" footer="0.3"/>
  <legacyDrawing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47BA-BBF9-40EB-89DB-E5DAAE5FDDBB}">
  <sheetPr codeName="Sheet3"/>
  <dimension ref="A1:AY157"/>
  <sheetViews>
    <sheetView topLeftCell="A58" zoomScale="80" zoomScaleNormal="80" workbookViewId="0">
      <selection activeCell="J85" sqref="J85:M85"/>
    </sheetView>
  </sheetViews>
  <sheetFormatPr defaultRowHeight="15" x14ac:dyDescent="0.25"/>
  <cols>
    <col min="1" max="1" width="15.5703125" customWidth="1"/>
    <col min="2" max="2" width="18.42578125" bestFit="1" customWidth="1"/>
    <col min="3" max="4" width="12.140625" bestFit="1" customWidth="1"/>
    <col min="5" max="5" width="13.85546875" customWidth="1"/>
    <col min="6" max="6" width="11.42578125" customWidth="1"/>
    <col min="7" max="7" width="11.5703125" bestFit="1" customWidth="1"/>
    <col min="8" max="8" width="9.85546875" bestFit="1" customWidth="1"/>
    <col min="9" max="9" width="16.42578125" bestFit="1" customWidth="1"/>
    <col min="10" max="10" width="15.5703125" bestFit="1" customWidth="1"/>
    <col min="11" max="11" width="26" bestFit="1" customWidth="1"/>
    <col min="12" max="12" width="15.5703125" bestFit="1" customWidth="1"/>
    <col min="13" max="13" width="26" bestFit="1" customWidth="1"/>
    <col min="14" max="27" width="9.85546875" bestFit="1" customWidth="1"/>
  </cols>
  <sheetData>
    <row r="1" spans="1:47" x14ac:dyDescent="0.25">
      <c r="A1" s="76"/>
      <c r="B1" s="76" t="s">
        <v>173</v>
      </c>
    </row>
    <row r="2" spans="1:47" x14ac:dyDescent="0.25">
      <c r="A2" s="76" t="s">
        <v>126</v>
      </c>
      <c r="B2" s="205">
        <f>IF('Project description'!B13="Retrofit of existing asset",'Project description'!B14,YEAR('Project description'!B11)+'Project description'!B15)</f>
        <v>2047</v>
      </c>
    </row>
    <row r="3" spans="1:47" x14ac:dyDescent="0.25">
      <c r="A3" s="76" t="s">
        <v>174</v>
      </c>
      <c r="B3" s="205">
        <f>IF('Project description'!B13="Retrofit of existing asset",'Project description'!B14,YEAR('Project description'!B11)+'Project description'!B17)</f>
        <v>2047</v>
      </c>
    </row>
    <row r="5" spans="1:47" x14ac:dyDescent="0.25">
      <c r="A5" s="10" t="s">
        <v>175</v>
      </c>
    </row>
    <row r="6" spans="1:47" x14ac:dyDescent="0.25">
      <c r="A6" s="66"/>
      <c r="B6" s="66" t="s">
        <v>75</v>
      </c>
      <c r="C6" s="118">
        <v>2026</v>
      </c>
      <c r="D6" s="118">
        <v>2027</v>
      </c>
      <c r="E6" s="118">
        <v>2028</v>
      </c>
      <c r="F6" s="118">
        <v>2029</v>
      </c>
      <c r="G6" s="118">
        <v>2030</v>
      </c>
      <c r="H6" s="118">
        <v>2031</v>
      </c>
      <c r="I6" s="118">
        <v>2032</v>
      </c>
      <c r="J6" s="118">
        <v>2033</v>
      </c>
      <c r="K6" s="118">
        <v>2034</v>
      </c>
      <c r="L6" s="118">
        <v>2035</v>
      </c>
      <c r="M6" s="118">
        <v>2036</v>
      </c>
      <c r="N6" s="118">
        <v>2037</v>
      </c>
      <c r="O6" s="118">
        <v>2038</v>
      </c>
      <c r="P6" s="118">
        <v>2039</v>
      </c>
      <c r="Q6" s="118">
        <v>2040</v>
      </c>
      <c r="R6" s="118">
        <v>2041</v>
      </c>
      <c r="S6" s="118">
        <v>2042</v>
      </c>
      <c r="T6" s="118">
        <v>2043</v>
      </c>
      <c r="U6" s="118">
        <v>2044</v>
      </c>
      <c r="V6" s="118">
        <v>2045</v>
      </c>
      <c r="W6" s="118">
        <v>2046</v>
      </c>
      <c r="X6" s="118">
        <v>2047</v>
      </c>
      <c r="Y6" s="118">
        <v>2048</v>
      </c>
      <c r="Z6" s="118">
        <v>2049</v>
      </c>
      <c r="AA6" s="118">
        <v>2050</v>
      </c>
      <c r="AB6" s="118">
        <v>2051</v>
      </c>
      <c r="AC6" s="118">
        <v>2052</v>
      </c>
      <c r="AD6" s="118">
        <v>2053</v>
      </c>
      <c r="AE6" s="118">
        <v>2054</v>
      </c>
      <c r="AF6" s="118">
        <v>2055</v>
      </c>
      <c r="AG6" s="118">
        <v>2056</v>
      </c>
      <c r="AH6" s="118">
        <v>2057</v>
      </c>
      <c r="AI6" s="118">
        <v>2058</v>
      </c>
      <c r="AJ6" s="118">
        <v>2059</v>
      </c>
      <c r="AK6" s="118">
        <v>2060</v>
      </c>
      <c r="AL6" s="118">
        <v>2061</v>
      </c>
      <c r="AM6" s="118">
        <v>2062</v>
      </c>
      <c r="AN6" s="118">
        <v>2063</v>
      </c>
      <c r="AO6" s="118">
        <v>2064</v>
      </c>
      <c r="AP6" s="118">
        <v>2065</v>
      </c>
      <c r="AQ6" s="118">
        <v>2066</v>
      </c>
      <c r="AR6" s="118">
        <v>2067</v>
      </c>
      <c r="AS6" s="118">
        <v>2068</v>
      </c>
      <c r="AT6" s="118">
        <v>2069</v>
      </c>
      <c r="AU6" s="118">
        <v>2070</v>
      </c>
    </row>
    <row r="7" spans="1:47" x14ac:dyDescent="0.25">
      <c r="A7" s="10" t="s">
        <v>176</v>
      </c>
      <c r="B7" t="s">
        <v>177</v>
      </c>
      <c r="C7" s="122">
        <f>Inputs!H65*Data!M2</f>
        <v>8.0918911269399487</v>
      </c>
      <c r="D7" s="122">
        <f>Inputs!I65*Data!N2</f>
        <v>338.32075818048429</v>
      </c>
      <c r="E7" s="122">
        <f>Inputs!J65*Data!O2</f>
        <v>326.68902319749219</v>
      </c>
      <c r="F7" s="122">
        <f>Inputs!K65*Data!P2</f>
        <v>306.2036800457555</v>
      </c>
      <c r="G7" s="122">
        <f>Inputs!L65*Data!Q2</f>
        <v>274.51782501028566</v>
      </c>
      <c r="H7" s="122">
        <f>Inputs!M65*Data!R2</f>
        <v>269.14980562870937</v>
      </c>
      <c r="I7" s="122">
        <f>Inputs!N65*Data!S2</f>
        <v>275.11836969139415</v>
      </c>
      <c r="J7" s="122">
        <f>Inputs!O65*Data!T2</f>
        <v>275.17088617130645</v>
      </c>
      <c r="K7" s="122">
        <f>Inputs!P65*Data!U2</f>
        <v>272.80956180782749</v>
      </c>
      <c r="L7" s="122">
        <f>Inputs!Q65*Data!V2</f>
        <v>273.93544766845537</v>
      </c>
      <c r="M7" s="122">
        <f>Inputs!R65*Data!W2</f>
        <v>271.15270098725682</v>
      </c>
      <c r="N7" s="122">
        <f>Inputs!S65*Data!X2</f>
        <v>197.35635220183138</v>
      </c>
      <c r="O7" s="122">
        <f>Inputs!T65*Data!Y2</f>
        <v>193.38095039630858</v>
      </c>
      <c r="P7" s="122">
        <f>Inputs!U65*Data!Z2</f>
        <v>192.32657957993001</v>
      </c>
      <c r="Q7" s="122">
        <f>Inputs!V65*Data!AA2</f>
        <v>193.65569087267525</v>
      </c>
      <c r="R7" s="122">
        <f>Inputs!W65*Data!AB2</f>
        <v>193.07958612013988</v>
      </c>
      <c r="S7" s="122">
        <f>Inputs!X65*Data!AC2</f>
        <v>197.25512160501307</v>
      </c>
      <c r="T7" s="122">
        <f>Inputs!Y65*Data!AD2</f>
        <v>202.24550495360799</v>
      </c>
      <c r="U7" s="122">
        <f>Inputs!Z65*Data!AE2</f>
        <v>204.91117531907702</v>
      </c>
      <c r="V7" s="122">
        <f>Inputs!AA65*Data!AF2</f>
        <v>203.98775036657628</v>
      </c>
      <c r="W7" s="122">
        <f>Inputs!AB65*Data!AG2</f>
        <v>203.2170344308249</v>
      </c>
      <c r="X7" s="122">
        <f>Inputs!AC65*Data!AH2</f>
        <v>204.39584593167652</v>
      </c>
      <c r="Y7" s="122">
        <f>Inputs!AD65*Data!AI2</f>
        <v>0</v>
      </c>
      <c r="Z7" s="122">
        <f>Inputs!AE65*Data!AJ2</f>
        <v>0</v>
      </c>
      <c r="AA7" s="122">
        <f>Inputs!AF65*Data!AK2</f>
        <v>0</v>
      </c>
      <c r="AB7" s="122">
        <f>Inputs!AG65*Data!AL2</f>
        <v>0</v>
      </c>
      <c r="AC7" s="122">
        <f>Inputs!AH65*Data!AM2</f>
        <v>0</v>
      </c>
      <c r="AD7" s="122">
        <f>Inputs!AI65*Data!AN2</f>
        <v>0</v>
      </c>
      <c r="AE7" s="122">
        <f>Inputs!AJ65*Data!AO2</f>
        <v>0</v>
      </c>
      <c r="AF7" s="122">
        <f>Inputs!AK65*Data!AP2</f>
        <v>0</v>
      </c>
      <c r="AG7" s="122">
        <f>Inputs!AL65*Data!AQ2</f>
        <v>0</v>
      </c>
      <c r="AH7" s="122">
        <f>Inputs!AM65*Data!AR2</f>
        <v>0</v>
      </c>
      <c r="AI7" s="122">
        <f>Inputs!AN65*Data!AS2</f>
        <v>0</v>
      </c>
      <c r="AJ7" s="122">
        <f>Inputs!AO65*Data!AT2</f>
        <v>0</v>
      </c>
      <c r="AK7" s="122">
        <f>Inputs!AP65*Data!AU2</f>
        <v>0</v>
      </c>
      <c r="AL7" s="122">
        <f>Inputs!AQ65*Data!AV2</f>
        <v>0</v>
      </c>
      <c r="AM7" s="122">
        <f>Inputs!AR65*Data!AW2</f>
        <v>0</v>
      </c>
      <c r="AN7" s="122">
        <f>Inputs!AS65*Data!AX2</f>
        <v>0</v>
      </c>
      <c r="AO7" s="122">
        <f>Inputs!AT65*Data!AY2</f>
        <v>0</v>
      </c>
      <c r="AP7" s="122">
        <f>Inputs!AU65*Data!AZ2</f>
        <v>0</v>
      </c>
      <c r="AQ7" s="122">
        <f>Inputs!AV65*Data!BA2</f>
        <v>0</v>
      </c>
      <c r="AR7" s="122">
        <f>Inputs!AW65*Data!BB2</f>
        <v>0</v>
      </c>
      <c r="AS7" s="122">
        <f>Inputs!AX65*Data!BC2</f>
        <v>0</v>
      </c>
      <c r="AT7" s="122">
        <f>Inputs!AY65*Data!BD2</f>
        <v>0</v>
      </c>
      <c r="AU7" s="122">
        <f>Inputs!AZ65*Data!BE2</f>
        <v>0</v>
      </c>
    </row>
    <row r="8" spans="1:47" x14ac:dyDescent="0.25">
      <c r="A8" s="10"/>
      <c r="B8" t="s">
        <v>178</v>
      </c>
      <c r="C8" s="122">
        <f>Inputs!H66*Data!M3</f>
        <v>4004.8400000000006</v>
      </c>
      <c r="D8" s="122">
        <f>Inputs!I66*Data!N3</f>
        <v>0</v>
      </c>
      <c r="E8" s="122">
        <f>Inputs!J66*Data!O3</f>
        <v>0</v>
      </c>
      <c r="F8" s="122">
        <f>Inputs!K66*Data!P3</f>
        <v>0</v>
      </c>
      <c r="G8" s="122">
        <f>Inputs!L66*Data!Q3</f>
        <v>0</v>
      </c>
      <c r="H8" s="122">
        <f>Inputs!M66*Data!R3</f>
        <v>0</v>
      </c>
      <c r="I8" s="122">
        <f>Inputs!N66*Data!S3</f>
        <v>0</v>
      </c>
      <c r="J8" s="122">
        <f>Inputs!O66*Data!T3</f>
        <v>0</v>
      </c>
      <c r="K8" s="122">
        <f>Inputs!P66*Data!U3</f>
        <v>0</v>
      </c>
      <c r="L8" s="122">
        <f>Inputs!Q66*Data!V3</f>
        <v>0</v>
      </c>
      <c r="M8" s="122">
        <f>Inputs!R66*Data!W3</f>
        <v>0</v>
      </c>
      <c r="N8" s="122">
        <f>Inputs!S66*Data!X3</f>
        <v>0</v>
      </c>
      <c r="O8" s="122">
        <f>Inputs!T66*Data!Y3</f>
        <v>0</v>
      </c>
      <c r="P8" s="122">
        <f>Inputs!U66*Data!Z3</f>
        <v>0</v>
      </c>
      <c r="Q8" s="122">
        <f>Inputs!V66*Data!AA3</f>
        <v>0</v>
      </c>
      <c r="R8" s="122">
        <f>Inputs!W66*Data!AB3</f>
        <v>0</v>
      </c>
      <c r="S8" s="122">
        <f>Inputs!X66*Data!AC3</f>
        <v>0</v>
      </c>
      <c r="T8" s="122">
        <f>Inputs!Y66*Data!AD3</f>
        <v>0</v>
      </c>
      <c r="U8" s="122">
        <f>Inputs!Z66*Data!AE3</f>
        <v>0</v>
      </c>
      <c r="V8" s="122">
        <f>Inputs!AA66*Data!AF3</f>
        <v>0</v>
      </c>
      <c r="W8" s="122">
        <f>Inputs!AB66*Data!AG3</f>
        <v>0</v>
      </c>
      <c r="X8" s="122">
        <f>Inputs!AC66*Data!AH3</f>
        <v>0</v>
      </c>
      <c r="Y8" s="122">
        <f>Inputs!AD66*Data!AI3</f>
        <v>0</v>
      </c>
      <c r="Z8" s="122">
        <f>Inputs!AE66*Data!AJ3</f>
        <v>0</v>
      </c>
      <c r="AA8" s="122">
        <f>Inputs!AF66*Data!AK3</f>
        <v>0</v>
      </c>
      <c r="AB8" s="122">
        <f>Inputs!AG66*Data!AL3</f>
        <v>0</v>
      </c>
      <c r="AC8" s="122">
        <f>Inputs!AH66*Data!AM3</f>
        <v>0</v>
      </c>
      <c r="AD8" s="122">
        <f>Inputs!AI66*Data!AN3</f>
        <v>0</v>
      </c>
      <c r="AE8" s="122">
        <f>Inputs!AJ66*Data!AO3</f>
        <v>0</v>
      </c>
      <c r="AF8" s="122">
        <f>Inputs!AK66*Data!AP3</f>
        <v>0</v>
      </c>
      <c r="AG8" s="122">
        <f>Inputs!AL66*Data!AQ3</f>
        <v>0</v>
      </c>
      <c r="AH8" s="122">
        <f>Inputs!AM66*Data!AR3</f>
        <v>0</v>
      </c>
      <c r="AI8" s="122">
        <f>Inputs!AN66*Data!AS3</f>
        <v>0</v>
      </c>
      <c r="AJ8" s="122">
        <f>Inputs!AO66*Data!AT3</f>
        <v>0</v>
      </c>
      <c r="AK8" s="122">
        <f>Inputs!AP66*Data!AU3</f>
        <v>0</v>
      </c>
      <c r="AL8" s="122">
        <f>Inputs!AQ66*Data!AV3</f>
        <v>0</v>
      </c>
      <c r="AM8" s="122">
        <f>Inputs!AR66*Data!AW3</f>
        <v>0</v>
      </c>
      <c r="AN8" s="122">
        <f>Inputs!AS66*Data!AX3</f>
        <v>0</v>
      </c>
      <c r="AO8" s="122">
        <f>Inputs!AT66*Data!AY3</f>
        <v>0</v>
      </c>
      <c r="AP8" s="122">
        <f>Inputs!AU66*Data!AZ3</f>
        <v>0</v>
      </c>
      <c r="AQ8" s="122">
        <f>Inputs!AV66*Data!BA3</f>
        <v>0</v>
      </c>
      <c r="AR8" s="122">
        <f>Inputs!AW66*Data!BB3</f>
        <v>0</v>
      </c>
      <c r="AS8" s="122">
        <f>Inputs!AX66*Data!BC3</f>
        <v>0</v>
      </c>
      <c r="AT8" s="122">
        <f>Inputs!AY66*Data!BD3</f>
        <v>0</v>
      </c>
      <c r="AU8" s="122">
        <f>Inputs!AZ66*Data!BE3</f>
        <v>0</v>
      </c>
    </row>
    <row r="9" spans="1:47" x14ac:dyDescent="0.25">
      <c r="A9" s="10"/>
      <c r="B9" t="s">
        <v>179</v>
      </c>
      <c r="C9" s="122">
        <f>Inputs!H67*Data!M4</f>
        <v>0</v>
      </c>
      <c r="D9" s="122">
        <f>Inputs!I67*Data!N4</f>
        <v>0</v>
      </c>
      <c r="E9" s="122">
        <f>Inputs!J67*Data!O4</f>
        <v>0</v>
      </c>
      <c r="F9" s="122">
        <f>Inputs!K67*Data!P4</f>
        <v>0</v>
      </c>
      <c r="G9" s="122">
        <f>Inputs!L67*Data!Q4</f>
        <v>0</v>
      </c>
      <c r="H9" s="122">
        <f>Inputs!M67*Data!R4</f>
        <v>0</v>
      </c>
      <c r="I9" s="122">
        <f>Inputs!N67*Data!S4</f>
        <v>0</v>
      </c>
      <c r="J9" s="122">
        <f>Inputs!O67*Data!T4</f>
        <v>0</v>
      </c>
      <c r="K9" s="122">
        <f>Inputs!P67*Data!U4</f>
        <v>0</v>
      </c>
      <c r="L9" s="122">
        <f>Inputs!Q67*Data!V4</f>
        <v>0</v>
      </c>
      <c r="M9" s="122">
        <f>Inputs!R67*Data!W4</f>
        <v>0</v>
      </c>
      <c r="N9" s="122">
        <f>Inputs!S67*Data!X4</f>
        <v>0</v>
      </c>
      <c r="O9" s="122">
        <f>Inputs!T67*Data!Y4</f>
        <v>0</v>
      </c>
      <c r="P9" s="122">
        <f>Inputs!U67*Data!Z4</f>
        <v>0</v>
      </c>
      <c r="Q9" s="122">
        <f>Inputs!V67*Data!AA4</f>
        <v>0</v>
      </c>
      <c r="R9" s="122">
        <f>Inputs!W67*Data!AB4</f>
        <v>0</v>
      </c>
      <c r="S9" s="122">
        <f>Inputs!X67*Data!AC4</f>
        <v>0</v>
      </c>
      <c r="T9" s="122">
        <f>Inputs!Y67*Data!AD4</f>
        <v>0</v>
      </c>
      <c r="U9" s="122">
        <f>Inputs!Z67*Data!AE4</f>
        <v>0</v>
      </c>
      <c r="V9" s="122">
        <f>Inputs!AA67*Data!AF4</f>
        <v>0</v>
      </c>
      <c r="W9" s="122">
        <f>Inputs!AB67*Data!AG4</f>
        <v>0</v>
      </c>
      <c r="X9" s="122">
        <f>Inputs!AC67*Data!AH4</f>
        <v>0</v>
      </c>
      <c r="Y9" s="122">
        <f>Inputs!AD67*Data!AI4</f>
        <v>0</v>
      </c>
      <c r="Z9" s="122">
        <f>Inputs!AE67*Data!AJ4</f>
        <v>0</v>
      </c>
      <c r="AA9" s="122">
        <f>Inputs!AF67*Data!AK4</f>
        <v>0</v>
      </c>
      <c r="AB9" s="122">
        <f>Inputs!AG67*Data!AL4</f>
        <v>0</v>
      </c>
      <c r="AC9" s="122">
        <f>Inputs!AH67*Data!AM4</f>
        <v>0</v>
      </c>
      <c r="AD9" s="122">
        <f>Inputs!AI67*Data!AN4</f>
        <v>0</v>
      </c>
      <c r="AE9" s="122">
        <f>Inputs!AJ67*Data!AO4</f>
        <v>0</v>
      </c>
      <c r="AF9" s="122">
        <f>Inputs!AK67*Data!AP4</f>
        <v>0</v>
      </c>
      <c r="AG9" s="122">
        <f>Inputs!AL67*Data!AQ4</f>
        <v>0</v>
      </c>
      <c r="AH9" s="122">
        <f>Inputs!AM67*Data!AR4</f>
        <v>0</v>
      </c>
      <c r="AI9" s="122">
        <f>Inputs!AN67*Data!AS4</f>
        <v>0</v>
      </c>
      <c r="AJ9" s="122">
        <f>Inputs!AO67*Data!AT4</f>
        <v>0</v>
      </c>
      <c r="AK9" s="122">
        <f>Inputs!AP67*Data!AU4</f>
        <v>0</v>
      </c>
      <c r="AL9" s="122">
        <f>Inputs!AQ67*Data!AV4</f>
        <v>0</v>
      </c>
      <c r="AM9" s="122">
        <f>Inputs!AR67*Data!AW4</f>
        <v>0</v>
      </c>
      <c r="AN9" s="122">
        <f>Inputs!AS67*Data!AX4</f>
        <v>0</v>
      </c>
      <c r="AO9" s="122">
        <f>Inputs!AT67*Data!AY4</f>
        <v>0</v>
      </c>
      <c r="AP9" s="122">
        <f>Inputs!AU67*Data!AZ4</f>
        <v>0</v>
      </c>
      <c r="AQ9" s="122">
        <f>Inputs!AV67*Data!BA4</f>
        <v>0</v>
      </c>
      <c r="AR9" s="122">
        <f>Inputs!AW67*Data!BB4</f>
        <v>0</v>
      </c>
      <c r="AS9" s="122">
        <f>Inputs!AX67*Data!BC4</f>
        <v>0</v>
      </c>
      <c r="AT9" s="122">
        <f>Inputs!AY67*Data!BD4</f>
        <v>0</v>
      </c>
      <c r="AU9" s="122">
        <f>Inputs!AZ67*Data!BE4</f>
        <v>0</v>
      </c>
    </row>
    <row r="10" spans="1:47" x14ac:dyDescent="0.25">
      <c r="A10" s="10"/>
      <c r="B10" t="s">
        <v>180</v>
      </c>
      <c r="C10" s="122">
        <f>Inputs!H68*Data!M5</f>
        <v>0</v>
      </c>
      <c r="D10" s="122">
        <f>Inputs!I68*Data!N5</f>
        <v>0</v>
      </c>
      <c r="E10" s="122">
        <f>Inputs!J68*Data!O5</f>
        <v>0</v>
      </c>
      <c r="F10" s="122">
        <f>Inputs!K68*Data!P5</f>
        <v>0</v>
      </c>
      <c r="G10" s="122">
        <f>Inputs!L68*Data!Q5</f>
        <v>0</v>
      </c>
      <c r="H10" s="122">
        <f>Inputs!M68*Data!R5</f>
        <v>0</v>
      </c>
      <c r="I10" s="122">
        <f>Inputs!N68*Data!S5</f>
        <v>0</v>
      </c>
      <c r="J10" s="122">
        <f>Inputs!O68*Data!T5</f>
        <v>0</v>
      </c>
      <c r="K10" s="122">
        <f>Inputs!P68*Data!U5</f>
        <v>0</v>
      </c>
      <c r="L10" s="122">
        <f>Inputs!Q68*Data!V5</f>
        <v>0</v>
      </c>
      <c r="M10" s="122">
        <f>Inputs!R68*Data!W5</f>
        <v>0</v>
      </c>
      <c r="N10" s="122">
        <f>Inputs!S68*Data!X5</f>
        <v>0</v>
      </c>
      <c r="O10" s="122">
        <f>Inputs!T68*Data!Y5</f>
        <v>0</v>
      </c>
      <c r="P10" s="122">
        <f>Inputs!U68*Data!Z5</f>
        <v>0</v>
      </c>
      <c r="Q10" s="122">
        <f>Inputs!V68*Data!AA5</f>
        <v>0</v>
      </c>
      <c r="R10" s="122">
        <f>Inputs!W68*Data!AB5</f>
        <v>0</v>
      </c>
      <c r="S10" s="122">
        <f>Inputs!X68*Data!AC5</f>
        <v>0</v>
      </c>
      <c r="T10" s="122">
        <f>Inputs!Y68*Data!AD5</f>
        <v>0</v>
      </c>
      <c r="U10" s="122">
        <f>Inputs!Z68*Data!AE5</f>
        <v>0</v>
      </c>
      <c r="V10" s="122">
        <f>Inputs!AA68*Data!AF5</f>
        <v>0</v>
      </c>
      <c r="W10" s="122">
        <f>Inputs!AB68*Data!AG5</f>
        <v>0</v>
      </c>
      <c r="X10" s="122">
        <f>Inputs!AC68*Data!AH5</f>
        <v>0</v>
      </c>
      <c r="Y10" s="122">
        <f>Inputs!AD68*Data!AI5</f>
        <v>0</v>
      </c>
      <c r="Z10" s="122">
        <f>Inputs!AE68*Data!AJ5</f>
        <v>0</v>
      </c>
      <c r="AA10" s="122">
        <f>Inputs!AF68*Data!AK5</f>
        <v>0</v>
      </c>
      <c r="AB10" s="122">
        <f>Inputs!AG68*Data!AL5</f>
        <v>0</v>
      </c>
      <c r="AC10" s="122">
        <f>Inputs!AH68*Data!AM5</f>
        <v>0</v>
      </c>
      <c r="AD10" s="122">
        <f>Inputs!AI68*Data!AN5</f>
        <v>0</v>
      </c>
      <c r="AE10" s="122">
        <f>Inputs!AJ68*Data!AO5</f>
        <v>0</v>
      </c>
      <c r="AF10" s="122">
        <f>Inputs!AK68*Data!AP5</f>
        <v>0</v>
      </c>
      <c r="AG10" s="122">
        <f>Inputs!AL68*Data!AQ5</f>
        <v>0</v>
      </c>
      <c r="AH10" s="122">
        <f>Inputs!AM68*Data!AR5</f>
        <v>0</v>
      </c>
      <c r="AI10" s="122">
        <f>Inputs!AN68*Data!AS5</f>
        <v>0</v>
      </c>
      <c r="AJ10" s="122">
        <f>Inputs!AO68*Data!AT5</f>
        <v>0</v>
      </c>
      <c r="AK10" s="122">
        <f>Inputs!AP68*Data!AU5</f>
        <v>0</v>
      </c>
      <c r="AL10" s="122">
        <f>Inputs!AQ68*Data!AV5</f>
        <v>0</v>
      </c>
      <c r="AM10" s="122">
        <f>Inputs!AR68*Data!AW5</f>
        <v>0</v>
      </c>
      <c r="AN10" s="122">
        <f>Inputs!AS68*Data!AX5</f>
        <v>0</v>
      </c>
      <c r="AO10" s="122">
        <f>Inputs!AT68*Data!AY5</f>
        <v>0</v>
      </c>
      <c r="AP10" s="122">
        <f>Inputs!AU68*Data!AZ5</f>
        <v>0</v>
      </c>
      <c r="AQ10" s="122">
        <f>Inputs!AV68*Data!BA5</f>
        <v>0</v>
      </c>
      <c r="AR10" s="122">
        <f>Inputs!AW68*Data!BB5</f>
        <v>0</v>
      </c>
      <c r="AS10" s="122">
        <f>Inputs!AX68*Data!BC5</f>
        <v>0</v>
      </c>
      <c r="AT10" s="122">
        <f>Inputs!AY68*Data!BD5</f>
        <v>0</v>
      </c>
      <c r="AU10" s="122">
        <f>Inputs!AZ68*Data!BE5</f>
        <v>0</v>
      </c>
    </row>
    <row r="11" spans="1:47" x14ac:dyDescent="0.25">
      <c r="A11" s="10"/>
      <c r="B11" t="s">
        <v>181</v>
      </c>
      <c r="C11" s="122">
        <f>Inputs!H69*Data!M6</f>
        <v>0</v>
      </c>
      <c r="D11" s="122">
        <f>Inputs!I69*Data!N6</f>
        <v>0</v>
      </c>
      <c r="E11" s="122">
        <f>Inputs!J69*Data!O6</f>
        <v>0</v>
      </c>
      <c r="F11" s="122">
        <f>Inputs!K69*Data!P6</f>
        <v>0</v>
      </c>
      <c r="G11" s="122">
        <f>Inputs!L69*Data!Q6</f>
        <v>0</v>
      </c>
      <c r="H11" s="122">
        <f>Inputs!M69*Data!R6</f>
        <v>0</v>
      </c>
      <c r="I11" s="122">
        <f>Inputs!N69*Data!S6</f>
        <v>0</v>
      </c>
      <c r="J11" s="122">
        <f>Inputs!O69*Data!T6</f>
        <v>0</v>
      </c>
      <c r="K11" s="122">
        <f>Inputs!P69*Data!U6</f>
        <v>0</v>
      </c>
      <c r="L11" s="122">
        <f>Inputs!Q69*Data!V6</f>
        <v>0</v>
      </c>
      <c r="M11" s="122">
        <f>Inputs!R69*Data!W6</f>
        <v>0</v>
      </c>
      <c r="N11" s="122">
        <f>Inputs!S69*Data!X6</f>
        <v>0</v>
      </c>
      <c r="O11" s="122">
        <f>Inputs!T69*Data!Y6</f>
        <v>0</v>
      </c>
      <c r="P11" s="122">
        <f>Inputs!U69*Data!Z6</f>
        <v>0</v>
      </c>
      <c r="Q11" s="122">
        <f>Inputs!V69*Data!AA6</f>
        <v>0</v>
      </c>
      <c r="R11" s="122">
        <f>Inputs!W69*Data!AB6</f>
        <v>0</v>
      </c>
      <c r="S11" s="122">
        <f>Inputs!X69*Data!AC6</f>
        <v>0</v>
      </c>
      <c r="T11" s="122">
        <f>Inputs!Y69*Data!AD6</f>
        <v>0</v>
      </c>
      <c r="U11" s="122">
        <f>Inputs!Z69*Data!AE6</f>
        <v>0</v>
      </c>
      <c r="V11" s="122">
        <f>Inputs!AA69*Data!AF6</f>
        <v>0</v>
      </c>
      <c r="W11" s="122">
        <f>Inputs!AB69*Data!AG6</f>
        <v>0</v>
      </c>
      <c r="X11" s="122">
        <f>Inputs!AC69*Data!AH6</f>
        <v>0</v>
      </c>
      <c r="Y11" s="122">
        <f>Inputs!AD69*Data!AI6</f>
        <v>0</v>
      </c>
      <c r="Z11" s="122">
        <f>Inputs!AE69*Data!AJ6</f>
        <v>0</v>
      </c>
      <c r="AA11" s="122">
        <f>Inputs!AF69*Data!AK6</f>
        <v>0</v>
      </c>
      <c r="AB11" s="122">
        <f>Inputs!AG69*Data!AL6</f>
        <v>0</v>
      </c>
      <c r="AC11" s="122">
        <f>Inputs!AH69*Data!AM6</f>
        <v>0</v>
      </c>
      <c r="AD11" s="122">
        <f>Inputs!AI69*Data!AN6</f>
        <v>0</v>
      </c>
      <c r="AE11" s="122">
        <f>Inputs!AJ69*Data!AO6</f>
        <v>0</v>
      </c>
      <c r="AF11" s="122">
        <f>Inputs!AK69*Data!AP6</f>
        <v>0</v>
      </c>
      <c r="AG11" s="122">
        <f>Inputs!AL69*Data!AQ6</f>
        <v>0</v>
      </c>
      <c r="AH11" s="122">
        <f>Inputs!AM69*Data!AR6</f>
        <v>0</v>
      </c>
      <c r="AI11" s="122">
        <f>Inputs!AN69*Data!AS6</f>
        <v>0</v>
      </c>
      <c r="AJ11" s="122">
        <f>Inputs!AO69*Data!AT6</f>
        <v>0</v>
      </c>
      <c r="AK11" s="122">
        <f>Inputs!AP69*Data!AU6</f>
        <v>0</v>
      </c>
      <c r="AL11" s="122">
        <f>Inputs!AQ69*Data!AV6</f>
        <v>0</v>
      </c>
      <c r="AM11" s="122">
        <f>Inputs!AR69*Data!AW6</f>
        <v>0</v>
      </c>
      <c r="AN11" s="122">
        <f>Inputs!AS69*Data!AX6</f>
        <v>0</v>
      </c>
      <c r="AO11" s="122">
        <f>Inputs!AT69*Data!AY6</f>
        <v>0</v>
      </c>
      <c r="AP11" s="122">
        <f>Inputs!AU69*Data!AZ6</f>
        <v>0</v>
      </c>
      <c r="AQ11" s="122">
        <f>Inputs!AV69*Data!BA6</f>
        <v>0</v>
      </c>
      <c r="AR11" s="122">
        <f>Inputs!AW69*Data!BB6</f>
        <v>0</v>
      </c>
      <c r="AS11" s="122">
        <f>Inputs!AX69*Data!BC6</f>
        <v>0</v>
      </c>
      <c r="AT11" s="122">
        <f>Inputs!AY69*Data!BD6</f>
        <v>0</v>
      </c>
      <c r="AU11" s="122">
        <f>Inputs!AZ69*Data!BE6</f>
        <v>0</v>
      </c>
    </row>
    <row r="12" spans="1:47" x14ac:dyDescent="0.25">
      <c r="A12" s="10"/>
      <c r="B12" t="s">
        <v>182</v>
      </c>
      <c r="C12" s="122">
        <f>Inputs!H70*Data!M7</f>
        <v>0</v>
      </c>
      <c r="D12" s="122">
        <f>Inputs!I70*Data!N7</f>
        <v>0</v>
      </c>
      <c r="E12" s="122">
        <f>Inputs!J70*Data!O7</f>
        <v>0</v>
      </c>
      <c r="F12" s="122">
        <f>Inputs!K70*Data!P7</f>
        <v>0</v>
      </c>
      <c r="G12" s="122">
        <f>Inputs!L70*Data!Q7</f>
        <v>0</v>
      </c>
      <c r="H12" s="122">
        <f>Inputs!M70*Data!R7</f>
        <v>0</v>
      </c>
      <c r="I12" s="122">
        <f>Inputs!N70*Data!S7</f>
        <v>0</v>
      </c>
      <c r="J12" s="122">
        <f>Inputs!O70*Data!T7</f>
        <v>0</v>
      </c>
      <c r="K12" s="122">
        <f>Inputs!P70*Data!U7</f>
        <v>0</v>
      </c>
      <c r="L12" s="122">
        <f>Inputs!Q70*Data!V7</f>
        <v>0</v>
      </c>
      <c r="M12" s="122">
        <f>Inputs!R70*Data!W7</f>
        <v>0</v>
      </c>
      <c r="N12" s="122">
        <f>Inputs!S70*Data!X7</f>
        <v>0</v>
      </c>
      <c r="O12" s="122">
        <f>Inputs!T70*Data!Y7</f>
        <v>0</v>
      </c>
      <c r="P12" s="122">
        <f>Inputs!U70*Data!Z7</f>
        <v>0</v>
      </c>
      <c r="Q12" s="122">
        <f>Inputs!V70*Data!AA7</f>
        <v>0</v>
      </c>
      <c r="R12" s="122">
        <f>Inputs!W70*Data!AB7</f>
        <v>0</v>
      </c>
      <c r="S12" s="122">
        <f>Inputs!X70*Data!AC7</f>
        <v>0</v>
      </c>
      <c r="T12" s="122">
        <f>Inputs!Y70*Data!AD7</f>
        <v>0</v>
      </c>
      <c r="U12" s="122">
        <f>Inputs!Z70*Data!AE7</f>
        <v>0</v>
      </c>
      <c r="V12" s="122">
        <f>Inputs!AA70*Data!AF7</f>
        <v>0</v>
      </c>
      <c r="W12" s="122">
        <f>Inputs!AB70*Data!AG7</f>
        <v>0</v>
      </c>
      <c r="X12" s="122">
        <f>Inputs!AC70*Data!AH7</f>
        <v>0</v>
      </c>
      <c r="Y12" s="122">
        <f>Inputs!AD70*Data!AI7</f>
        <v>0</v>
      </c>
      <c r="Z12" s="122">
        <f>Inputs!AE70*Data!AJ7</f>
        <v>0</v>
      </c>
      <c r="AA12" s="122">
        <f>Inputs!AF70*Data!AK7</f>
        <v>0</v>
      </c>
      <c r="AB12" s="122">
        <f>Inputs!AG70*Data!AL7</f>
        <v>0</v>
      </c>
      <c r="AC12" s="122">
        <f>Inputs!AH70*Data!AM7</f>
        <v>0</v>
      </c>
      <c r="AD12" s="122">
        <f>Inputs!AI70*Data!AN7</f>
        <v>0</v>
      </c>
      <c r="AE12" s="122">
        <f>Inputs!AJ70*Data!AO7</f>
        <v>0</v>
      </c>
      <c r="AF12" s="122">
        <f>Inputs!AK70*Data!AP7</f>
        <v>0</v>
      </c>
      <c r="AG12" s="122">
        <f>Inputs!AL70*Data!AQ7</f>
        <v>0</v>
      </c>
      <c r="AH12" s="122">
        <f>Inputs!AM70*Data!AR7</f>
        <v>0</v>
      </c>
      <c r="AI12" s="122">
        <f>Inputs!AN70*Data!AS7</f>
        <v>0</v>
      </c>
      <c r="AJ12" s="122">
        <f>Inputs!AO70*Data!AT7</f>
        <v>0</v>
      </c>
      <c r="AK12" s="122">
        <f>Inputs!AP70*Data!AU7</f>
        <v>0</v>
      </c>
      <c r="AL12" s="122">
        <f>Inputs!AQ70*Data!AV7</f>
        <v>0</v>
      </c>
      <c r="AM12" s="122">
        <f>Inputs!AR70*Data!AW7</f>
        <v>0</v>
      </c>
      <c r="AN12" s="122">
        <f>Inputs!AS70*Data!AX7</f>
        <v>0</v>
      </c>
      <c r="AO12" s="122">
        <f>Inputs!AT70*Data!AY7</f>
        <v>0</v>
      </c>
      <c r="AP12" s="122">
        <f>Inputs!AU70*Data!AZ7</f>
        <v>0</v>
      </c>
      <c r="AQ12" s="122">
        <f>Inputs!AV70*Data!BA7</f>
        <v>0</v>
      </c>
      <c r="AR12" s="122">
        <f>Inputs!AW70*Data!BB7</f>
        <v>0</v>
      </c>
      <c r="AS12" s="122">
        <f>Inputs!AX70*Data!BC7</f>
        <v>0</v>
      </c>
      <c r="AT12" s="122">
        <f>Inputs!AY70*Data!BD7</f>
        <v>0</v>
      </c>
      <c r="AU12" s="122">
        <f>Inputs!AZ70*Data!BE7</f>
        <v>0</v>
      </c>
    </row>
    <row r="13" spans="1:47" x14ac:dyDescent="0.25">
      <c r="A13" s="10"/>
      <c r="B13" t="s">
        <v>183</v>
      </c>
      <c r="C13" s="122">
        <f>Inputs!H71*Data!M8</f>
        <v>0</v>
      </c>
      <c r="D13" s="122">
        <f>Inputs!I71*Data!N8</f>
        <v>0</v>
      </c>
      <c r="E13" s="122">
        <f>Inputs!J71*Data!O8</f>
        <v>0</v>
      </c>
      <c r="F13" s="122">
        <f>Inputs!K71*Data!P8</f>
        <v>0</v>
      </c>
      <c r="G13" s="122">
        <f>Inputs!L71*Data!Q8</f>
        <v>0</v>
      </c>
      <c r="H13" s="122">
        <f>Inputs!M71*Data!R8</f>
        <v>0</v>
      </c>
      <c r="I13" s="122">
        <f>Inputs!N71*Data!S8</f>
        <v>0</v>
      </c>
      <c r="J13" s="122">
        <f>Inputs!O71*Data!T8</f>
        <v>0</v>
      </c>
      <c r="K13" s="122">
        <f>Inputs!P71*Data!U8</f>
        <v>0</v>
      </c>
      <c r="L13" s="122">
        <f>Inputs!Q71*Data!V8</f>
        <v>0</v>
      </c>
      <c r="M13" s="122">
        <f>Inputs!R71*Data!W8</f>
        <v>0</v>
      </c>
      <c r="N13" s="122">
        <f>Inputs!S71*Data!X8</f>
        <v>0</v>
      </c>
      <c r="O13" s="122">
        <f>Inputs!T71*Data!Y8</f>
        <v>0</v>
      </c>
      <c r="P13" s="122">
        <f>Inputs!U71*Data!Z8</f>
        <v>0</v>
      </c>
      <c r="Q13" s="122">
        <f>Inputs!V71*Data!AA8</f>
        <v>0</v>
      </c>
      <c r="R13" s="122">
        <f>Inputs!W71*Data!AB8</f>
        <v>0</v>
      </c>
      <c r="S13" s="122">
        <f>Inputs!X71*Data!AC8</f>
        <v>0</v>
      </c>
      <c r="T13" s="122">
        <f>Inputs!Y71*Data!AD8</f>
        <v>0</v>
      </c>
      <c r="U13" s="122">
        <f>Inputs!Z71*Data!AE8</f>
        <v>0</v>
      </c>
      <c r="V13" s="122">
        <f>Inputs!AA71*Data!AF8</f>
        <v>0</v>
      </c>
      <c r="W13" s="122">
        <f>Inputs!AB71*Data!AG8</f>
        <v>0</v>
      </c>
      <c r="X13" s="122">
        <f>Inputs!AC71*Data!AH8</f>
        <v>0</v>
      </c>
      <c r="Y13" s="122">
        <f>Inputs!AD71*Data!AI8</f>
        <v>0</v>
      </c>
      <c r="Z13" s="122">
        <f>Inputs!AE71*Data!AJ8</f>
        <v>0</v>
      </c>
      <c r="AA13" s="122">
        <f>Inputs!AF71*Data!AK8</f>
        <v>0</v>
      </c>
      <c r="AB13" s="122">
        <f>Inputs!AG71*Data!AL8</f>
        <v>0</v>
      </c>
      <c r="AC13" s="122">
        <f>Inputs!AH71*Data!AM8</f>
        <v>0</v>
      </c>
      <c r="AD13" s="122">
        <f>Inputs!AI71*Data!AN8</f>
        <v>0</v>
      </c>
      <c r="AE13" s="122">
        <f>Inputs!AJ71*Data!AO8</f>
        <v>0</v>
      </c>
      <c r="AF13" s="122">
        <f>Inputs!AK71*Data!AP8</f>
        <v>0</v>
      </c>
      <c r="AG13" s="122">
        <f>Inputs!AL71*Data!AQ8</f>
        <v>0</v>
      </c>
      <c r="AH13" s="122">
        <f>Inputs!AM71*Data!AR8</f>
        <v>0</v>
      </c>
      <c r="AI13" s="122">
        <f>Inputs!AN71*Data!AS8</f>
        <v>0</v>
      </c>
      <c r="AJ13" s="122">
        <f>Inputs!AO71*Data!AT8</f>
        <v>0</v>
      </c>
      <c r="AK13" s="122">
        <f>Inputs!AP71*Data!AU8</f>
        <v>0</v>
      </c>
      <c r="AL13" s="122">
        <f>Inputs!AQ71*Data!AV8</f>
        <v>0</v>
      </c>
      <c r="AM13" s="122">
        <f>Inputs!AR71*Data!AW8</f>
        <v>0</v>
      </c>
      <c r="AN13" s="122">
        <f>Inputs!AS71*Data!AX8</f>
        <v>0</v>
      </c>
      <c r="AO13" s="122">
        <f>Inputs!AT71*Data!AY8</f>
        <v>0</v>
      </c>
      <c r="AP13" s="122">
        <f>Inputs!AU71*Data!AZ8</f>
        <v>0</v>
      </c>
      <c r="AQ13" s="122">
        <f>Inputs!AV71*Data!BA8</f>
        <v>0</v>
      </c>
      <c r="AR13" s="122">
        <f>Inputs!AW71*Data!BB8</f>
        <v>0</v>
      </c>
      <c r="AS13" s="122">
        <f>Inputs!AX71*Data!BC8</f>
        <v>0</v>
      </c>
      <c r="AT13" s="122">
        <f>Inputs!AY71*Data!BD8</f>
        <v>0</v>
      </c>
      <c r="AU13" s="122">
        <f>Inputs!AZ71*Data!BE8</f>
        <v>0</v>
      </c>
    </row>
    <row r="14" spans="1:47" x14ac:dyDescent="0.25">
      <c r="B14" t="s">
        <v>184</v>
      </c>
      <c r="C14" s="122">
        <f>Inputs!H72*Data!M9</f>
        <v>0</v>
      </c>
      <c r="D14" s="122">
        <f>Inputs!I72*Data!N9</f>
        <v>0</v>
      </c>
      <c r="E14" s="122">
        <f>Inputs!J72*Data!O9</f>
        <v>0</v>
      </c>
      <c r="F14" s="122">
        <f>Inputs!K72*Data!P9</f>
        <v>0</v>
      </c>
      <c r="G14" s="122">
        <f>Inputs!L72*Data!Q9</f>
        <v>0</v>
      </c>
      <c r="H14" s="122">
        <f>Inputs!M72*Data!R9</f>
        <v>0</v>
      </c>
      <c r="I14" s="122">
        <f>Inputs!N72*Data!S9</f>
        <v>0</v>
      </c>
      <c r="J14" s="122">
        <f>Inputs!O72*Data!T9</f>
        <v>0</v>
      </c>
      <c r="K14" s="122">
        <f>Inputs!P72*Data!U9</f>
        <v>0</v>
      </c>
      <c r="L14" s="122">
        <f>Inputs!Q72*Data!V9</f>
        <v>0</v>
      </c>
      <c r="M14" s="122">
        <f>Inputs!R72*Data!W9</f>
        <v>0</v>
      </c>
      <c r="N14" s="122">
        <f>Inputs!S72*Data!X9</f>
        <v>0</v>
      </c>
      <c r="O14" s="122">
        <f>Inputs!T72*Data!Y9</f>
        <v>0</v>
      </c>
      <c r="P14" s="122">
        <f>Inputs!U72*Data!Z9</f>
        <v>0</v>
      </c>
      <c r="Q14" s="122">
        <f>Inputs!V72*Data!AA9</f>
        <v>0</v>
      </c>
      <c r="R14" s="122">
        <f>Inputs!W72*Data!AB9</f>
        <v>0</v>
      </c>
      <c r="S14" s="122">
        <f>Inputs!X72*Data!AC9</f>
        <v>0</v>
      </c>
      <c r="T14" s="122">
        <f>Inputs!Y72*Data!AD9</f>
        <v>0</v>
      </c>
      <c r="U14" s="122">
        <f>Inputs!Z72*Data!AE9</f>
        <v>0</v>
      </c>
      <c r="V14" s="122">
        <f>Inputs!AA72*Data!AF9</f>
        <v>0</v>
      </c>
      <c r="W14" s="122">
        <f>Inputs!AB72*Data!AG9</f>
        <v>0</v>
      </c>
      <c r="X14" s="122">
        <f>Inputs!AC72*Data!AH9</f>
        <v>0</v>
      </c>
      <c r="Y14" s="122">
        <f>Inputs!AD72*Data!AI9</f>
        <v>0</v>
      </c>
      <c r="Z14" s="122">
        <f>Inputs!AE72*Data!AJ9</f>
        <v>0</v>
      </c>
      <c r="AA14" s="122">
        <f>Inputs!AF72*Data!AK9</f>
        <v>0</v>
      </c>
      <c r="AB14" s="122">
        <f>Inputs!AG72*Data!AL9</f>
        <v>0</v>
      </c>
      <c r="AC14" s="122">
        <f>Inputs!AH72*Data!AM9</f>
        <v>0</v>
      </c>
      <c r="AD14" s="122">
        <f>Inputs!AI72*Data!AN9</f>
        <v>0</v>
      </c>
      <c r="AE14" s="122">
        <f>Inputs!AJ72*Data!AO9</f>
        <v>0</v>
      </c>
      <c r="AF14" s="122">
        <f>Inputs!AK72*Data!AP9</f>
        <v>0</v>
      </c>
      <c r="AG14" s="122">
        <f>Inputs!AL72*Data!AQ9</f>
        <v>0</v>
      </c>
      <c r="AH14" s="122">
        <f>Inputs!AM72*Data!AR9</f>
        <v>0</v>
      </c>
      <c r="AI14" s="122">
        <f>Inputs!AN72*Data!AS9</f>
        <v>0</v>
      </c>
      <c r="AJ14" s="122">
        <f>Inputs!AO72*Data!AT9</f>
        <v>0</v>
      </c>
      <c r="AK14" s="122">
        <f>Inputs!AP72*Data!AU9</f>
        <v>0</v>
      </c>
      <c r="AL14" s="122">
        <f>Inputs!AQ72*Data!AV9</f>
        <v>0</v>
      </c>
      <c r="AM14" s="122">
        <f>Inputs!AR72*Data!AW9</f>
        <v>0</v>
      </c>
      <c r="AN14" s="122">
        <f>Inputs!AS72*Data!AX9</f>
        <v>0</v>
      </c>
      <c r="AO14" s="122">
        <f>Inputs!AT72*Data!AY9</f>
        <v>0</v>
      </c>
      <c r="AP14" s="122">
        <f>Inputs!AU72*Data!AZ9</f>
        <v>0</v>
      </c>
      <c r="AQ14" s="122">
        <f>Inputs!AV72*Data!BA9</f>
        <v>0</v>
      </c>
      <c r="AR14" s="122">
        <f>Inputs!AW72*Data!BB9</f>
        <v>0</v>
      </c>
      <c r="AS14" s="122">
        <f>Inputs!AX72*Data!BC9</f>
        <v>0</v>
      </c>
      <c r="AT14" s="122">
        <f>Inputs!AY72*Data!BD9</f>
        <v>0</v>
      </c>
      <c r="AU14" s="122">
        <f>Inputs!AZ72*Data!BE9</f>
        <v>0</v>
      </c>
    </row>
    <row r="15" spans="1:47" x14ac:dyDescent="0.25">
      <c r="B15" t="s">
        <v>185</v>
      </c>
      <c r="C15" s="122">
        <f>Inputs!H73*Data!M10</f>
        <v>0</v>
      </c>
      <c r="D15" s="122">
        <f>Inputs!I73*Data!N10</f>
        <v>0</v>
      </c>
      <c r="E15" s="122">
        <f>Inputs!J73*Data!O10</f>
        <v>0</v>
      </c>
      <c r="F15" s="122">
        <f>Inputs!K73*Data!P10</f>
        <v>0</v>
      </c>
      <c r="G15" s="122">
        <f>Inputs!L73*Data!Q10</f>
        <v>0</v>
      </c>
      <c r="H15" s="122">
        <f>Inputs!M73*Data!R10</f>
        <v>0</v>
      </c>
      <c r="I15" s="122">
        <f>Inputs!N73*Data!S10</f>
        <v>0</v>
      </c>
      <c r="J15" s="122">
        <f>Inputs!O73*Data!T10</f>
        <v>0</v>
      </c>
      <c r="K15" s="122">
        <f>Inputs!P73*Data!U10</f>
        <v>0</v>
      </c>
      <c r="L15" s="122">
        <f>Inputs!Q73*Data!V10</f>
        <v>0</v>
      </c>
      <c r="M15" s="122">
        <f>Inputs!R73*Data!W10</f>
        <v>0</v>
      </c>
      <c r="N15" s="122">
        <f>Inputs!S73*Data!X10</f>
        <v>0</v>
      </c>
      <c r="O15" s="122">
        <f>Inputs!T73*Data!Y10</f>
        <v>0</v>
      </c>
      <c r="P15" s="122">
        <f>Inputs!U73*Data!Z10</f>
        <v>0</v>
      </c>
      <c r="Q15" s="122">
        <f>Inputs!V73*Data!AA10</f>
        <v>0</v>
      </c>
      <c r="R15" s="122">
        <f>Inputs!W73*Data!AB10</f>
        <v>0</v>
      </c>
      <c r="S15" s="122">
        <f>Inputs!X73*Data!AC10</f>
        <v>0</v>
      </c>
      <c r="T15" s="122">
        <f>Inputs!Y73*Data!AD10</f>
        <v>0</v>
      </c>
      <c r="U15" s="122">
        <f>Inputs!Z73*Data!AE10</f>
        <v>0</v>
      </c>
      <c r="V15" s="122">
        <f>Inputs!AA73*Data!AF10</f>
        <v>0</v>
      </c>
      <c r="W15" s="122">
        <f>Inputs!AB73*Data!AG10</f>
        <v>0</v>
      </c>
      <c r="X15" s="122">
        <f>Inputs!AC73*Data!AH10</f>
        <v>0</v>
      </c>
      <c r="Y15" s="122">
        <f>Inputs!AD73*Data!AI10</f>
        <v>0</v>
      </c>
      <c r="Z15" s="122">
        <f>Inputs!AE73*Data!AJ10</f>
        <v>0</v>
      </c>
      <c r="AA15" s="122">
        <f>Inputs!AF73*Data!AK10</f>
        <v>0</v>
      </c>
      <c r="AB15" s="122">
        <f>Inputs!AG73*Data!AL10</f>
        <v>0</v>
      </c>
      <c r="AC15" s="122">
        <f>Inputs!AH73*Data!AM10</f>
        <v>0</v>
      </c>
      <c r="AD15" s="122">
        <f>Inputs!AI73*Data!AN10</f>
        <v>0</v>
      </c>
      <c r="AE15" s="122">
        <f>Inputs!AJ73*Data!AO10</f>
        <v>0</v>
      </c>
      <c r="AF15" s="122">
        <f>Inputs!AK73*Data!AP10</f>
        <v>0</v>
      </c>
      <c r="AG15" s="122">
        <f>Inputs!AL73*Data!AQ10</f>
        <v>0</v>
      </c>
      <c r="AH15" s="122">
        <f>Inputs!AM73*Data!AR10</f>
        <v>0</v>
      </c>
      <c r="AI15" s="122">
        <f>Inputs!AN73*Data!AS10</f>
        <v>0</v>
      </c>
      <c r="AJ15" s="122">
        <f>Inputs!AO73*Data!AT10</f>
        <v>0</v>
      </c>
      <c r="AK15" s="122">
        <f>Inputs!AP73*Data!AU10</f>
        <v>0</v>
      </c>
      <c r="AL15" s="122">
        <f>Inputs!AQ73*Data!AV10</f>
        <v>0</v>
      </c>
      <c r="AM15" s="122">
        <f>Inputs!AR73*Data!AW10</f>
        <v>0</v>
      </c>
      <c r="AN15" s="122">
        <f>Inputs!AS73*Data!AX10</f>
        <v>0</v>
      </c>
      <c r="AO15" s="122">
        <f>Inputs!AT73*Data!AY10</f>
        <v>0</v>
      </c>
      <c r="AP15" s="122">
        <f>Inputs!AU73*Data!AZ10</f>
        <v>0</v>
      </c>
      <c r="AQ15" s="122">
        <f>Inputs!AV73*Data!BA10</f>
        <v>0</v>
      </c>
      <c r="AR15" s="122">
        <f>Inputs!AW73*Data!BB10</f>
        <v>0</v>
      </c>
      <c r="AS15" s="122">
        <f>Inputs!AX73*Data!BC10</f>
        <v>0</v>
      </c>
      <c r="AT15" s="122">
        <f>Inputs!AY73*Data!BD10</f>
        <v>0</v>
      </c>
      <c r="AU15" s="122">
        <f>Inputs!AZ73*Data!BE10</f>
        <v>0</v>
      </c>
    </row>
    <row r="16" spans="1:47" x14ac:dyDescent="0.25">
      <c r="B16" t="s">
        <v>186</v>
      </c>
      <c r="C16" s="122">
        <f>Inputs!H74*Data!M11</f>
        <v>0</v>
      </c>
      <c r="D16" s="122">
        <f>Inputs!I74*Data!N11</f>
        <v>0</v>
      </c>
      <c r="E16" s="122">
        <f>Inputs!J74*Data!O11</f>
        <v>0</v>
      </c>
      <c r="F16" s="122">
        <f>Inputs!K74*Data!P11</f>
        <v>0</v>
      </c>
      <c r="G16" s="122">
        <f>Inputs!L74*Data!Q11</f>
        <v>0</v>
      </c>
      <c r="H16" s="122">
        <f>Inputs!M74*Data!R11</f>
        <v>0</v>
      </c>
      <c r="I16" s="122">
        <f>Inputs!N74*Data!S11</f>
        <v>0</v>
      </c>
      <c r="J16" s="122">
        <f>Inputs!O74*Data!T11</f>
        <v>0</v>
      </c>
      <c r="K16" s="122">
        <f>Inputs!P74*Data!U11</f>
        <v>0</v>
      </c>
      <c r="L16" s="122">
        <f>Inputs!Q74*Data!V11</f>
        <v>0</v>
      </c>
      <c r="M16" s="122">
        <f>Inputs!R74*Data!W11</f>
        <v>0</v>
      </c>
      <c r="N16" s="122">
        <f>Inputs!S74*Data!X11</f>
        <v>0</v>
      </c>
      <c r="O16" s="122">
        <f>Inputs!T74*Data!Y11</f>
        <v>0</v>
      </c>
      <c r="P16" s="122">
        <f>Inputs!U74*Data!Z11</f>
        <v>0</v>
      </c>
      <c r="Q16" s="122">
        <f>Inputs!V74*Data!AA11</f>
        <v>0</v>
      </c>
      <c r="R16" s="122">
        <f>Inputs!W74*Data!AB11</f>
        <v>0</v>
      </c>
      <c r="S16" s="122">
        <f>Inputs!X74*Data!AC11</f>
        <v>0</v>
      </c>
      <c r="T16" s="122">
        <f>Inputs!Y74*Data!AD11</f>
        <v>0</v>
      </c>
      <c r="U16" s="122">
        <f>Inputs!Z74*Data!AE11</f>
        <v>0</v>
      </c>
      <c r="V16" s="122">
        <f>Inputs!AA74*Data!AF11</f>
        <v>0</v>
      </c>
      <c r="W16" s="122">
        <f>Inputs!AB74*Data!AG11</f>
        <v>0</v>
      </c>
      <c r="X16" s="122">
        <f>Inputs!AC74*Data!AH11</f>
        <v>0</v>
      </c>
      <c r="Y16" s="122">
        <f>Inputs!AD74*Data!AI11</f>
        <v>0</v>
      </c>
      <c r="Z16" s="122">
        <f>Inputs!AE74*Data!AJ11</f>
        <v>0</v>
      </c>
      <c r="AA16" s="122">
        <f>Inputs!AF74*Data!AK11</f>
        <v>0</v>
      </c>
      <c r="AB16" s="122">
        <f>Inputs!AG74*Data!AL11</f>
        <v>0</v>
      </c>
      <c r="AC16" s="122">
        <f>Inputs!AH74*Data!AM11</f>
        <v>0</v>
      </c>
      <c r="AD16" s="122">
        <f>Inputs!AI74*Data!AN11</f>
        <v>0</v>
      </c>
      <c r="AE16" s="122">
        <f>Inputs!AJ74*Data!AO11</f>
        <v>0</v>
      </c>
      <c r="AF16" s="122">
        <f>Inputs!AK74*Data!AP11</f>
        <v>0</v>
      </c>
      <c r="AG16" s="122">
        <f>Inputs!AL74*Data!AQ11</f>
        <v>0</v>
      </c>
      <c r="AH16" s="122">
        <f>Inputs!AM74*Data!AR11</f>
        <v>0</v>
      </c>
      <c r="AI16" s="122">
        <f>Inputs!AN74*Data!AS11</f>
        <v>0</v>
      </c>
      <c r="AJ16" s="122">
        <f>Inputs!AO74*Data!AT11</f>
        <v>0</v>
      </c>
      <c r="AK16" s="122">
        <f>Inputs!AP74*Data!AU11</f>
        <v>0</v>
      </c>
      <c r="AL16" s="122">
        <f>Inputs!AQ74*Data!AV11</f>
        <v>0</v>
      </c>
      <c r="AM16" s="122">
        <f>Inputs!AR74*Data!AW11</f>
        <v>0</v>
      </c>
      <c r="AN16" s="122">
        <f>Inputs!AS74*Data!AX11</f>
        <v>0</v>
      </c>
      <c r="AO16" s="122">
        <f>Inputs!AT74*Data!AY11</f>
        <v>0</v>
      </c>
      <c r="AP16" s="122">
        <f>Inputs!AU74*Data!AZ11</f>
        <v>0</v>
      </c>
      <c r="AQ16" s="122">
        <f>Inputs!AV74*Data!BA11</f>
        <v>0</v>
      </c>
      <c r="AR16" s="122">
        <f>Inputs!AW74*Data!BB11</f>
        <v>0</v>
      </c>
      <c r="AS16" s="122">
        <f>Inputs!AX74*Data!BC11</f>
        <v>0</v>
      </c>
      <c r="AT16" s="122">
        <f>Inputs!AY74*Data!BD11</f>
        <v>0</v>
      </c>
      <c r="AU16" s="122">
        <f>Inputs!AZ74*Data!BE11</f>
        <v>0</v>
      </c>
    </row>
    <row r="17" spans="1:47" x14ac:dyDescent="0.25">
      <c r="A17" s="57"/>
      <c r="B17" s="57" t="s">
        <v>187</v>
      </c>
      <c r="C17" s="67">
        <f>Inputs!H75*Data!M12</f>
        <v>0</v>
      </c>
      <c r="D17" s="67">
        <f>Inputs!I75*Data!N12</f>
        <v>0</v>
      </c>
      <c r="E17" s="67">
        <f>Inputs!J75*Data!O12</f>
        <v>0</v>
      </c>
      <c r="F17" s="67">
        <f>Inputs!K75*Data!P12</f>
        <v>0</v>
      </c>
      <c r="G17" s="67">
        <f>Inputs!L75*Data!Q12</f>
        <v>0</v>
      </c>
      <c r="H17" s="67">
        <f>Inputs!M75*Data!R12</f>
        <v>0</v>
      </c>
      <c r="I17" s="67">
        <f>Inputs!N75*Data!S12</f>
        <v>0</v>
      </c>
      <c r="J17" s="67">
        <f>Inputs!O75*Data!T12</f>
        <v>0</v>
      </c>
      <c r="K17" s="67">
        <f>Inputs!P75*Data!U12</f>
        <v>0</v>
      </c>
      <c r="L17" s="67">
        <f>Inputs!Q75*Data!V12</f>
        <v>0</v>
      </c>
      <c r="M17" s="67">
        <f>Inputs!R75*Data!W12</f>
        <v>0</v>
      </c>
      <c r="N17" s="67">
        <f>Inputs!S75*Data!X12</f>
        <v>0</v>
      </c>
      <c r="O17" s="67">
        <f>Inputs!T75*Data!Y12</f>
        <v>0</v>
      </c>
      <c r="P17" s="67">
        <f>Inputs!U75*Data!Z12</f>
        <v>0</v>
      </c>
      <c r="Q17" s="67">
        <f>Inputs!V75*Data!AA12</f>
        <v>0</v>
      </c>
      <c r="R17" s="67">
        <f>Inputs!W75*Data!AB12</f>
        <v>0</v>
      </c>
      <c r="S17" s="67">
        <f>Inputs!X75*Data!AC12</f>
        <v>0</v>
      </c>
      <c r="T17" s="67">
        <f>Inputs!Y75*Data!AD12</f>
        <v>0</v>
      </c>
      <c r="U17" s="67">
        <f>Inputs!Z75*Data!AE12</f>
        <v>0</v>
      </c>
      <c r="V17" s="67">
        <f>Inputs!AA75*Data!AF12</f>
        <v>0</v>
      </c>
      <c r="W17" s="67">
        <f>Inputs!AB75*Data!AG12</f>
        <v>0</v>
      </c>
      <c r="X17" s="67">
        <f>Inputs!AC75*Data!AH12</f>
        <v>0</v>
      </c>
      <c r="Y17" s="67">
        <f>Inputs!AD75*Data!AI12</f>
        <v>0</v>
      </c>
      <c r="Z17" s="67">
        <f>Inputs!AE75*Data!AJ12</f>
        <v>0</v>
      </c>
      <c r="AA17" s="67">
        <f>Inputs!AF75*Data!AK12</f>
        <v>0</v>
      </c>
      <c r="AB17" s="67">
        <f>Inputs!AG75*Data!AL12</f>
        <v>0</v>
      </c>
      <c r="AC17" s="67">
        <f>Inputs!AH75*Data!AM12</f>
        <v>0</v>
      </c>
      <c r="AD17" s="67">
        <f>Inputs!AI75*Data!AN12</f>
        <v>0</v>
      </c>
      <c r="AE17" s="67">
        <f>Inputs!AJ75*Data!AO12</f>
        <v>0</v>
      </c>
      <c r="AF17" s="67">
        <f>Inputs!AK75*Data!AP12</f>
        <v>0</v>
      </c>
      <c r="AG17" s="67">
        <f>Inputs!AL75*Data!AQ12</f>
        <v>0</v>
      </c>
      <c r="AH17" s="67">
        <f>Inputs!AM75*Data!AR12</f>
        <v>0</v>
      </c>
      <c r="AI17" s="67">
        <f>Inputs!AN75*Data!AS12</f>
        <v>0</v>
      </c>
      <c r="AJ17" s="67">
        <f>Inputs!AO75*Data!AT12</f>
        <v>0</v>
      </c>
      <c r="AK17" s="67">
        <f>Inputs!AP75*Data!AU12</f>
        <v>0</v>
      </c>
      <c r="AL17" s="67">
        <f>Inputs!AQ75*Data!AV12</f>
        <v>0</v>
      </c>
      <c r="AM17" s="67">
        <f>Inputs!AR75*Data!AW12</f>
        <v>0</v>
      </c>
      <c r="AN17" s="67">
        <f>Inputs!AS75*Data!AX12</f>
        <v>0</v>
      </c>
      <c r="AO17" s="67">
        <f>Inputs!AT75*Data!AY12</f>
        <v>0</v>
      </c>
      <c r="AP17" s="67">
        <f>Inputs!AU75*Data!AZ12</f>
        <v>0</v>
      </c>
      <c r="AQ17" s="67">
        <f>Inputs!AV75*Data!BA12</f>
        <v>0</v>
      </c>
      <c r="AR17" s="67">
        <f>Inputs!AW75*Data!BB12</f>
        <v>0</v>
      </c>
      <c r="AS17" s="67">
        <f>Inputs!AX75*Data!BC12</f>
        <v>0</v>
      </c>
      <c r="AT17" s="67">
        <f>Inputs!AY75*Data!BD12</f>
        <v>0</v>
      </c>
      <c r="AU17" s="67">
        <f>Inputs!AZ75*Data!BE12</f>
        <v>0</v>
      </c>
    </row>
    <row r="18" spans="1:47" x14ac:dyDescent="0.25">
      <c r="A18" s="10" t="s">
        <v>188</v>
      </c>
      <c r="B18" t="s">
        <v>177</v>
      </c>
      <c r="C18" s="122">
        <f>Inputs!H78*Data!M2</f>
        <v>8.0918911269399487</v>
      </c>
      <c r="D18" s="122">
        <f>Inputs!I78*Data!N2</f>
        <v>8.1052824651504043</v>
      </c>
      <c r="E18" s="122">
        <f>Inputs!J78*Data!O2</f>
        <v>7.8266164497868793</v>
      </c>
      <c r="F18" s="122">
        <f>Inputs!K78*Data!P2</f>
        <v>7.3358410875734172</v>
      </c>
      <c r="G18" s="122">
        <f>Inputs!L78*Data!Q2</f>
        <v>6.5767306901106526</v>
      </c>
      <c r="H18" s="122">
        <f>Inputs!M78*Data!R2</f>
        <v>6.4481269544129844</v>
      </c>
      <c r="I18" s="122">
        <f>Inputs!N78*Data!S2</f>
        <v>6.5911181734548796</v>
      </c>
      <c r="J18" s="122">
        <f>Inputs!O78*Data!T2</f>
        <v>6.5923763312636217</v>
      </c>
      <c r="K18" s="122">
        <f>Inputs!P78*Data!U2</f>
        <v>6.5358051617593595</v>
      </c>
      <c r="L18" s="122">
        <f>Inputs!Q78*Data!V2</f>
        <v>6.5627784488050214</v>
      </c>
      <c r="M18" s="122">
        <f>Inputs!R78*Data!W2</f>
        <v>6.4961111003355505</v>
      </c>
      <c r="N18" s="122">
        <f>Inputs!S78*Data!X2</f>
        <v>4.7281431665336831</v>
      </c>
      <c r="O18" s="122">
        <f>Inputs!T78*Data!Y2</f>
        <v>4.6329029137052053</v>
      </c>
      <c r="P18" s="122">
        <f>Inputs!U78*Data!Z2</f>
        <v>4.6076429404900816</v>
      </c>
      <c r="Q18" s="122">
        <f>Inputs!V78*Data!AA2</f>
        <v>4.6394849785407724</v>
      </c>
      <c r="R18" s="122">
        <f>Inputs!W78*Data!AB2</f>
        <v>4.6256830121053465</v>
      </c>
      <c r="S18" s="122">
        <f>Inputs!X78*Data!AC2</f>
        <v>4.7257179456109677</v>
      </c>
      <c r="T18" s="122">
        <f>Inputs!Y78*Data!AD2</f>
        <v>4.8452745074586057</v>
      </c>
      <c r="U18" s="122">
        <f>Inputs!Z78*Data!AE2</f>
        <v>4.9091370129321268</v>
      </c>
      <c r="V18" s="122">
        <f>Inputs!AA78*Data!AF2</f>
        <v>4.8870141608918347</v>
      </c>
      <c r="W18" s="122">
        <f>Inputs!AB78*Data!AG2</f>
        <v>4.8685498183748281</v>
      </c>
      <c r="X18" s="122">
        <f>Inputs!AC78*Data!AH2</f>
        <v>4.8967910656425264</v>
      </c>
      <c r="Y18" s="122">
        <f>Inputs!AD78*Data!AI2</f>
        <v>0</v>
      </c>
      <c r="Z18" s="122">
        <f>Inputs!AE78*Data!AJ2</f>
        <v>0</v>
      </c>
      <c r="AA18" s="122">
        <f>Inputs!AF78*Data!AK2</f>
        <v>0</v>
      </c>
      <c r="AB18" s="122">
        <f>Inputs!AG78*Data!AL2</f>
        <v>0</v>
      </c>
      <c r="AC18" s="122">
        <f>Inputs!AH78*Data!AM2</f>
        <v>0</v>
      </c>
      <c r="AD18" s="122">
        <f>Inputs!AI78*Data!AN2</f>
        <v>0</v>
      </c>
      <c r="AE18" s="122">
        <f>Inputs!AJ78*Data!AO2</f>
        <v>0</v>
      </c>
      <c r="AF18" s="122">
        <f>Inputs!AK78*Data!AP2</f>
        <v>0</v>
      </c>
      <c r="AG18" s="122">
        <f>Inputs!AL78*Data!AQ2</f>
        <v>0</v>
      </c>
      <c r="AH18" s="122">
        <f>Inputs!AM78*Data!AR2</f>
        <v>0</v>
      </c>
      <c r="AI18" s="122">
        <f>Inputs!AN78*Data!AS2</f>
        <v>0</v>
      </c>
      <c r="AJ18" s="122">
        <f>Inputs!AO78*Data!AT2</f>
        <v>0</v>
      </c>
      <c r="AK18" s="122">
        <f>Inputs!AP78*Data!AU2</f>
        <v>0</v>
      </c>
      <c r="AL18" s="122">
        <f>Inputs!AQ78*Data!AV2</f>
        <v>0</v>
      </c>
      <c r="AM18" s="122">
        <f>Inputs!AR78*Data!AW2</f>
        <v>0</v>
      </c>
      <c r="AN18" s="122">
        <f>Inputs!AS78*Data!AX2</f>
        <v>0</v>
      </c>
      <c r="AO18" s="122">
        <f>Inputs!AT78*Data!AY2</f>
        <v>0</v>
      </c>
      <c r="AP18" s="122">
        <f>Inputs!AU78*Data!AZ2</f>
        <v>0</v>
      </c>
      <c r="AQ18" s="122">
        <f>Inputs!AV78*Data!BA2</f>
        <v>0</v>
      </c>
      <c r="AR18" s="122">
        <f>Inputs!AW78*Data!BB2</f>
        <v>0</v>
      </c>
      <c r="AS18" s="122">
        <f>Inputs!AX78*Data!BC2</f>
        <v>0</v>
      </c>
      <c r="AT18" s="122">
        <f>Inputs!AY78*Data!BD2</f>
        <v>0</v>
      </c>
      <c r="AU18" s="122">
        <f>Inputs!AZ78*Data!BE2</f>
        <v>0</v>
      </c>
    </row>
    <row r="19" spans="1:47" x14ac:dyDescent="0.25">
      <c r="A19" s="10"/>
      <c r="B19" t="s">
        <v>178</v>
      </c>
      <c r="C19" s="122">
        <f>Inputs!H79*Data!M3</f>
        <v>4004.8400000000006</v>
      </c>
      <c r="D19" s="122">
        <f>Inputs!I79*Data!N3</f>
        <v>4004.8400000000006</v>
      </c>
      <c r="E19" s="122">
        <f>Inputs!J79*Data!O3</f>
        <v>4004.8400000000006</v>
      </c>
      <c r="F19" s="122">
        <f>Inputs!K79*Data!P3</f>
        <v>4004.8400000000006</v>
      </c>
      <c r="G19" s="122">
        <f>Inputs!L79*Data!Q3</f>
        <v>4004.8400000000006</v>
      </c>
      <c r="H19" s="122">
        <f>Inputs!M79*Data!R3</f>
        <v>4004.8400000000006</v>
      </c>
      <c r="I19" s="122">
        <f>Inputs!N79*Data!S3</f>
        <v>4004.8400000000006</v>
      </c>
      <c r="J19" s="122">
        <f>Inputs!O79*Data!T3</f>
        <v>4004.8400000000006</v>
      </c>
      <c r="K19" s="122">
        <f>Inputs!P79*Data!U3</f>
        <v>4004.8400000000006</v>
      </c>
      <c r="L19" s="122">
        <f>Inputs!Q79*Data!V3</f>
        <v>4004.8400000000006</v>
      </c>
      <c r="M19" s="122">
        <f>Inputs!R79*Data!W3</f>
        <v>4004.8400000000006</v>
      </c>
      <c r="N19" s="122">
        <f>Inputs!S79*Data!X3</f>
        <v>4004.8400000000006</v>
      </c>
      <c r="O19" s="122">
        <f>Inputs!T79*Data!Y3</f>
        <v>4004.8400000000006</v>
      </c>
      <c r="P19" s="122">
        <f>Inputs!U79*Data!Z3</f>
        <v>4004.8400000000006</v>
      </c>
      <c r="Q19" s="122">
        <f>Inputs!V79*Data!AA3</f>
        <v>4004.8400000000006</v>
      </c>
      <c r="R19" s="122">
        <f>Inputs!W79*Data!AB3</f>
        <v>4004.8400000000006</v>
      </c>
      <c r="S19" s="122">
        <f>Inputs!X79*Data!AC3</f>
        <v>4004.8400000000006</v>
      </c>
      <c r="T19" s="122">
        <f>Inputs!Y79*Data!AD3</f>
        <v>4004.8400000000006</v>
      </c>
      <c r="U19" s="122">
        <f>Inputs!Z79*Data!AE3</f>
        <v>4004.8400000000006</v>
      </c>
      <c r="V19" s="122">
        <f>Inputs!AA79*Data!AF3</f>
        <v>4004.8400000000006</v>
      </c>
      <c r="W19" s="122">
        <f>Inputs!AB79*Data!AG3</f>
        <v>4004.8400000000006</v>
      </c>
      <c r="X19" s="122">
        <f>Inputs!AC79*Data!AH3</f>
        <v>4004.8400000000006</v>
      </c>
      <c r="Y19" s="122">
        <f>Inputs!AD79*Data!AI3</f>
        <v>0</v>
      </c>
      <c r="Z19" s="122">
        <f>Inputs!AE79*Data!AJ3</f>
        <v>0</v>
      </c>
      <c r="AA19" s="122">
        <f>Inputs!AF79*Data!AK3</f>
        <v>0</v>
      </c>
      <c r="AB19" s="122">
        <f>Inputs!AG79*Data!AL3</f>
        <v>0</v>
      </c>
      <c r="AC19" s="122">
        <f>Inputs!AH79*Data!AM3</f>
        <v>0</v>
      </c>
      <c r="AD19" s="122">
        <f>Inputs!AI79*Data!AN3</f>
        <v>0</v>
      </c>
      <c r="AE19" s="122">
        <f>Inputs!AJ79*Data!AO3</f>
        <v>0</v>
      </c>
      <c r="AF19" s="122">
        <f>Inputs!AK79*Data!AP3</f>
        <v>0</v>
      </c>
      <c r="AG19" s="122">
        <f>Inputs!AL79*Data!AQ3</f>
        <v>0</v>
      </c>
      <c r="AH19" s="122">
        <f>Inputs!AM79*Data!AR3</f>
        <v>0</v>
      </c>
      <c r="AI19" s="122">
        <f>Inputs!AN79*Data!AS3</f>
        <v>0</v>
      </c>
      <c r="AJ19" s="122">
        <f>Inputs!AO79*Data!AT3</f>
        <v>0</v>
      </c>
      <c r="AK19" s="122">
        <f>Inputs!AP79*Data!AU3</f>
        <v>0</v>
      </c>
      <c r="AL19" s="122">
        <f>Inputs!AQ79*Data!AV3</f>
        <v>0</v>
      </c>
      <c r="AM19" s="122">
        <f>Inputs!AR79*Data!AW3</f>
        <v>0</v>
      </c>
      <c r="AN19" s="122">
        <f>Inputs!AS79*Data!AX3</f>
        <v>0</v>
      </c>
      <c r="AO19" s="122">
        <f>Inputs!AT79*Data!AY3</f>
        <v>0</v>
      </c>
      <c r="AP19" s="122">
        <f>Inputs!AU79*Data!AZ3</f>
        <v>0</v>
      </c>
      <c r="AQ19" s="122">
        <f>Inputs!AV79*Data!BA3</f>
        <v>0</v>
      </c>
      <c r="AR19" s="122">
        <f>Inputs!AW79*Data!BB3</f>
        <v>0</v>
      </c>
      <c r="AS19" s="122">
        <f>Inputs!AX79*Data!BC3</f>
        <v>0</v>
      </c>
      <c r="AT19" s="122">
        <f>Inputs!AY79*Data!BD3</f>
        <v>0</v>
      </c>
      <c r="AU19" s="122">
        <f>Inputs!AZ79*Data!BE3</f>
        <v>0</v>
      </c>
    </row>
    <row r="20" spans="1:47" x14ac:dyDescent="0.25">
      <c r="A20" s="10"/>
      <c r="B20" t="s">
        <v>179</v>
      </c>
      <c r="C20" s="122">
        <f>Inputs!H80*Data!M4</f>
        <v>0</v>
      </c>
      <c r="D20" s="122">
        <f>Inputs!I80*Data!N4</f>
        <v>0</v>
      </c>
      <c r="E20" s="122">
        <f>Inputs!J80*Data!O4</f>
        <v>0</v>
      </c>
      <c r="F20" s="122">
        <f>Inputs!K80*Data!P4</f>
        <v>0</v>
      </c>
      <c r="G20" s="122">
        <f>Inputs!L80*Data!Q4</f>
        <v>0</v>
      </c>
      <c r="H20" s="122">
        <f>Inputs!M80*Data!R4</f>
        <v>0</v>
      </c>
      <c r="I20" s="122">
        <f>Inputs!N80*Data!S4</f>
        <v>0</v>
      </c>
      <c r="J20" s="122">
        <f>Inputs!O80*Data!T4</f>
        <v>0</v>
      </c>
      <c r="K20" s="122">
        <f>Inputs!P80*Data!U4</f>
        <v>0</v>
      </c>
      <c r="L20" s="122">
        <f>Inputs!Q80*Data!V4</f>
        <v>0</v>
      </c>
      <c r="M20" s="122">
        <f>Inputs!R80*Data!W4</f>
        <v>0</v>
      </c>
      <c r="N20" s="122">
        <f>Inputs!S80*Data!X4</f>
        <v>0</v>
      </c>
      <c r="O20" s="122">
        <f>Inputs!T80*Data!Y4</f>
        <v>0</v>
      </c>
      <c r="P20" s="122">
        <f>Inputs!U80*Data!Z4</f>
        <v>0</v>
      </c>
      <c r="Q20" s="122">
        <f>Inputs!V80*Data!AA4</f>
        <v>0</v>
      </c>
      <c r="R20" s="122">
        <f>Inputs!W80*Data!AB4</f>
        <v>0</v>
      </c>
      <c r="S20" s="122">
        <f>Inputs!X80*Data!AC4</f>
        <v>0</v>
      </c>
      <c r="T20" s="122">
        <f>Inputs!Y80*Data!AD4</f>
        <v>0</v>
      </c>
      <c r="U20" s="122">
        <f>Inputs!Z80*Data!AE4</f>
        <v>0</v>
      </c>
      <c r="V20" s="122">
        <f>Inputs!AA80*Data!AF4</f>
        <v>0</v>
      </c>
      <c r="W20" s="122">
        <f>Inputs!AB80*Data!AG4</f>
        <v>0</v>
      </c>
      <c r="X20" s="122">
        <f>Inputs!AC80*Data!AH4</f>
        <v>0</v>
      </c>
      <c r="Y20" s="122">
        <f>Inputs!AD80*Data!AI4</f>
        <v>0</v>
      </c>
      <c r="Z20" s="122">
        <f>Inputs!AE80*Data!AJ4</f>
        <v>0</v>
      </c>
      <c r="AA20" s="122">
        <f>Inputs!AF80*Data!AK4</f>
        <v>0</v>
      </c>
      <c r="AB20" s="122">
        <f>Inputs!AG80*Data!AL4</f>
        <v>0</v>
      </c>
      <c r="AC20" s="122">
        <f>Inputs!AH80*Data!AM4</f>
        <v>0</v>
      </c>
      <c r="AD20" s="122">
        <f>Inputs!AI80*Data!AN4</f>
        <v>0</v>
      </c>
      <c r="AE20" s="122">
        <f>Inputs!AJ80*Data!AO4</f>
        <v>0</v>
      </c>
      <c r="AF20" s="122">
        <f>Inputs!AK80*Data!AP4</f>
        <v>0</v>
      </c>
      <c r="AG20" s="122">
        <f>Inputs!AL80*Data!AQ4</f>
        <v>0</v>
      </c>
      <c r="AH20" s="122">
        <f>Inputs!AM80*Data!AR4</f>
        <v>0</v>
      </c>
      <c r="AI20" s="122">
        <f>Inputs!AN80*Data!AS4</f>
        <v>0</v>
      </c>
      <c r="AJ20" s="122">
        <f>Inputs!AO80*Data!AT4</f>
        <v>0</v>
      </c>
      <c r="AK20" s="122">
        <f>Inputs!AP80*Data!AU4</f>
        <v>0</v>
      </c>
      <c r="AL20" s="122">
        <f>Inputs!AQ80*Data!AV4</f>
        <v>0</v>
      </c>
      <c r="AM20" s="122">
        <f>Inputs!AR80*Data!AW4</f>
        <v>0</v>
      </c>
      <c r="AN20" s="122">
        <f>Inputs!AS80*Data!AX4</f>
        <v>0</v>
      </c>
      <c r="AO20" s="122">
        <f>Inputs!AT80*Data!AY4</f>
        <v>0</v>
      </c>
      <c r="AP20" s="122">
        <f>Inputs!AU80*Data!AZ4</f>
        <v>0</v>
      </c>
      <c r="AQ20" s="122">
        <f>Inputs!AV80*Data!BA4</f>
        <v>0</v>
      </c>
      <c r="AR20" s="122">
        <f>Inputs!AW80*Data!BB4</f>
        <v>0</v>
      </c>
      <c r="AS20" s="122">
        <f>Inputs!AX80*Data!BC4</f>
        <v>0</v>
      </c>
      <c r="AT20" s="122">
        <f>Inputs!AY80*Data!BD4</f>
        <v>0</v>
      </c>
      <c r="AU20" s="122">
        <f>Inputs!AZ80*Data!BE4</f>
        <v>0</v>
      </c>
    </row>
    <row r="21" spans="1:47" x14ac:dyDescent="0.25">
      <c r="A21" s="10"/>
      <c r="B21" t="s">
        <v>180</v>
      </c>
      <c r="C21" s="122">
        <f>Inputs!H81*Data!M5</f>
        <v>0</v>
      </c>
      <c r="D21" s="122">
        <f>Inputs!I81*Data!N5</f>
        <v>0</v>
      </c>
      <c r="E21" s="122">
        <f>Inputs!J81*Data!O5</f>
        <v>0</v>
      </c>
      <c r="F21" s="122">
        <f>Inputs!K81*Data!P5</f>
        <v>0</v>
      </c>
      <c r="G21" s="122">
        <f>Inputs!L81*Data!Q5</f>
        <v>0</v>
      </c>
      <c r="H21" s="122">
        <f>Inputs!M81*Data!R5</f>
        <v>0</v>
      </c>
      <c r="I21" s="122">
        <f>Inputs!N81*Data!S5</f>
        <v>0</v>
      </c>
      <c r="J21" s="122">
        <f>Inputs!O81*Data!T5</f>
        <v>0</v>
      </c>
      <c r="K21" s="122">
        <f>Inputs!P81*Data!U5</f>
        <v>0</v>
      </c>
      <c r="L21" s="122">
        <f>Inputs!Q81*Data!V5</f>
        <v>0</v>
      </c>
      <c r="M21" s="122">
        <f>Inputs!R81*Data!W5</f>
        <v>0</v>
      </c>
      <c r="N21" s="122">
        <f>Inputs!S81*Data!X5</f>
        <v>0</v>
      </c>
      <c r="O21" s="122">
        <f>Inputs!T81*Data!Y5</f>
        <v>0</v>
      </c>
      <c r="P21" s="122">
        <f>Inputs!U81*Data!Z5</f>
        <v>0</v>
      </c>
      <c r="Q21" s="122">
        <f>Inputs!V81*Data!AA5</f>
        <v>0</v>
      </c>
      <c r="R21" s="122">
        <f>Inputs!W81*Data!AB5</f>
        <v>0</v>
      </c>
      <c r="S21" s="122">
        <f>Inputs!X81*Data!AC5</f>
        <v>0</v>
      </c>
      <c r="T21" s="122">
        <f>Inputs!Y81*Data!AD5</f>
        <v>0</v>
      </c>
      <c r="U21" s="122">
        <f>Inputs!Z81*Data!AE5</f>
        <v>0</v>
      </c>
      <c r="V21" s="122">
        <f>Inputs!AA81*Data!AF5</f>
        <v>0</v>
      </c>
      <c r="W21" s="122">
        <f>Inputs!AB81*Data!AG5</f>
        <v>0</v>
      </c>
      <c r="X21" s="122">
        <f>Inputs!AC81*Data!AH5</f>
        <v>0</v>
      </c>
      <c r="Y21" s="122">
        <f>Inputs!AD81*Data!AI5</f>
        <v>0</v>
      </c>
      <c r="Z21" s="122">
        <f>Inputs!AE81*Data!AJ5</f>
        <v>0</v>
      </c>
      <c r="AA21" s="122">
        <f>Inputs!AF81*Data!AK5</f>
        <v>0</v>
      </c>
      <c r="AB21" s="122">
        <f>Inputs!AG81*Data!AL5</f>
        <v>0</v>
      </c>
      <c r="AC21" s="122">
        <f>Inputs!AH81*Data!AM5</f>
        <v>0</v>
      </c>
      <c r="AD21" s="122">
        <f>Inputs!AI81*Data!AN5</f>
        <v>0</v>
      </c>
      <c r="AE21" s="122">
        <f>Inputs!AJ81*Data!AO5</f>
        <v>0</v>
      </c>
      <c r="AF21" s="122">
        <f>Inputs!AK81*Data!AP5</f>
        <v>0</v>
      </c>
      <c r="AG21" s="122">
        <f>Inputs!AL81*Data!AQ5</f>
        <v>0</v>
      </c>
      <c r="AH21" s="122">
        <f>Inputs!AM81*Data!AR5</f>
        <v>0</v>
      </c>
      <c r="AI21" s="122">
        <f>Inputs!AN81*Data!AS5</f>
        <v>0</v>
      </c>
      <c r="AJ21" s="122">
        <f>Inputs!AO81*Data!AT5</f>
        <v>0</v>
      </c>
      <c r="AK21" s="122">
        <f>Inputs!AP81*Data!AU5</f>
        <v>0</v>
      </c>
      <c r="AL21" s="122">
        <f>Inputs!AQ81*Data!AV5</f>
        <v>0</v>
      </c>
      <c r="AM21" s="122">
        <f>Inputs!AR81*Data!AW5</f>
        <v>0</v>
      </c>
      <c r="AN21" s="122">
        <f>Inputs!AS81*Data!AX5</f>
        <v>0</v>
      </c>
      <c r="AO21" s="122">
        <f>Inputs!AT81*Data!AY5</f>
        <v>0</v>
      </c>
      <c r="AP21" s="122">
        <f>Inputs!AU81*Data!AZ5</f>
        <v>0</v>
      </c>
      <c r="AQ21" s="122">
        <f>Inputs!AV81*Data!BA5</f>
        <v>0</v>
      </c>
      <c r="AR21" s="122">
        <f>Inputs!AW81*Data!BB5</f>
        <v>0</v>
      </c>
      <c r="AS21" s="122">
        <f>Inputs!AX81*Data!BC5</f>
        <v>0</v>
      </c>
      <c r="AT21" s="122">
        <f>Inputs!AY81*Data!BD5</f>
        <v>0</v>
      </c>
      <c r="AU21" s="122">
        <f>Inputs!AZ81*Data!BE5</f>
        <v>0</v>
      </c>
    </row>
    <row r="22" spans="1:47" x14ac:dyDescent="0.25">
      <c r="A22" s="10"/>
      <c r="B22" t="s">
        <v>181</v>
      </c>
      <c r="C22" s="122">
        <f>Inputs!H82*Data!M6</f>
        <v>0</v>
      </c>
      <c r="D22" s="122">
        <f>Inputs!I82*Data!N6</f>
        <v>0</v>
      </c>
      <c r="E22" s="122">
        <f>Inputs!J82*Data!O6</f>
        <v>0</v>
      </c>
      <c r="F22" s="122">
        <f>Inputs!K82*Data!P6</f>
        <v>0</v>
      </c>
      <c r="G22" s="122">
        <f>Inputs!L82*Data!Q6</f>
        <v>0</v>
      </c>
      <c r="H22" s="122">
        <f>Inputs!M82*Data!R6</f>
        <v>0</v>
      </c>
      <c r="I22" s="122">
        <f>Inputs!N82*Data!S6</f>
        <v>0</v>
      </c>
      <c r="J22" s="122">
        <f>Inputs!O82*Data!T6</f>
        <v>0</v>
      </c>
      <c r="K22" s="122">
        <f>Inputs!P82*Data!U6</f>
        <v>0</v>
      </c>
      <c r="L22" s="122">
        <f>Inputs!Q82*Data!V6</f>
        <v>0</v>
      </c>
      <c r="M22" s="122">
        <f>Inputs!R82*Data!W6</f>
        <v>0</v>
      </c>
      <c r="N22" s="122">
        <f>Inputs!S82*Data!X6</f>
        <v>0</v>
      </c>
      <c r="O22" s="122">
        <f>Inputs!T82*Data!Y6</f>
        <v>0</v>
      </c>
      <c r="P22" s="122">
        <f>Inputs!U82*Data!Z6</f>
        <v>0</v>
      </c>
      <c r="Q22" s="122">
        <f>Inputs!V82*Data!AA6</f>
        <v>0</v>
      </c>
      <c r="R22" s="122">
        <f>Inputs!W82*Data!AB6</f>
        <v>0</v>
      </c>
      <c r="S22" s="122">
        <f>Inputs!X82*Data!AC6</f>
        <v>0</v>
      </c>
      <c r="T22" s="122">
        <f>Inputs!Y82*Data!AD6</f>
        <v>0</v>
      </c>
      <c r="U22" s="122">
        <f>Inputs!Z82*Data!AE6</f>
        <v>0</v>
      </c>
      <c r="V22" s="122">
        <f>Inputs!AA82*Data!AF6</f>
        <v>0</v>
      </c>
      <c r="W22" s="122">
        <f>Inputs!AB82*Data!AG6</f>
        <v>0</v>
      </c>
      <c r="X22" s="122">
        <f>Inputs!AC82*Data!AH6</f>
        <v>0</v>
      </c>
      <c r="Y22" s="122">
        <f>Inputs!AD82*Data!AI6</f>
        <v>0</v>
      </c>
      <c r="Z22" s="122">
        <f>Inputs!AE82*Data!AJ6</f>
        <v>0</v>
      </c>
      <c r="AA22" s="122">
        <f>Inputs!AF82*Data!AK6</f>
        <v>0</v>
      </c>
      <c r="AB22" s="122">
        <f>Inputs!AG82*Data!AL6</f>
        <v>0</v>
      </c>
      <c r="AC22" s="122">
        <f>Inputs!AH82*Data!AM6</f>
        <v>0</v>
      </c>
      <c r="AD22" s="122">
        <f>Inputs!AI82*Data!AN6</f>
        <v>0</v>
      </c>
      <c r="AE22" s="122">
        <f>Inputs!AJ82*Data!AO6</f>
        <v>0</v>
      </c>
      <c r="AF22" s="122">
        <f>Inputs!AK82*Data!AP6</f>
        <v>0</v>
      </c>
      <c r="AG22" s="122">
        <f>Inputs!AL82*Data!AQ6</f>
        <v>0</v>
      </c>
      <c r="AH22" s="122">
        <f>Inputs!AM82*Data!AR6</f>
        <v>0</v>
      </c>
      <c r="AI22" s="122">
        <f>Inputs!AN82*Data!AS6</f>
        <v>0</v>
      </c>
      <c r="AJ22" s="122">
        <f>Inputs!AO82*Data!AT6</f>
        <v>0</v>
      </c>
      <c r="AK22" s="122">
        <f>Inputs!AP82*Data!AU6</f>
        <v>0</v>
      </c>
      <c r="AL22" s="122">
        <f>Inputs!AQ82*Data!AV6</f>
        <v>0</v>
      </c>
      <c r="AM22" s="122">
        <f>Inputs!AR82*Data!AW6</f>
        <v>0</v>
      </c>
      <c r="AN22" s="122">
        <f>Inputs!AS82*Data!AX6</f>
        <v>0</v>
      </c>
      <c r="AO22" s="122">
        <f>Inputs!AT82*Data!AY6</f>
        <v>0</v>
      </c>
      <c r="AP22" s="122">
        <f>Inputs!AU82*Data!AZ6</f>
        <v>0</v>
      </c>
      <c r="AQ22" s="122">
        <f>Inputs!AV82*Data!BA6</f>
        <v>0</v>
      </c>
      <c r="AR22" s="122">
        <f>Inputs!AW82*Data!BB6</f>
        <v>0</v>
      </c>
      <c r="AS22" s="122">
        <f>Inputs!AX82*Data!BC6</f>
        <v>0</v>
      </c>
      <c r="AT22" s="122">
        <f>Inputs!AY82*Data!BD6</f>
        <v>0</v>
      </c>
      <c r="AU22" s="122">
        <f>Inputs!AZ82*Data!BE6</f>
        <v>0</v>
      </c>
    </row>
    <row r="23" spans="1:47" x14ac:dyDescent="0.25">
      <c r="A23" s="10"/>
      <c r="B23" t="s">
        <v>182</v>
      </c>
      <c r="C23" s="122">
        <f>Inputs!H83*Data!M7</f>
        <v>0</v>
      </c>
      <c r="D23" s="122">
        <f>Inputs!I83*Data!N7</f>
        <v>0</v>
      </c>
      <c r="E23" s="122">
        <f>Inputs!J83*Data!O7</f>
        <v>0</v>
      </c>
      <c r="F23" s="122">
        <f>Inputs!K83*Data!P7</f>
        <v>0</v>
      </c>
      <c r="G23" s="122">
        <f>Inputs!L83*Data!Q7</f>
        <v>0</v>
      </c>
      <c r="H23" s="122">
        <f>Inputs!M83*Data!R7</f>
        <v>0</v>
      </c>
      <c r="I23" s="122">
        <f>Inputs!N83*Data!S7</f>
        <v>0</v>
      </c>
      <c r="J23" s="122">
        <f>Inputs!O83*Data!T7</f>
        <v>0</v>
      </c>
      <c r="K23" s="122">
        <f>Inputs!P83*Data!U7</f>
        <v>0</v>
      </c>
      <c r="L23" s="122">
        <f>Inputs!Q83*Data!V7</f>
        <v>0</v>
      </c>
      <c r="M23" s="122">
        <f>Inputs!R83*Data!W7</f>
        <v>0</v>
      </c>
      <c r="N23" s="122">
        <f>Inputs!S83*Data!X7</f>
        <v>0</v>
      </c>
      <c r="O23" s="122">
        <f>Inputs!T83*Data!Y7</f>
        <v>0</v>
      </c>
      <c r="P23" s="122">
        <f>Inputs!U83*Data!Z7</f>
        <v>0</v>
      </c>
      <c r="Q23" s="122">
        <f>Inputs!V83*Data!AA7</f>
        <v>0</v>
      </c>
      <c r="R23" s="122">
        <f>Inputs!W83*Data!AB7</f>
        <v>0</v>
      </c>
      <c r="S23" s="122">
        <f>Inputs!X83*Data!AC7</f>
        <v>0</v>
      </c>
      <c r="T23" s="122">
        <f>Inputs!Y83*Data!AD7</f>
        <v>0</v>
      </c>
      <c r="U23" s="122">
        <f>Inputs!Z83*Data!AE7</f>
        <v>0</v>
      </c>
      <c r="V23" s="122">
        <f>Inputs!AA83*Data!AF7</f>
        <v>0</v>
      </c>
      <c r="W23" s="122">
        <f>Inputs!AB83*Data!AG7</f>
        <v>0</v>
      </c>
      <c r="X23" s="122">
        <f>Inputs!AC83*Data!AH7</f>
        <v>0</v>
      </c>
      <c r="Y23" s="122">
        <f>Inputs!AD83*Data!AI7</f>
        <v>0</v>
      </c>
      <c r="Z23" s="122">
        <f>Inputs!AE83*Data!AJ7</f>
        <v>0</v>
      </c>
      <c r="AA23" s="122">
        <f>Inputs!AF83*Data!AK7</f>
        <v>0</v>
      </c>
      <c r="AB23" s="122">
        <f>Inputs!AG83*Data!AL7</f>
        <v>0</v>
      </c>
      <c r="AC23" s="122">
        <f>Inputs!AH83*Data!AM7</f>
        <v>0</v>
      </c>
      <c r="AD23" s="122">
        <f>Inputs!AI83*Data!AN7</f>
        <v>0</v>
      </c>
      <c r="AE23" s="122">
        <f>Inputs!AJ83*Data!AO7</f>
        <v>0</v>
      </c>
      <c r="AF23" s="122">
        <f>Inputs!AK83*Data!AP7</f>
        <v>0</v>
      </c>
      <c r="AG23" s="122">
        <f>Inputs!AL83*Data!AQ7</f>
        <v>0</v>
      </c>
      <c r="AH23" s="122">
        <f>Inputs!AM83*Data!AR7</f>
        <v>0</v>
      </c>
      <c r="AI23" s="122">
        <f>Inputs!AN83*Data!AS7</f>
        <v>0</v>
      </c>
      <c r="AJ23" s="122">
        <f>Inputs!AO83*Data!AT7</f>
        <v>0</v>
      </c>
      <c r="AK23" s="122">
        <f>Inputs!AP83*Data!AU7</f>
        <v>0</v>
      </c>
      <c r="AL23" s="122">
        <f>Inputs!AQ83*Data!AV7</f>
        <v>0</v>
      </c>
      <c r="AM23" s="122">
        <f>Inputs!AR83*Data!AW7</f>
        <v>0</v>
      </c>
      <c r="AN23" s="122">
        <f>Inputs!AS83*Data!AX7</f>
        <v>0</v>
      </c>
      <c r="AO23" s="122">
        <f>Inputs!AT83*Data!AY7</f>
        <v>0</v>
      </c>
      <c r="AP23" s="122">
        <f>Inputs!AU83*Data!AZ7</f>
        <v>0</v>
      </c>
      <c r="AQ23" s="122">
        <f>Inputs!AV83*Data!BA7</f>
        <v>0</v>
      </c>
      <c r="AR23" s="122">
        <f>Inputs!AW83*Data!BB7</f>
        <v>0</v>
      </c>
      <c r="AS23" s="122">
        <f>Inputs!AX83*Data!BC7</f>
        <v>0</v>
      </c>
      <c r="AT23" s="122">
        <f>Inputs!AY83*Data!BD7</f>
        <v>0</v>
      </c>
      <c r="AU23" s="122">
        <f>Inputs!AZ83*Data!BE7</f>
        <v>0</v>
      </c>
    </row>
    <row r="24" spans="1:47" x14ac:dyDescent="0.25">
      <c r="A24" s="10"/>
      <c r="B24" t="s">
        <v>183</v>
      </c>
      <c r="C24" s="122">
        <f>Inputs!H84*Data!M8</f>
        <v>0</v>
      </c>
      <c r="D24" s="122">
        <f>Inputs!I84*Data!N8</f>
        <v>0</v>
      </c>
      <c r="E24" s="122">
        <f>Inputs!J84*Data!O8</f>
        <v>0</v>
      </c>
      <c r="F24" s="122">
        <f>Inputs!K84*Data!P8</f>
        <v>0</v>
      </c>
      <c r="G24" s="122">
        <f>Inputs!L84*Data!Q8</f>
        <v>0</v>
      </c>
      <c r="H24" s="122">
        <f>Inputs!M84*Data!R8</f>
        <v>0</v>
      </c>
      <c r="I24" s="122">
        <f>Inputs!N84*Data!S8</f>
        <v>0</v>
      </c>
      <c r="J24" s="122">
        <f>Inputs!O84*Data!T8</f>
        <v>0</v>
      </c>
      <c r="K24" s="122">
        <f>Inputs!P84*Data!U8</f>
        <v>0</v>
      </c>
      <c r="L24" s="122">
        <f>Inputs!Q84*Data!V8</f>
        <v>0</v>
      </c>
      <c r="M24" s="122">
        <f>Inputs!R84*Data!W8</f>
        <v>0</v>
      </c>
      <c r="N24" s="122">
        <f>Inputs!S84*Data!X8</f>
        <v>0</v>
      </c>
      <c r="O24" s="122">
        <f>Inputs!T84*Data!Y8</f>
        <v>0</v>
      </c>
      <c r="P24" s="122">
        <f>Inputs!U84*Data!Z8</f>
        <v>0</v>
      </c>
      <c r="Q24" s="122">
        <f>Inputs!V84*Data!AA8</f>
        <v>0</v>
      </c>
      <c r="R24" s="122">
        <f>Inputs!W84*Data!AB8</f>
        <v>0</v>
      </c>
      <c r="S24" s="122">
        <f>Inputs!X84*Data!AC8</f>
        <v>0</v>
      </c>
      <c r="T24" s="122">
        <f>Inputs!Y84*Data!AD8</f>
        <v>0</v>
      </c>
      <c r="U24" s="122">
        <f>Inputs!Z84*Data!AE8</f>
        <v>0</v>
      </c>
      <c r="V24" s="122">
        <f>Inputs!AA84*Data!AF8</f>
        <v>0</v>
      </c>
      <c r="W24" s="122">
        <f>Inputs!AB84*Data!AG8</f>
        <v>0</v>
      </c>
      <c r="X24" s="122">
        <f>Inputs!AC84*Data!AH8</f>
        <v>0</v>
      </c>
      <c r="Y24" s="122">
        <f>Inputs!AD84*Data!AI8</f>
        <v>0</v>
      </c>
      <c r="Z24" s="122">
        <f>Inputs!AE84*Data!AJ8</f>
        <v>0</v>
      </c>
      <c r="AA24" s="122">
        <f>Inputs!AF84*Data!AK8</f>
        <v>0</v>
      </c>
      <c r="AB24" s="122">
        <f>Inputs!AG84*Data!AL8</f>
        <v>0</v>
      </c>
      <c r="AC24" s="122">
        <f>Inputs!AH84*Data!AM8</f>
        <v>0</v>
      </c>
      <c r="AD24" s="122">
        <f>Inputs!AI84*Data!AN8</f>
        <v>0</v>
      </c>
      <c r="AE24" s="122">
        <f>Inputs!AJ84*Data!AO8</f>
        <v>0</v>
      </c>
      <c r="AF24" s="122">
        <f>Inputs!AK84*Data!AP8</f>
        <v>0</v>
      </c>
      <c r="AG24" s="122">
        <f>Inputs!AL84*Data!AQ8</f>
        <v>0</v>
      </c>
      <c r="AH24" s="122">
        <f>Inputs!AM84*Data!AR8</f>
        <v>0</v>
      </c>
      <c r="AI24" s="122">
        <f>Inputs!AN84*Data!AS8</f>
        <v>0</v>
      </c>
      <c r="AJ24" s="122">
        <f>Inputs!AO84*Data!AT8</f>
        <v>0</v>
      </c>
      <c r="AK24" s="122">
        <f>Inputs!AP84*Data!AU8</f>
        <v>0</v>
      </c>
      <c r="AL24" s="122">
        <f>Inputs!AQ84*Data!AV8</f>
        <v>0</v>
      </c>
      <c r="AM24" s="122">
        <f>Inputs!AR84*Data!AW8</f>
        <v>0</v>
      </c>
      <c r="AN24" s="122">
        <f>Inputs!AS84*Data!AX8</f>
        <v>0</v>
      </c>
      <c r="AO24" s="122">
        <f>Inputs!AT84*Data!AY8</f>
        <v>0</v>
      </c>
      <c r="AP24" s="122">
        <f>Inputs!AU84*Data!AZ8</f>
        <v>0</v>
      </c>
      <c r="AQ24" s="122">
        <f>Inputs!AV84*Data!BA8</f>
        <v>0</v>
      </c>
      <c r="AR24" s="122">
        <f>Inputs!AW84*Data!BB8</f>
        <v>0</v>
      </c>
      <c r="AS24" s="122">
        <f>Inputs!AX84*Data!BC8</f>
        <v>0</v>
      </c>
      <c r="AT24" s="122">
        <f>Inputs!AY84*Data!BD8</f>
        <v>0</v>
      </c>
      <c r="AU24" s="122">
        <f>Inputs!AZ84*Data!BE8</f>
        <v>0</v>
      </c>
    </row>
    <row r="25" spans="1:47" x14ac:dyDescent="0.25">
      <c r="B25" t="s">
        <v>184</v>
      </c>
      <c r="C25" s="122">
        <f>Inputs!H85*Data!M9</f>
        <v>0</v>
      </c>
      <c r="D25" s="122">
        <f>Inputs!I85*Data!N9</f>
        <v>0</v>
      </c>
      <c r="E25" s="122">
        <f>Inputs!J85*Data!O9</f>
        <v>0</v>
      </c>
      <c r="F25" s="122">
        <f>Inputs!K85*Data!P9</f>
        <v>0</v>
      </c>
      <c r="G25" s="122">
        <f>Inputs!L85*Data!Q9</f>
        <v>0</v>
      </c>
      <c r="H25" s="122">
        <f>Inputs!M85*Data!R9</f>
        <v>0</v>
      </c>
      <c r="I25" s="122">
        <f>Inputs!N85*Data!S9</f>
        <v>0</v>
      </c>
      <c r="J25" s="122">
        <f>Inputs!O85*Data!T9</f>
        <v>0</v>
      </c>
      <c r="K25" s="122">
        <f>Inputs!P85*Data!U9</f>
        <v>0</v>
      </c>
      <c r="L25" s="122">
        <f>Inputs!Q85*Data!V9</f>
        <v>0</v>
      </c>
      <c r="M25" s="122">
        <f>Inputs!R85*Data!W9</f>
        <v>0</v>
      </c>
      <c r="N25" s="122">
        <f>Inputs!S85*Data!X9</f>
        <v>0</v>
      </c>
      <c r="O25" s="122">
        <f>Inputs!T85*Data!Y9</f>
        <v>0</v>
      </c>
      <c r="P25" s="122">
        <f>Inputs!U85*Data!Z9</f>
        <v>0</v>
      </c>
      <c r="Q25" s="122">
        <f>Inputs!V85*Data!AA9</f>
        <v>0</v>
      </c>
      <c r="R25" s="122">
        <f>Inputs!W85*Data!AB9</f>
        <v>0</v>
      </c>
      <c r="S25" s="122">
        <f>Inputs!X85*Data!AC9</f>
        <v>0</v>
      </c>
      <c r="T25" s="122">
        <f>Inputs!Y85*Data!AD9</f>
        <v>0</v>
      </c>
      <c r="U25" s="122">
        <f>Inputs!Z85*Data!AE9</f>
        <v>0</v>
      </c>
      <c r="V25" s="122">
        <f>Inputs!AA85*Data!AF9</f>
        <v>0</v>
      </c>
      <c r="W25" s="122">
        <f>Inputs!AB85*Data!AG9</f>
        <v>0</v>
      </c>
      <c r="X25" s="122">
        <f>Inputs!AC85*Data!AH9</f>
        <v>0</v>
      </c>
      <c r="Y25" s="122">
        <f>Inputs!AD85*Data!AI9</f>
        <v>0</v>
      </c>
      <c r="Z25" s="122">
        <f>Inputs!AE85*Data!AJ9</f>
        <v>0</v>
      </c>
      <c r="AA25" s="122">
        <f>Inputs!AF85*Data!AK9</f>
        <v>0</v>
      </c>
      <c r="AB25" s="122">
        <f>Inputs!AG85*Data!AL9</f>
        <v>0</v>
      </c>
      <c r="AC25" s="122">
        <f>Inputs!AH85*Data!AM9</f>
        <v>0</v>
      </c>
      <c r="AD25" s="122">
        <f>Inputs!AI85*Data!AN9</f>
        <v>0</v>
      </c>
      <c r="AE25" s="122">
        <f>Inputs!AJ85*Data!AO9</f>
        <v>0</v>
      </c>
      <c r="AF25" s="122">
        <f>Inputs!AK85*Data!AP9</f>
        <v>0</v>
      </c>
      <c r="AG25" s="122">
        <f>Inputs!AL85*Data!AQ9</f>
        <v>0</v>
      </c>
      <c r="AH25" s="122">
        <f>Inputs!AM85*Data!AR9</f>
        <v>0</v>
      </c>
      <c r="AI25" s="122">
        <f>Inputs!AN85*Data!AS9</f>
        <v>0</v>
      </c>
      <c r="AJ25" s="122">
        <f>Inputs!AO85*Data!AT9</f>
        <v>0</v>
      </c>
      <c r="AK25" s="122">
        <f>Inputs!AP85*Data!AU9</f>
        <v>0</v>
      </c>
      <c r="AL25" s="122">
        <f>Inputs!AQ85*Data!AV9</f>
        <v>0</v>
      </c>
      <c r="AM25" s="122">
        <f>Inputs!AR85*Data!AW9</f>
        <v>0</v>
      </c>
      <c r="AN25" s="122">
        <f>Inputs!AS85*Data!AX9</f>
        <v>0</v>
      </c>
      <c r="AO25" s="122">
        <f>Inputs!AT85*Data!AY9</f>
        <v>0</v>
      </c>
      <c r="AP25" s="122">
        <f>Inputs!AU85*Data!AZ9</f>
        <v>0</v>
      </c>
      <c r="AQ25" s="122">
        <f>Inputs!AV85*Data!BA9</f>
        <v>0</v>
      </c>
      <c r="AR25" s="122">
        <f>Inputs!AW85*Data!BB9</f>
        <v>0</v>
      </c>
      <c r="AS25" s="122">
        <f>Inputs!AX85*Data!BC9</f>
        <v>0</v>
      </c>
      <c r="AT25" s="122">
        <f>Inputs!AY85*Data!BD9</f>
        <v>0</v>
      </c>
      <c r="AU25" s="122">
        <f>Inputs!AZ85*Data!BE9</f>
        <v>0</v>
      </c>
    </row>
    <row r="26" spans="1:47" x14ac:dyDescent="0.25">
      <c r="B26" t="s">
        <v>185</v>
      </c>
      <c r="C26" s="122">
        <f>Inputs!H86*Data!M10</f>
        <v>0</v>
      </c>
      <c r="D26" s="122">
        <f>Inputs!I86*Data!N10</f>
        <v>0</v>
      </c>
      <c r="E26" s="122">
        <f>Inputs!J86*Data!O10</f>
        <v>0</v>
      </c>
      <c r="F26" s="122">
        <f>Inputs!K86*Data!P10</f>
        <v>0</v>
      </c>
      <c r="G26" s="122">
        <f>Inputs!L86*Data!Q10</f>
        <v>0</v>
      </c>
      <c r="H26" s="122">
        <f>Inputs!M86*Data!R10</f>
        <v>0</v>
      </c>
      <c r="I26" s="122">
        <f>Inputs!N86*Data!S10</f>
        <v>0</v>
      </c>
      <c r="J26" s="122">
        <f>Inputs!O86*Data!T10</f>
        <v>0</v>
      </c>
      <c r="K26" s="122">
        <f>Inputs!P86*Data!U10</f>
        <v>0</v>
      </c>
      <c r="L26" s="122">
        <f>Inputs!Q86*Data!V10</f>
        <v>0</v>
      </c>
      <c r="M26" s="122">
        <f>Inputs!R86*Data!W10</f>
        <v>0</v>
      </c>
      <c r="N26" s="122">
        <f>Inputs!S86*Data!X10</f>
        <v>0</v>
      </c>
      <c r="O26" s="122">
        <f>Inputs!T86*Data!Y10</f>
        <v>0</v>
      </c>
      <c r="P26" s="122">
        <f>Inputs!U86*Data!Z10</f>
        <v>0</v>
      </c>
      <c r="Q26" s="122">
        <f>Inputs!V86*Data!AA10</f>
        <v>0</v>
      </c>
      <c r="R26" s="122">
        <f>Inputs!W86*Data!AB10</f>
        <v>0</v>
      </c>
      <c r="S26" s="122">
        <f>Inputs!X86*Data!AC10</f>
        <v>0</v>
      </c>
      <c r="T26" s="122">
        <f>Inputs!Y86*Data!AD10</f>
        <v>0</v>
      </c>
      <c r="U26" s="122">
        <f>Inputs!Z86*Data!AE10</f>
        <v>0</v>
      </c>
      <c r="V26" s="122">
        <f>Inputs!AA86*Data!AF10</f>
        <v>0</v>
      </c>
      <c r="W26" s="122">
        <f>Inputs!AB86*Data!AG10</f>
        <v>0</v>
      </c>
      <c r="X26" s="122">
        <f>Inputs!AC86*Data!AH10</f>
        <v>0</v>
      </c>
      <c r="Y26" s="122">
        <f>Inputs!AD86*Data!AI10</f>
        <v>0</v>
      </c>
      <c r="Z26" s="122">
        <f>Inputs!AE86*Data!AJ10</f>
        <v>0</v>
      </c>
      <c r="AA26" s="122">
        <f>Inputs!AF86*Data!AK10</f>
        <v>0</v>
      </c>
      <c r="AB26" s="122">
        <f>Inputs!AG86*Data!AL10</f>
        <v>0</v>
      </c>
      <c r="AC26" s="122">
        <f>Inputs!AH86*Data!AM10</f>
        <v>0</v>
      </c>
      <c r="AD26" s="122">
        <f>Inputs!AI86*Data!AN10</f>
        <v>0</v>
      </c>
      <c r="AE26" s="122">
        <f>Inputs!AJ86*Data!AO10</f>
        <v>0</v>
      </c>
      <c r="AF26" s="122">
        <f>Inputs!AK86*Data!AP10</f>
        <v>0</v>
      </c>
      <c r="AG26" s="122">
        <f>Inputs!AL86*Data!AQ10</f>
        <v>0</v>
      </c>
      <c r="AH26" s="122">
        <f>Inputs!AM86*Data!AR10</f>
        <v>0</v>
      </c>
      <c r="AI26" s="122">
        <f>Inputs!AN86*Data!AS10</f>
        <v>0</v>
      </c>
      <c r="AJ26" s="122">
        <f>Inputs!AO86*Data!AT10</f>
        <v>0</v>
      </c>
      <c r="AK26" s="122">
        <f>Inputs!AP86*Data!AU10</f>
        <v>0</v>
      </c>
      <c r="AL26" s="122">
        <f>Inputs!AQ86*Data!AV10</f>
        <v>0</v>
      </c>
      <c r="AM26" s="122">
        <f>Inputs!AR86*Data!AW10</f>
        <v>0</v>
      </c>
      <c r="AN26" s="122">
        <f>Inputs!AS86*Data!AX10</f>
        <v>0</v>
      </c>
      <c r="AO26" s="122">
        <f>Inputs!AT86*Data!AY10</f>
        <v>0</v>
      </c>
      <c r="AP26" s="122">
        <f>Inputs!AU86*Data!AZ10</f>
        <v>0</v>
      </c>
      <c r="AQ26" s="122">
        <f>Inputs!AV86*Data!BA10</f>
        <v>0</v>
      </c>
      <c r="AR26" s="122">
        <f>Inputs!AW86*Data!BB10</f>
        <v>0</v>
      </c>
      <c r="AS26" s="122">
        <f>Inputs!AX86*Data!BC10</f>
        <v>0</v>
      </c>
      <c r="AT26" s="122">
        <f>Inputs!AY86*Data!BD10</f>
        <v>0</v>
      </c>
      <c r="AU26" s="122">
        <f>Inputs!AZ86*Data!BE10</f>
        <v>0</v>
      </c>
    </row>
    <row r="27" spans="1:47" x14ac:dyDescent="0.25">
      <c r="B27" t="s">
        <v>186</v>
      </c>
      <c r="C27" s="122">
        <f>Inputs!H87*Data!M11</f>
        <v>0</v>
      </c>
      <c r="D27" s="122">
        <f>Inputs!I87*Data!N11</f>
        <v>0</v>
      </c>
      <c r="E27" s="122">
        <f>Inputs!J87*Data!O11</f>
        <v>0</v>
      </c>
      <c r="F27" s="122">
        <f>Inputs!K87*Data!P11</f>
        <v>0</v>
      </c>
      <c r="G27" s="122">
        <f>Inputs!L87*Data!Q11</f>
        <v>0</v>
      </c>
      <c r="H27" s="122">
        <f>Inputs!M87*Data!R11</f>
        <v>0</v>
      </c>
      <c r="I27" s="122">
        <f>Inputs!N87*Data!S11</f>
        <v>0</v>
      </c>
      <c r="J27" s="122">
        <f>Inputs!O87*Data!T11</f>
        <v>0</v>
      </c>
      <c r="K27" s="122">
        <f>Inputs!P87*Data!U11</f>
        <v>0</v>
      </c>
      <c r="L27" s="122">
        <f>Inputs!Q87*Data!V11</f>
        <v>0</v>
      </c>
      <c r="M27" s="122">
        <f>Inputs!R87*Data!W11</f>
        <v>0</v>
      </c>
      <c r="N27" s="122">
        <f>Inputs!S87*Data!X11</f>
        <v>0</v>
      </c>
      <c r="O27" s="122">
        <f>Inputs!T87*Data!Y11</f>
        <v>0</v>
      </c>
      <c r="P27" s="122">
        <f>Inputs!U87*Data!Z11</f>
        <v>0</v>
      </c>
      <c r="Q27" s="122">
        <f>Inputs!V87*Data!AA11</f>
        <v>0</v>
      </c>
      <c r="R27" s="122">
        <f>Inputs!W87*Data!AB11</f>
        <v>0</v>
      </c>
      <c r="S27" s="122">
        <f>Inputs!X87*Data!AC11</f>
        <v>0</v>
      </c>
      <c r="T27" s="122">
        <f>Inputs!Y87*Data!AD11</f>
        <v>0</v>
      </c>
      <c r="U27" s="122">
        <f>Inputs!Z87*Data!AE11</f>
        <v>0</v>
      </c>
      <c r="V27" s="122">
        <f>Inputs!AA87*Data!AF11</f>
        <v>0</v>
      </c>
      <c r="W27" s="122">
        <f>Inputs!AB87*Data!AG11</f>
        <v>0</v>
      </c>
      <c r="X27" s="122">
        <f>Inputs!AC87*Data!AH11</f>
        <v>0</v>
      </c>
      <c r="Y27" s="122">
        <f>Inputs!AD87*Data!AI11</f>
        <v>0</v>
      </c>
      <c r="Z27" s="122">
        <f>Inputs!AE87*Data!AJ11</f>
        <v>0</v>
      </c>
      <c r="AA27" s="122">
        <f>Inputs!AF87*Data!AK11</f>
        <v>0</v>
      </c>
      <c r="AB27" s="122">
        <f>Inputs!AG87*Data!AL11</f>
        <v>0</v>
      </c>
      <c r="AC27" s="122">
        <f>Inputs!AH87*Data!AM11</f>
        <v>0</v>
      </c>
      <c r="AD27" s="122">
        <f>Inputs!AI87*Data!AN11</f>
        <v>0</v>
      </c>
      <c r="AE27" s="122">
        <f>Inputs!AJ87*Data!AO11</f>
        <v>0</v>
      </c>
      <c r="AF27" s="122">
        <f>Inputs!AK87*Data!AP11</f>
        <v>0</v>
      </c>
      <c r="AG27" s="122">
        <f>Inputs!AL87*Data!AQ11</f>
        <v>0</v>
      </c>
      <c r="AH27" s="122">
        <f>Inputs!AM87*Data!AR11</f>
        <v>0</v>
      </c>
      <c r="AI27" s="122">
        <f>Inputs!AN87*Data!AS11</f>
        <v>0</v>
      </c>
      <c r="AJ27" s="122">
        <f>Inputs!AO87*Data!AT11</f>
        <v>0</v>
      </c>
      <c r="AK27" s="122">
        <f>Inputs!AP87*Data!AU11</f>
        <v>0</v>
      </c>
      <c r="AL27" s="122">
        <f>Inputs!AQ87*Data!AV11</f>
        <v>0</v>
      </c>
      <c r="AM27" s="122">
        <f>Inputs!AR87*Data!AW11</f>
        <v>0</v>
      </c>
      <c r="AN27" s="122">
        <f>Inputs!AS87*Data!AX11</f>
        <v>0</v>
      </c>
      <c r="AO27" s="122">
        <f>Inputs!AT87*Data!AY11</f>
        <v>0</v>
      </c>
      <c r="AP27" s="122">
        <f>Inputs!AU87*Data!AZ11</f>
        <v>0</v>
      </c>
      <c r="AQ27" s="122">
        <f>Inputs!AV87*Data!BA11</f>
        <v>0</v>
      </c>
      <c r="AR27" s="122">
        <f>Inputs!AW87*Data!BB11</f>
        <v>0</v>
      </c>
      <c r="AS27" s="122">
        <f>Inputs!AX87*Data!BC11</f>
        <v>0</v>
      </c>
      <c r="AT27" s="122">
        <f>Inputs!AY87*Data!BD11</f>
        <v>0</v>
      </c>
      <c r="AU27" s="122">
        <f>Inputs!AZ87*Data!BE11</f>
        <v>0</v>
      </c>
    </row>
    <row r="28" spans="1:47" x14ac:dyDescent="0.25">
      <c r="A28" s="57"/>
      <c r="B28" s="57" t="s">
        <v>187</v>
      </c>
      <c r="C28" s="67">
        <f>Inputs!H88*Data!M12</f>
        <v>0</v>
      </c>
      <c r="D28" s="67">
        <f>Inputs!I88*Data!N12</f>
        <v>0</v>
      </c>
      <c r="E28" s="67">
        <f>Inputs!J88*Data!O12</f>
        <v>0</v>
      </c>
      <c r="F28" s="67">
        <f>Inputs!K88*Data!P12</f>
        <v>0</v>
      </c>
      <c r="G28" s="67">
        <f>Inputs!L88*Data!Q12</f>
        <v>0</v>
      </c>
      <c r="H28" s="67">
        <f>Inputs!M88*Data!R12</f>
        <v>0</v>
      </c>
      <c r="I28" s="67">
        <f>Inputs!N88*Data!S12</f>
        <v>0</v>
      </c>
      <c r="J28" s="67">
        <f>Inputs!O88*Data!T12</f>
        <v>0</v>
      </c>
      <c r="K28" s="67">
        <f>Inputs!P88*Data!U12</f>
        <v>0</v>
      </c>
      <c r="L28" s="67">
        <f>Inputs!Q88*Data!V12</f>
        <v>0</v>
      </c>
      <c r="M28" s="67">
        <f>Inputs!R88*Data!W12</f>
        <v>0</v>
      </c>
      <c r="N28" s="67">
        <f>Inputs!S88*Data!X12</f>
        <v>0</v>
      </c>
      <c r="O28" s="67">
        <f>Inputs!T88*Data!Y12</f>
        <v>0</v>
      </c>
      <c r="P28" s="67">
        <f>Inputs!U88*Data!Z12</f>
        <v>0</v>
      </c>
      <c r="Q28" s="67">
        <f>Inputs!V88*Data!AA12</f>
        <v>0</v>
      </c>
      <c r="R28" s="67">
        <f>Inputs!W88*Data!AB12</f>
        <v>0</v>
      </c>
      <c r="S28" s="67">
        <f>Inputs!X88*Data!AC12</f>
        <v>0</v>
      </c>
      <c r="T28" s="67">
        <f>Inputs!Y88*Data!AD12</f>
        <v>0</v>
      </c>
      <c r="U28" s="67">
        <f>Inputs!Z88*Data!AE12</f>
        <v>0</v>
      </c>
      <c r="V28" s="67">
        <f>Inputs!AA88*Data!AF12</f>
        <v>0</v>
      </c>
      <c r="W28" s="67">
        <f>Inputs!AB88*Data!AG12</f>
        <v>0</v>
      </c>
      <c r="X28" s="67">
        <f>Inputs!AC88*Data!AH12</f>
        <v>0</v>
      </c>
      <c r="Y28" s="67">
        <f>Inputs!AD88*Data!AI12</f>
        <v>0</v>
      </c>
      <c r="Z28" s="67">
        <f>Inputs!AE88*Data!AJ12</f>
        <v>0</v>
      </c>
      <c r="AA28" s="67">
        <f>Inputs!AF88*Data!AK12</f>
        <v>0</v>
      </c>
      <c r="AB28" s="67">
        <f>Inputs!AG88*Data!AL12</f>
        <v>0</v>
      </c>
      <c r="AC28" s="67">
        <f>Inputs!AH88*Data!AM12</f>
        <v>0</v>
      </c>
      <c r="AD28" s="67">
        <f>Inputs!AI88*Data!AN12</f>
        <v>0</v>
      </c>
      <c r="AE28" s="67">
        <f>Inputs!AJ88*Data!AO12</f>
        <v>0</v>
      </c>
      <c r="AF28" s="67">
        <f>Inputs!AK88*Data!AP12</f>
        <v>0</v>
      </c>
      <c r="AG28" s="67">
        <f>Inputs!AL88*Data!AQ12</f>
        <v>0</v>
      </c>
      <c r="AH28" s="67">
        <f>Inputs!AM88*Data!AR12</f>
        <v>0</v>
      </c>
      <c r="AI28" s="67">
        <f>Inputs!AN88*Data!AS12</f>
        <v>0</v>
      </c>
      <c r="AJ28" s="67">
        <f>Inputs!AO88*Data!AT12</f>
        <v>0</v>
      </c>
      <c r="AK28" s="67">
        <f>Inputs!AP88*Data!AU12</f>
        <v>0</v>
      </c>
      <c r="AL28" s="67">
        <f>Inputs!AQ88*Data!AV12</f>
        <v>0</v>
      </c>
      <c r="AM28" s="67">
        <f>Inputs!AR88*Data!AW12</f>
        <v>0</v>
      </c>
      <c r="AN28" s="67">
        <f>Inputs!AS88*Data!AX12</f>
        <v>0</v>
      </c>
      <c r="AO28" s="67">
        <f>Inputs!AT88*Data!AY12</f>
        <v>0</v>
      </c>
      <c r="AP28" s="67">
        <f>Inputs!AU88*Data!AZ12</f>
        <v>0</v>
      </c>
      <c r="AQ28" s="67">
        <f>Inputs!AV88*Data!BA12</f>
        <v>0</v>
      </c>
      <c r="AR28" s="67">
        <f>Inputs!AW88*Data!BB12</f>
        <v>0</v>
      </c>
      <c r="AS28" s="67">
        <f>Inputs!AX88*Data!BC12</f>
        <v>0</v>
      </c>
      <c r="AT28" s="67">
        <f>Inputs!AY88*Data!BD12</f>
        <v>0</v>
      </c>
      <c r="AU28" s="67">
        <f>Inputs!AZ88*Data!BE12</f>
        <v>0</v>
      </c>
    </row>
    <row r="29" spans="1:47" x14ac:dyDescent="0.25">
      <c r="A29" s="10" t="s">
        <v>189</v>
      </c>
      <c r="C29" s="122">
        <f>SUM(C7:C17)</f>
        <v>4012.9318911269406</v>
      </c>
      <c r="D29" s="122">
        <f t="shared" ref="D29:AU29" si="0">SUM(D7:D17)</f>
        <v>338.32075818048429</v>
      </c>
      <c r="E29" s="122">
        <f t="shared" si="0"/>
        <v>326.68902319749219</v>
      </c>
      <c r="F29" s="122">
        <f t="shared" si="0"/>
        <v>306.2036800457555</v>
      </c>
      <c r="G29" s="122">
        <f t="shared" si="0"/>
        <v>274.51782501028566</v>
      </c>
      <c r="H29" s="122">
        <f t="shared" si="0"/>
        <v>269.14980562870937</v>
      </c>
      <c r="I29" s="122">
        <f t="shared" si="0"/>
        <v>275.11836969139415</v>
      </c>
      <c r="J29" s="122">
        <f t="shared" si="0"/>
        <v>275.17088617130645</v>
      </c>
      <c r="K29" s="122">
        <f t="shared" si="0"/>
        <v>272.80956180782749</v>
      </c>
      <c r="L29" s="122">
        <f t="shared" si="0"/>
        <v>273.93544766845537</v>
      </c>
      <c r="M29" s="122">
        <f t="shared" si="0"/>
        <v>271.15270098725682</v>
      </c>
      <c r="N29" s="122">
        <f t="shared" si="0"/>
        <v>197.35635220183138</v>
      </c>
      <c r="O29" s="122">
        <f t="shared" si="0"/>
        <v>193.38095039630858</v>
      </c>
      <c r="P29" s="122">
        <f t="shared" si="0"/>
        <v>192.32657957993001</v>
      </c>
      <c r="Q29" s="122">
        <f t="shared" si="0"/>
        <v>193.65569087267525</v>
      </c>
      <c r="R29" s="122">
        <f t="shared" si="0"/>
        <v>193.07958612013988</v>
      </c>
      <c r="S29" s="122">
        <f t="shared" si="0"/>
        <v>197.25512160501307</v>
      </c>
      <c r="T29" s="122">
        <f t="shared" si="0"/>
        <v>202.24550495360799</v>
      </c>
      <c r="U29" s="122">
        <f t="shared" si="0"/>
        <v>204.91117531907702</v>
      </c>
      <c r="V29" s="122">
        <f t="shared" si="0"/>
        <v>203.98775036657628</v>
      </c>
      <c r="W29" s="122">
        <f t="shared" si="0"/>
        <v>203.2170344308249</v>
      </c>
      <c r="X29" s="122">
        <f t="shared" si="0"/>
        <v>204.39584593167652</v>
      </c>
      <c r="Y29" s="122">
        <f t="shared" si="0"/>
        <v>0</v>
      </c>
      <c r="Z29" s="122">
        <f t="shared" si="0"/>
        <v>0</v>
      </c>
      <c r="AA29" s="122">
        <f t="shared" si="0"/>
        <v>0</v>
      </c>
      <c r="AB29" s="122">
        <f t="shared" si="0"/>
        <v>0</v>
      </c>
      <c r="AC29" s="122">
        <f t="shared" si="0"/>
        <v>0</v>
      </c>
      <c r="AD29" s="122">
        <f t="shared" si="0"/>
        <v>0</v>
      </c>
      <c r="AE29" s="122">
        <f t="shared" si="0"/>
        <v>0</v>
      </c>
      <c r="AF29" s="122">
        <f t="shared" si="0"/>
        <v>0</v>
      </c>
      <c r="AG29" s="122">
        <f t="shared" si="0"/>
        <v>0</v>
      </c>
      <c r="AH29" s="122">
        <f t="shared" si="0"/>
        <v>0</v>
      </c>
      <c r="AI29" s="122">
        <f t="shared" si="0"/>
        <v>0</v>
      </c>
      <c r="AJ29" s="122">
        <f t="shared" si="0"/>
        <v>0</v>
      </c>
      <c r="AK29" s="122">
        <f t="shared" si="0"/>
        <v>0</v>
      </c>
      <c r="AL29" s="122">
        <f t="shared" si="0"/>
        <v>0</v>
      </c>
      <c r="AM29" s="122">
        <f t="shared" si="0"/>
        <v>0</v>
      </c>
      <c r="AN29" s="122">
        <f t="shared" si="0"/>
        <v>0</v>
      </c>
      <c r="AO29" s="122">
        <f t="shared" si="0"/>
        <v>0</v>
      </c>
      <c r="AP29" s="122">
        <f t="shared" si="0"/>
        <v>0</v>
      </c>
      <c r="AQ29" s="122">
        <f t="shared" si="0"/>
        <v>0</v>
      </c>
      <c r="AR29" s="122">
        <f t="shared" si="0"/>
        <v>0</v>
      </c>
      <c r="AS29" s="122">
        <f t="shared" si="0"/>
        <v>0</v>
      </c>
      <c r="AT29" s="122">
        <f t="shared" si="0"/>
        <v>0</v>
      </c>
      <c r="AU29" s="122">
        <f t="shared" si="0"/>
        <v>0</v>
      </c>
    </row>
    <row r="30" spans="1:47" x14ac:dyDescent="0.25">
      <c r="A30" s="66" t="s">
        <v>190</v>
      </c>
      <c r="B30" s="57"/>
      <c r="C30" s="67">
        <f>SUM(C18:C28)</f>
        <v>4012.9318911269406</v>
      </c>
      <c r="D30" s="67">
        <f t="shared" ref="D30:AU30" si="1">SUM(D18:D28)</f>
        <v>4012.9452824651512</v>
      </c>
      <c r="E30" s="67">
        <f t="shared" si="1"/>
        <v>4012.6666164497874</v>
      </c>
      <c r="F30" s="67">
        <f t="shared" si="1"/>
        <v>4012.1758410875741</v>
      </c>
      <c r="G30" s="67">
        <f t="shared" si="1"/>
        <v>4011.4167306901113</v>
      </c>
      <c r="H30" s="67">
        <f t="shared" si="1"/>
        <v>4011.2881269544137</v>
      </c>
      <c r="I30" s="67">
        <f t="shared" si="1"/>
        <v>4011.4311181734556</v>
      </c>
      <c r="J30" s="67">
        <f t="shared" si="1"/>
        <v>4011.4323763312641</v>
      </c>
      <c r="K30" s="67">
        <f t="shared" si="1"/>
        <v>4011.3758051617601</v>
      </c>
      <c r="L30" s="67">
        <f t="shared" si="1"/>
        <v>4011.4027784488057</v>
      </c>
      <c r="M30" s="67">
        <f t="shared" si="1"/>
        <v>4011.336111100336</v>
      </c>
      <c r="N30" s="67">
        <f t="shared" si="1"/>
        <v>4009.5681431665344</v>
      </c>
      <c r="O30" s="67">
        <f t="shared" si="1"/>
        <v>4009.4729029137056</v>
      </c>
      <c r="P30" s="67">
        <f t="shared" si="1"/>
        <v>4009.4476429404908</v>
      </c>
      <c r="Q30" s="67">
        <f t="shared" si="1"/>
        <v>4009.4794849785412</v>
      </c>
      <c r="R30" s="67">
        <f t="shared" si="1"/>
        <v>4009.4656830121057</v>
      </c>
      <c r="S30" s="67">
        <f t="shared" si="1"/>
        <v>4009.5657179456116</v>
      </c>
      <c r="T30" s="67">
        <f t="shared" si="1"/>
        <v>4009.6852745074593</v>
      </c>
      <c r="U30" s="67">
        <f t="shared" si="1"/>
        <v>4009.7491370129328</v>
      </c>
      <c r="V30" s="67">
        <f t="shared" si="1"/>
        <v>4009.7270141608924</v>
      </c>
      <c r="W30" s="67">
        <f t="shared" si="1"/>
        <v>4009.7085498183756</v>
      </c>
      <c r="X30" s="67">
        <f t="shared" si="1"/>
        <v>4009.736791065643</v>
      </c>
      <c r="Y30" s="67">
        <f t="shared" si="1"/>
        <v>0</v>
      </c>
      <c r="Z30" s="67">
        <f t="shared" si="1"/>
        <v>0</v>
      </c>
      <c r="AA30" s="67">
        <f t="shared" si="1"/>
        <v>0</v>
      </c>
      <c r="AB30" s="67">
        <f t="shared" si="1"/>
        <v>0</v>
      </c>
      <c r="AC30" s="67">
        <f t="shared" si="1"/>
        <v>0</v>
      </c>
      <c r="AD30" s="67">
        <f t="shared" si="1"/>
        <v>0</v>
      </c>
      <c r="AE30" s="67">
        <f t="shared" si="1"/>
        <v>0</v>
      </c>
      <c r="AF30" s="67">
        <f t="shared" si="1"/>
        <v>0</v>
      </c>
      <c r="AG30" s="67">
        <f t="shared" si="1"/>
        <v>0</v>
      </c>
      <c r="AH30" s="67">
        <f t="shared" si="1"/>
        <v>0</v>
      </c>
      <c r="AI30" s="67">
        <f t="shared" si="1"/>
        <v>0</v>
      </c>
      <c r="AJ30" s="67">
        <f t="shared" si="1"/>
        <v>0</v>
      </c>
      <c r="AK30" s="67">
        <f t="shared" si="1"/>
        <v>0</v>
      </c>
      <c r="AL30" s="67">
        <f t="shared" si="1"/>
        <v>0</v>
      </c>
      <c r="AM30" s="67">
        <f t="shared" si="1"/>
        <v>0</v>
      </c>
      <c r="AN30" s="67">
        <f t="shared" si="1"/>
        <v>0</v>
      </c>
      <c r="AO30" s="67">
        <f t="shared" si="1"/>
        <v>0</v>
      </c>
      <c r="AP30" s="67">
        <f t="shared" si="1"/>
        <v>0</v>
      </c>
      <c r="AQ30" s="67">
        <f t="shared" si="1"/>
        <v>0</v>
      </c>
      <c r="AR30" s="67">
        <f t="shared" si="1"/>
        <v>0</v>
      </c>
      <c r="AS30" s="67">
        <f t="shared" si="1"/>
        <v>0</v>
      </c>
      <c r="AT30" s="67">
        <f t="shared" si="1"/>
        <v>0</v>
      </c>
      <c r="AU30" s="67">
        <f t="shared" si="1"/>
        <v>0</v>
      </c>
    </row>
    <row r="32" spans="1:47" x14ac:dyDescent="0.25">
      <c r="A32" s="10" t="s">
        <v>191</v>
      </c>
    </row>
    <row r="33" spans="1:47" x14ac:dyDescent="0.25">
      <c r="A33" s="66"/>
      <c r="B33" s="66" t="s">
        <v>75</v>
      </c>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7"/>
      <c r="AT33" s="57"/>
      <c r="AU33" s="57"/>
    </row>
    <row r="34" spans="1:47" x14ac:dyDescent="0.25">
      <c r="A34" s="10" t="s">
        <v>176</v>
      </c>
      <c r="B34" t="str">
        <f>B7</f>
        <v>Electricity</v>
      </c>
      <c r="C34" s="78">
        <f>IF(Inputs!$E92="Real",Inputs!H119,Inputs!H119/Inputs!H$10)-C7*INDEX(Data!$L$26:$BE$26,MATCH(C$6,Data!$L$17:$BE$17,0))</f>
        <v>28575.82716165857</v>
      </c>
      <c r="D34" s="78">
        <f>IF(Inputs!$E92="Real",Inputs!I119,Inputs!I119/Inputs!I$10)-D7*INDEX(Data!$L$26:$BE$26,MATCH(D$6,Data!$L$17:$BE$17,0))</f>
        <v>1187603.9351875277</v>
      </c>
      <c r="E34" s="78">
        <f>IF(Inputs!$E92="Real",Inputs!J119,Inputs!J119/Inputs!J$10)-E7*INDEX(Data!$L$26:$BE$26,MATCH(E$6,Data!$L$17:$BE$17,0))</f>
        <v>1184925.2612213169</v>
      </c>
      <c r="F34" s="78">
        <f>IF(Inputs!$E92="Real",Inputs!K119,Inputs!K119/Inputs!K$10)-F7*INDEX(Data!$L$26:$BE$26,MATCH(F$6,Data!$L$17:$BE$17,0))</f>
        <v>1184245.9830298424</v>
      </c>
      <c r="G34" s="78">
        <f>IF(Inputs!$E92="Real",Inputs!L119,Inputs!L119/Inputs!L$10)-G7*INDEX(Data!$L$26:$BE$26,MATCH(G$6,Data!$L$17:$BE$17,0))</f>
        <v>1187162.4754725625</v>
      </c>
      <c r="H34" s="78">
        <f>IF(Inputs!$E92="Real",Inputs!M119,Inputs!M119/Inputs!M$10)-H7*INDEX(Data!$L$26:$BE$26,MATCH(H$6,Data!$L$17:$BE$17,0))</f>
        <v>1186550.647426595</v>
      </c>
      <c r="I34" s="78">
        <f>IF(Inputs!$E92="Real",Inputs!N119,Inputs!N119/Inputs!N$10)-I7*INDEX(Data!$L$26:$BE$26,MATCH(I$6,Data!$L$17:$BE$17,0))</f>
        <v>1183168.4892074603</v>
      </c>
      <c r="J34" s="78">
        <f>IF(Inputs!$E92="Real",Inputs!O119,Inputs!O119/Inputs!O$10)-J7*INDEX(Data!$L$26:$BE$26,MATCH(J$6,Data!$L$17:$BE$17,0))</f>
        <v>1180953.9404816318</v>
      </c>
      <c r="K34" s="78">
        <f>IF(Inputs!$E92="Real",Inputs!P119,Inputs!P119/Inputs!P$10)-K7*INDEX(Data!$L$26:$BE$26,MATCH(K$6,Data!$L$17:$BE$17,0))</f>
        <v>1179383.0469973101</v>
      </c>
      <c r="L34" s="78">
        <f>IF(Inputs!$E92="Real",Inputs!Q119,Inputs!Q119/Inputs!Q$10)-L7*INDEX(Data!$L$26:$BE$26,MATCH(L$6,Data!$L$17:$BE$17,0))</f>
        <v>1176890.951891175</v>
      </c>
      <c r="M34" s="78">
        <f>IF(Inputs!$E92="Real",Inputs!R119,Inputs!R119/Inputs!R$10)-M7*INDEX(Data!$L$26:$BE$26,MATCH(M$6,Data!$L$17:$BE$17,0))</f>
        <v>1175486.9856206065</v>
      </c>
      <c r="N34" s="78">
        <f>IF(Inputs!$E92="Real",Inputs!S119,Inputs!S119/Inputs!S$10)-N7*INDEX(Data!$L$26:$BE$26,MATCH(N$6,Data!$L$17:$BE$17,0))</f>
        <v>1194595.1451570655</v>
      </c>
      <c r="O34" s="78">
        <f>IF(Inputs!$E92="Real",Inputs!T119,Inputs!T119/Inputs!T$10)-O7*INDEX(Data!$L$26:$BE$26,MATCH(O$6,Data!$L$17:$BE$17,0))</f>
        <v>1194208.9148811076</v>
      </c>
      <c r="P34" s="78">
        <f>IF(Inputs!$E92="Real",Inputs!U119,Inputs!U119/Inputs!U$10)-P7*INDEX(Data!$L$26:$BE$26,MATCH(P$6,Data!$L$17:$BE$17,0))</f>
        <v>1192794.2869098019</v>
      </c>
      <c r="Q34" s="78">
        <f>IF(Inputs!$E92="Real",Inputs!V119,Inputs!V119/Inputs!V$10)-Q7*INDEX(Data!$L$26:$BE$26,MATCH(Q$6,Data!$L$17:$BE$17,0))</f>
        <v>1190447.0346116167</v>
      </c>
      <c r="R34" s="78">
        <f>IF(Inputs!$E92="Real",Inputs!W119,Inputs!W119/Inputs!W$10)-R7*INDEX(Data!$L$26:$BE$26,MATCH(R$6,Data!$L$17:$BE$17,0))</f>
        <v>1188893.0957525943</v>
      </c>
      <c r="S34" s="78">
        <f>IF(Inputs!$E92="Real",Inputs!X119,Inputs!X119/Inputs!X$10)-S7*INDEX(Data!$L$26:$BE$26,MATCH(S$6,Data!$L$17:$BE$17,0))</f>
        <v>1185550.9688975057</v>
      </c>
      <c r="T34" s="78">
        <f>IF(Inputs!$E92="Real",Inputs!Y119,Inputs!Y119/Inputs!Y$10)-T7*INDEX(Data!$L$26:$BE$26,MATCH(T$6,Data!$L$17:$BE$17,0))</f>
        <v>1181841.7642761446</v>
      </c>
      <c r="U34" s="78">
        <f>IF(Inputs!$E92="Real",Inputs!Z119,Inputs!Z119/Inputs!Z$10)-U7*INDEX(Data!$L$26:$BE$26,MATCH(U$6,Data!$L$17:$BE$17,0))</f>
        <v>1178660.0880604514</v>
      </c>
      <c r="V34" s="78">
        <f>IF(Inputs!$E92="Real",Inputs!AA119,Inputs!AA119/Inputs!AA$10)-V7*INDEX(Data!$L$26:$BE$26,MATCH(V$6,Data!$L$17:$BE$17,0))</f>
        <v>1176951.7201147336</v>
      </c>
      <c r="W34" s="78">
        <f>IF(Inputs!$E92="Real",Inputs!AB119,Inputs!AB119/Inputs!AB$10)-W7*INDEX(Data!$L$26:$BE$26,MATCH(W$6,Data!$L$17:$BE$17,0))</f>
        <v>1175000.7269162866</v>
      </c>
      <c r="X34" s="78">
        <f>IF(Inputs!$E92="Real",Inputs!AC119,Inputs!AC119/Inputs!AC$10)-X7*INDEX(Data!$L$26:$BE$26,MATCH(X$6,Data!$L$17:$BE$17,0))</f>
        <v>1172100.0283947829</v>
      </c>
      <c r="Y34" s="78">
        <f>IF(Inputs!$E92="Real",Inputs!AD119,Inputs!AD119/Inputs!AD$10)-Y7*INDEX(Data!$L$26:$BE$26,MATCH(Y$6,Data!$L$17:$BE$17,0))</f>
        <v>0</v>
      </c>
      <c r="Z34" s="78">
        <f>IF(Inputs!$E92="Real",Inputs!AE119,Inputs!AE119/Inputs!AE$10)-Z7*INDEX(Data!$L$26:$BE$26,MATCH(Z$6,Data!$L$17:$BE$17,0))</f>
        <v>0</v>
      </c>
      <c r="AA34" s="78">
        <f>IF(Inputs!$E92="Real",Inputs!AF119,Inputs!AF119/Inputs!AF$10)-AA7*INDEX(Data!$L$26:$BE$26,MATCH(AA$6,Data!$L$17:$BE$17,0))</f>
        <v>0</v>
      </c>
      <c r="AB34" s="78">
        <f>IF(Inputs!$E92="Real",Inputs!AG119,Inputs!AG119/Inputs!AG$10)-AB7*INDEX(Data!$L$26:$BE$26,MATCH(AB$6,Data!$L$17:$BE$17,0))</f>
        <v>0</v>
      </c>
      <c r="AC34" s="78">
        <f>IF(Inputs!$E92="Real",Inputs!AH119,Inputs!AH119/Inputs!AH$10)-AC7*INDEX(Data!$L$26:$BE$26,MATCH(AC$6,Data!$L$17:$BE$17,0))</f>
        <v>0</v>
      </c>
      <c r="AD34" s="78">
        <f>IF(Inputs!$E92="Real",Inputs!AI119,Inputs!AI119/Inputs!AI$10)-AD7*INDEX(Data!$L$26:$BE$26,MATCH(AD$6,Data!$L$17:$BE$17,0))</f>
        <v>0</v>
      </c>
      <c r="AE34" s="78">
        <f>IF(Inputs!$E92="Real",Inputs!AJ119,Inputs!AJ119/Inputs!AJ$10)-AE7*INDEX(Data!$L$26:$BE$26,MATCH(AE$6,Data!$L$17:$BE$17,0))</f>
        <v>0</v>
      </c>
      <c r="AF34" s="78">
        <f>IF(Inputs!$E92="Real",Inputs!AK119,Inputs!AK119/Inputs!AK$10)-AF7*INDEX(Data!$L$26:$BE$26,MATCH(AF$6,Data!$L$17:$BE$17,0))</f>
        <v>0</v>
      </c>
      <c r="AG34" s="78">
        <f>IF(Inputs!$E92="Real",Inputs!AL119,Inputs!AL119/Inputs!AL$10)-AG7*INDEX(Data!$L$26:$BE$26,MATCH(AG$6,Data!$L$17:$BE$17,0))</f>
        <v>0</v>
      </c>
      <c r="AH34" s="78">
        <f>IF(Inputs!$E92="Real",Inputs!AM119,Inputs!AM119/Inputs!AM$10)-AH7*INDEX(Data!$L$26:$BE$26,MATCH(AH$6,Data!$L$17:$BE$17,0))</f>
        <v>0</v>
      </c>
      <c r="AI34" s="78">
        <f>IF(Inputs!$E92="Real",Inputs!AN119,Inputs!AN119/Inputs!AN$10)-AI7*INDEX(Data!$L$26:$BE$26,MATCH(AI$6,Data!$L$17:$BE$17,0))</f>
        <v>0</v>
      </c>
      <c r="AJ34" s="78">
        <f>IF(Inputs!$E92="Real",Inputs!AO119,Inputs!AO119/Inputs!AO$10)-AJ7*INDEX(Data!$L$26:$BE$26,MATCH(AJ$6,Data!$L$17:$BE$17,0))</f>
        <v>0</v>
      </c>
      <c r="AK34" s="78">
        <f>IF(Inputs!$E92="Real",Inputs!AP119,Inputs!AP119/Inputs!AP$10)-AK7*INDEX(Data!$L$26:$BE$26,MATCH(AK$6,Data!$L$17:$BE$17,0))</f>
        <v>0</v>
      </c>
      <c r="AL34" s="78">
        <f>IF(Inputs!$E92="Real",Inputs!AQ119,Inputs!AQ119/Inputs!AQ$10)-AL7*INDEX(Data!$L$26:$BE$26,MATCH(AL$6,Data!$L$17:$BE$17,0))</f>
        <v>0</v>
      </c>
      <c r="AM34" s="78">
        <f>IF(Inputs!$E92="Real",Inputs!AR119,Inputs!AR119/Inputs!AR$10)-AM7*INDEX(Data!$L$26:$BE$26,MATCH(AM$6,Data!$L$17:$BE$17,0))</f>
        <v>0</v>
      </c>
      <c r="AN34" s="78">
        <f>IF(Inputs!$E92="Real",Inputs!AS119,Inputs!AS119/Inputs!AS$10)-AN7*INDEX(Data!$L$26:$BE$26,MATCH(AN$6,Data!$L$17:$BE$17,0))</f>
        <v>0</v>
      </c>
      <c r="AO34" s="78">
        <f>IF(Inputs!$E92="Real",Inputs!AT119,Inputs!AT119/Inputs!AT$10)-AO7*INDEX(Data!$L$26:$BE$26,MATCH(AO$6,Data!$L$17:$BE$17,0))</f>
        <v>0</v>
      </c>
      <c r="AP34" s="78">
        <f>IF(Inputs!$E92="Real",Inputs!AU119,Inputs!AU119/Inputs!AU$10)-AP7*INDEX(Data!$L$26:$BE$26,MATCH(AP$6,Data!$L$17:$BE$17,0))</f>
        <v>0</v>
      </c>
      <c r="AQ34" s="78">
        <f>IF(Inputs!$E92="Real",Inputs!AV119,Inputs!AV119/Inputs!AV$10)-AQ7*INDEX(Data!$L$26:$BE$26,MATCH(AQ$6,Data!$L$17:$BE$17,0))</f>
        <v>0</v>
      </c>
      <c r="AR34" s="78">
        <f>IF(Inputs!$E92="Real",Inputs!AW119,Inputs!AW119/Inputs!AW$10)-AR7*INDEX(Data!$L$26:$BE$26,MATCH(AR$6,Data!$L$17:$BE$17,0))</f>
        <v>0</v>
      </c>
      <c r="AS34" s="78">
        <f>IF(Inputs!$E92="Real",Inputs!AX119,Inputs!AX119/Inputs!AX$10)-AS7*INDEX(Data!$L$26:$BE$26,MATCH(AS$6,Data!$L$17:$BE$17,0))</f>
        <v>0</v>
      </c>
      <c r="AT34" s="78">
        <f>IF(Inputs!$E92="Real",Inputs!AY119,Inputs!AY119/Inputs!AY$10)-AT7*INDEX(Data!$L$26:$BE$26,MATCH(AT$6,Data!$L$17:$BE$17,0))</f>
        <v>0</v>
      </c>
      <c r="AU34" s="78">
        <f>IF(Inputs!$E92="Real",Inputs!AZ119,Inputs!AZ119/Inputs!AZ$10)-AU7*INDEX(Data!$L$26:$BE$26,MATCH(AU$6,Data!$L$17:$BE$17,0))</f>
        <v>0</v>
      </c>
    </row>
    <row r="35" spans="1:47" x14ac:dyDescent="0.25">
      <c r="B35" t="str">
        <f>B14</f>
        <v>Light fuel oil</v>
      </c>
      <c r="C35" s="78">
        <f>IF(Inputs!$E93="Real",Inputs!H127,Inputs!H127/Inputs!H$10)-C14*INDEX(Data!$L$26:$BE$26,MATCH(C$6,Data!$L$17:$BE$17,0))</f>
        <v>0</v>
      </c>
      <c r="D35" s="78">
        <f>IF(Inputs!$E93="Real",Inputs!I127,Inputs!I127/Inputs!I$10)-D14*INDEX(Data!$L$26:$BE$26,MATCH(D$6,Data!$L$17:$BE$17,0))</f>
        <v>0</v>
      </c>
      <c r="E35" s="78">
        <f>IF(Inputs!$E93="Real",Inputs!J127,Inputs!J127/Inputs!J$10)-E14*INDEX(Data!$L$26:$BE$26,MATCH(E$6,Data!$L$17:$BE$17,0))</f>
        <v>0</v>
      </c>
      <c r="F35" s="78">
        <f>IF(Inputs!$E93="Real",Inputs!K127,Inputs!K127/Inputs!K$10)-F14*INDEX(Data!$L$26:$BE$26,MATCH(F$6,Data!$L$17:$BE$17,0))</f>
        <v>0</v>
      </c>
      <c r="G35" s="78">
        <f>IF(Inputs!$E93="Real",Inputs!L127,Inputs!L127/Inputs!L$10)-G14*INDEX(Data!$L$26:$BE$26,MATCH(G$6,Data!$L$17:$BE$17,0))</f>
        <v>0</v>
      </c>
      <c r="H35" s="78">
        <f>IF(Inputs!$E93="Real",Inputs!M127,Inputs!M127/Inputs!M$10)-H14*INDEX(Data!$L$26:$BE$26,MATCH(H$6,Data!$L$17:$BE$17,0))</f>
        <v>0</v>
      </c>
      <c r="I35" s="78">
        <f>IF(Inputs!$E93="Real",Inputs!N127,Inputs!N127/Inputs!N$10)-I14*INDEX(Data!$L$26:$BE$26,MATCH(I$6,Data!$L$17:$BE$17,0))</f>
        <v>0</v>
      </c>
      <c r="J35" s="78">
        <f>IF(Inputs!$E93="Real",Inputs!O127,Inputs!O127/Inputs!O$10)-J14*INDEX(Data!$L$26:$BE$26,MATCH(J$6,Data!$L$17:$BE$17,0))</f>
        <v>0</v>
      </c>
      <c r="K35" s="78">
        <f>IF(Inputs!$E93="Real",Inputs!P127,Inputs!P127/Inputs!P$10)-K14*INDEX(Data!$L$26:$BE$26,MATCH(K$6,Data!$L$17:$BE$17,0))</f>
        <v>0</v>
      </c>
      <c r="L35" s="78">
        <f>IF(Inputs!$E93="Real",Inputs!Q127,Inputs!Q127/Inputs!Q$10)-L14*INDEX(Data!$L$26:$BE$26,MATCH(L$6,Data!$L$17:$BE$17,0))</f>
        <v>0</v>
      </c>
      <c r="M35" s="78">
        <f>IF(Inputs!$E93="Real",Inputs!R127,Inputs!R127/Inputs!R$10)-M14*INDEX(Data!$L$26:$BE$26,MATCH(M$6,Data!$L$17:$BE$17,0))</f>
        <v>0</v>
      </c>
      <c r="N35" s="78">
        <f>IF(Inputs!$E93="Real",Inputs!S127,Inputs!S127/Inputs!S$10)-N14*INDEX(Data!$L$26:$BE$26,MATCH(N$6,Data!$L$17:$BE$17,0))</f>
        <v>0</v>
      </c>
      <c r="O35" s="78">
        <f>IF(Inputs!$E93="Real",Inputs!T127,Inputs!T127/Inputs!T$10)-O14*INDEX(Data!$L$26:$BE$26,MATCH(O$6,Data!$L$17:$BE$17,0))</f>
        <v>0</v>
      </c>
      <c r="P35" s="78">
        <f>IF(Inputs!$E93="Real",Inputs!U127,Inputs!U127/Inputs!U$10)-P14*INDEX(Data!$L$26:$BE$26,MATCH(P$6,Data!$L$17:$BE$17,0))</f>
        <v>0</v>
      </c>
      <c r="Q35" s="78">
        <f>IF(Inputs!$E93="Real",Inputs!V127,Inputs!V127/Inputs!V$10)-Q14*INDEX(Data!$L$26:$BE$26,MATCH(Q$6,Data!$L$17:$BE$17,0))</f>
        <v>0</v>
      </c>
      <c r="R35" s="78">
        <f>IF(Inputs!$E93="Real",Inputs!W127,Inputs!W127/Inputs!W$10)-R14*INDEX(Data!$L$26:$BE$26,MATCH(R$6,Data!$L$17:$BE$17,0))</f>
        <v>0</v>
      </c>
      <c r="S35" s="78">
        <f>IF(Inputs!$E93="Real",Inputs!X127,Inputs!X127/Inputs!X$10)-S14*INDEX(Data!$L$26:$BE$26,MATCH(S$6,Data!$L$17:$BE$17,0))</f>
        <v>0</v>
      </c>
      <c r="T35" s="78">
        <f>IF(Inputs!$E93="Real",Inputs!Y127,Inputs!Y127/Inputs!Y$10)-T14*INDEX(Data!$L$26:$BE$26,MATCH(T$6,Data!$L$17:$BE$17,0))</f>
        <v>0</v>
      </c>
      <c r="U35" s="78">
        <f>IF(Inputs!$E93="Real",Inputs!Z127,Inputs!Z127/Inputs!Z$10)-U14*INDEX(Data!$L$26:$BE$26,MATCH(U$6,Data!$L$17:$BE$17,0))</f>
        <v>0</v>
      </c>
      <c r="V35" s="78">
        <f>IF(Inputs!$E93="Real",Inputs!AA127,Inputs!AA127/Inputs!AA$10)-V14*INDEX(Data!$L$26:$BE$26,MATCH(V$6,Data!$L$17:$BE$17,0))</f>
        <v>0</v>
      </c>
      <c r="W35" s="78">
        <f>IF(Inputs!$E93="Real",Inputs!AB127,Inputs!AB127/Inputs!AB$10)-W14*INDEX(Data!$L$26:$BE$26,MATCH(W$6,Data!$L$17:$BE$17,0))</f>
        <v>0</v>
      </c>
      <c r="X35" s="78">
        <f>IF(Inputs!$E93="Real",Inputs!AC127,Inputs!AC127/Inputs!AC$10)-X14*INDEX(Data!$L$26:$BE$26,MATCH(X$6,Data!$L$17:$BE$17,0))</f>
        <v>0</v>
      </c>
      <c r="Y35" s="78">
        <f>IF(Inputs!$E93="Real",Inputs!AD127,Inputs!AD127/Inputs!AD$10)-Y14*INDEX(Data!$L$26:$BE$26,MATCH(Y$6,Data!$L$17:$BE$17,0))</f>
        <v>0</v>
      </c>
      <c r="Z35" s="78">
        <f>IF(Inputs!$E93="Real",Inputs!AE127,Inputs!AE127/Inputs!AE$10)-Z14*INDEX(Data!$L$26:$BE$26,MATCH(Z$6,Data!$L$17:$BE$17,0))</f>
        <v>0</v>
      </c>
      <c r="AA35" s="78">
        <f>IF(Inputs!$E93="Real",Inputs!AF127,Inputs!AF127/Inputs!AF$10)-AA14*INDEX(Data!$L$26:$BE$26,MATCH(AA$6,Data!$L$17:$BE$17,0))</f>
        <v>0</v>
      </c>
      <c r="AB35" s="78">
        <f>IF(Inputs!$E93="Real",Inputs!AG127,Inputs!AG127/Inputs!AG$10)-AB14*INDEX(Data!$L$26:$BE$26,MATCH(AB$6,Data!$L$17:$BE$17,0))</f>
        <v>0</v>
      </c>
      <c r="AC35" s="78">
        <f>IF(Inputs!$E93="Real",Inputs!AH127,Inputs!AH127/Inputs!AH$10)-AC14*INDEX(Data!$L$26:$BE$26,MATCH(AC$6,Data!$L$17:$BE$17,0))</f>
        <v>0</v>
      </c>
      <c r="AD35" s="78">
        <f>IF(Inputs!$E93="Real",Inputs!AI127,Inputs!AI127/Inputs!AI$10)-AD14*INDEX(Data!$L$26:$BE$26,MATCH(AD$6,Data!$L$17:$BE$17,0))</f>
        <v>0</v>
      </c>
      <c r="AE35" s="78">
        <f>IF(Inputs!$E93="Real",Inputs!AJ127,Inputs!AJ127/Inputs!AJ$10)-AE14*INDEX(Data!$L$26:$BE$26,MATCH(AE$6,Data!$L$17:$BE$17,0))</f>
        <v>0</v>
      </c>
      <c r="AF35" s="78">
        <f>IF(Inputs!$E93="Real",Inputs!AK127,Inputs!AK127/Inputs!AK$10)-AF14*INDEX(Data!$L$26:$BE$26,MATCH(AF$6,Data!$L$17:$BE$17,0))</f>
        <v>0</v>
      </c>
      <c r="AG35" s="78">
        <f>IF(Inputs!$E93="Real",Inputs!AL127,Inputs!AL127/Inputs!AL$10)-AG14*INDEX(Data!$L$26:$BE$26,MATCH(AG$6,Data!$L$17:$BE$17,0))</f>
        <v>0</v>
      </c>
      <c r="AH35" s="78">
        <f>IF(Inputs!$E93="Real",Inputs!AM127,Inputs!AM127/Inputs!AM$10)-AH14*INDEX(Data!$L$26:$BE$26,MATCH(AH$6,Data!$L$17:$BE$17,0))</f>
        <v>0</v>
      </c>
      <c r="AI35" s="78">
        <f>IF(Inputs!$E93="Real",Inputs!AN127,Inputs!AN127/Inputs!AN$10)-AI14*INDEX(Data!$L$26:$BE$26,MATCH(AI$6,Data!$L$17:$BE$17,0))</f>
        <v>0</v>
      </c>
      <c r="AJ35" s="78">
        <f>IF(Inputs!$E93="Real",Inputs!AO127,Inputs!AO127/Inputs!AO$10)-AJ14*INDEX(Data!$L$26:$BE$26,MATCH(AJ$6,Data!$L$17:$BE$17,0))</f>
        <v>0</v>
      </c>
      <c r="AK35" s="78">
        <f>IF(Inputs!$E93="Real",Inputs!AP127,Inputs!AP127/Inputs!AP$10)-AK14*INDEX(Data!$L$26:$BE$26,MATCH(AK$6,Data!$L$17:$BE$17,0))</f>
        <v>0</v>
      </c>
      <c r="AL35" s="78">
        <f>IF(Inputs!$E93="Real",Inputs!AQ127,Inputs!AQ127/Inputs!AQ$10)-AL14*INDEX(Data!$L$26:$BE$26,MATCH(AL$6,Data!$L$17:$BE$17,0))</f>
        <v>0</v>
      </c>
      <c r="AM35" s="78">
        <f>IF(Inputs!$E93="Real",Inputs!AR127,Inputs!AR127/Inputs!AR$10)-AM14*INDEX(Data!$L$26:$BE$26,MATCH(AM$6,Data!$L$17:$BE$17,0))</f>
        <v>0</v>
      </c>
      <c r="AN35" s="78">
        <f>IF(Inputs!$E93="Real",Inputs!AS127,Inputs!AS127/Inputs!AS$10)-AN14*INDEX(Data!$L$26:$BE$26,MATCH(AN$6,Data!$L$17:$BE$17,0))</f>
        <v>0</v>
      </c>
      <c r="AO35" s="78">
        <f>IF(Inputs!$E93="Real",Inputs!AT127,Inputs!AT127/Inputs!AT$10)-AO14*INDEX(Data!$L$26:$BE$26,MATCH(AO$6,Data!$L$17:$BE$17,0))</f>
        <v>0</v>
      </c>
      <c r="AP35" s="78">
        <f>IF(Inputs!$E93="Real",Inputs!AU127,Inputs!AU127/Inputs!AU$10)-AP14*INDEX(Data!$L$26:$BE$26,MATCH(AP$6,Data!$L$17:$BE$17,0))</f>
        <v>0</v>
      </c>
      <c r="AQ35" s="78">
        <f>IF(Inputs!$E93="Real",Inputs!AV127,Inputs!AV127/Inputs!AV$10)-AQ14*INDEX(Data!$L$26:$BE$26,MATCH(AQ$6,Data!$L$17:$BE$17,0))</f>
        <v>0</v>
      </c>
      <c r="AR35" s="78">
        <f>IF(Inputs!$E93="Real",Inputs!AW127,Inputs!AW127/Inputs!AW$10)-AR14*INDEX(Data!$L$26:$BE$26,MATCH(AR$6,Data!$L$17:$BE$17,0))</f>
        <v>0</v>
      </c>
      <c r="AS35" s="78">
        <f>IF(Inputs!$E93="Real",Inputs!AX127,Inputs!AX127/Inputs!AX$10)-AS14*INDEX(Data!$L$26:$BE$26,MATCH(AS$6,Data!$L$17:$BE$17,0))</f>
        <v>0</v>
      </c>
      <c r="AT35" s="78">
        <f>IF(Inputs!$E93="Real",Inputs!AY127,Inputs!AY127/Inputs!AY$10)-AT14*INDEX(Data!$L$26:$BE$26,MATCH(AT$6,Data!$L$17:$BE$17,0))</f>
        <v>0</v>
      </c>
      <c r="AU35" s="78">
        <f>IF(Inputs!$E93="Real",Inputs!AZ127,Inputs!AZ127/Inputs!AZ$10)-AU14*INDEX(Data!$L$26:$BE$26,MATCH(AU$6,Data!$L$17:$BE$17,0))</f>
        <v>0</v>
      </c>
    </row>
    <row r="36" spans="1:47" x14ac:dyDescent="0.25">
      <c r="B36" t="str">
        <f>B15</f>
        <v>Heavy fuel oil</v>
      </c>
      <c r="C36" s="78">
        <f>IF(Inputs!$E94="Real",Inputs!H128,Inputs!H128/Inputs!H$10)-C15*INDEX(Data!$L$26:$BE$26,MATCH(C$6,Data!$L$17:$BE$17,0))</f>
        <v>0</v>
      </c>
      <c r="D36" s="78">
        <f>IF(Inputs!$E94="Real",Inputs!I128,Inputs!I128/Inputs!I$10)-D15*INDEX(Data!$L$26:$BE$26,MATCH(D$6,Data!$L$17:$BE$17,0))</f>
        <v>0</v>
      </c>
      <c r="E36" s="78">
        <f>IF(Inputs!$E94="Real",Inputs!J128,Inputs!J128/Inputs!J$10)-E15*INDEX(Data!$L$26:$BE$26,MATCH(E$6,Data!$L$17:$BE$17,0))</f>
        <v>0</v>
      </c>
      <c r="F36" s="78">
        <f>IF(Inputs!$E94="Real",Inputs!K128,Inputs!K128/Inputs!K$10)-F15*INDEX(Data!$L$26:$BE$26,MATCH(F$6,Data!$L$17:$BE$17,0))</f>
        <v>0</v>
      </c>
      <c r="G36" s="78">
        <f>IF(Inputs!$E94="Real",Inputs!L128,Inputs!L128/Inputs!L$10)-G15*INDEX(Data!$L$26:$BE$26,MATCH(G$6,Data!$L$17:$BE$17,0))</f>
        <v>0</v>
      </c>
      <c r="H36" s="78">
        <f>IF(Inputs!$E94="Real",Inputs!M128,Inputs!M128/Inputs!M$10)-H15*INDEX(Data!$L$26:$BE$26,MATCH(H$6,Data!$L$17:$BE$17,0))</f>
        <v>0</v>
      </c>
      <c r="I36" s="78">
        <f>IF(Inputs!$E94="Real",Inputs!N128,Inputs!N128/Inputs!N$10)-I15*INDEX(Data!$L$26:$BE$26,MATCH(I$6,Data!$L$17:$BE$17,0))</f>
        <v>0</v>
      </c>
      <c r="J36" s="78">
        <f>IF(Inputs!$E94="Real",Inputs!O128,Inputs!O128/Inputs!O$10)-J15*INDEX(Data!$L$26:$BE$26,MATCH(J$6,Data!$L$17:$BE$17,0))</f>
        <v>0</v>
      </c>
      <c r="K36" s="78">
        <f>IF(Inputs!$E94="Real",Inputs!P128,Inputs!P128/Inputs!P$10)-K15*INDEX(Data!$L$26:$BE$26,MATCH(K$6,Data!$L$17:$BE$17,0))</f>
        <v>0</v>
      </c>
      <c r="L36" s="78">
        <f>IF(Inputs!$E94="Real",Inputs!Q128,Inputs!Q128/Inputs!Q$10)-L15*INDEX(Data!$L$26:$BE$26,MATCH(L$6,Data!$L$17:$BE$17,0))</f>
        <v>0</v>
      </c>
      <c r="M36" s="78">
        <f>IF(Inputs!$E94="Real",Inputs!R128,Inputs!R128/Inputs!R$10)-M15*INDEX(Data!$L$26:$BE$26,MATCH(M$6,Data!$L$17:$BE$17,0))</f>
        <v>0</v>
      </c>
      <c r="N36" s="78">
        <f>IF(Inputs!$E94="Real",Inputs!S128,Inputs!S128/Inputs!S$10)-N15*INDEX(Data!$L$26:$BE$26,MATCH(N$6,Data!$L$17:$BE$17,0))</f>
        <v>0</v>
      </c>
      <c r="O36" s="78">
        <f>IF(Inputs!$E94="Real",Inputs!T128,Inputs!T128/Inputs!T$10)-O15*INDEX(Data!$L$26:$BE$26,MATCH(O$6,Data!$L$17:$BE$17,0))</f>
        <v>0</v>
      </c>
      <c r="P36" s="78">
        <f>IF(Inputs!$E94="Real",Inputs!U128,Inputs!U128/Inputs!U$10)-P15*INDEX(Data!$L$26:$BE$26,MATCH(P$6,Data!$L$17:$BE$17,0))</f>
        <v>0</v>
      </c>
      <c r="Q36" s="78">
        <f>IF(Inputs!$E94="Real",Inputs!V128,Inputs!V128/Inputs!V$10)-Q15*INDEX(Data!$L$26:$BE$26,MATCH(Q$6,Data!$L$17:$BE$17,0))</f>
        <v>0</v>
      </c>
      <c r="R36" s="78">
        <f>IF(Inputs!$E94="Real",Inputs!W128,Inputs!W128/Inputs!W$10)-R15*INDEX(Data!$L$26:$BE$26,MATCH(R$6,Data!$L$17:$BE$17,0))</f>
        <v>0</v>
      </c>
      <c r="S36" s="78">
        <f>IF(Inputs!$E94="Real",Inputs!X128,Inputs!X128/Inputs!X$10)-S15*INDEX(Data!$L$26:$BE$26,MATCH(S$6,Data!$L$17:$BE$17,0))</f>
        <v>0</v>
      </c>
      <c r="T36" s="78">
        <f>IF(Inputs!$E94="Real",Inputs!Y128,Inputs!Y128/Inputs!Y$10)-T15*INDEX(Data!$L$26:$BE$26,MATCH(T$6,Data!$L$17:$BE$17,0))</f>
        <v>0</v>
      </c>
      <c r="U36" s="78">
        <f>IF(Inputs!$E94="Real",Inputs!Z128,Inputs!Z128/Inputs!Z$10)-U15*INDEX(Data!$L$26:$BE$26,MATCH(U$6,Data!$L$17:$BE$17,0))</f>
        <v>0</v>
      </c>
      <c r="V36" s="78">
        <f>IF(Inputs!$E94="Real",Inputs!AA128,Inputs!AA128/Inputs!AA$10)-V15*INDEX(Data!$L$26:$BE$26,MATCH(V$6,Data!$L$17:$BE$17,0))</f>
        <v>0</v>
      </c>
      <c r="W36" s="78">
        <f>IF(Inputs!$E94="Real",Inputs!AB128,Inputs!AB128/Inputs!AB$10)-W15*INDEX(Data!$L$26:$BE$26,MATCH(W$6,Data!$L$17:$BE$17,0))</f>
        <v>0</v>
      </c>
      <c r="X36" s="78">
        <f>IF(Inputs!$E94="Real",Inputs!AC128,Inputs!AC128/Inputs!AC$10)-X15*INDEX(Data!$L$26:$BE$26,MATCH(X$6,Data!$L$17:$BE$17,0))</f>
        <v>0</v>
      </c>
      <c r="Y36" s="78">
        <f>IF(Inputs!$E94="Real",Inputs!AD128,Inputs!AD128/Inputs!AD$10)-Y15*INDEX(Data!$L$26:$BE$26,MATCH(Y$6,Data!$L$17:$BE$17,0))</f>
        <v>0</v>
      </c>
      <c r="Z36" s="78">
        <f>IF(Inputs!$E94="Real",Inputs!AE128,Inputs!AE128/Inputs!AE$10)-Z15*INDEX(Data!$L$26:$BE$26,MATCH(Z$6,Data!$L$17:$BE$17,0))</f>
        <v>0</v>
      </c>
      <c r="AA36" s="78">
        <f>IF(Inputs!$E94="Real",Inputs!AF128,Inputs!AF128/Inputs!AF$10)-AA15*INDEX(Data!$L$26:$BE$26,MATCH(AA$6,Data!$L$17:$BE$17,0))</f>
        <v>0</v>
      </c>
      <c r="AB36" s="78">
        <f>IF(Inputs!$E94="Real",Inputs!AG128,Inputs!AG128/Inputs!AG$10)-AB15*INDEX(Data!$L$26:$BE$26,MATCH(AB$6,Data!$L$17:$BE$17,0))</f>
        <v>0</v>
      </c>
      <c r="AC36" s="78">
        <f>IF(Inputs!$E94="Real",Inputs!AH128,Inputs!AH128/Inputs!AH$10)-AC15*INDEX(Data!$L$26:$BE$26,MATCH(AC$6,Data!$L$17:$BE$17,0))</f>
        <v>0</v>
      </c>
      <c r="AD36" s="78">
        <f>IF(Inputs!$E94="Real",Inputs!AI128,Inputs!AI128/Inputs!AI$10)-AD15*INDEX(Data!$L$26:$BE$26,MATCH(AD$6,Data!$L$17:$BE$17,0))</f>
        <v>0</v>
      </c>
      <c r="AE36" s="78">
        <f>IF(Inputs!$E94="Real",Inputs!AJ128,Inputs!AJ128/Inputs!AJ$10)-AE15*INDEX(Data!$L$26:$BE$26,MATCH(AE$6,Data!$L$17:$BE$17,0))</f>
        <v>0</v>
      </c>
      <c r="AF36" s="78">
        <f>IF(Inputs!$E94="Real",Inputs!AK128,Inputs!AK128/Inputs!AK$10)-AF15*INDEX(Data!$L$26:$BE$26,MATCH(AF$6,Data!$L$17:$BE$17,0))</f>
        <v>0</v>
      </c>
      <c r="AG36" s="78">
        <f>IF(Inputs!$E94="Real",Inputs!AL128,Inputs!AL128/Inputs!AL$10)-AG15*INDEX(Data!$L$26:$BE$26,MATCH(AG$6,Data!$L$17:$BE$17,0))</f>
        <v>0</v>
      </c>
      <c r="AH36" s="78">
        <f>IF(Inputs!$E94="Real",Inputs!AM128,Inputs!AM128/Inputs!AM$10)-AH15*INDEX(Data!$L$26:$BE$26,MATCH(AH$6,Data!$L$17:$BE$17,0))</f>
        <v>0</v>
      </c>
      <c r="AI36" s="78">
        <f>IF(Inputs!$E94="Real",Inputs!AN128,Inputs!AN128/Inputs!AN$10)-AI15*INDEX(Data!$L$26:$BE$26,MATCH(AI$6,Data!$L$17:$BE$17,0))</f>
        <v>0</v>
      </c>
      <c r="AJ36" s="78">
        <f>IF(Inputs!$E94="Real",Inputs!AO128,Inputs!AO128/Inputs!AO$10)-AJ15*INDEX(Data!$L$26:$BE$26,MATCH(AJ$6,Data!$L$17:$BE$17,0))</f>
        <v>0</v>
      </c>
      <c r="AK36" s="78">
        <f>IF(Inputs!$E94="Real",Inputs!AP128,Inputs!AP128/Inputs!AP$10)-AK15*INDEX(Data!$L$26:$BE$26,MATCH(AK$6,Data!$L$17:$BE$17,0))</f>
        <v>0</v>
      </c>
      <c r="AL36" s="78">
        <f>IF(Inputs!$E94="Real",Inputs!AQ128,Inputs!AQ128/Inputs!AQ$10)-AL15*INDEX(Data!$L$26:$BE$26,MATCH(AL$6,Data!$L$17:$BE$17,0))</f>
        <v>0</v>
      </c>
      <c r="AM36" s="78">
        <f>IF(Inputs!$E94="Real",Inputs!AR128,Inputs!AR128/Inputs!AR$10)-AM15*INDEX(Data!$L$26:$BE$26,MATCH(AM$6,Data!$L$17:$BE$17,0))</f>
        <v>0</v>
      </c>
      <c r="AN36" s="78">
        <f>IF(Inputs!$E94="Real",Inputs!AS128,Inputs!AS128/Inputs!AS$10)-AN15*INDEX(Data!$L$26:$BE$26,MATCH(AN$6,Data!$L$17:$BE$17,0))</f>
        <v>0</v>
      </c>
      <c r="AO36" s="78">
        <f>IF(Inputs!$E94="Real",Inputs!AT128,Inputs!AT128/Inputs!AT$10)-AO15*INDEX(Data!$L$26:$BE$26,MATCH(AO$6,Data!$L$17:$BE$17,0))</f>
        <v>0</v>
      </c>
      <c r="AP36" s="78">
        <f>IF(Inputs!$E94="Real",Inputs!AU128,Inputs!AU128/Inputs!AU$10)-AP15*INDEX(Data!$L$26:$BE$26,MATCH(AP$6,Data!$L$17:$BE$17,0))</f>
        <v>0</v>
      </c>
      <c r="AQ36" s="78">
        <f>IF(Inputs!$E94="Real",Inputs!AV128,Inputs!AV128/Inputs!AV$10)-AQ15*INDEX(Data!$L$26:$BE$26,MATCH(AQ$6,Data!$L$17:$BE$17,0))</f>
        <v>0</v>
      </c>
      <c r="AR36" s="78">
        <f>IF(Inputs!$E94="Real",Inputs!AW128,Inputs!AW128/Inputs!AW$10)-AR15*INDEX(Data!$L$26:$BE$26,MATCH(AR$6,Data!$L$17:$BE$17,0))</f>
        <v>0</v>
      </c>
      <c r="AS36" s="78">
        <f>IF(Inputs!$E94="Real",Inputs!AX128,Inputs!AX128/Inputs!AX$10)-AS15*INDEX(Data!$L$26:$BE$26,MATCH(AS$6,Data!$L$17:$BE$17,0))</f>
        <v>0</v>
      </c>
      <c r="AT36" s="78">
        <f>IF(Inputs!$E94="Real",Inputs!AY128,Inputs!AY128/Inputs!AY$10)-AT15*INDEX(Data!$L$26:$BE$26,MATCH(AT$6,Data!$L$17:$BE$17,0))</f>
        <v>0</v>
      </c>
      <c r="AU36" s="78">
        <f>IF(Inputs!$E94="Real",Inputs!AZ128,Inputs!AZ128/Inputs!AZ$10)-AU15*INDEX(Data!$L$26:$BE$26,MATCH(AU$6,Data!$L$17:$BE$17,0))</f>
        <v>0</v>
      </c>
    </row>
    <row r="37" spans="1:47" x14ac:dyDescent="0.25">
      <c r="B37" t="str">
        <f t="shared" ref="B37:B38" si="2">B16</f>
        <v>Geothermal</v>
      </c>
      <c r="C37" s="78">
        <f>IF(Inputs!$E102="Real",Inputs!H129,Inputs!H129/Inputs!H$10)-C16*INDEX(Data!$L$26:$BE$26,MATCH(C$6,Data!$L$17:$BE$17,0))</f>
        <v>0</v>
      </c>
      <c r="D37" s="78">
        <f>IF(Inputs!$E102="Real",Inputs!I129,Inputs!I129/Inputs!I$10)-D16*INDEX(Data!$L$26:$BE$26,MATCH(D$6,Data!$L$17:$BE$17,0))</f>
        <v>0</v>
      </c>
      <c r="E37" s="78">
        <f>IF(Inputs!$E102="Real",Inputs!J129,Inputs!J129/Inputs!J$10)-E16*INDEX(Data!$L$26:$BE$26,MATCH(E$6,Data!$L$17:$BE$17,0))</f>
        <v>0</v>
      </c>
      <c r="F37" s="78">
        <f>IF(Inputs!$E102="Real",Inputs!K129,Inputs!K129/Inputs!K$10)-F16*INDEX(Data!$L$26:$BE$26,MATCH(F$6,Data!$L$17:$BE$17,0))</f>
        <v>0</v>
      </c>
      <c r="G37" s="78">
        <f>IF(Inputs!$E102="Real",Inputs!L129,Inputs!L129/Inputs!L$10)-G16*INDEX(Data!$L$26:$BE$26,MATCH(G$6,Data!$L$17:$BE$17,0))</f>
        <v>0</v>
      </c>
      <c r="H37" s="78">
        <f>IF(Inputs!$E102="Real",Inputs!M129,Inputs!M129/Inputs!M$10)-H16*INDEX(Data!$L$26:$BE$26,MATCH(H$6,Data!$L$17:$BE$17,0))</f>
        <v>0</v>
      </c>
      <c r="I37" s="78">
        <f>IF(Inputs!$E102="Real",Inputs!N129,Inputs!N129/Inputs!N$10)-I16*INDEX(Data!$L$26:$BE$26,MATCH(I$6,Data!$L$17:$BE$17,0))</f>
        <v>0</v>
      </c>
      <c r="J37" s="78">
        <f>IF(Inputs!$E102="Real",Inputs!O129,Inputs!O129/Inputs!O$10)-J16*INDEX(Data!$L$26:$BE$26,MATCH(J$6,Data!$L$17:$BE$17,0))</f>
        <v>0</v>
      </c>
      <c r="K37" s="78">
        <f>IF(Inputs!$E102="Real",Inputs!P129,Inputs!P129/Inputs!P$10)-K16*INDEX(Data!$L$26:$BE$26,MATCH(K$6,Data!$L$17:$BE$17,0))</f>
        <v>0</v>
      </c>
      <c r="L37" s="78">
        <f>IF(Inputs!$E102="Real",Inputs!Q129,Inputs!Q129/Inputs!Q$10)-L16*INDEX(Data!$L$26:$BE$26,MATCH(L$6,Data!$L$17:$BE$17,0))</f>
        <v>0</v>
      </c>
      <c r="M37" s="78">
        <f>IF(Inputs!$E102="Real",Inputs!R129,Inputs!R129/Inputs!R$10)-M16*INDEX(Data!$L$26:$BE$26,MATCH(M$6,Data!$L$17:$BE$17,0))</f>
        <v>0</v>
      </c>
      <c r="N37" s="78">
        <f>IF(Inputs!$E102="Real",Inputs!S129,Inputs!S129/Inputs!S$10)-N16*INDEX(Data!$L$26:$BE$26,MATCH(N$6,Data!$L$17:$BE$17,0))</f>
        <v>0</v>
      </c>
      <c r="O37" s="78">
        <f>IF(Inputs!$E102="Real",Inputs!T129,Inputs!T129/Inputs!T$10)-O16*INDEX(Data!$L$26:$BE$26,MATCH(O$6,Data!$L$17:$BE$17,0))</f>
        <v>0</v>
      </c>
      <c r="P37" s="78">
        <f>IF(Inputs!$E102="Real",Inputs!U129,Inputs!U129/Inputs!U$10)-P16*INDEX(Data!$L$26:$BE$26,MATCH(P$6,Data!$L$17:$BE$17,0))</f>
        <v>0</v>
      </c>
      <c r="Q37" s="78">
        <f>IF(Inputs!$E102="Real",Inputs!V129,Inputs!V129/Inputs!V$10)-Q16*INDEX(Data!$L$26:$BE$26,MATCH(Q$6,Data!$L$17:$BE$17,0))</f>
        <v>0</v>
      </c>
      <c r="R37" s="78">
        <f>IF(Inputs!$E102="Real",Inputs!W129,Inputs!W129/Inputs!W$10)-R16*INDEX(Data!$L$26:$BE$26,MATCH(R$6,Data!$L$17:$BE$17,0))</f>
        <v>0</v>
      </c>
      <c r="S37" s="78">
        <f>IF(Inputs!$E102="Real",Inputs!X129,Inputs!X129/Inputs!X$10)-S16*INDEX(Data!$L$26:$BE$26,MATCH(S$6,Data!$L$17:$BE$17,0))</f>
        <v>0</v>
      </c>
      <c r="T37" s="78">
        <f>IF(Inputs!$E102="Real",Inputs!Y129,Inputs!Y129/Inputs!Y$10)-T16*INDEX(Data!$L$26:$BE$26,MATCH(T$6,Data!$L$17:$BE$17,0))</f>
        <v>0</v>
      </c>
      <c r="U37" s="78">
        <f>IF(Inputs!$E102="Real",Inputs!Z129,Inputs!Z129/Inputs!Z$10)-U16*INDEX(Data!$L$26:$BE$26,MATCH(U$6,Data!$L$17:$BE$17,0))</f>
        <v>0</v>
      </c>
      <c r="V37" s="78">
        <f>IF(Inputs!$E102="Real",Inputs!AA129,Inputs!AA129/Inputs!AA$10)-V16*INDEX(Data!$L$26:$BE$26,MATCH(V$6,Data!$L$17:$BE$17,0))</f>
        <v>0</v>
      </c>
      <c r="W37" s="78">
        <f>IF(Inputs!$E102="Real",Inputs!AB129,Inputs!AB129/Inputs!AB$10)-W16*INDEX(Data!$L$26:$BE$26,MATCH(W$6,Data!$L$17:$BE$17,0))</f>
        <v>0</v>
      </c>
      <c r="X37" s="78">
        <f>IF(Inputs!$E102="Real",Inputs!AC129,Inputs!AC129/Inputs!AC$10)-X16*INDEX(Data!$L$26:$BE$26,MATCH(X$6,Data!$L$17:$BE$17,0))</f>
        <v>0</v>
      </c>
      <c r="Y37" s="78">
        <f>IF(Inputs!$E102="Real",Inputs!AD129,Inputs!AD129/Inputs!AD$10)-Y16*INDEX(Data!$L$26:$BE$26,MATCH(Y$6,Data!$L$17:$BE$17,0))</f>
        <v>0</v>
      </c>
      <c r="Z37" s="78">
        <f>IF(Inputs!$E102="Real",Inputs!AE129,Inputs!AE129/Inputs!AE$10)-Z16*INDEX(Data!$L$26:$BE$26,MATCH(Z$6,Data!$L$17:$BE$17,0))</f>
        <v>0</v>
      </c>
      <c r="AA37" s="78">
        <f>IF(Inputs!$E102="Real",Inputs!AF129,Inputs!AF129/Inputs!AF$10)-AA16*INDEX(Data!$L$26:$BE$26,MATCH(AA$6,Data!$L$17:$BE$17,0))</f>
        <v>0</v>
      </c>
      <c r="AB37" s="78">
        <f>IF(Inputs!$E102="Real",Inputs!AG129,Inputs!AG129/Inputs!AG$10)-AB16*INDEX(Data!$L$26:$BE$26,MATCH(AB$6,Data!$L$17:$BE$17,0))</f>
        <v>0</v>
      </c>
      <c r="AC37" s="78">
        <f>IF(Inputs!$E102="Real",Inputs!AH129,Inputs!AH129/Inputs!AH$10)-AC16*INDEX(Data!$L$26:$BE$26,MATCH(AC$6,Data!$L$17:$BE$17,0))</f>
        <v>0</v>
      </c>
      <c r="AD37" s="78">
        <f>IF(Inputs!$E102="Real",Inputs!AI129,Inputs!AI129/Inputs!AI$10)-AD16*INDEX(Data!$L$26:$BE$26,MATCH(AD$6,Data!$L$17:$BE$17,0))</f>
        <v>0</v>
      </c>
      <c r="AE37" s="78">
        <f>IF(Inputs!$E102="Real",Inputs!AJ129,Inputs!AJ129/Inputs!AJ$10)-AE16*INDEX(Data!$L$26:$BE$26,MATCH(AE$6,Data!$L$17:$BE$17,0))</f>
        <v>0</v>
      </c>
      <c r="AF37" s="78">
        <f>IF(Inputs!$E102="Real",Inputs!AK129,Inputs!AK129/Inputs!AK$10)-AF16*INDEX(Data!$L$26:$BE$26,MATCH(AF$6,Data!$L$17:$BE$17,0))</f>
        <v>0</v>
      </c>
      <c r="AG37" s="78">
        <f>IF(Inputs!$E102="Real",Inputs!AL129,Inputs!AL129/Inputs!AL$10)-AG16*INDEX(Data!$L$26:$BE$26,MATCH(AG$6,Data!$L$17:$BE$17,0))</f>
        <v>0</v>
      </c>
      <c r="AH37" s="78">
        <f>IF(Inputs!$E102="Real",Inputs!AM129,Inputs!AM129/Inputs!AM$10)-AH16*INDEX(Data!$L$26:$BE$26,MATCH(AH$6,Data!$L$17:$BE$17,0))</f>
        <v>0</v>
      </c>
      <c r="AI37" s="78">
        <f>IF(Inputs!$E102="Real",Inputs!AN129,Inputs!AN129/Inputs!AN$10)-AI16*INDEX(Data!$L$26:$BE$26,MATCH(AI$6,Data!$L$17:$BE$17,0))</f>
        <v>0</v>
      </c>
      <c r="AJ37" s="78">
        <f>IF(Inputs!$E102="Real",Inputs!AO129,Inputs!AO129/Inputs!AO$10)-AJ16*INDEX(Data!$L$26:$BE$26,MATCH(AJ$6,Data!$L$17:$BE$17,0))</f>
        <v>0</v>
      </c>
      <c r="AK37" s="78">
        <f>IF(Inputs!$E102="Real",Inputs!AP129,Inputs!AP129/Inputs!AP$10)-AK16*INDEX(Data!$L$26:$BE$26,MATCH(AK$6,Data!$L$17:$BE$17,0))</f>
        <v>0</v>
      </c>
      <c r="AL37" s="78">
        <f>IF(Inputs!$E102="Real",Inputs!AQ129,Inputs!AQ129/Inputs!AQ$10)-AL16*INDEX(Data!$L$26:$BE$26,MATCH(AL$6,Data!$L$17:$BE$17,0))</f>
        <v>0</v>
      </c>
      <c r="AM37" s="78">
        <f>IF(Inputs!$E102="Real",Inputs!AR129,Inputs!AR129/Inputs!AR$10)-AM16*INDEX(Data!$L$26:$BE$26,MATCH(AM$6,Data!$L$17:$BE$17,0))</f>
        <v>0</v>
      </c>
      <c r="AN37" s="78">
        <f>IF(Inputs!$E102="Real",Inputs!AS129,Inputs!AS129/Inputs!AS$10)-AN16*INDEX(Data!$L$26:$BE$26,MATCH(AN$6,Data!$L$17:$BE$17,0))</f>
        <v>0</v>
      </c>
      <c r="AO37" s="78">
        <f>IF(Inputs!$E102="Real",Inputs!AT129,Inputs!AT129/Inputs!AT$10)-AO16*INDEX(Data!$L$26:$BE$26,MATCH(AO$6,Data!$L$17:$BE$17,0))</f>
        <v>0</v>
      </c>
      <c r="AP37" s="78">
        <f>IF(Inputs!$E102="Real",Inputs!AU129,Inputs!AU129/Inputs!AU$10)-AP16*INDEX(Data!$L$26:$BE$26,MATCH(AP$6,Data!$L$17:$BE$17,0))</f>
        <v>0</v>
      </c>
      <c r="AQ37" s="78">
        <f>IF(Inputs!$E102="Real",Inputs!AV129,Inputs!AV129/Inputs!AV$10)-AQ16*INDEX(Data!$L$26:$BE$26,MATCH(AQ$6,Data!$L$17:$BE$17,0))</f>
        <v>0</v>
      </c>
      <c r="AR37" s="78">
        <f>IF(Inputs!$E102="Real",Inputs!AW129,Inputs!AW129/Inputs!AW$10)-AR16*INDEX(Data!$L$26:$BE$26,MATCH(AR$6,Data!$L$17:$BE$17,0))</f>
        <v>0</v>
      </c>
      <c r="AS37" s="78">
        <f>IF(Inputs!$E102="Real",Inputs!AX129,Inputs!AX129/Inputs!AX$10)-AS16*INDEX(Data!$L$26:$BE$26,MATCH(AS$6,Data!$L$17:$BE$17,0))</f>
        <v>0</v>
      </c>
      <c r="AT37" s="78">
        <f>IF(Inputs!$E102="Real",Inputs!AY129,Inputs!AY129/Inputs!AY$10)-AT16*INDEX(Data!$L$26:$BE$26,MATCH(AT$6,Data!$L$17:$BE$17,0))</f>
        <v>0</v>
      </c>
      <c r="AU37" s="78">
        <f>IF(Inputs!$E102="Real",Inputs!AZ129,Inputs!AZ129/Inputs!AZ$10)-AU16*INDEX(Data!$L$26:$BE$26,MATCH(AU$6,Data!$L$17:$BE$17,0))</f>
        <v>0</v>
      </c>
    </row>
    <row r="38" spans="1:47" x14ac:dyDescent="0.25">
      <c r="A38" s="57"/>
      <c r="B38" t="str">
        <f t="shared" si="2"/>
        <v>Wood or wood chips</v>
      </c>
      <c r="C38" s="78">
        <f>IF(Inputs!$E103="Real",Inputs!H130,Inputs!H130/Inputs!H$10)-C17*INDEX(Data!$L$26:$BE$26,MATCH(C$6,Data!$L$17:$BE$17,0))</f>
        <v>745410.3</v>
      </c>
      <c r="D38" s="78">
        <f>IF(Inputs!$E103="Real",Inputs!I130,Inputs!I130/Inputs!I$10)-D17*INDEX(Data!$L$26:$BE$26,MATCH(D$6,Data!$L$17:$BE$17,0))</f>
        <v>1304358.6501502153</v>
      </c>
      <c r="E38" s="78">
        <f>IF(Inputs!$E103="Real",Inputs!J130,Inputs!J130/Inputs!J$10)-E17*INDEX(Data!$L$26:$BE$26,MATCH(E$6,Data!$L$17:$BE$17,0))</f>
        <v>1330576.2590182347</v>
      </c>
      <c r="F38" s="78">
        <f>IF(Inputs!$E103="Real",Inputs!K130,Inputs!K130/Inputs!K$10)-F17*INDEX(Data!$L$26:$BE$26,MATCH(F$6,Data!$L$17:$BE$17,0))</f>
        <v>1357320.8418245013</v>
      </c>
      <c r="G38" s="78">
        <f>IF(Inputs!$E103="Real",Inputs!L130,Inputs!L130/Inputs!L$10)-G17*INDEX(Data!$L$26:$BE$26,MATCH(G$6,Data!$L$17:$BE$17,0))</f>
        <v>1384602.9907451738</v>
      </c>
      <c r="H38" s="78">
        <f>IF(Inputs!$E103="Real",Inputs!M130,Inputs!M130/Inputs!M$10)-H17*INDEX(Data!$L$26:$BE$26,MATCH(H$6,Data!$L$17:$BE$17,0))</f>
        <v>1412433.5108591518</v>
      </c>
      <c r="I38" s="78">
        <f>IF(Inputs!$E103="Real",Inputs!N130,Inputs!N130/Inputs!N$10)-I17*INDEX(Data!$L$26:$BE$26,MATCH(I$6,Data!$L$17:$BE$17,0))</f>
        <v>1440823.4244274206</v>
      </c>
      <c r="J38" s="78">
        <f>IF(Inputs!$E103="Real",Inputs!O130,Inputs!O130/Inputs!O$10)-J17*INDEX(Data!$L$26:$BE$26,MATCH(J$6,Data!$L$17:$BE$17,0))</f>
        <v>1469783.9752584118</v>
      </c>
      <c r="K38" s="78">
        <f>IF(Inputs!$E103="Real",Inputs!P130,Inputs!P130/Inputs!P$10)-K17*INDEX(Data!$L$26:$BE$26,MATCH(K$6,Data!$L$17:$BE$17,0))</f>
        <v>1499326.6331611059</v>
      </c>
      <c r="L38" s="78">
        <f>IF(Inputs!$E103="Real",Inputs!Q130,Inputs!Q130/Inputs!Q$10)-L17*INDEX(Data!$L$26:$BE$26,MATCH(L$6,Data!$L$17:$BE$17,0))</f>
        <v>1529463.0984876442</v>
      </c>
      <c r="M38" s="78">
        <f>IF(Inputs!$E103="Real",Inputs!R130,Inputs!R130/Inputs!R$10)-M17*INDEX(Data!$L$26:$BE$26,MATCH(M$6,Data!$L$17:$BE$17,0))</f>
        <v>1560205.306767246</v>
      </c>
      <c r="N38" s="78">
        <f>IF(Inputs!$E103="Real",Inputs!S130,Inputs!S130/Inputs!S$10)-N17*INDEX(Data!$L$26:$BE$26,MATCH(N$6,Data!$L$17:$BE$17,0))</f>
        <v>1591565.4334332675</v>
      </c>
      <c r="O38" s="78">
        <f>IF(Inputs!$E103="Real",Inputs!T130,Inputs!T130/Inputs!T$10)-O17*INDEX(Data!$L$26:$BE$26,MATCH(O$6,Data!$L$17:$BE$17,0))</f>
        <v>1623555.898645276</v>
      </c>
      <c r="P38" s="78">
        <f>IF(Inputs!$E103="Real",Inputs!U130,Inputs!U130/Inputs!U$10)-P17*INDEX(Data!$L$26:$BE$26,MATCH(P$6,Data!$L$17:$BE$17,0))</f>
        <v>1656189.3722080463</v>
      </c>
      <c r="Q38" s="78">
        <f>IF(Inputs!$E103="Real",Inputs!V130,Inputs!V130/Inputs!V$10)-Q17*INDEX(Data!$L$26:$BE$26,MATCH(Q$6,Data!$L$17:$BE$17,0))</f>
        <v>1689478.7785894279</v>
      </c>
      <c r="R38" s="78">
        <f>IF(Inputs!$E103="Real",Inputs!W130,Inputs!W130/Inputs!W$10)-R17*INDEX(Data!$L$26:$BE$26,MATCH(R$6,Data!$L$17:$BE$17,0))</f>
        <v>1723437.3020390754</v>
      </c>
      <c r="S38" s="78">
        <f>IF(Inputs!$E103="Real",Inputs!X130,Inputs!X130/Inputs!X$10)-S17*INDEX(Data!$L$26:$BE$26,MATCH(S$6,Data!$L$17:$BE$17,0))</f>
        <v>1758078.3918100605</v>
      </c>
      <c r="T38" s="78">
        <f>IF(Inputs!$E103="Real",Inputs!Y130,Inputs!Y130/Inputs!Y$10)-T17*INDEX(Data!$L$26:$BE$26,MATCH(T$6,Data!$L$17:$BE$17,0))</f>
        <v>1793415.7674854428</v>
      </c>
      <c r="U38" s="78">
        <f>IF(Inputs!$E103="Real",Inputs!Z130,Inputs!Z130/Inputs!Z$10)-U17*INDEX(Data!$L$26:$BE$26,MATCH(U$6,Data!$L$17:$BE$17,0))</f>
        <v>1829463.4244119003</v>
      </c>
      <c r="V38" s="78">
        <f>IF(Inputs!$E103="Real",Inputs!AA130,Inputs!AA130/Inputs!AA$10)-V17*INDEX(Data!$L$26:$BE$26,MATCH(V$6,Data!$L$17:$BE$17,0))</f>
        <v>1866235.6392425795</v>
      </c>
      <c r="W38" s="78">
        <f>IF(Inputs!$E103="Real",Inputs!AB130,Inputs!AB130/Inputs!AB$10)-W17*INDEX(Data!$L$26:$BE$26,MATCH(W$6,Data!$L$17:$BE$17,0))</f>
        <v>1903746.9755913552</v>
      </c>
      <c r="X38" s="78">
        <f>IF(Inputs!$E103="Real",Inputs!AC130,Inputs!AC130/Inputs!AC$10)-X17*INDEX(Data!$L$26:$BE$26,MATCH(X$6,Data!$L$17:$BE$17,0))</f>
        <v>1942012.2898007415</v>
      </c>
      <c r="Y38" s="78">
        <f>IF(Inputs!$E103="Real",Inputs!AD130,Inputs!AD130/Inputs!AD$10)-Y17*INDEX(Data!$L$26:$BE$26,MATCH(Y$6,Data!$L$17:$BE$17,0))</f>
        <v>0</v>
      </c>
      <c r="Z38" s="78">
        <f>IF(Inputs!$E103="Real",Inputs!AE130,Inputs!AE130/Inputs!AE$10)-Z17*INDEX(Data!$L$26:$BE$26,MATCH(Z$6,Data!$L$17:$BE$17,0))</f>
        <v>0</v>
      </c>
      <c r="AA38" s="78">
        <f>IF(Inputs!$E103="Real",Inputs!AF130,Inputs!AF130/Inputs!AF$10)-AA17*INDEX(Data!$L$26:$BE$26,MATCH(AA$6,Data!$L$17:$BE$17,0))</f>
        <v>0</v>
      </c>
      <c r="AB38" s="78">
        <f>IF(Inputs!$E103="Real",Inputs!AG130,Inputs!AG130/Inputs!AG$10)-AB17*INDEX(Data!$L$26:$BE$26,MATCH(AB$6,Data!$L$17:$BE$17,0))</f>
        <v>0</v>
      </c>
      <c r="AC38" s="78">
        <f>IF(Inputs!$E103="Real",Inputs!AH130,Inputs!AH130/Inputs!AH$10)-AC17*INDEX(Data!$L$26:$BE$26,MATCH(AC$6,Data!$L$17:$BE$17,0))</f>
        <v>0</v>
      </c>
      <c r="AD38" s="78">
        <f>IF(Inputs!$E103="Real",Inputs!AI130,Inputs!AI130/Inputs!AI$10)-AD17*INDEX(Data!$L$26:$BE$26,MATCH(AD$6,Data!$L$17:$BE$17,0))</f>
        <v>0</v>
      </c>
      <c r="AE38" s="78">
        <f>IF(Inputs!$E103="Real",Inputs!AJ130,Inputs!AJ130/Inputs!AJ$10)-AE17*INDEX(Data!$L$26:$BE$26,MATCH(AE$6,Data!$L$17:$BE$17,0))</f>
        <v>0</v>
      </c>
      <c r="AF38" s="78">
        <f>IF(Inputs!$E103="Real",Inputs!AK130,Inputs!AK130/Inputs!AK$10)-AF17*INDEX(Data!$L$26:$BE$26,MATCH(AF$6,Data!$L$17:$BE$17,0))</f>
        <v>0</v>
      </c>
      <c r="AG38" s="78">
        <f>IF(Inputs!$E103="Real",Inputs!AL130,Inputs!AL130/Inputs!AL$10)-AG17*INDEX(Data!$L$26:$BE$26,MATCH(AG$6,Data!$L$17:$BE$17,0))</f>
        <v>0</v>
      </c>
      <c r="AH38" s="78">
        <f>IF(Inputs!$E103="Real",Inputs!AM130,Inputs!AM130/Inputs!AM$10)-AH17*INDEX(Data!$L$26:$BE$26,MATCH(AH$6,Data!$L$17:$BE$17,0))</f>
        <v>0</v>
      </c>
      <c r="AI38" s="78">
        <f>IF(Inputs!$E103="Real",Inputs!AN130,Inputs!AN130/Inputs!AN$10)-AI17*INDEX(Data!$L$26:$BE$26,MATCH(AI$6,Data!$L$17:$BE$17,0))</f>
        <v>0</v>
      </c>
      <c r="AJ38" s="78">
        <f>IF(Inputs!$E103="Real",Inputs!AO130,Inputs!AO130/Inputs!AO$10)-AJ17*INDEX(Data!$L$26:$BE$26,MATCH(AJ$6,Data!$L$17:$BE$17,0))</f>
        <v>0</v>
      </c>
      <c r="AK38" s="78">
        <f>IF(Inputs!$E103="Real",Inputs!AP130,Inputs!AP130/Inputs!AP$10)-AK17*INDEX(Data!$L$26:$BE$26,MATCH(AK$6,Data!$L$17:$BE$17,0))</f>
        <v>0</v>
      </c>
      <c r="AL38" s="78">
        <f>IF(Inputs!$E103="Real",Inputs!AQ130,Inputs!AQ130/Inputs!AQ$10)-AL17*INDEX(Data!$L$26:$BE$26,MATCH(AL$6,Data!$L$17:$BE$17,0))</f>
        <v>0</v>
      </c>
      <c r="AM38" s="78">
        <f>IF(Inputs!$E103="Real",Inputs!AR130,Inputs!AR130/Inputs!AR$10)-AM17*INDEX(Data!$L$26:$BE$26,MATCH(AM$6,Data!$L$17:$BE$17,0))</f>
        <v>0</v>
      </c>
      <c r="AN38" s="78">
        <f>IF(Inputs!$E103="Real",Inputs!AS130,Inputs!AS130/Inputs!AS$10)-AN17*INDEX(Data!$L$26:$BE$26,MATCH(AN$6,Data!$L$17:$BE$17,0))</f>
        <v>0</v>
      </c>
      <c r="AO38" s="78">
        <f>IF(Inputs!$E103="Real",Inputs!AT130,Inputs!AT130/Inputs!AT$10)-AO17*INDEX(Data!$L$26:$BE$26,MATCH(AO$6,Data!$L$17:$BE$17,0))</f>
        <v>0</v>
      </c>
      <c r="AP38" s="78">
        <f>IF(Inputs!$E103="Real",Inputs!AU130,Inputs!AU130/Inputs!AU$10)-AP17*INDEX(Data!$L$26:$BE$26,MATCH(AP$6,Data!$L$17:$BE$17,0))</f>
        <v>0</v>
      </c>
      <c r="AQ38" s="78">
        <f>IF(Inputs!$E103="Real",Inputs!AV130,Inputs!AV130/Inputs!AV$10)-AQ17*INDEX(Data!$L$26:$BE$26,MATCH(AQ$6,Data!$L$17:$BE$17,0))</f>
        <v>0</v>
      </c>
      <c r="AR38" s="78">
        <f>IF(Inputs!$E103="Real",Inputs!AW130,Inputs!AW130/Inputs!AW$10)-AR17*INDEX(Data!$L$26:$BE$26,MATCH(AR$6,Data!$L$17:$BE$17,0))</f>
        <v>0</v>
      </c>
      <c r="AS38" s="78">
        <f>IF(Inputs!$E103="Real",Inputs!AX130,Inputs!AX130/Inputs!AX$10)-AS17*INDEX(Data!$L$26:$BE$26,MATCH(AS$6,Data!$L$17:$BE$17,0))</f>
        <v>0</v>
      </c>
      <c r="AT38" s="78">
        <f>IF(Inputs!$E103="Real",Inputs!AY130,Inputs!AY130/Inputs!AY$10)-AT17*INDEX(Data!$L$26:$BE$26,MATCH(AT$6,Data!$L$17:$BE$17,0))</f>
        <v>0</v>
      </c>
      <c r="AU38" s="78">
        <f>IF(Inputs!$E103="Real",Inputs!AZ130,Inputs!AZ130/Inputs!AZ$10)-AU17*INDEX(Data!$L$26:$BE$26,MATCH(AU$6,Data!$L$17:$BE$17,0))</f>
        <v>0</v>
      </c>
    </row>
    <row r="39" spans="1:47" x14ac:dyDescent="0.25">
      <c r="A39" s="10" t="s">
        <v>188</v>
      </c>
      <c r="B39" t="str">
        <f>B18</f>
        <v>Electricity</v>
      </c>
      <c r="C39" s="78">
        <f>IF(Inputs!$E105="Real",Inputs!H134,Inputs!H134/Inputs!H$10)-C18*INDEX(Data!$L$26:$BE$26,MATCH(C$6,Data!$L$17:$BE$17,0))</f>
        <v>28575.82716165857</v>
      </c>
      <c r="D39" s="78">
        <f>IF(Inputs!$E105="Real",Inputs!I134,Inputs!I134/Inputs!I$10)-D18*INDEX(Data!$L$26:$BE$26,MATCH(D$6,Data!$L$17:$BE$17,0))</f>
        <v>28451.891049156271</v>
      </c>
      <c r="E39" s="78">
        <f>IF(Inputs!$E105="Real",Inputs!J134,Inputs!J134/Inputs!J$10)-E18*INDEX(Data!$L$26:$BE$26,MATCH(E$6,Data!$L$17:$BE$17,0))</f>
        <v>28387.717011343902</v>
      </c>
      <c r="F39" s="78">
        <f>IF(Inputs!$E105="Real",Inputs!K134,Inputs!K134/Inputs!K$10)-F18*INDEX(Data!$L$26:$BE$26,MATCH(F$6,Data!$L$17:$BE$17,0))</f>
        <v>28371.443278558701</v>
      </c>
      <c r="G39" s="78">
        <f>IF(Inputs!$E105="Real",Inputs!L134,Inputs!L134/Inputs!L$10)-G18*INDEX(Data!$L$26:$BE$26,MATCH(G$6,Data!$L$17:$BE$17,0))</f>
        <v>28441.314826443777</v>
      </c>
      <c r="H39" s="78">
        <f>IF(Inputs!$E105="Real",Inputs!M134,Inputs!M134/Inputs!M$10)-H18*INDEX(Data!$L$26:$BE$26,MATCH(H$6,Data!$L$17:$BE$17,0))</f>
        <v>28426.657023123233</v>
      </c>
      <c r="I39" s="78">
        <f>IF(Inputs!$E105="Real",Inputs!N134,Inputs!N134/Inputs!N$10)-I18*INDEX(Data!$L$26:$BE$26,MATCH(I$6,Data!$L$17:$BE$17,0))</f>
        <v>28345.629338462826</v>
      </c>
      <c r="J39" s="78">
        <f>IF(Inputs!$E105="Real",Inputs!O134,Inputs!O134/Inputs!O$10)-J18*INDEX(Data!$L$26:$BE$26,MATCH(J$6,Data!$L$17:$BE$17,0))</f>
        <v>28292.574530202721</v>
      </c>
      <c r="K39" s="78">
        <f>IF(Inputs!$E105="Real",Inputs!P134,Inputs!P134/Inputs!P$10)-K18*INDEX(Data!$L$26:$BE$26,MATCH(K$6,Data!$L$17:$BE$17,0))</f>
        <v>28254.940021810253</v>
      </c>
      <c r="L39" s="78">
        <f>IF(Inputs!$E105="Real",Inputs!Q134,Inputs!Q134/Inputs!Q$10)-L18*INDEX(Data!$L$26:$BE$26,MATCH(L$6,Data!$L$17:$BE$17,0))</f>
        <v>28195.235926578618</v>
      </c>
      <c r="M39" s="78">
        <f>IF(Inputs!$E105="Real",Inputs!R134,Inputs!R134/Inputs!R$10)-M18*INDEX(Data!$L$26:$BE$26,MATCH(M$6,Data!$L$17:$BE$17,0))</f>
        <v>28161.600558605038</v>
      </c>
      <c r="N39" s="78">
        <f>IF(Inputs!$E105="Real",Inputs!S134,Inputs!S134/Inputs!S$10)-N18*INDEX(Data!$L$26:$BE$26,MATCH(N$6,Data!$L$17:$BE$17,0))</f>
        <v>28619.382195372164</v>
      </c>
      <c r="O39" s="78">
        <f>IF(Inputs!$E105="Real",Inputs!T134,Inputs!T134/Inputs!T$10)-O18*INDEX(Data!$L$26:$BE$26,MATCH(O$6,Data!$L$17:$BE$17,0))</f>
        <v>28610.129125888438</v>
      </c>
      <c r="P39" s="78">
        <f>IF(Inputs!$E105="Real",Inputs!U134,Inputs!U134/Inputs!U$10)-P18*INDEX(Data!$L$26:$BE$26,MATCH(P$6,Data!$L$17:$BE$17,0))</f>
        <v>28576.238331388566</v>
      </c>
      <c r="Q39" s="78">
        <f>IF(Inputs!$E105="Real",Inputs!V134,Inputs!V134/Inputs!V$10)-Q18*INDEX(Data!$L$26:$BE$26,MATCH(Q$6,Data!$L$17:$BE$17,0))</f>
        <v>28520.004291845493</v>
      </c>
      <c r="R39" s="78">
        <f>IF(Inputs!$E105="Real",Inputs!W134,Inputs!W134/Inputs!W$10)-R18*INDEX(Data!$L$26:$BE$26,MATCH(R$6,Data!$L$17:$BE$17,0))</f>
        <v>28482.775972029445</v>
      </c>
      <c r="S39" s="78">
        <f>IF(Inputs!$E105="Real",Inputs!X134,Inputs!X134/Inputs!X$10)-S18*INDEX(Data!$L$26:$BE$26,MATCH(S$6,Data!$L$17:$BE$17,0))</f>
        <v>28402.707334383493</v>
      </c>
      <c r="T39" s="78">
        <f>IF(Inputs!$E105="Real",Inputs!Y134,Inputs!Y134/Inputs!Y$10)-T18*INDEX(Data!$L$26:$BE$26,MATCH(T$6,Data!$L$17:$BE$17,0))</f>
        <v>28313.844471404405</v>
      </c>
      <c r="U39" s="78">
        <f>IF(Inputs!$E105="Real",Inputs!Z134,Inputs!Z134/Inputs!Z$10)-U18*INDEX(Data!$L$26:$BE$26,MATCH(U$6,Data!$L$17:$BE$17,0))</f>
        <v>28237.619812357367</v>
      </c>
      <c r="V39" s="78">
        <f>IF(Inputs!$E105="Real",Inputs!AA134,Inputs!AA134/Inputs!AA$10)-V18*INDEX(Data!$L$26:$BE$26,MATCH(V$6,Data!$L$17:$BE$17,0))</f>
        <v>28196.691774630912</v>
      </c>
      <c r="W39" s="78">
        <f>IF(Inputs!$E105="Real",Inputs!AB134,Inputs!AB134/Inputs!AB$10)-W18*INDEX(Data!$L$26:$BE$26,MATCH(W$6,Data!$L$17:$BE$17,0))</f>
        <v>28149.951069017567</v>
      </c>
      <c r="X39" s="78">
        <f>IF(Inputs!$E105="Real",Inputs!AC134,Inputs!AC134/Inputs!AC$10)-X18*INDEX(Data!$L$26:$BE$26,MATCH(X$6,Data!$L$17:$BE$17,0))</f>
        <v>28080.457902268128</v>
      </c>
      <c r="Y39" s="78">
        <f>IF(Inputs!$E105="Real",Inputs!AD134,Inputs!AD134/Inputs!AD$10)-Y18*INDEX(Data!$L$26:$BE$26,MATCH(Y$6,Data!$L$17:$BE$17,0))</f>
        <v>0</v>
      </c>
      <c r="Z39" s="78">
        <f>IF(Inputs!$E105="Real",Inputs!AE134,Inputs!AE134/Inputs!AE$10)-Z18*INDEX(Data!$L$26:$BE$26,MATCH(Z$6,Data!$L$17:$BE$17,0))</f>
        <v>0</v>
      </c>
      <c r="AA39" s="78">
        <f>IF(Inputs!$E105="Real",Inputs!AF134,Inputs!AF134/Inputs!AF$10)-AA18*INDEX(Data!$L$26:$BE$26,MATCH(AA$6,Data!$L$17:$BE$17,0))</f>
        <v>0</v>
      </c>
      <c r="AB39" s="78">
        <f>IF(Inputs!$E105="Real",Inputs!AG134,Inputs!AG134/Inputs!AG$10)-AB18*INDEX(Data!$L$26:$BE$26,MATCH(AB$6,Data!$L$17:$BE$17,0))</f>
        <v>0</v>
      </c>
      <c r="AC39" s="78">
        <f>IF(Inputs!$E105="Real",Inputs!AH134,Inputs!AH134/Inputs!AH$10)-AC18*INDEX(Data!$L$26:$BE$26,MATCH(AC$6,Data!$L$17:$BE$17,0))</f>
        <v>0</v>
      </c>
      <c r="AD39" s="78">
        <f>IF(Inputs!$E105="Real",Inputs!AI134,Inputs!AI134/Inputs!AI$10)-AD18*INDEX(Data!$L$26:$BE$26,MATCH(AD$6,Data!$L$17:$BE$17,0))</f>
        <v>0</v>
      </c>
      <c r="AE39" s="78">
        <f>IF(Inputs!$E105="Real",Inputs!AJ134,Inputs!AJ134/Inputs!AJ$10)-AE18*INDEX(Data!$L$26:$BE$26,MATCH(AE$6,Data!$L$17:$BE$17,0))</f>
        <v>0</v>
      </c>
      <c r="AF39" s="78">
        <f>IF(Inputs!$E105="Real",Inputs!AK134,Inputs!AK134/Inputs!AK$10)-AF18*INDEX(Data!$L$26:$BE$26,MATCH(AF$6,Data!$L$17:$BE$17,0))</f>
        <v>0</v>
      </c>
      <c r="AG39" s="78">
        <f>IF(Inputs!$E105="Real",Inputs!AL134,Inputs!AL134/Inputs!AL$10)-AG18*INDEX(Data!$L$26:$BE$26,MATCH(AG$6,Data!$L$17:$BE$17,0))</f>
        <v>0</v>
      </c>
      <c r="AH39" s="78">
        <f>IF(Inputs!$E105="Real",Inputs!AM134,Inputs!AM134/Inputs!AM$10)-AH18*INDEX(Data!$L$26:$BE$26,MATCH(AH$6,Data!$L$17:$BE$17,0))</f>
        <v>0</v>
      </c>
      <c r="AI39" s="78">
        <f>IF(Inputs!$E105="Real",Inputs!AN134,Inputs!AN134/Inputs!AN$10)-AI18*INDEX(Data!$L$26:$BE$26,MATCH(AI$6,Data!$L$17:$BE$17,0))</f>
        <v>0</v>
      </c>
      <c r="AJ39" s="78">
        <f>IF(Inputs!$E105="Real",Inputs!AO134,Inputs!AO134/Inputs!AO$10)-AJ18*INDEX(Data!$L$26:$BE$26,MATCH(AJ$6,Data!$L$17:$BE$17,0))</f>
        <v>0</v>
      </c>
      <c r="AK39" s="78">
        <f>IF(Inputs!$E105="Real",Inputs!AP134,Inputs!AP134/Inputs!AP$10)-AK18*INDEX(Data!$L$26:$BE$26,MATCH(AK$6,Data!$L$17:$BE$17,0))</f>
        <v>0</v>
      </c>
      <c r="AL39" s="78">
        <f>IF(Inputs!$E105="Real",Inputs!AQ134,Inputs!AQ134/Inputs!AQ$10)-AL18*INDEX(Data!$L$26:$BE$26,MATCH(AL$6,Data!$L$17:$BE$17,0))</f>
        <v>0</v>
      </c>
      <c r="AM39" s="78">
        <f>IF(Inputs!$E105="Real",Inputs!AR134,Inputs!AR134/Inputs!AR$10)-AM18*INDEX(Data!$L$26:$BE$26,MATCH(AM$6,Data!$L$17:$BE$17,0))</f>
        <v>0</v>
      </c>
      <c r="AN39" s="78">
        <f>IF(Inputs!$E105="Real",Inputs!AS134,Inputs!AS134/Inputs!AS$10)-AN18*INDEX(Data!$L$26:$BE$26,MATCH(AN$6,Data!$L$17:$BE$17,0))</f>
        <v>0</v>
      </c>
      <c r="AO39" s="78">
        <f>IF(Inputs!$E105="Real",Inputs!AT134,Inputs!AT134/Inputs!AT$10)-AO18*INDEX(Data!$L$26:$BE$26,MATCH(AO$6,Data!$L$17:$BE$17,0))</f>
        <v>0</v>
      </c>
      <c r="AP39" s="78">
        <f>IF(Inputs!$E105="Real",Inputs!AU134,Inputs!AU134/Inputs!AU$10)-AP18*INDEX(Data!$L$26:$BE$26,MATCH(AP$6,Data!$L$17:$BE$17,0))</f>
        <v>0</v>
      </c>
      <c r="AQ39" s="78">
        <f>IF(Inputs!$E105="Real",Inputs!AV134,Inputs!AV134/Inputs!AV$10)-AQ18*INDEX(Data!$L$26:$BE$26,MATCH(AQ$6,Data!$L$17:$BE$17,0))</f>
        <v>0</v>
      </c>
      <c r="AR39" s="78">
        <f>IF(Inputs!$E105="Real",Inputs!AW134,Inputs!AW134/Inputs!AW$10)-AR18*INDEX(Data!$L$26:$BE$26,MATCH(AR$6,Data!$L$17:$BE$17,0))</f>
        <v>0</v>
      </c>
      <c r="AS39" s="78">
        <f>IF(Inputs!$E105="Real",Inputs!AX134,Inputs!AX134/Inputs!AX$10)-AS18*INDEX(Data!$L$26:$BE$26,MATCH(AS$6,Data!$L$17:$BE$17,0))</f>
        <v>0</v>
      </c>
      <c r="AT39" s="78">
        <f>IF(Inputs!$E105="Real",Inputs!AY134,Inputs!AY134/Inputs!AY$10)-AT18*INDEX(Data!$L$26:$BE$26,MATCH(AT$6,Data!$L$17:$BE$17,0))</f>
        <v>0</v>
      </c>
      <c r="AU39" s="78">
        <f>IF(Inputs!$E105="Real",Inputs!AZ134,Inputs!AZ134/Inputs!AZ$10)-AU18*INDEX(Data!$L$26:$BE$26,MATCH(AU$6,Data!$L$17:$BE$17,0))</f>
        <v>0</v>
      </c>
    </row>
    <row r="40" spans="1:47" x14ac:dyDescent="0.25">
      <c r="B40" t="str">
        <f>B25</f>
        <v>Light fuel oil</v>
      </c>
      <c r="C40" s="78">
        <f>IF(Inputs!$E113="Real",Inputs!H142,Inputs!H142/Inputs!H$10)-C25*INDEX(Data!$L$26:$BE$26,MATCH(C$6,Data!$L$17:$BE$17,0))</f>
        <v>0</v>
      </c>
      <c r="D40" s="78">
        <f>IF(Inputs!$E113="Real",Inputs!I142,Inputs!I142/Inputs!I$10)-D25*INDEX(Data!$L$26:$BE$26,MATCH(D$6,Data!$L$17:$BE$17,0))</f>
        <v>0</v>
      </c>
      <c r="E40" s="78">
        <f>IF(Inputs!$E113="Real",Inputs!J142,Inputs!J142/Inputs!J$10)-E25*INDEX(Data!$L$26:$BE$26,MATCH(E$6,Data!$L$17:$BE$17,0))</f>
        <v>0</v>
      </c>
      <c r="F40" s="78">
        <f>IF(Inputs!$E113="Real",Inputs!K142,Inputs!K142/Inputs!K$10)-F25*INDEX(Data!$L$26:$BE$26,MATCH(F$6,Data!$L$17:$BE$17,0))</f>
        <v>0</v>
      </c>
      <c r="G40" s="78">
        <f>IF(Inputs!$E113="Real",Inputs!L142,Inputs!L142/Inputs!L$10)-G25*INDEX(Data!$L$26:$BE$26,MATCH(G$6,Data!$L$17:$BE$17,0))</f>
        <v>0</v>
      </c>
      <c r="H40" s="78">
        <f>IF(Inputs!$E113="Real",Inputs!M142,Inputs!M142/Inputs!M$10)-H25*INDEX(Data!$L$26:$BE$26,MATCH(H$6,Data!$L$17:$BE$17,0))</f>
        <v>0</v>
      </c>
      <c r="I40" s="78">
        <f>IF(Inputs!$E113="Real",Inputs!N142,Inputs!N142/Inputs!N$10)-I25*INDEX(Data!$L$26:$BE$26,MATCH(I$6,Data!$L$17:$BE$17,0))</f>
        <v>0</v>
      </c>
      <c r="J40" s="78">
        <f>IF(Inputs!$E113="Real",Inputs!O142,Inputs!O142/Inputs!O$10)-J25*INDEX(Data!$L$26:$BE$26,MATCH(J$6,Data!$L$17:$BE$17,0))</f>
        <v>0</v>
      </c>
      <c r="K40" s="78">
        <f>IF(Inputs!$E113="Real",Inputs!P142,Inputs!P142/Inputs!P$10)-K25*INDEX(Data!$L$26:$BE$26,MATCH(K$6,Data!$L$17:$BE$17,0))</f>
        <v>0</v>
      </c>
      <c r="L40" s="78">
        <f>IF(Inputs!$E113="Real",Inputs!Q142,Inputs!Q142/Inputs!Q$10)-L25*INDEX(Data!$L$26:$BE$26,MATCH(L$6,Data!$L$17:$BE$17,0))</f>
        <v>0</v>
      </c>
      <c r="M40" s="78">
        <f>IF(Inputs!$E113="Real",Inputs!R142,Inputs!R142/Inputs!R$10)-M25*INDEX(Data!$L$26:$BE$26,MATCH(M$6,Data!$L$17:$BE$17,0))</f>
        <v>0</v>
      </c>
      <c r="N40" s="78">
        <f>IF(Inputs!$E113="Real",Inputs!S142,Inputs!S142/Inputs!S$10)-N25*INDEX(Data!$L$26:$BE$26,MATCH(N$6,Data!$L$17:$BE$17,0))</f>
        <v>0</v>
      </c>
      <c r="O40" s="78">
        <f>IF(Inputs!$E113="Real",Inputs!T142,Inputs!T142/Inputs!T$10)-O25*INDEX(Data!$L$26:$BE$26,MATCH(O$6,Data!$L$17:$BE$17,0))</f>
        <v>0</v>
      </c>
      <c r="P40" s="78">
        <f>IF(Inputs!$E113="Real",Inputs!U142,Inputs!U142/Inputs!U$10)-P25*INDEX(Data!$L$26:$BE$26,MATCH(P$6,Data!$L$17:$BE$17,0))</f>
        <v>0</v>
      </c>
      <c r="Q40" s="78">
        <f>IF(Inputs!$E113="Real",Inputs!V142,Inputs!V142/Inputs!V$10)-Q25*INDEX(Data!$L$26:$BE$26,MATCH(Q$6,Data!$L$17:$BE$17,0))</f>
        <v>0</v>
      </c>
      <c r="R40" s="78">
        <f>IF(Inputs!$E113="Real",Inputs!W142,Inputs!W142/Inputs!W$10)-R25*INDEX(Data!$L$26:$BE$26,MATCH(R$6,Data!$L$17:$BE$17,0))</f>
        <v>0</v>
      </c>
      <c r="S40" s="78">
        <f>IF(Inputs!$E113="Real",Inputs!X142,Inputs!X142/Inputs!X$10)-S25*INDEX(Data!$L$26:$BE$26,MATCH(S$6,Data!$L$17:$BE$17,0))</f>
        <v>0</v>
      </c>
      <c r="T40" s="78">
        <f>IF(Inputs!$E113="Real",Inputs!Y142,Inputs!Y142/Inputs!Y$10)-T25*INDEX(Data!$L$26:$BE$26,MATCH(T$6,Data!$L$17:$BE$17,0))</f>
        <v>0</v>
      </c>
      <c r="U40" s="78">
        <f>IF(Inputs!$E113="Real",Inputs!Z142,Inputs!Z142/Inputs!Z$10)-U25*INDEX(Data!$L$26:$BE$26,MATCH(U$6,Data!$L$17:$BE$17,0))</f>
        <v>0</v>
      </c>
      <c r="V40" s="78">
        <f>IF(Inputs!$E113="Real",Inputs!AA142,Inputs!AA142/Inputs!AA$10)-V25*INDEX(Data!$L$26:$BE$26,MATCH(V$6,Data!$L$17:$BE$17,0))</f>
        <v>0</v>
      </c>
      <c r="W40" s="78">
        <f>IF(Inputs!$E113="Real",Inputs!AB142,Inputs!AB142/Inputs!AB$10)-W25*INDEX(Data!$L$26:$BE$26,MATCH(W$6,Data!$L$17:$BE$17,0))</f>
        <v>0</v>
      </c>
      <c r="X40" s="78">
        <f>IF(Inputs!$E113="Real",Inputs!AC142,Inputs!AC142/Inputs!AC$10)-X25*INDEX(Data!$L$26:$BE$26,MATCH(X$6,Data!$L$17:$BE$17,0))</f>
        <v>0</v>
      </c>
      <c r="Y40" s="78">
        <f>IF(Inputs!$E113="Real",Inputs!AD142,Inputs!AD142/Inputs!AD$10)-Y25*INDEX(Data!$L$26:$BE$26,MATCH(Y$6,Data!$L$17:$BE$17,0))</f>
        <v>0</v>
      </c>
      <c r="Z40" s="78">
        <f>IF(Inputs!$E113="Real",Inputs!AE142,Inputs!AE142/Inputs!AE$10)-Z25*INDEX(Data!$L$26:$BE$26,MATCH(Z$6,Data!$L$17:$BE$17,0))</f>
        <v>0</v>
      </c>
      <c r="AA40" s="78">
        <f>IF(Inputs!$E113="Real",Inputs!AF142,Inputs!AF142/Inputs!AF$10)-AA25*INDEX(Data!$L$26:$BE$26,MATCH(AA$6,Data!$L$17:$BE$17,0))</f>
        <v>0</v>
      </c>
      <c r="AB40" s="78">
        <f>IF(Inputs!$E113="Real",Inputs!AG142,Inputs!AG142/Inputs!AG$10)-AB25*INDEX(Data!$L$26:$BE$26,MATCH(AB$6,Data!$L$17:$BE$17,0))</f>
        <v>0</v>
      </c>
      <c r="AC40" s="78">
        <f>IF(Inputs!$E113="Real",Inputs!AH142,Inputs!AH142/Inputs!AH$10)-AC25*INDEX(Data!$L$26:$BE$26,MATCH(AC$6,Data!$L$17:$BE$17,0))</f>
        <v>0</v>
      </c>
      <c r="AD40" s="78">
        <f>IF(Inputs!$E113="Real",Inputs!AI142,Inputs!AI142/Inputs!AI$10)-AD25*INDEX(Data!$L$26:$BE$26,MATCH(AD$6,Data!$L$17:$BE$17,0))</f>
        <v>0</v>
      </c>
      <c r="AE40" s="78">
        <f>IF(Inputs!$E113="Real",Inputs!AJ142,Inputs!AJ142/Inputs!AJ$10)-AE25*INDEX(Data!$L$26:$BE$26,MATCH(AE$6,Data!$L$17:$BE$17,0))</f>
        <v>0</v>
      </c>
      <c r="AF40" s="78">
        <f>IF(Inputs!$E113="Real",Inputs!AK142,Inputs!AK142/Inputs!AK$10)-AF25*INDEX(Data!$L$26:$BE$26,MATCH(AF$6,Data!$L$17:$BE$17,0))</f>
        <v>0</v>
      </c>
      <c r="AG40" s="78">
        <f>IF(Inputs!$E113="Real",Inputs!AL142,Inputs!AL142/Inputs!AL$10)-AG25*INDEX(Data!$L$26:$BE$26,MATCH(AG$6,Data!$L$17:$BE$17,0))</f>
        <v>0</v>
      </c>
      <c r="AH40" s="78">
        <f>IF(Inputs!$E113="Real",Inputs!AM142,Inputs!AM142/Inputs!AM$10)-AH25*INDEX(Data!$L$26:$BE$26,MATCH(AH$6,Data!$L$17:$BE$17,0))</f>
        <v>0</v>
      </c>
      <c r="AI40" s="78">
        <f>IF(Inputs!$E113="Real",Inputs!AN142,Inputs!AN142/Inputs!AN$10)-AI25*INDEX(Data!$L$26:$BE$26,MATCH(AI$6,Data!$L$17:$BE$17,0))</f>
        <v>0</v>
      </c>
      <c r="AJ40" s="78">
        <f>IF(Inputs!$E113="Real",Inputs!AO142,Inputs!AO142/Inputs!AO$10)-AJ25*INDEX(Data!$L$26:$BE$26,MATCH(AJ$6,Data!$L$17:$BE$17,0))</f>
        <v>0</v>
      </c>
      <c r="AK40" s="78">
        <f>IF(Inputs!$E113="Real",Inputs!AP142,Inputs!AP142/Inputs!AP$10)-AK25*INDEX(Data!$L$26:$BE$26,MATCH(AK$6,Data!$L$17:$BE$17,0))</f>
        <v>0</v>
      </c>
      <c r="AL40" s="78">
        <f>IF(Inputs!$E113="Real",Inputs!AQ142,Inputs!AQ142/Inputs!AQ$10)-AL25*INDEX(Data!$L$26:$BE$26,MATCH(AL$6,Data!$L$17:$BE$17,0))</f>
        <v>0</v>
      </c>
      <c r="AM40" s="78">
        <f>IF(Inputs!$E113="Real",Inputs!AR142,Inputs!AR142/Inputs!AR$10)-AM25*INDEX(Data!$L$26:$BE$26,MATCH(AM$6,Data!$L$17:$BE$17,0))</f>
        <v>0</v>
      </c>
      <c r="AN40" s="78">
        <f>IF(Inputs!$E113="Real",Inputs!AS142,Inputs!AS142/Inputs!AS$10)-AN25*INDEX(Data!$L$26:$BE$26,MATCH(AN$6,Data!$L$17:$BE$17,0))</f>
        <v>0</v>
      </c>
      <c r="AO40" s="78">
        <f>IF(Inputs!$E113="Real",Inputs!AT142,Inputs!AT142/Inputs!AT$10)-AO25*INDEX(Data!$L$26:$BE$26,MATCH(AO$6,Data!$L$17:$BE$17,0))</f>
        <v>0</v>
      </c>
      <c r="AP40" s="78">
        <f>IF(Inputs!$E113="Real",Inputs!AU142,Inputs!AU142/Inputs!AU$10)-AP25*INDEX(Data!$L$26:$BE$26,MATCH(AP$6,Data!$L$17:$BE$17,0))</f>
        <v>0</v>
      </c>
      <c r="AQ40" s="78">
        <f>IF(Inputs!$E113="Real",Inputs!AV142,Inputs!AV142/Inputs!AV$10)-AQ25*INDEX(Data!$L$26:$BE$26,MATCH(AQ$6,Data!$L$17:$BE$17,0))</f>
        <v>0</v>
      </c>
      <c r="AR40" s="78">
        <f>IF(Inputs!$E113="Real",Inputs!AW142,Inputs!AW142/Inputs!AW$10)-AR25*INDEX(Data!$L$26:$BE$26,MATCH(AR$6,Data!$L$17:$BE$17,0))</f>
        <v>0</v>
      </c>
      <c r="AS40" s="78">
        <f>IF(Inputs!$E113="Real",Inputs!AX142,Inputs!AX142/Inputs!AX$10)-AS25*INDEX(Data!$L$26:$BE$26,MATCH(AS$6,Data!$L$17:$BE$17,0))</f>
        <v>0</v>
      </c>
      <c r="AT40" s="78">
        <f>IF(Inputs!$E113="Real",Inputs!AY142,Inputs!AY142/Inputs!AY$10)-AT25*INDEX(Data!$L$26:$BE$26,MATCH(AT$6,Data!$L$17:$BE$17,0))</f>
        <v>0</v>
      </c>
      <c r="AU40" s="78">
        <f>IF(Inputs!$E113="Real",Inputs!AZ142,Inputs!AZ142/Inputs!AZ$10)-AU25*INDEX(Data!$L$26:$BE$26,MATCH(AU$6,Data!$L$17:$BE$17,0))</f>
        <v>0</v>
      </c>
    </row>
    <row r="41" spans="1:47" x14ac:dyDescent="0.25">
      <c r="B41" t="str">
        <f>B26</f>
        <v>Heavy fuel oil</v>
      </c>
      <c r="C41" s="78">
        <f>IF(Inputs!$E114="Real",Inputs!H143,Inputs!H143/Inputs!H$10)-C26*INDEX(Data!$L$26:$BE$26,MATCH(C$6,Data!$L$17:$BE$17,0))</f>
        <v>0</v>
      </c>
      <c r="D41" s="78">
        <f>IF(Inputs!$E114="Real",Inputs!I143,Inputs!I143/Inputs!I$10)-D26*INDEX(Data!$L$26:$BE$26,MATCH(D$6,Data!$L$17:$BE$17,0))</f>
        <v>0</v>
      </c>
      <c r="E41" s="78">
        <f>IF(Inputs!$E114="Real",Inputs!J143,Inputs!J143/Inputs!J$10)-E26*INDEX(Data!$L$26:$BE$26,MATCH(E$6,Data!$L$17:$BE$17,0))</f>
        <v>0</v>
      </c>
      <c r="F41" s="78">
        <f>IF(Inputs!$E114="Real",Inputs!K143,Inputs!K143/Inputs!K$10)-F26*INDEX(Data!$L$26:$BE$26,MATCH(F$6,Data!$L$17:$BE$17,0))</f>
        <v>0</v>
      </c>
      <c r="G41" s="78">
        <f>IF(Inputs!$E114="Real",Inputs!L143,Inputs!L143/Inputs!L$10)-G26*INDEX(Data!$L$26:$BE$26,MATCH(G$6,Data!$L$17:$BE$17,0))</f>
        <v>0</v>
      </c>
      <c r="H41" s="78">
        <f>IF(Inputs!$E114="Real",Inputs!M143,Inputs!M143/Inputs!M$10)-H26*INDEX(Data!$L$26:$BE$26,MATCH(H$6,Data!$L$17:$BE$17,0))</f>
        <v>0</v>
      </c>
      <c r="I41" s="78">
        <f>IF(Inputs!$E114="Real",Inputs!N143,Inputs!N143/Inputs!N$10)-I26*INDEX(Data!$L$26:$BE$26,MATCH(I$6,Data!$L$17:$BE$17,0))</f>
        <v>0</v>
      </c>
      <c r="J41" s="78">
        <f>IF(Inputs!$E114="Real",Inputs!O143,Inputs!O143/Inputs!O$10)-J26*INDEX(Data!$L$26:$BE$26,MATCH(J$6,Data!$L$17:$BE$17,0))</f>
        <v>0</v>
      </c>
      <c r="K41" s="78">
        <f>IF(Inputs!$E114="Real",Inputs!P143,Inputs!P143/Inputs!P$10)-K26*INDEX(Data!$L$26:$BE$26,MATCH(K$6,Data!$L$17:$BE$17,0))</f>
        <v>0</v>
      </c>
      <c r="L41" s="78">
        <f>IF(Inputs!$E114="Real",Inputs!Q143,Inputs!Q143/Inputs!Q$10)-L26*INDEX(Data!$L$26:$BE$26,MATCH(L$6,Data!$L$17:$BE$17,0))</f>
        <v>0</v>
      </c>
      <c r="M41" s="78">
        <f>IF(Inputs!$E114="Real",Inputs!R143,Inputs!R143/Inputs!R$10)-M26*INDEX(Data!$L$26:$BE$26,MATCH(M$6,Data!$L$17:$BE$17,0))</f>
        <v>0</v>
      </c>
      <c r="N41" s="78">
        <f>IF(Inputs!$E114="Real",Inputs!S143,Inputs!S143/Inputs!S$10)-N26*INDEX(Data!$L$26:$BE$26,MATCH(N$6,Data!$L$17:$BE$17,0))</f>
        <v>0</v>
      </c>
      <c r="O41" s="78">
        <f>IF(Inputs!$E114="Real",Inputs!T143,Inputs!T143/Inputs!T$10)-O26*INDEX(Data!$L$26:$BE$26,MATCH(O$6,Data!$L$17:$BE$17,0))</f>
        <v>0</v>
      </c>
      <c r="P41" s="78">
        <f>IF(Inputs!$E114="Real",Inputs!U143,Inputs!U143/Inputs!U$10)-P26*INDEX(Data!$L$26:$BE$26,MATCH(P$6,Data!$L$17:$BE$17,0))</f>
        <v>0</v>
      </c>
      <c r="Q41" s="78">
        <f>IF(Inputs!$E114="Real",Inputs!V143,Inputs!V143/Inputs!V$10)-Q26*INDEX(Data!$L$26:$BE$26,MATCH(Q$6,Data!$L$17:$BE$17,0))</f>
        <v>0</v>
      </c>
      <c r="R41" s="78">
        <f>IF(Inputs!$E114="Real",Inputs!W143,Inputs!W143/Inputs!W$10)-R26*INDEX(Data!$L$26:$BE$26,MATCH(R$6,Data!$L$17:$BE$17,0))</f>
        <v>0</v>
      </c>
      <c r="S41" s="78">
        <f>IF(Inputs!$E114="Real",Inputs!X143,Inputs!X143/Inputs!X$10)-S26*INDEX(Data!$L$26:$BE$26,MATCH(S$6,Data!$L$17:$BE$17,0))</f>
        <v>0</v>
      </c>
      <c r="T41" s="78">
        <f>IF(Inputs!$E114="Real",Inputs!Y143,Inputs!Y143/Inputs!Y$10)-T26*INDEX(Data!$L$26:$BE$26,MATCH(T$6,Data!$L$17:$BE$17,0))</f>
        <v>0</v>
      </c>
      <c r="U41" s="78">
        <f>IF(Inputs!$E114="Real",Inputs!Z143,Inputs!Z143/Inputs!Z$10)-U26*INDEX(Data!$L$26:$BE$26,MATCH(U$6,Data!$L$17:$BE$17,0))</f>
        <v>0</v>
      </c>
      <c r="V41" s="78">
        <f>IF(Inputs!$E114="Real",Inputs!AA143,Inputs!AA143/Inputs!AA$10)-V26*INDEX(Data!$L$26:$BE$26,MATCH(V$6,Data!$L$17:$BE$17,0))</f>
        <v>0</v>
      </c>
      <c r="W41" s="78">
        <f>IF(Inputs!$E114="Real",Inputs!AB143,Inputs!AB143/Inputs!AB$10)-W26*INDEX(Data!$L$26:$BE$26,MATCH(W$6,Data!$L$17:$BE$17,0))</f>
        <v>0</v>
      </c>
      <c r="X41" s="78">
        <f>IF(Inputs!$E114="Real",Inputs!AC143,Inputs!AC143/Inputs!AC$10)-X26*INDEX(Data!$L$26:$BE$26,MATCH(X$6,Data!$L$17:$BE$17,0))</f>
        <v>0</v>
      </c>
      <c r="Y41" s="78">
        <f>IF(Inputs!$E114="Real",Inputs!AD143,Inputs!AD143/Inputs!AD$10)-Y26*INDEX(Data!$L$26:$BE$26,MATCH(Y$6,Data!$L$17:$BE$17,0))</f>
        <v>0</v>
      </c>
      <c r="Z41" s="78">
        <f>IF(Inputs!$E114="Real",Inputs!AE143,Inputs!AE143/Inputs!AE$10)-Z26*INDEX(Data!$L$26:$BE$26,MATCH(Z$6,Data!$L$17:$BE$17,0))</f>
        <v>0</v>
      </c>
      <c r="AA41" s="78">
        <f>IF(Inputs!$E114="Real",Inputs!AF143,Inputs!AF143/Inputs!AF$10)-AA26*INDEX(Data!$L$26:$BE$26,MATCH(AA$6,Data!$L$17:$BE$17,0))</f>
        <v>0</v>
      </c>
      <c r="AB41" s="78">
        <f>IF(Inputs!$E114="Real",Inputs!AG143,Inputs!AG143/Inputs!AG$10)-AB26*INDEX(Data!$L$26:$BE$26,MATCH(AB$6,Data!$L$17:$BE$17,0))</f>
        <v>0</v>
      </c>
      <c r="AC41" s="78">
        <f>IF(Inputs!$E114="Real",Inputs!AH143,Inputs!AH143/Inputs!AH$10)-AC26*INDEX(Data!$L$26:$BE$26,MATCH(AC$6,Data!$L$17:$BE$17,0))</f>
        <v>0</v>
      </c>
      <c r="AD41" s="78">
        <f>IF(Inputs!$E114="Real",Inputs!AI143,Inputs!AI143/Inputs!AI$10)-AD26*INDEX(Data!$L$26:$BE$26,MATCH(AD$6,Data!$L$17:$BE$17,0))</f>
        <v>0</v>
      </c>
      <c r="AE41" s="78">
        <f>IF(Inputs!$E114="Real",Inputs!AJ143,Inputs!AJ143/Inputs!AJ$10)-AE26*INDEX(Data!$L$26:$BE$26,MATCH(AE$6,Data!$L$17:$BE$17,0))</f>
        <v>0</v>
      </c>
      <c r="AF41" s="78">
        <f>IF(Inputs!$E114="Real",Inputs!AK143,Inputs!AK143/Inputs!AK$10)-AF26*INDEX(Data!$L$26:$BE$26,MATCH(AF$6,Data!$L$17:$BE$17,0))</f>
        <v>0</v>
      </c>
      <c r="AG41" s="78">
        <f>IF(Inputs!$E114="Real",Inputs!AL143,Inputs!AL143/Inputs!AL$10)-AG26*INDEX(Data!$L$26:$BE$26,MATCH(AG$6,Data!$L$17:$BE$17,0))</f>
        <v>0</v>
      </c>
      <c r="AH41" s="78">
        <f>IF(Inputs!$E114="Real",Inputs!AM143,Inputs!AM143/Inputs!AM$10)-AH26*INDEX(Data!$L$26:$BE$26,MATCH(AH$6,Data!$L$17:$BE$17,0))</f>
        <v>0</v>
      </c>
      <c r="AI41" s="78">
        <f>IF(Inputs!$E114="Real",Inputs!AN143,Inputs!AN143/Inputs!AN$10)-AI26*INDEX(Data!$L$26:$BE$26,MATCH(AI$6,Data!$L$17:$BE$17,0))</f>
        <v>0</v>
      </c>
      <c r="AJ41" s="78">
        <f>IF(Inputs!$E114="Real",Inputs!AO143,Inputs!AO143/Inputs!AO$10)-AJ26*INDEX(Data!$L$26:$BE$26,MATCH(AJ$6,Data!$L$17:$BE$17,0))</f>
        <v>0</v>
      </c>
      <c r="AK41" s="78">
        <f>IF(Inputs!$E114="Real",Inputs!AP143,Inputs!AP143/Inputs!AP$10)-AK26*INDEX(Data!$L$26:$BE$26,MATCH(AK$6,Data!$L$17:$BE$17,0))</f>
        <v>0</v>
      </c>
      <c r="AL41" s="78">
        <f>IF(Inputs!$E114="Real",Inputs!AQ143,Inputs!AQ143/Inputs!AQ$10)-AL26*INDEX(Data!$L$26:$BE$26,MATCH(AL$6,Data!$L$17:$BE$17,0))</f>
        <v>0</v>
      </c>
      <c r="AM41" s="78">
        <f>IF(Inputs!$E114="Real",Inputs!AR143,Inputs!AR143/Inputs!AR$10)-AM26*INDEX(Data!$L$26:$BE$26,MATCH(AM$6,Data!$L$17:$BE$17,0))</f>
        <v>0</v>
      </c>
      <c r="AN41" s="78">
        <f>IF(Inputs!$E114="Real",Inputs!AS143,Inputs!AS143/Inputs!AS$10)-AN26*INDEX(Data!$L$26:$BE$26,MATCH(AN$6,Data!$L$17:$BE$17,0))</f>
        <v>0</v>
      </c>
      <c r="AO41" s="78">
        <f>IF(Inputs!$E114="Real",Inputs!AT143,Inputs!AT143/Inputs!AT$10)-AO26*INDEX(Data!$L$26:$BE$26,MATCH(AO$6,Data!$L$17:$BE$17,0))</f>
        <v>0</v>
      </c>
      <c r="AP41" s="78">
        <f>IF(Inputs!$E114="Real",Inputs!AU143,Inputs!AU143/Inputs!AU$10)-AP26*INDEX(Data!$L$26:$BE$26,MATCH(AP$6,Data!$L$17:$BE$17,0))</f>
        <v>0</v>
      </c>
      <c r="AQ41" s="78">
        <f>IF(Inputs!$E114="Real",Inputs!AV143,Inputs!AV143/Inputs!AV$10)-AQ26*INDEX(Data!$L$26:$BE$26,MATCH(AQ$6,Data!$L$17:$BE$17,0))</f>
        <v>0</v>
      </c>
      <c r="AR41" s="78">
        <f>IF(Inputs!$E114="Real",Inputs!AW143,Inputs!AW143/Inputs!AW$10)-AR26*INDEX(Data!$L$26:$BE$26,MATCH(AR$6,Data!$L$17:$BE$17,0))</f>
        <v>0</v>
      </c>
      <c r="AS41" s="78">
        <f>IF(Inputs!$E114="Real",Inputs!AX143,Inputs!AX143/Inputs!AX$10)-AS26*INDEX(Data!$L$26:$BE$26,MATCH(AS$6,Data!$L$17:$BE$17,0))</f>
        <v>0</v>
      </c>
      <c r="AT41" s="78">
        <f>IF(Inputs!$E114="Real",Inputs!AY143,Inputs!AY143/Inputs!AY$10)-AT26*INDEX(Data!$L$26:$BE$26,MATCH(AT$6,Data!$L$17:$BE$17,0))</f>
        <v>0</v>
      </c>
      <c r="AU41" s="78">
        <f>IF(Inputs!$E114="Real",Inputs!AZ143,Inputs!AZ143/Inputs!AZ$10)-AU26*INDEX(Data!$L$26:$BE$26,MATCH(AU$6,Data!$L$17:$BE$17,0))</f>
        <v>0</v>
      </c>
    </row>
    <row r="42" spans="1:47" x14ac:dyDescent="0.25">
      <c r="A42" s="57"/>
      <c r="B42" s="57" t="str">
        <f>B27</f>
        <v>Geothermal</v>
      </c>
      <c r="C42" s="89">
        <f>IF(Inputs!$E115="Real",Inputs!H144,Inputs!H144/Inputs!H$10)-C27*INDEX(Data!$L$26:$BE$26,MATCH(C$6,Data!$L$17:$BE$17,0))</f>
        <v>0</v>
      </c>
      <c r="D42" s="89">
        <f>IF(Inputs!$E115="Real",Inputs!I144,Inputs!I144/Inputs!I$10)-D27*INDEX(Data!$L$26:$BE$26,MATCH(D$6,Data!$L$17:$BE$17,0))</f>
        <v>0</v>
      </c>
      <c r="E42" s="89">
        <f>IF(Inputs!$E115="Real",Inputs!J144,Inputs!J144/Inputs!J$10)-E27*INDEX(Data!$L$26:$BE$26,MATCH(E$6,Data!$L$17:$BE$17,0))</f>
        <v>0</v>
      </c>
      <c r="F42" s="89">
        <f>IF(Inputs!$E115="Real",Inputs!K144,Inputs!K144/Inputs!K$10)-F27*INDEX(Data!$L$26:$BE$26,MATCH(F$6,Data!$L$17:$BE$17,0))</f>
        <v>0</v>
      </c>
      <c r="G42" s="89">
        <f>IF(Inputs!$E115="Real",Inputs!L144,Inputs!L144/Inputs!L$10)-G27*INDEX(Data!$L$26:$BE$26,MATCH(G$6,Data!$L$17:$BE$17,0))</f>
        <v>0</v>
      </c>
      <c r="H42" s="89">
        <f>IF(Inputs!$E115="Real",Inputs!M144,Inputs!M144/Inputs!M$10)-H27*INDEX(Data!$L$26:$BE$26,MATCH(H$6,Data!$L$17:$BE$17,0))</f>
        <v>0</v>
      </c>
      <c r="I42" s="89">
        <f>IF(Inputs!$E115="Real",Inputs!N144,Inputs!N144/Inputs!N$10)-I27*INDEX(Data!$L$26:$BE$26,MATCH(I$6,Data!$L$17:$BE$17,0))</f>
        <v>0</v>
      </c>
      <c r="J42" s="89">
        <f>IF(Inputs!$E115="Real",Inputs!O144,Inputs!O144/Inputs!O$10)-J27*INDEX(Data!$L$26:$BE$26,MATCH(J$6,Data!$L$17:$BE$17,0))</f>
        <v>0</v>
      </c>
      <c r="K42" s="89">
        <f>IF(Inputs!$E115="Real",Inputs!P144,Inputs!P144/Inputs!P$10)-K27*INDEX(Data!$L$26:$BE$26,MATCH(K$6,Data!$L$17:$BE$17,0))</f>
        <v>0</v>
      </c>
      <c r="L42" s="89">
        <f>IF(Inputs!$E115="Real",Inputs!Q144,Inputs!Q144/Inputs!Q$10)-L27*INDEX(Data!$L$26:$BE$26,MATCH(L$6,Data!$L$17:$BE$17,0))</f>
        <v>0</v>
      </c>
      <c r="M42" s="89">
        <f>IF(Inputs!$E115="Real",Inputs!R144,Inputs!R144/Inputs!R$10)-M27*INDEX(Data!$L$26:$BE$26,MATCH(M$6,Data!$L$17:$BE$17,0))</f>
        <v>0</v>
      </c>
      <c r="N42" s="89">
        <f>IF(Inputs!$E115="Real",Inputs!S144,Inputs!S144/Inputs!S$10)-N27*INDEX(Data!$L$26:$BE$26,MATCH(N$6,Data!$L$17:$BE$17,0))</f>
        <v>0</v>
      </c>
      <c r="O42" s="89">
        <f>IF(Inputs!$E115="Real",Inputs!T144,Inputs!T144/Inputs!T$10)-O27*INDEX(Data!$L$26:$BE$26,MATCH(O$6,Data!$L$17:$BE$17,0))</f>
        <v>0</v>
      </c>
      <c r="P42" s="89">
        <f>IF(Inputs!$E115="Real",Inputs!U144,Inputs!U144/Inputs!U$10)-P27*INDEX(Data!$L$26:$BE$26,MATCH(P$6,Data!$L$17:$BE$17,0))</f>
        <v>0</v>
      </c>
      <c r="Q42" s="89">
        <f>IF(Inputs!$E115="Real",Inputs!V144,Inputs!V144/Inputs!V$10)-Q27*INDEX(Data!$L$26:$BE$26,MATCH(Q$6,Data!$L$17:$BE$17,0))</f>
        <v>0</v>
      </c>
      <c r="R42" s="89">
        <f>IF(Inputs!$E115="Real",Inputs!W144,Inputs!W144/Inputs!W$10)-R27*INDEX(Data!$L$26:$BE$26,MATCH(R$6,Data!$L$17:$BE$17,0))</f>
        <v>0</v>
      </c>
      <c r="S42" s="89">
        <f>IF(Inputs!$E115="Real",Inputs!X144,Inputs!X144/Inputs!X$10)-S27*INDEX(Data!$L$26:$BE$26,MATCH(S$6,Data!$L$17:$BE$17,0))</f>
        <v>0</v>
      </c>
      <c r="T42" s="89">
        <f>IF(Inputs!$E115="Real",Inputs!Y144,Inputs!Y144/Inputs!Y$10)-T27*INDEX(Data!$L$26:$BE$26,MATCH(T$6,Data!$L$17:$BE$17,0))</f>
        <v>0</v>
      </c>
      <c r="U42" s="89">
        <f>IF(Inputs!$E115="Real",Inputs!Z144,Inputs!Z144/Inputs!Z$10)-U27*INDEX(Data!$L$26:$BE$26,MATCH(U$6,Data!$L$17:$BE$17,0))</f>
        <v>0</v>
      </c>
      <c r="V42" s="89">
        <f>IF(Inputs!$E115="Real",Inputs!AA144,Inputs!AA144/Inputs!AA$10)-V27*INDEX(Data!$L$26:$BE$26,MATCH(V$6,Data!$L$17:$BE$17,0))</f>
        <v>0</v>
      </c>
      <c r="W42" s="89">
        <f>IF(Inputs!$E115="Real",Inputs!AB144,Inputs!AB144/Inputs!AB$10)-W27*INDEX(Data!$L$26:$BE$26,MATCH(W$6,Data!$L$17:$BE$17,0))</f>
        <v>0</v>
      </c>
      <c r="X42" s="89">
        <f>IF(Inputs!$E115="Real",Inputs!AC144,Inputs!AC144/Inputs!AC$10)-X27*INDEX(Data!$L$26:$BE$26,MATCH(X$6,Data!$L$17:$BE$17,0))</f>
        <v>0</v>
      </c>
      <c r="Y42" s="89">
        <f>IF(Inputs!$E115="Real",Inputs!AD144,Inputs!AD144/Inputs!AD$10)-Y27*INDEX(Data!$L$26:$BE$26,MATCH(Y$6,Data!$L$17:$BE$17,0))</f>
        <v>0</v>
      </c>
      <c r="Z42" s="89">
        <f>IF(Inputs!$E115="Real",Inputs!AE144,Inputs!AE144/Inputs!AE$10)-Z27*INDEX(Data!$L$26:$BE$26,MATCH(Z$6,Data!$L$17:$BE$17,0))</f>
        <v>0</v>
      </c>
      <c r="AA42" s="89">
        <f>IF(Inputs!$E115="Real",Inputs!AF144,Inputs!AF144/Inputs!AF$10)-AA27*INDEX(Data!$L$26:$BE$26,MATCH(AA$6,Data!$L$17:$BE$17,0))</f>
        <v>0</v>
      </c>
      <c r="AB42" s="89">
        <f>IF(Inputs!$E115="Real",Inputs!AG144,Inputs!AG144/Inputs!AG$10)-AB27*INDEX(Data!$L$26:$BE$26,MATCH(AB$6,Data!$L$17:$BE$17,0))</f>
        <v>0</v>
      </c>
      <c r="AC42" s="89">
        <f>IF(Inputs!$E115="Real",Inputs!AH144,Inputs!AH144/Inputs!AH$10)-AC27*INDEX(Data!$L$26:$BE$26,MATCH(AC$6,Data!$L$17:$BE$17,0))</f>
        <v>0</v>
      </c>
      <c r="AD42" s="89">
        <f>IF(Inputs!$E115="Real",Inputs!AI144,Inputs!AI144/Inputs!AI$10)-AD27*INDEX(Data!$L$26:$BE$26,MATCH(AD$6,Data!$L$17:$BE$17,0))</f>
        <v>0</v>
      </c>
      <c r="AE42" s="89">
        <f>IF(Inputs!$E115="Real",Inputs!AJ144,Inputs!AJ144/Inputs!AJ$10)-AE27*INDEX(Data!$L$26:$BE$26,MATCH(AE$6,Data!$L$17:$BE$17,0))</f>
        <v>0</v>
      </c>
      <c r="AF42" s="89">
        <f>IF(Inputs!$E115="Real",Inputs!AK144,Inputs!AK144/Inputs!AK$10)-AF27*INDEX(Data!$L$26:$BE$26,MATCH(AF$6,Data!$L$17:$BE$17,0))</f>
        <v>0</v>
      </c>
      <c r="AG42" s="89">
        <f>IF(Inputs!$E115="Real",Inputs!AL144,Inputs!AL144/Inputs!AL$10)-AG27*INDEX(Data!$L$26:$BE$26,MATCH(AG$6,Data!$L$17:$BE$17,0))</f>
        <v>0</v>
      </c>
      <c r="AH42" s="89">
        <f>IF(Inputs!$E115="Real",Inputs!AM144,Inputs!AM144/Inputs!AM$10)-AH27*INDEX(Data!$L$26:$BE$26,MATCH(AH$6,Data!$L$17:$BE$17,0))</f>
        <v>0</v>
      </c>
      <c r="AI42" s="89">
        <f>IF(Inputs!$E115="Real",Inputs!AN144,Inputs!AN144/Inputs!AN$10)-AI27*INDEX(Data!$L$26:$BE$26,MATCH(AI$6,Data!$L$17:$BE$17,0))</f>
        <v>0</v>
      </c>
      <c r="AJ42" s="89">
        <f>IF(Inputs!$E115="Real",Inputs!AO144,Inputs!AO144/Inputs!AO$10)-AJ27*INDEX(Data!$L$26:$BE$26,MATCH(AJ$6,Data!$L$17:$BE$17,0))</f>
        <v>0</v>
      </c>
      <c r="AK42" s="89">
        <f>IF(Inputs!$E115="Real",Inputs!AP144,Inputs!AP144/Inputs!AP$10)-AK27*INDEX(Data!$L$26:$BE$26,MATCH(AK$6,Data!$L$17:$BE$17,0))</f>
        <v>0</v>
      </c>
      <c r="AL42" s="89">
        <f>IF(Inputs!$E115="Real",Inputs!AQ144,Inputs!AQ144/Inputs!AQ$10)-AL27*INDEX(Data!$L$26:$BE$26,MATCH(AL$6,Data!$L$17:$BE$17,0))</f>
        <v>0</v>
      </c>
      <c r="AM42" s="89">
        <f>IF(Inputs!$E115="Real",Inputs!AR144,Inputs!AR144/Inputs!AR$10)-AM27*INDEX(Data!$L$26:$BE$26,MATCH(AM$6,Data!$L$17:$BE$17,0))</f>
        <v>0</v>
      </c>
      <c r="AN42" s="89">
        <f>IF(Inputs!$E115="Real",Inputs!AS144,Inputs!AS144/Inputs!AS$10)-AN27*INDEX(Data!$L$26:$BE$26,MATCH(AN$6,Data!$L$17:$BE$17,0))</f>
        <v>0</v>
      </c>
      <c r="AO42" s="89">
        <f>IF(Inputs!$E115="Real",Inputs!AT144,Inputs!AT144/Inputs!AT$10)-AO27*INDEX(Data!$L$26:$BE$26,MATCH(AO$6,Data!$L$17:$BE$17,0))</f>
        <v>0</v>
      </c>
      <c r="AP42" s="89">
        <f>IF(Inputs!$E115="Real",Inputs!AU144,Inputs!AU144/Inputs!AU$10)-AP27*INDEX(Data!$L$26:$BE$26,MATCH(AP$6,Data!$L$17:$BE$17,0))</f>
        <v>0</v>
      </c>
      <c r="AQ42" s="89">
        <f>IF(Inputs!$E115="Real",Inputs!AV144,Inputs!AV144/Inputs!AV$10)-AQ27*INDEX(Data!$L$26:$BE$26,MATCH(AQ$6,Data!$L$17:$BE$17,0))</f>
        <v>0</v>
      </c>
      <c r="AR42" s="89">
        <f>IF(Inputs!$E115="Real",Inputs!AW144,Inputs!AW144/Inputs!AW$10)-AR27*INDEX(Data!$L$26:$BE$26,MATCH(AR$6,Data!$L$17:$BE$17,0))</f>
        <v>0</v>
      </c>
      <c r="AS42" s="89">
        <f>IF(Inputs!$E115="Real",Inputs!AX144,Inputs!AX144/Inputs!AX$10)-AS27*INDEX(Data!$L$26:$BE$26,MATCH(AS$6,Data!$L$17:$BE$17,0))</f>
        <v>0</v>
      </c>
      <c r="AT42" s="89">
        <f>IF(Inputs!$E115="Real",Inputs!AY144,Inputs!AY144/Inputs!AY$10)-AT27*INDEX(Data!$L$26:$BE$26,MATCH(AT$6,Data!$L$17:$BE$17,0))</f>
        <v>0</v>
      </c>
      <c r="AU42" s="89">
        <f>IF(Inputs!$E115="Real",Inputs!AZ144,Inputs!AZ144/Inputs!AZ$10)-AU27*INDEX(Data!$L$26:$BE$26,MATCH(AU$6,Data!$L$17:$BE$17,0))</f>
        <v>0</v>
      </c>
    </row>
    <row r="44" spans="1:47" x14ac:dyDescent="0.25">
      <c r="A44" s="10" t="s">
        <v>192</v>
      </c>
    </row>
    <row r="45" spans="1:47" x14ac:dyDescent="0.25">
      <c r="A45" s="10" t="s">
        <v>176</v>
      </c>
      <c r="C45" s="78">
        <f>C29*Data!M24</f>
        <v>529707.0096287562</v>
      </c>
      <c r="D45" s="78">
        <f>D29*Data!N24</f>
        <v>48379.868419809252</v>
      </c>
      <c r="E45" s="78">
        <f>E29*Data!O24</f>
        <v>50636.79859561129</v>
      </c>
      <c r="F45" s="78">
        <f>F29*Data!P24</f>
        <v>50829.810887595413</v>
      </c>
      <c r="G45" s="78">
        <f>G29*Data!Q24</f>
        <v>48864.172851830845</v>
      </c>
      <c r="H45" s="78">
        <f>H29*Data!R24</f>
        <v>49254.414430053817</v>
      </c>
      <c r="I45" s="78">
        <f>I29*Data!S24</f>
        <v>51997.371871673495</v>
      </c>
      <c r="J45" s="78">
        <f>J29*Data!T24</f>
        <v>53383.151917233452</v>
      </c>
      <c r="K45" s="78">
        <f>K29*Data!U24</f>
        <v>54561.912361565497</v>
      </c>
      <c r="L45" s="78">
        <f>L29*Data!V24</f>
        <v>56430.702219701809</v>
      </c>
      <c r="M45" s="78">
        <f>M29*Data!W24</f>
        <v>57484.372609298443</v>
      </c>
      <c r="N45" s="78">
        <f>N29*Data!X24</f>
        <v>43221.041132201077</v>
      </c>
      <c r="O45" s="78">
        <f>O29*Data!Y24</f>
        <v>43510.713839169432</v>
      </c>
      <c r="P45" s="78">
        <f>P29*Data!Z24</f>
        <v>44619.766462543761</v>
      </c>
      <c r="Q45" s="78">
        <f>Q29*Data!AA24</f>
        <v>46283.710118569383</v>
      </c>
      <c r="R45" s="78">
        <f>R29*Data!AB24</f>
        <v>47497.578185554412</v>
      </c>
      <c r="S45" s="78">
        <f>S29*Data!AC24</f>
        <v>49905.54576606831</v>
      </c>
      <c r="T45" s="78">
        <f>T29*Data!AD24</f>
        <v>52786.076792891683</v>
      </c>
      <c r="U45" s="78">
        <f>U29*Data!AE24</f>
        <v>55121.106160831718</v>
      </c>
      <c r="V45" s="78">
        <f>V29*Data!AF24</f>
        <v>56504.606851541626</v>
      </c>
      <c r="W45" s="78">
        <f>W29*Data!AG24</f>
        <v>57916.854812785095</v>
      </c>
      <c r="X45" s="78">
        <f>X29*Data!AH24</f>
        <v>60092.378703912895</v>
      </c>
      <c r="Y45" s="78">
        <f>Y29*Data!AI24</f>
        <v>0</v>
      </c>
      <c r="Z45" s="78">
        <f>Z29*Data!AJ24</f>
        <v>0</v>
      </c>
      <c r="AA45" s="78">
        <f>AA29*Data!AK24</f>
        <v>0</v>
      </c>
      <c r="AB45" s="78">
        <f>AB29*Data!AL24</f>
        <v>0</v>
      </c>
      <c r="AC45" s="78">
        <f>AC29*Data!AM24</f>
        <v>0</v>
      </c>
      <c r="AD45" s="78">
        <f>AD29*Data!AN24</f>
        <v>0</v>
      </c>
      <c r="AE45" s="78">
        <f>AE29*Data!AO24</f>
        <v>0</v>
      </c>
      <c r="AF45" s="78">
        <f>AF29*Data!AP24</f>
        <v>0</v>
      </c>
      <c r="AG45" s="78">
        <f>AG29*Data!AQ24</f>
        <v>0</v>
      </c>
      <c r="AH45" s="78">
        <f>AH29*Data!AR24</f>
        <v>0</v>
      </c>
      <c r="AI45" s="78">
        <f>AI29*Data!AS24</f>
        <v>0</v>
      </c>
      <c r="AJ45" s="78">
        <f>AJ29*Data!AT24</f>
        <v>0</v>
      </c>
      <c r="AK45" s="78">
        <f>AK29*Data!AU24</f>
        <v>0</v>
      </c>
      <c r="AL45" s="78">
        <f>AL29*Data!AV24</f>
        <v>0</v>
      </c>
      <c r="AM45" s="78">
        <f>AM29*Data!AW24</f>
        <v>0</v>
      </c>
      <c r="AN45" s="78">
        <f>AN29*Data!AX24</f>
        <v>0</v>
      </c>
      <c r="AO45" s="78">
        <f>AO29*Data!AY24</f>
        <v>0</v>
      </c>
      <c r="AP45" s="78">
        <f>AP29*Data!AZ24</f>
        <v>0</v>
      </c>
      <c r="AQ45" s="78">
        <f>AQ29*Data!BA24</f>
        <v>0</v>
      </c>
      <c r="AR45" s="78">
        <f>AR29*Data!BB24</f>
        <v>0</v>
      </c>
      <c r="AS45" s="78">
        <f>AS29*Data!BC24</f>
        <v>0</v>
      </c>
      <c r="AT45" s="78">
        <f>AT29*Data!BD24</f>
        <v>0</v>
      </c>
      <c r="AU45" s="78">
        <f>AU29*Data!BE24</f>
        <v>0</v>
      </c>
    </row>
    <row r="46" spans="1:47" x14ac:dyDescent="0.25">
      <c r="A46" s="66" t="s">
        <v>188</v>
      </c>
      <c r="B46" s="57"/>
      <c r="C46" s="89">
        <f>C30*Data!M24</f>
        <v>529707.0096287562</v>
      </c>
      <c r="D46" s="89">
        <f>D30*Data!N24</f>
        <v>573851.17539251666</v>
      </c>
      <c r="E46" s="89">
        <f>E30*Data!O24</f>
        <v>621963.32554971706</v>
      </c>
      <c r="F46" s="89">
        <f>F30*Data!P24</f>
        <v>666021.18962053733</v>
      </c>
      <c r="G46" s="89">
        <f>G30*Data!Q24</f>
        <v>714032.17806283978</v>
      </c>
      <c r="H46" s="89">
        <f>H30*Data!R24</f>
        <v>734065.72723265772</v>
      </c>
      <c r="I46" s="89">
        <f>I30*Data!S24</f>
        <v>758160.48133478314</v>
      </c>
      <c r="J46" s="89">
        <f>J30*Data!T24</f>
        <v>778217.88100826519</v>
      </c>
      <c r="K46" s="89">
        <f>K30*Data!U24</f>
        <v>802275.16103235201</v>
      </c>
      <c r="L46" s="89">
        <f>L30*Data!V24</f>
        <v>826348.97236045403</v>
      </c>
      <c r="M46" s="89">
        <f>M30*Data!W24</f>
        <v>850403.25555327127</v>
      </c>
      <c r="N46" s="89">
        <f>N30*Data!X24</f>
        <v>878095.42335347098</v>
      </c>
      <c r="O46" s="89">
        <f>O30*Data!Y24</f>
        <v>902131.40315558377</v>
      </c>
      <c r="P46" s="89">
        <f>P30*Data!Z24</f>
        <v>930191.8531621939</v>
      </c>
      <c r="Q46" s="89">
        <f>Q30*Data!AA24</f>
        <v>958265.59690987132</v>
      </c>
      <c r="R46" s="89">
        <f>R30*Data!AB24</f>
        <v>986328.558020978</v>
      </c>
      <c r="S46" s="89">
        <f>S30*Data!AC24</f>
        <v>1014420.1266402397</v>
      </c>
      <c r="T46" s="89">
        <f>T30*Data!AD24</f>
        <v>1046527.8566464469</v>
      </c>
      <c r="U46" s="89">
        <f>U30*Data!AE24</f>
        <v>1078622.5178564789</v>
      </c>
      <c r="V46" s="89">
        <f>V30*Data!AF24</f>
        <v>1110694.3829225672</v>
      </c>
      <c r="W46" s="89">
        <f>W30*Data!AG24</f>
        <v>1142766.936698237</v>
      </c>
      <c r="X46" s="89">
        <f>X30*Data!AH24</f>
        <v>1178862.616573299</v>
      </c>
      <c r="Y46" s="89">
        <f>Y30*Data!AI24</f>
        <v>0</v>
      </c>
      <c r="Z46" s="89">
        <f>Z30*Data!AJ24</f>
        <v>0</v>
      </c>
      <c r="AA46" s="89">
        <f>AA30*Data!AK24</f>
        <v>0</v>
      </c>
      <c r="AB46" s="89">
        <f>AB30*Data!AL24</f>
        <v>0</v>
      </c>
      <c r="AC46" s="89">
        <f>AC30*Data!AM24</f>
        <v>0</v>
      </c>
      <c r="AD46" s="89">
        <f>AD30*Data!AN24</f>
        <v>0</v>
      </c>
      <c r="AE46" s="89">
        <f>AE30*Data!AO24</f>
        <v>0</v>
      </c>
      <c r="AF46" s="89">
        <f>AF30*Data!AP24</f>
        <v>0</v>
      </c>
      <c r="AG46" s="89">
        <f>AG30*Data!AQ24</f>
        <v>0</v>
      </c>
      <c r="AH46" s="89">
        <f>AH30*Data!AR24</f>
        <v>0</v>
      </c>
      <c r="AI46" s="89">
        <f>AI30*Data!AS24</f>
        <v>0</v>
      </c>
      <c r="AJ46" s="89">
        <f>AJ30*Data!AT24</f>
        <v>0</v>
      </c>
      <c r="AK46" s="89">
        <f>AK30*Data!AU24</f>
        <v>0</v>
      </c>
      <c r="AL46" s="89">
        <f>AL30*Data!AV24</f>
        <v>0</v>
      </c>
      <c r="AM46" s="89">
        <f>AM30*Data!AW24</f>
        <v>0</v>
      </c>
      <c r="AN46" s="89">
        <f>AN30*Data!AX24</f>
        <v>0</v>
      </c>
      <c r="AO46" s="89">
        <f>AO30*Data!AY24</f>
        <v>0</v>
      </c>
      <c r="AP46" s="89">
        <f>AP30*Data!AZ24</f>
        <v>0</v>
      </c>
      <c r="AQ46" s="89">
        <f>AQ30*Data!BA24</f>
        <v>0</v>
      </c>
      <c r="AR46" s="89">
        <f>AR30*Data!BB24</f>
        <v>0</v>
      </c>
      <c r="AS46" s="89">
        <f>AS30*Data!BC24</f>
        <v>0</v>
      </c>
      <c r="AT46" s="89">
        <f>AT30*Data!BD24</f>
        <v>0</v>
      </c>
      <c r="AU46" s="89">
        <f>AU30*Data!BE24</f>
        <v>0</v>
      </c>
    </row>
    <row r="47" spans="1:47" x14ac:dyDescent="0.25">
      <c r="A47" s="10" t="s">
        <v>193</v>
      </c>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row>
    <row r="48" spans="1:47" x14ac:dyDescent="0.25">
      <c r="A48" s="10" t="s">
        <v>176</v>
      </c>
      <c r="C48" s="78">
        <f>(C7/Data!M2*Data!M19+SUM(Calculations!C8:C17))*Data!M23</f>
        <v>284780.69136</v>
      </c>
      <c r="D48" s="78">
        <f>(D7/Data!N2*Data!N19+SUM(Calculations!D8:D17))*Data!N23</f>
        <v>200987.93444921606</v>
      </c>
      <c r="E48" s="78">
        <f>(E7/Data!O2*Data!O19+SUM(Calculations!E8:E17))*Data!O23</f>
        <v>208119.49584000005</v>
      </c>
      <c r="F48" s="78">
        <f>(F7/Data!P2*Data!P19+SUM(Calculations!F8:F17))*Data!P23</f>
        <v>198210.23291140483</v>
      </c>
      <c r="G48" s="78">
        <f>(G7/Data!Q2*Data!Q19+SUM(Calculations!G8:G17))*Data!Q23</f>
        <v>188298.19505619843</v>
      </c>
      <c r="H48" s="78">
        <f>(H7/Data!R2*Data!R19+SUM(Calculations!H8:H17))*Data!R23</f>
        <v>178388.93212760324</v>
      </c>
      <c r="I48" s="78">
        <f>(I7/Data!S2*Data!S19+SUM(Calculations!I8:I17))*Data!S23</f>
        <v>168476.89427239684</v>
      </c>
      <c r="J48" s="78">
        <f>(J7/Data!T2*Data!T19+SUM(Calculations!J8:J17))*Data!T23</f>
        <v>158567.63134380162</v>
      </c>
      <c r="K48" s="78">
        <f>(K7/Data!U2*Data!U19+SUM(Calculations!K8:K17))*Data!U23</f>
        <v>148655.59348859522</v>
      </c>
      <c r="L48" s="78">
        <f>(L7/Data!V2*Data!V19+SUM(Calculations!L8:L17))*Data!V23</f>
        <v>138746.33056000003</v>
      </c>
      <c r="M48" s="78">
        <f>(M7/Data!W2*Data!W19+SUM(Calculations!M8:M17))*Data!W23</f>
        <v>138746.33056000003</v>
      </c>
      <c r="N48" s="78">
        <f>(N7/Data!X2*Data!X19+SUM(Calculations!N8:N17))*Data!X23</f>
        <v>138746.33056000003</v>
      </c>
      <c r="O48" s="78">
        <f>(O7/Data!Y2*Data!Y19+SUM(Calculations!O8:O17))*Data!Y23</f>
        <v>138746.33056000003</v>
      </c>
      <c r="P48" s="78">
        <f>(P7/Data!Z2*Data!Z19+SUM(Calculations!P8:P17))*Data!Z23</f>
        <v>138746.33056000003</v>
      </c>
      <c r="Q48" s="78">
        <f>(Q7/Data!AA2*Data!AA19+SUM(Calculations!Q8:Q17))*Data!AA23</f>
        <v>138746.33056000003</v>
      </c>
      <c r="R48" s="78">
        <f>(R7/Data!AB2*Data!AB19+SUM(Calculations!R8:R17))*Data!AB23</f>
        <v>138746.33056000003</v>
      </c>
      <c r="S48" s="78">
        <f>(S7/Data!AC2*Data!AC19+SUM(Calculations!S8:S17))*Data!AC23</f>
        <v>138746.33056000003</v>
      </c>
      <c r="T48" s="78">
        <f>(T7/Data!AD2*Data!AD19+SUM(Calculations!T8:T17))*Data!AD23</f>
        <v>138746.33056000003</v>
      </c>
      <c r="U48" s="78">
        <f>(U7/Data!AE2*Data!AE19+SUM(Calculations!U8:U17))*Data!AE23</f>
        <v>138746.33056000003</v>
      </c>
      <c r="V48" s="78">
        <f>(V7/Data!AF2*Data!AF19+SUM(Calculations!V8:V17))*Data!AF23</f>
        <v>138746.33056000003</v>
      </c>
      <c r="W48" s="78">
        <f>(W7/Data!AG2*Data!AG19+SUM(Calculations!W8:W17))*Data!AG23</f>
        <v>138746.33056000003</v>
      </c>
      <c r="X48" s="78">
        <f>(X7/Data!AH2*Data!AH19+SUM(Calculations!X8:X17))*Data!AH23</f>
        <v>138746.33056000003</v>
      </c>
      <c r="Y48" s="78">
        <f>(Y7/Data!AI2*Data!AI19+SUM(Calculations!Y8:Y17))*Data!AI23</f>
        <v>0</v>
      </c>
      <c r="Z48" s="78">
        <f>(Z7/Data!AJ2*Data!AJ19+SUM(Calculations!Z8:Z17))*Data!AJ23</f>
        <v>0</v>
      </c>
      <c r="AA48" s="78">
        <f>(AA7/Data!AK2*Data!AK19+SUM(Calculations!AA8:AA17))*Data!AK23</f>
        <v>0</v>
      </c>
      <c r="AB48" s="78">
        <f>(AB7/Data!AL2*Data!AL19+SUM(Calculations!AB8:AB17))*Data!AL23</f>
        <v>0</v>
      </c>
      <c r="AC48" s="78">
        <f>(AC7/Data!AM2*Data!AM19+SUM(Calculations!AC8:AC17))*Data!AM23</f>
        <v>0</v>
      </c>
      <c r="AD48" s="78">
        <f>(AD7/Data!AN2*Data!AN19+SUM(Calculations!AD8:AD17))*Data!AN23</f>
        <v>0</v>
      </c>
      <c r="AE48" s="78">
        <f>(AE7/Data!AO2*Data!AO19+SUM(Calculations!AE8:AE17))*Data!AO23</f>
        <v>0</v>
      </c>
      <c r="AF48" s="78">
        <f>(AF7/Data!AP2*Data!AP19+SUM(Calculations!AF8:AF17))*Data!AP23</f>
        <v>0</v>
      </c>
      <c r="AG48" s="78">
        <f>(AG7/Data!AQ2*Data!AQ19+SUM(Calculations!AG8:AG17))*Data!AQ23</f>
        <v>0</v>
      </c>
      <c r="AH48" s="78">
        <f>(AH7/Data!AR2*Data!AR19+SUM(Calculations!AH8:AH17))*Data!AR23</f>
        <v>0</v>
      </c>
      <c r="AI48" s="78">
        <f>(AI7/Data!AS2*Data!AS19+SUM(Calculations!AI8:AI17))*Data!AS23</f>
        <v>0</v>
      </c>
      <c r="AJ48" s="78">
        <f>(AJ7/Data!AT2*Data!AT19+SUM(Calculations!AJ8:AJ17))*Data!AT23</f>
        <v>0</v>
      </c>
      <c r="AK48" s="78">
        <f>(AK7/Data!AU2*Data!AU19+SUM(Calculations!AK8:AK17))*Data!AU23</f>
        <v>0</v>
      </c>
      <c r="AL48" s="78">
        <f>(AL7/Data!AV2*Data!AV19+SUM(Calculations!AL8:AL17))*Data!AV23</f>
        <v>0</v>
      </c>
      <c r="AM48" s="78">
        <f>(AM7/Data!AW2*Data!AW19+SUM(Calculations!AM8:AM17))*Data!AW23</f>
        <v>0</v>
      </c>
      <c r="AN48" s="78">
        <f>(AN7/Data!AX2*Data!AX19+SUM(Calculations!AN8:AN17))*Data!AX23</f>
        <v>0</v>
      </c>
      <c r="AO48" s="78">
        <f>(AO7/Data!AY2*Data!AY19+SUM(Calculations!AO8:AO17))*Data!AY23</f>
        <v>0</v>
      </c>
      <c r="AP48" s="78">
        <f>(AP7/Data!AZ2*Data!AZ19+SUM(Calculations!AP8:AP17))*Data!AZ23</f>
        <v>0</v>
      </c>
      <c r="AQ48" s="78">
        <f>(AQ7/Data!BA2*Data!BA19+SUM(Calculations!AQ8:AQ17))*Data!BA23</f>
        <v>0</v>
      </c>
      <c r="AR48" s="78">
        <f>(AR7/Data!BB2*Data!BB19+SUM(Calculations!AR8:AR17))*Data!BB23</f>
        <v>0</v>
      </c>
      <c r="AS48" s="78">
        <f>(AS7/Data!BC2*Data!BC19+SUM(Calculations!AS8:AS17))*Data!BC23</f>
        <v>0</v>
      </c>
      <c r="AT48" s="78">
        <f>(AT7/Data!BD2*Data!BD19+SUM(Calculations!AT8:AT17))*Data!BD23</f>
        <v>0</v>
      </c>
      <c r="AU48" s="78">
        <f>(AU7/Data!BE2*Data!BE19+SUM(Calculations!AU8:AU17))*Data!BE23</f>
        <v>0</v>
      </c>
    </row>
    <row r="49" spans="1:47" x14ac:dyDescent="0.25">
      <c r="A49" s="10" t="s">
        <v>188</v>
      </c>
      <c r="C49" s="78">
        <f>(C18/Data!M2*Data!M19+SUM(C19:C28))*Data!M23</f>
        <v>284780.69136</v>
      </c>
      <c r="D49" s="78">
        <f>(D18/Data!N2*Data!N19+SUM(D19:D28))*Data!N23</f>
        <v>294885.70760000008</v>
      </c>
      <c r="E49" s="78">
        <f>(E18/Data!O2*Data!O19+SUM(E19:E28))*Data!O23</f>
        <v>305349.00000000006</v>
      </c>
      <c r="F49" s="78">
        <f>(F18/Data!P2*Data!P19+SUM(F19:F28))*Data!P23</f>
        <v>290810.31628000003</v>
      </c>
      <c r="G49" s="78">
        <f>(G18/Data!Q2*Data!Q19+SUM(G19:G28))*Data!Q23</f>
        <v>276267.56124000007</v>
      </c>
      <c r="H49" s="78">
        <f>(H18/Data!R2*Data!R19+SUM(H19:H28))*Data!R23</f>
        <v>261728.87752000004</v>
      </c>
      <c r="I49" s="78">
        <f>(I18/Data!S2*Data!S19+SUM(I19:I28))*Data!S23</f>
        <v>247186.12248000002</v>
      </c>
      <c r="J49" s="78">
        <f>(J18/Data!T2*Data!T19+SUM(J19:J28))*Data!T23</f>
        <v>232647.43876000005</v>
      </c>
      <c r="K49" s="78">
        <f>(K18/Data!U2*Data!U19+SUM(K19:K28))*Data!U23</f>
        <v>218104.68372000003</v>
      </c>
      <c r="L49" s="78">
        <f>(L18/Data!V2*Data!V19+SUM(L19:L28))*Data!V23</f>
        <v>203566.00000000003</v>
      </c>
      <c r="M49" s="78">
        <f>(M18/Data!W2*Data!W19+SUM(M19:M28))*Data!W23</f>
        <v>203566.00000000003</v>
      </c>
      <c r="N49" s="78">
        <f>(N18/Data!X2*Data!X19+SUM(N19:N28))*Data!X23</f>
        <v>203566.00000000003</v>
      </c>
      <c r="O49" s="78">
        <f>(O18/Data!Y2*Data!Y19+SUM(O19:O28))*Data!Y23</f>
        <v>203566.00000000003</v>
      </c>
      <c r="P49" s="78">
        <f>(P18/Data!Z2*Data!Z19+SUM(P19:P28))*Data!Z23</f>
        <v>203566.00000000003</v>
      </c>
      <c r="Q49" s="78">
        <f>(Q18/Data!AA2*Data!AA19+SUM(Q19:Q28))*Data!AA23</f>
        <v>203566.00000000003</v>
      </c>
      <c r="R49" s="78">
        <f>(R18/Data!AB2*Data!AB19+SUM(R19:R28))*Data!AB23</f>
        <v>203566.00000000003</v>
      </c>
      <c r="S49" s="78">
        <f>(S18/Data!AC2*Data!AC19+SUM(S19:S28))*Data!AC23</f>
        <v>203566.00000000003</v>
      </c>
      <c r="T49" s="78">
        <f>(T18/Data!AD2*Data!AD19+SUM(T19:T28))*Data!AD23</f>
        <v>203566.00000000003</v>
      </c>
      <c r="U49" s="78">
        <f>(U18/Data!AE2*Data!AE19+SUM(U19:U28))*Data!AE23</f>
        <v>203566.00000000003</v>
      </c>
      <c r="V49" s="78">
        <f>(V18/Data!AF2*Data!AF19+SUM(V19:V28))*Data!AF23</f>
        <v>203566.00000000003</v>
      </c>
      <c r="W49" s="78">
        <f>(W18/Data!AG2*Data!AG19+SUM(W19:W28))*Data!AG23</f>
        <v>203566.00000000003</v>
      </c>
      <c r="X49" s="78">
        <f>(X18/Data!AH2*Data!AH19+SUM(X19:X28))*Data!AH23</f>
        <v>203566.00000000003</v>
      </c>
      <c r="Y49" s="78">
        <f>(Y18/Data!AI2*Data!AI19+SUM(Y19:Y28))*Data!AI23</f>
        <v>0</v>
      </c>
      <c r="Z49" s="78">
        <f>(Z18/Data!AJ2*Data!AJ19+SUM(Z19:Z28))*Data!AJ23</f>
        <v>0</v>
      </c>
      <c r="AA49" s="78">
        <f>(AA18/Data!AK2*Data!AK19+SUM(AA19:AA28))*Data!AK23</f>
        <v>0</v>
      </c>
      <c r="AB49" s="78">
        <f>(AB18/Data!AL2*Data!AL19+SUM(AB19:AB28))*Data!AL23</f>
        <v>0</v>
      </c>
      <c r="AC49" s="78">
        <f>(AC18/Data!AM2*Data!AM19+SUM(AC19:AC28))*Data!AM23</f>
        <v>0</v>
      </c>
      <c r="AD49" s="78">
        <f>(AD18/Data!AN2*Data!AN19+SUM(AD19:AD28))*Data!AN23</f>
        <v>0</v>
      </c>
      <c r="AE49" s="78">
        <f>(AE18/Data!AO2*Data!AO19+SUM(AE19:AE28))*Data!AO23</f>
        <v>0</v>
      </c>
      <c r="AF49" s="78">
        <f>(AF18/Data!AP2*Data!AP19+SUM(AF19:AF28))*Data!AP23</f>
        <v>0</v>
      </c>
      <c r="AG49" s="78">
        <f>(AG18/Data!AQ2*Data!AQ19+SUM(AG19:AG28))*Data!AQ23</f>
        <v>0</v>
      </c>
      <c r="AH49" s="78">
        <f>(AH18/Data!AR2*Data!AR19+SUM(AH19:AH28))*Data!AR23</f>
        <v>0</v>
      </c>
      <c r="AI49" s="78">
        <f>(AI18/Data!AS2*Data!AS19+SUM(AI19:AI28))*Data!AS23</f>
        <v>0</v>
      </c>
      <c r="AJ49" s="78">
        <f>(AJ18/Data!AT2*Data!AT19+SUM(AJ19:AJ28))*Data!AT23</f>
        <v>0</v>
      </c>
      <c r="AK49" s="78">
        <f>(AK18/Data!AU2*Data!AU19+SUM(AK19:AK28))*Data!AU23</f>
        <v>0</v>
      </c>
      <c r="AL49" s="78">
        <f>(AL18/Data!AV2*Data!AV19+SUM(AL19:AL28))*Data!AV23</f>
        <v>0</v>
      </c>
      <c r="AM49" s="78">
        <f>(AM18/Data!AW2*Data!AW19+SUM(AM19:AM28))*Data!AW23</f>
        <v>0</v>
      </c>
      <c r="AN49" s="78">
        <f>(AN18/Data!AX2*Data!AX19+SUM(AN19:AN28))*Data!AX23</f>
        <v>0</v>
      </c>
      <c r="AO49" s="78">
        <f>(AO18/Data!AY2*Data!AY19+SUM(AO19:AO28))*Data!AY23</f>
        <v>0</v>
      </c>
      <c r="AP49" s="78">
        <f>(AP18/Data!AZ2*Data!AZ19+SUM(AP19:AP28))*Data!AZ23</f>
        <v>0</v>
      </c>
      <c r="AQ49" s="78">
        <f>(AQ18/Data!BA2*Data!BA19+SUM(AQ19:AQ28))*Data!BA23</f>
        <v>0</v>
      </c>
      <c r="AR49" s="78">
        <f>(AR18/Data!BB2*Data!BB19+SUM(AR19:AR28))*Data!BB23</f>
        <v>0</v>
      </c>
      <c r="AS49" s="78">
        <f>(AS18/Data!BC2*Data!BC19+SUM(AS19:AS28))*Data!BC23</f>
        <v>0</v>
      </c>
      <c r="AT49" s="78">
        <f>(AT18/Data!BD2*Data!BD19+SUM(AT19:AT28))*Data!BD23</f>
        <v>0</v>
      </c>
      <c r="AU49" s="78">
        <f>(AU18/Data!BE2*Data!BE19+SUM(AU19:AU28))*Data!BE23</f>
        <v>0</v>
      </c>
    </row>
    <row r="51" spans="1:47" x14ac:dyDescent="0.25">
      <c r="A51" s="32" t="s">
        <v>194</v>
      </c>
      <c r="B51" s="49"/>
      <c r="C51" s="200">
        <v>2026</v>
      </c>
      <c r="D51" s="200">
        <v>2027</v>
      </c>
      <c r="E51" s="200">
        <v>2028</v>
      </c>
      <c r="F51" s="200">
        <v>2029</v>
      </c>
      <c r="G51" s="200">
        <v>2030</v>
      </c>
      <c r="H51" s="200">
        <v>2031</v>
      </c>
      <c r="I51" s="200">
        <v>2032</v>
      </c>
      <c r="J51" s="200">
        <v>2033</v>
      </c>
      <c r="K51" s="200">
        <v>2034</v>
      </c>
      <c r="L51" s="200">
        <v>2035</v>
      </c>
      <c r="M51" s="200">
        <v>2036</v>
      </c>
      <c r="N51" s="200">
        <v>2037</v>
      </c>
      <c r="O51" s="200">
        <v>2038</v>
      </c>
      <c r="P51" s="200">
        <v>2039</v>
      </c>
      <c r="Q51" s="200">
        <v>2040</v>
      </c>
      <c r="R51" s="200">
        <v>2041</v>
      </c>
      <c r="S51" s="200">
        <v>2042</v>
      </c>
      <c r="T51" s="200">
        <v>2043</v>
      </c>
      <c r="U51" s="200">
        <v>2044</v>
      </c>
      <c r="V51" s="200">
        <v>2045</v>
      </c>
      <c r="W51" s="200">
        <v>2046</v>
      </c>
      <c r="X51" s="200">
        <v>2047</v>
      </c>
      <c r="Y51" s="200">
        <v>2048</v>
      </c>
      <c r="Z51" s="200">
        <v>2049</v>
      </c>
      <c r="AA51" s="200">
        <v>2050</v>
      </c>
      <c r="AB51" s="200">
        <v>2051</v>
      </c>
      <c r="AC51" s="200">
        <v>2052</v>
      </c>
      <c r="AD51" s="200">
        <v>2053</v>
      </c>
      <c r="AE51" s="200">
        <v>2054</v>
      </c>
      <c r="AF51" s="200">
        <v>2055</v>
      </c>
      <c r="AG51" s="200">
        <v>2056</v>
      </c>
      <c r="AH51" s="200">
        <v>2057</v>
      </c>
      <c r="AI51" s="200">
        <v>2058</v>
      </c>
      <c r="AJ51" s="200">
        <v>2059</v>
      </c>
      <c r="AK51" s="200">
        <v>2060</v>
      </c>
      <c r="AL51" s="200">
        <v>2061</v>
      </c>
      <c r="AM51" s="200">
        <v>2062</v>
      </c>
      <c r="AN51" s="200">
        <v>2063</v>
      </c>
      <c r="AO51" s="200">
        <v>2064</v>
      </c>
      <c r="AP51" s="200">
        <v>2065</v>
      </c>
      <c r="AQ51" s="200">
        <v>2066</v>
      </c>
      <c r="AR51" s="200">
        <v>2067</v>
      </c>
      <c r="AS51" s="200">
        <v>2068</v>
      </c>
      <c r="AT51" s="200">
        <v>2069</v>
      </c>
      <c r="AU51" s="200">
        <v>2070</v>
      </c>
    </row>
    <row r="52" spans="1:47" x14ac:dyDescent="0.25">
      <c r="A52" s="10" t="s">
        <v>176</v>
      </c>
      <c r="B52" t="s">
        <v>195</v>
      </c>
      <c r="C52" s="78">
        <f>'Real values'!H17</f>
        <v>1253537.816689681</v>
      </c>
      <c r="D52" s="78">
        <f>'Real values'!I17</f>
        <v>783408.66684675869</v>
      </c>
      <c r="E52" s="78">
        <f>'Real values'!J17</f>
        <v>0</v>
      </c>
      <c r="F52" s="78">
        <f>'Real values'!K17</f>
        <v>0</v>
      </c>
      <c r="G52" s="78">
        <f>'Real values'!L17</f>
        <v>0</v>
      </c>
      <c r="H52" s="78">
        <f>'Real values'!M17</f>
        <v>0</v>
      </c>
      <c r="I52" s="78">
        <f>'Real values'!N17</f>
        <v>0</v>
      </c>
      <c r="J52" s="78">
        <f>'Real values'!O17</f>
        <v>0</v>
      </c>
      <c r="K52" s="78">
        <f>'Real values'!P17</f>
        <v>0</v>
      </c>
      <c r="L52" s="78">
        <f>'Real values'!Q17</f>
        <v>0</v>
      </c>
      <c r="M52" s="78">
        <f>'Real values'!R17</f>
        <v>0</v>
      </c>
      <c r="N52" s="78">
        <f>'Real values'!S17</f>
        <v>0</v>
      </c>
      <c r="O52" s="78">
        <f>'Real values'!T17</f>
        <v>0</v>
      </c>
      <c r="P52" s="78">
        <f>'Real values'!U17</f>
        <v>0</v>
      </c>
      <c r="Q52" s="78">
        <f>'Real values'!V17</f>
        <v>0</v>
      </c>
      <c r="R52" s="78">
        <f>'Real values'!W17</f>
        <v>0</v>
      </c>
      <c r="S52" s="78">
        <f>'Real values'!X17</f>
        <v>0</v>
      </c>
      <c r="T52" s="78">
        <f>'Real values'!Y17</f>
        <v>0</v>
      </c>
      <c r="U52" s="78">
        <f>'Real values'!Z17</f>
        <v>0</v>
      </c>
      <c r="V52" s="78">
        <f>'Real values'!AA17</f>
        <v>0</v>
      </c>
      <c r="W52" s="78">
        <f>'Real values'!AB17</f>
        <v>0</v>
      </c>
      <c r="X52" s="78">
        <f>'Real values'!AC17</f>
        <v>0</v>
      </c>
      <c r="Y52" s="78">
        <f>'Real values'!AD17</f>
        <v>0</v>
      </c>
      <c r="Z52" s="78">
        <f>'Real values'!AE17</f>
        <v>0</v>
      </c>
      <c r="AA52" s="78">
        <f>'Real values'!AF17</f>
        <v>0</v>
      </c>
      <c r="AB52" s="78">
        <f>'Real values'!AG17</f>
        <v>0</v>
      </c>
      <c r="AC52" s="78">
        <f>'Real values'!AH17</f>
        <v>0</v>
      </c>
      <c r="AD52" s="78">
        <f>'Real values'!AI17</f>
        <v>0</v>
      </c>
      <c r="AE52" s="78">
        <f>'Real values'!AJ17</f>
        <v>0</v>
      </c>
      <c r="AF52" s="78">
        <f>'Real values'!AK17</f>
        <v>0</v>
      </c>
      <c r="AG52" s="78">
        <f>'Real values'!AL17</f>
        <v>0</v>
      </c>
      <c r="AH52" s="78">
        <f>'Real values'!AM17</f>
        <v>0</v>
      </c>
      <c r="AI52" s="78">
        <f>'Real values'!AN17</f>
        <v>0</v>
      </c>
      <c r="AJ52" s="78">
        <f>'Real values'!AO17</f>
        <v>0</v>
      </c>
      <c r="AK52" s="78">
        <f>'Real values'!AP17</f>
        <v>0</v>
      </c>
      <c r="AL52" s="78">
        <f>'Real values'!AQ17</f>
        <v>0</v>
      </c>
      <c r="AM52" s="78">
        <f>'Real values'!AR17</f>
        <v>0</v>
      </c>
      <c r="AN52" s="78">
        <f>'Real values'!AS17</f>
        <v>0</v>
      </c>
      <c r="AO52" s="78">
        <f>'Real values'!AT17</f>
        <v>0</v>
      </c>
      <c r="AP52" s="78">
        <f>'Real values'!AU17</f>
        <v>0</v>
      </c>
      <c r="AQ52" s="78">
        <f>'Real values'!AV17</f>
        <v>0</v>
      </c>
      <c r="AR52" s="78">
        <f>'Real values'!AW17</f>
        <v>0</v>
      </c>
      <c r="AS52" s="78">
        <f>'Real values'!AX17</f>
        <v>0</v>
      </c>
      <c r="AT52" s="78">
        <f>'Real values'!AY17</f>
        <v>0</v>
      </c>
      <c r="AU52" s="78">
        <f>'Real values'!AZ17</f>
        <v>0</v>
      </c>
    </row>
    <row r="53" spans="1:47" x14ac:dyDescent="0.25">
      <c r="B53" t="s">
        <v>148</v>
      </c>
      <c r="C53" s="78">
        <f>'Real values'!H39</f>
        <v>127312.43450754572</v>
      </c>
      <c r="D53" s="78">
        <f>'Real values'!I39</f>
        <v>124803.87658812442</v>
      </c>
      <c r="E53" s="78">
        <f>'Real values'!J39</f>
        <v>112933.61277231442</v>
      </c>
      <c r="F53" s="78">
        <f>'Real values'!K39</f>
        <v>110708.37444595079</v>
      </c>
      <c r="G53" s="78">
        <f>'Real values'!L39</f>
        <v>108526.98210562767</v>
      </c>
      <c r="H53" s="78">
        <f>'Real values'!M39</f>
        <v>106388.5718122024</v>
      </c>
      <c r="I53" s="78">
        <f>'Real values'!N39</f>
        <v>104292.29664954654</v>
      </c>
      <c r="J53" s="78">
        <f>'Real values'!O39</f>
        <v>102237.32638912511</v>
      </c>
      <c r="K53" s="78">
        <f>'Real values'!P39</f>
        <v>100222.84716118527</v>
      </c>
      <c r="L53" s="78">
        <f>'Real values'!Q39</f>
        <v>98248.061132423565</v>
      </c>
      <c r="M53" s="78">
        <f>'Real values'!R39</f>
        <v>96312.186190004475</v>
      </c>
      <c r="N53" s="78">
        <f>'Real values'!S39</f>
        <v>94414.455631805191</v>
      </c>
      <c r="O53" s="78">
        <f>'Real values'!T39</f>
        <v>92554.11786276364</v>
      </c>
      <c r="P53" s="78">
        <f>'Real values'!U39</f>
        <v>90730.43609720972</v>
      </c>
      <c r="Q53" s="78">
        <f>'Real values'!V39</f>
        <v>88942.688067061768</v>
      </c>
      <c r="R53" s="78">
        <f>'Real values'!W39</f>
        <v>87190.165735772738</v>
      </c>
      <c r="S53" s="78">
        <f>'Real values'!X39</f>
        <v>85472.175017912727</v>
      </c>
      <c r="T53" s="78">
        <f>'Real values'!Y39</f>
        <v>83788.035504276748</v>
      </c>
      <c r="U53" s="78">
        <f>'Real values'!Z39</f>
        <v>82137.080192409325</v>
      </c>
      <c r="V53" s="78">
        <f>'Real values'!AA39</f>
        <v>80518.655222438319</v>
      </c>
      <c r="W53" s="78">
        <f>'Real values'!AB39</f>
        <v>78932.119618114215</v>
      </c>
      <c r="X53" s="78">
        <f>'Real values'!AC39</f>
        <v>77376.845032951882</v>
      </c>
      <c r="Y53" s="78">
        <f>'Real values'!AD39</f>
        <v>0</v>
      </c>
      <c r="Z53" s="78">
        <f>'Real values'!AE39</f>
        <v>0</v>
      </c>
      <c r="AA53" s="78">
        <f>'Real values'!AF39</f>
        <v>0</v>
      </c>
      <c r="AB53" s="78">
        <f>'Real values'!AG39</f>
        <v>0</v>
      </c>
      <c r="AC53" s="78">
        <f>'Real values'!AH39</f>
        <v>0</v>
      </c>
      <c r="AD53" s="78">
        <f>'Real values'!AI39</f>
        <v>0</v>
      </c>
      <c r="AE53" s="78">
        <f>'Real values'!AJ39</f>
        <v>0</v>
      </c>
      <c r="AF53" s="78">
        <f>'Real values'!AK39</f>
        <v>0</v>
      </c>
      <c r="AG53" s="78">
        <f>'Real values'!AL39</f>
        <v>0</v>
      </c>
      <c r="AH53" s="78">
        <f>'Real values'!AM39</f>
        <v>0</v>
      </c>
      <c r="AI53" s="78">
        <f>'Real values'!AN39</f>
        <v>0</v>
      </c>
      <c r="AJ53" s="78">
        <f>'Real values'!AO39</f>
        <v>0</v>
      </c>
      <c r="AK53" s="78">
        <f>'Real values'!AP39</f>
        <v>0</v>
      </c>
      <c r="AL53" s="78">
        <f>'Real values'!AQ39</f>
        <v>0</v>
      </c>
      <c r="AM53" s="78">
        <f>'Real values'!AR39</f>
        <v>0</v>
      </c>
      <c r="AN53" s="78">
        <f>'Real values'!AS39</f>
        <v>0</v>
      </c>
      <c r="AO53" s="78">
        <f>'Real values'!AT39</f>
        <v>0</v>
      </c>
      <c r="AP53" s="78">
        <f>'Real values'!AU39</f>
        <v>0</v>
      </c>
      <c r="AQ53" s="78">
        <f>'Real values'!AV39</f>
        <v>0</v>
      </c>
      <c r="AR53" s="78">
        <f>'Real values'!AW39</f>
        <v>0</v>
      </c>
      <c r="AS53" s="78">
        <f>'Real values'!AX39</f>
        <v>0</v>
      </c>
      <c r="AT53" s="78">
        <f>'Real values'!AY39</f>
        <v>0</v>
      </c>
      <c r="AU53" s="78">
        <f>'Real values'!AZ39</f>
        <v>0</v>
      </c>
    </row>
    <row r="54" spans="1:47" x14ac:dyDescent="0.25">
      <c r="B54" t="s">
        <v>149</v>
      </c>
      <c r="C54" s="78">
        <f>'Real values'!H118</f>
        <v>719617.39956013835</v>
      </c>
      <c r="D54" s="78">
        <f>'Real values'!I118</f>
        <v>782692.6614662942</v>
      </c>
      <c r="E54" s="78">
        <f>'Real values'!J118</f>
        <v>733993.81984517514</v>
      </c>
      <c r="F54" s="78">
        <f>'Real values'!K118</f>
        <v>701879.78736295295</v>
      </c>
      <c r="G54" s="78">
        <f>'Real values'!L118</f>
        <v>669756.95037531562</v>
      </c>
      <c r="H54" s="78">
        <f>'Real values'!M118</f>
        <v>637628.98724873818</v>
      </c>
      <c r="I54" s="78">
        <f>'Real values'!N118</f>
        <v>602003.24420442851</v>
      </c>
      <c r="J54" s="78">
        <f>'Real values'!O118</f>
        <v>571262.0980467418</v>
      </c>
      <c r="K54" s="78">
        <f>'Real values'!P118</f>
        <v>580864.713280675</v>
      </c>
      <c r="L54" s="78">
        <f>'Real values'!Q118</f>
        <v>590872.47372510564</v>
      </c>
      <c r="M54" s="78">
        <f>'Real values'!R118</f>
        <v>590767.59243185818</v>
      </c>
      <c r="N54" s="78">
        <f>'Real values'!S118</f>
        <v>591954.05312707834</v>
      </c>
      <c r="O54" s="78">
        <f>'Real values'!T118</f>
        <v>591738.33704602881</v>
      </c>
      <c r="P54" s="78">
        <f>'Real values'!U118</f>
        <v>591447.69852380583</v>
      </c>
      <c r="Q54" s="78">
        <f>'Real values'!V118</f>
        <v>591158.23253536865</v>
      </c>
      <c r="R54" s="78">
        <f>'Real values'!W118</f>
        <v>590867.83459718933</v>
      </c>
      <c r="S54" s="78">
        <f>'Real values'!X118</f>
        <v>590577.51476474979</v>
      </c>
      <c r="T54" s="78">
        <f>'Real values'!Y118</f>
        <v>590286.98444038979</v>
      </c>
      <c r="U54" s="78">
        <f>'Real values'!Z118</f>
        <v>589996.15809187316</v>
      </c>
      <c r="V54" s="78">
        <f>'Real values'!AA118</f>
        <v>589704.82079377316</v>
      </c>
      <c r="W54" s="78">
        <f>'Real values'!AB118</f>
        <v>589413.65738798329</v>
      </c>
      <c r="X54" s="78">
        <f>'Real values'!AC118</f>
        <v>589122.07896909909</v>
      </c>
      <c r="Y54" s="78">
        <f>'Real values'!AD118</f>
        <v>0</v>
      </c>
      <c r="Z54" s="78">
        <f>'Real values'!AE118</f>
        <v>0</v>
      </c>
      <c r="AA54" s="78">
        <f>'Real values'!AF118</f>
        <v>0</v>
      </c>
      <c r="AB54" s="78">
        <f>'Real values'!AG118</f>
        <v>0</v>
      </c>
      <c r="AC54" s="78">
        <f>'Real values'!AH118</f>
        <v>0</v>
      </c>
      <c r="AD54" s="78">
        <f>'Real values'!AI118</f>
        <v>0</v>
      </c>
      <c r="AE54" s="78">
        <f>'Real values'!AJ118</f>
        <v>0</v>
      </c>
      <c r="AF54" s="78">
        <f>'Real values'!AK118</f>
        <v>0</v>
      </c>
      <c r="AG54" s="78">
        <f>'Real values'!AL118</f>
        <v>0</v>
      </c>
      <c r="AH54" s="78">
        <f>'Real values'!AM118</f>
        <v>0</v>
      </c>
      <c r="AI54" s="78">
        <f>'Real values'!AN118</f>
        <v>0</v>
      </c>
      <c r="AJ54" s="78">
        <f>'Real values'!AO118</f>
        <v>0</v>
      </c>
      <c r="AK54" s="78">
        <f>'Real values'!AP118</f>
        <v>0</v>
      </c>
      <c r="AL54" s="78">
        <f>'Real values'!AQ118</f>
        <v>0</v>
      </c>
      <c r="AM54" s="78">
        <f>'Real values'!AR118</f>
        <v>0</v>
      </c>
      <c r="AN54" s="78">
        <f>'Real values'!AS118</f>
        <v>0</v>
      </c>
      <c r="AO54" s="78">
        <f>'Real values'!AT118</f>
        <v>0</v>
      </c>
      <c r="AP54" s="78">
        <f>'Real values'!AU118</f>
        <v>0</v>
      </c>
      <c r="AQ54" s="78">
        <f>'Real values'!AV118</f>
        <v>0</v>
      </c>
      <c r="AR54" s="78">
        <f>'Real values'!AW118</f>
        <v>0</v>
      </c>
      <c r="AS54" s="78">
        <f>'Real values'!AX118</f>
        <v>0</v>
      </c>
      <c r="AT54" s="78">
        <f>'Real values'!AY118</f>
        <v>0</v>
      </c>
      <c r="AU54" s="78">
        <f>'Real values'!AZ118</f>
        <v>0</v>
      </c>
    </row>
    <row r="55" spans="1:47" x14ac:dyDescent="0.25">
      <c r="B55" t="s">
        <v>196</v>
      </c>
      <c r="C55" s="78">
        <f>C45</f>
        <v>529707.0096287562</v>
      </c>
      <c r="D55" s="78">
        <f t="shared" ref="D55:AU55" si="3">D45</f>
        <v>48379.868419809252</v>
      </c>
      <c r="E55" s="78">
        <f t="shared" si="3"/>
        <v>50636.79859561129</v>
      </c>
      <c r="F55" s="78">
        <f t="shared" si="3"/>
        <v>50829.810887595413</v>
      </c>
      <c r="G55" s="78">
        <f t="shared" si="3"/>
        <v>48864.172851830845</v>
      </c>
      <c r="H55" s="78">
        <f t="shared" si="3"/>
        <v>49254.414430053817</v>
      </c>
      <c r="I55" s="78">
        <f t="shared" si="3"/>
        <v>51997.371871673495</v>
      </c>
      <c r="J55" s="78">
        <f t="shared" si="3"/>
        <v>53383.151917233452</v>
      </c>
      <c r="K55" s="78">
        <f t="shared" si="3"/>
        <v>54561.912361565497</v>
      </c>
      <c r="L55" s="78">
        <f t="shared" si="3"/>
        <v>56430.702219701809</v>
      </c>
      <c r="M55" s="78">
        <f t="shared" si="3"/>
        <v>57484.372609298443</v>
      </c>
      <c r="N55" s="78">
        <f t="shared" si="3"/>
        <v>43221.041132201077</v>
      </c>
      <c r="O55" s="78">
        <f t="shared" si="3"/>
        <v>43510.713839169432</v>
      </c>
      <c r="P55" s="78">
        <f t="shared" si="3"/>
        <v>44619.766462543761</v>
      </c>
      <c r="Q55" s="78">
        <f t="shared" si="3"/>
        <v>46283.710118569383</v>
      </c>
      <c r="R55" s="78">
        <f t="shared" si="3"/>
        <v>47497.578185554412</v>
      </c>
      <c r="S55" s="78">
        <f t="shared" si="3"/>
        <v>49905.54576606831</v>
      </c>
      <c r="T55" s="78">
        <f t="shared" si="3"/>
        <v>52786.076792891683</v>
      </c>
      <c r="U55" s="78">
        <f t="shared" si="3"/>
        <v>55121.106160831718</v>
      </c>
      <c r="V55" s="78">
        <f t="shared" si="3"/>
        <v>56504.606851541626</v>
      </c>
      <c r="W55" s="78">
        <f t="shared" si="3"/>
        <v>57916.854812785095</v>
      </c>
      <c r="X55" s="78">
        <f t="shared" si="3"/>
        <v>60092.378703912895</v>
      </c>
      <c r="Y55" s="78">
        <f t="shared" si="3"/>
        <v>0</v>
      </c>
      <c r="Z55" s="78">
        <f t="shared" si="3"/>
        <v>0</v>
      </c>
      <c r="AA55" s="78">
        <f t="shared" si="3"/>
        <v>0</v>
      </c>
      <c r="AB55" s="78">
        <f t="shared" si="3"/>
        <v>0</v>
      </c>
      <c r="AC55" s="78">
        <f t="shared" si="3"/>
        <v>0</v>
      </c>
      <c r="AD55" s="78">
        <f t="shared" si="3"/>
        <v>0</v>
      </c>
      <c r="AE55" s="78">
        <f t="shared" si="3"/>
        <v>0</v>
      </c>
      <c r="AF55" s="78">
        <f t="shared" si="3"/>
        <v>0</v>
      </c>
      <c r="AG55" s="78">
        <f t="shared" si="3"/>
        <v>0</v>
      </c>
      <c r="AH55" s="78">
        <f t="shared" si="3"/>
        <v>0</v>
      </c>
      <c r="AI55" s="78">
        <f t="shared" si="3"/>
        <v>0</v>
      </c>
      <c r="AJ55" s="78">
        <f t="shared" si="3"/>
        <v>0</v>
      </c>
      <c r="AK55" s="78">
        <f t="shared" si="3"/>
        <v>0</v>
      </c>
      <c r="AL55" s="78">
        <f t="shared" si="3"/>
        <v>0</v>
      </c>
      <c r="AM55" s="78">
        <f t="shared" si="3"/>
        <v>0</v>
      </c>
      <c r="AN55" s="78">
        <f t="shared" si="3"/>
        <v>0</v>
      </c>
      <c r="AO55" s="78">
        <f t="shared" si="3"/>
        <v>0</v>
      </c>
      <c r="AP55" s="78">
        <f t="shared" si="3"/>
        <v>0</v>
      </c>
      <c r="AQ55" s="78">
        <f t="shared" si="3"/>
        <v>0</v>
      </c>
      <c r="AR55" s="78">
        <f t="shared" si="3"/>
        <v>0</v>
      </c>
      <c r="AS55" s="78">
        <f t="shared" si="3"/>
        <v>0</v>
      </c>
      <c r="AT55" s="78">
        <f t="shared" si="3"/>
        <v>0</v>
      </c>
      <c r="AU55" s="78">
        <f t="shared" si="3"/>
        <v>0</v>
      </c>
    </row>
    <row r="56" spans="1:47" x14ac:dyDescent="0.25">
      <c r="B56" t="s">
        <v>197</v>
      </c>
      <c r="C56" s="78">
        <f>SUM(C52:C55)</f>
        <v>2630174.6603861209</v>
      </c>
      <c r="D56" s="78">
        <f t="shared" ref="D56:AU56" si="4">SUM(D52:D55)</f>
        <v>1739285.0733209867</v>
      </c>
      <c r="E56" s="78">
        <f t="shared" si="4"/>
        <v>897564.23121310084</v>
      </c>
      <c r="F56" s="78">
        <f t="shared" si="4"/>
        <v>863417.9726964992</v>
      </c>
      <c r="G56" s="78">
        <f t="shared" si="4"/>
        <v>827148.10533277411</v>
      </c>
      <c r="H56" s="78">
        <f t="shared" si="4"/>
        <v>793271.97349099431</v>
      </c>
      <c r="I56" s="78">
        <f t="shared" si="4"/>
        <v>758292.91272564861</v>
      </c>
      <c r="J56" s="78">
        <f t="shared" si="4"/>
        <v>726882.57635310036</v>
      </c>
      <c r="K56" s="78">
        <f t="shared" si="4"/>
        <v>735649.47280342574</v>
      </c>
      <c r="L56" s="78">
        <f t="shared" si="4"/>
        <v>745551.23707723105</v>
      </c>
      <c r="M56" s="78">
        <f t="shared" si="4"/>
        <v>744564.15123116109</v>
      </c>
      <c r="N56" s="78">
        <f t="shared" si="4"/>
        <v>729589.54989108467</v>
      </c>
      <c r="O56" s="78">
        <f t="shared" si="4"/>
        <v>727803.16874796187</v>
      </c>
      <c r="P56" s="78">
        <f t="shared" si="4"/>
        <v>726797.90108355926</v>
      </c>
      <c r="Q56" s="78">
        <f t="shared" si="4"/>
        <v>726384.63072099979</v>
      </c>
      <c r="R56" s="78">
        <f t="shared" si="4"/>
        <v>725555.57851851638</v>
      </c>
      <c r="S56" s="78">
        <f t="shared" si="4"/>
        <v>725955.23554873082</v>
      </c>
      <c r="T56" s="78">
        <f t="shared" si="4"/>
        <v>726861.09673755825</v>
      </c>
      <c r="U56" s="78">
        <f t="shared" si="4"/>
        <v>727254.34444511426</v>
      </c>
      <c r="V56" s="78">
        <f t="shared" si="4"/>
        <v>726728.08286775311</v>
      </c>
      <c r="W56" s="78">
        <f t="shared" si="4"/>
        <v>726262.63181888254</v>
      </c>
      <c r="X56" s="78">
        <f t="shared" si="4"/>
        <v>726591.30270596384</v>
      </c>
      <c r="Y56" s="78">
        <f t="shared" si="4"/>
        <v>0</v>
      </c>
      <c r="Z56" s="78">
        <f t="shared" si="4"/>
        <v>0</v>
      </c>
      <c r="AA56" s="78">
        <f t="shared" si="4"/>
        <v>0</v>
      </c>
      <c r="AB56" s="78">
        <f t="shared" si="4"/>
        <v>0</v>
      </c>
      <c r="AC56" s="78">
        <f t="shared" si="4"/>
        <v>0</v>
      </c>
      <c r="AD56" s="78">
        <f t="shared" si="4"/>
        <v>0</v>
      </c>
      <c r="AE56" s="78">
        <f t="shared" si="4"/>
        <v>0</v>
      </c>
      <c r="AF56" s="78">
        <f t="shared" si="4"/>
        <v>0</v>
      </c>
      <c r="AG56" s="78">
        <f t="shared" si="4"/>
        <v>0</v>
      </c>
      <c r="AH56" s="78">
        <f t="shared" si="4"/>
        <v>0</v>
      </c>
      <c r="AI56" s="78">
        <f t="shared" si="4"/>
        <v>0</v>
      </c>
      <c r="AJ56" s="78">
        <f t="shared" si="4"/>
        <v>0</v>
      </c>
      <c r="AK56" s="78">
        <f t="shared" si="4"/>
        <v>0</v>
      </c>
      <c r="AL56" s="78">
        <f t="shared" si="4"/>
        <v>0</v>
      </c>
      <c r="AM56" s="78">
        <f t="shared" si="4"/>
        <v>0</v>
      </c>
      <c r="AN56" s="78">
        <f t="shared" si="4"/>
        <v>0</v>
      </c>
      <c r="AO56" s="78">
        <f t="shared" si="4"/>
        <v>0</v>
      </c>
      <c r="AP56" s="78">
        <f t="shared" si="4"/>
        <v>0</v>
      </c>
      <c r="AQ56" s="78">
        <f t="shared" si="4"/>
        <v>0</v>
      </c>
      <c r="AR56" s="78">
        <f t="shared" si="4"/>
        <v>0</v>
      </c>
      <c r="AS56" s="78">
        <f t="shared" si="4"/>
        <v>0</v>
      </c>
      <c r="AT56" s="78">
        <f t="shared" si="4"/>
        <v>0</v>
      </c>
      <c r="AU56" s="78">
        <f t="shared" si="4"/>
        <v>0</v>
      </c>
    </row>
    <row r="57" spans="1:47" x14ac:dyDescent="0.25">
      <c r="B57" t="s">
        <v>198</v>
      </c>
      <c r="C57" s="78" cm="1">
        <f t="array" ref="C57">Revenue_PP[2026]</f>
        <v>979326.41928881314</v>
      </c>
      <c r="D57" s="78" cm="1">
        <f t="array" ref="D57">Revenue_PP[2027]</f>
        <v>1056032.8018995142</v>
      </c>
      <c r="E57" s="78" cm="1">
        <f t="array" ref="E57">Revenue_PP[2028]</f>
        <v>1035224.7837462154</v>
      </c>
      <c r="F57" s="78" cm="1">
        <f t="array" ref="F57">Revenue_PP[2029]</f>
        <v>1014826.7657545489</v>
      </c>
      <c r="G57" s="78" cm="1">
        <f t="array" ref="G57">Revenue_PP[2030]</f>
        <v>994830.66930158692</v>
      </c>
      <c r="H57" s="78" cm="1">
        <f t="array" ref="H57">Revenue_PP[2031]</f>
        <v>975228.57494518859</v>
      </c>
      <c r="I57" s="78" cm="1">
        <f t="array" ref="I57">Revenue_PP[2032]</f>
        <v>956012.7192875098</v>
      </c>
      <c r="J57" s="78" cm="1">
        <f t="array" ref="J57">Revenue_PP[2033]</f>
        <v>937175.49190031341</v>
      </c>
      <c r="K57" s="78" cm="1">
        <f t="array" ref="K57">Revenue_PP[2034]</f>
        <v>918709.43231086503</v>
      </c>
      <c r="L57" s="78" cm="1">
        <f t="array" ref="L57">Revenue_PP[2035]</f>
        <v>900607.22704721603</v>
      </c>
      <c r="M57" s="78" cm="1">
        <f t="array" ref="M57">Revenue_PP[2036]</f>
        <v>882861.70674170763</v>
      </c>
      <c r="N57" s="78" cm="1">
        <f t="array" ref="N57">Revenue_PP[2037]</f>
        <v>865465.8432915475</v>
      </c>
      <c r="O57" s="78" cm="1">
        <f t="array" ref="O57">Revenue_PP[2038]</f>
        <v>848412.74707533338</v>
      </c>
      <c r="P57" s="78" cm="1">
        <f t="array" ref="P57">Revenue_PP[2039]</f>
        <v>831695.66422442242</v>
      </c>
      <c r="Q57" s="78" cm="1">
        <f t="array" ref="Q57">Revenue_PP[2040]</f>
        <v>815307.97394806624</v>
      </c>
      <c r="R57" s="78" cm="1">
        <f t="array" ref="R57">Revenue_PP[2041]</f>
        <v>799243.18591125018</v>
      </c>
      <c r="S57" s="78" cm="1">
        <f t="array" ref="S57">Revenue_PP[2042]</f>
        <v>783494.93766419985</v>
      </c>
      <c r="T57" s="78" cm="1">
        <f t="array" ref="T57">Revenue_PP[2043]</f>
        <v>768056.99212253687</v>
      </c>
      <c r="U57" s="78" cm="1">
        <f t="array" ref="U57">Revenue_PP[2044]</f>
        <v>752923.23509708547</v>
      </c>
      <c r="V57" s="78" cm="1">
        <f t="array" ref="V57">Revenue_PP[2045]</f>
        <v>738087.67287235113</v>
      </c>
      <c r="W57" s="78" cm="1">
        <f t="array" ref="W57">Revenue_PP[2046]</f>
        <v>723544.42983271368</v>
      </c>
      <c r="X57" s="78" cm="1">
        <f t="array" ref="X57">Revenue_PP[2047]</f>
        <v>709287.74613539223</v>
      </c>
      <c r="Y57" s="78" cm="1">
        <f t="array" ref="Y57">Revenue_PP[2048]</f>
        <v>0</v>
      </c>
      <c r="Z57" s="78" cm="1">
        <f t="array" ref="Z57">Revenue_PP[2049]</f>
        <v>0</v>
      </c>
      <c r="AA57" s="78" cm="1">
        <f t="array" ref="AA57">Revenue_PP[2050]</f>
        <v>0</v>
      </c>
      <c r="AB57" s="78" cm="1">
        <f t="array" ref="AB57">Revenue_PP[2051]</f>
        <v>0</v>
      </c>
      <c r="AC57" s="78" cm="1">
        <f t="array" ref="AC57">Revenue_PP[2052]</f>
        <v>0</v>
      </c>
      <c r="AD57" s="78" cm="1">
        <f t="array" ref="AD57">Revenue_PP[2053]</f>
        <v>0</v>
      </c>
      <c r="AE57" s="78" cm="1">
        <f t="array" ref="AE57">Revenue_PP[2054]</f>
        <v>0</v>
      </c>
      <c r="AF57" s="78" cm="1">
        <f t="array" ref="AF57">Revenue_PP[2055]</f>
        <v>0</v>
      </c>
      <c r="AG57" s="78" cm="1">
        <f t="array" ref="AG57">Revenue_PP[2056]</f>
        <v>0</v>
      </c>
      <c r="AH57" s="78" cm="1">
        <f t="array" ref="AH57">Revenue_PP[2057]</f>
        <v>0</v>
      </c>
      <c r="AI57" s="78" cm="1">
        <f t="array" ref="AI57">Revenue_PP[2058]</f>
        <v>0</v>
      </c>
      <c r="AJ57" s="78" cm="1">
        <f t="array" ref="AJ57">Revenue_PP[2059]</f>
        <v>0</v>
      </c>
      <c r="AK57" s="78" cm="1">
        <f t="array" ref="AK57">Revenue_PP[2060]</f>
        <v>0</v>
      </c>
      <c r="AL57" s="78" cm="1">
        <f t="array" ref="AL57">Revenue_PP[2061]</f>
        <v>0</v>
      </c>
      <c r="AM57" s="78" cm="1">
        <f t="array" ref="AM57">Revenue_PP[2062]</f>
        <v>0</v>
      </c>
      <c r="AN57" s="78" cm="1">
        <f t="array" ref="AN57">Revenue_PP[2063]</f>
        <v>0</v>
      </c>
      <c r="AO57" s="78" cm="1">
        <f t="array" ref="AO57">Revenue_PP[2064]</f>
        <v>0</v>
      </c>
      <c r="AP57" s="78" cm="1">
        <f t="array" ref="AP57">Revenue_PP[2065]</f>
        <v>0</v>
      </c>
      <c r="AQ57" s="78" cm="1">
        <f t="array" ref="AQ57">Revenue_PP[2066]</f>
        <v>0</v>
      </c>
      <c r="AR57" s="78" cm="1">
        <f t="array" ref="AR57">Revenue_PP[2067]</f>
        <v>0</v>
      </c>
      <c r="AS57" s="78" cm="1">
        <f t="array" ref="AS57">Revenue_PP[2068]</f>
        <v>0</v>
      </c>
      <c r="AT57" s="78" cm="1">
        <f t="array" ref="AT57">Revenue_PP[2069]</f>
        <v>0</v>
      </c>
      <c r="AU57" s="78" cm="1">
        <f t="array" ref="AU57">Revenue_PP[2070]</f>
        <v>0</v>
      </c>
    </row>
    <row r="58" spans="1:47" x14ac:dyDescent="0.25">
      <c r="A58" s="57"/>
      <c r="B58" s="57" t="s">
        <v>199</v>
      </c>
      <c r="C58" s="89">
        <f>C57-C56</f>
        <v>-1650848.2410973078</v>
      </c>
      <c r="D58" s="89">
        <f t="shared" ref="D58:AU58" si="5">D57-D56</f>
        <v>-683252.27142147254</v>
      </c>
      <c r="E58" s="89">
        <f t="shared" si="5"/>
        <v>137660.55253311456</v>
      </c>
      <c r="F58" s="89">
        <f t="shared" si="5"/>
        <v>151408.79305804975</v>
      </c>
      <c r="G58" s="89">
        <f t="shared" si="5"/>
        <v>167682.56396881281</v>
      </c>
      <c r="H58" s="89">
        <f t="shared" si="5"/>
        <v>181956.60145419429</v>
      </c>
      <c r="I58" s="89">
        <f t="shared" si="5"/>
        <v>197719.80656186119</v>
      </c>
      <c r="J58" s="89">
        <f t="shared" si="5"/>
        <v>210292.91554721305</v>
      </c>
      <c r="K58" s="89">
        <f t="shared" si="5"/>
        <v>183059.95950743929</v>
      </c>
      <c r="L58" s="89">
        <f t="shared" si="5"/>
        <v>155055.98996998498</v>
      </c>
      <c r="M58" s="89">
        <f t="shared" si="5"/>
        <v>138297.55551054655</v>
      </c>
      <c r="N58" s="89">
        <f t="shared" si="5"/>
        <v>135876.29340046283</v>
      </c>
      <c r="O58" s="89">
        <f t="shared" si="5"/>
        <v>120609.57832737151</v>
      </c>
      <c r="P58" s="89">
        <f t="shared" si="5"/>
        <v>104897.76314086316</v>
      </c>
      <c r="Q58" s="89">
        <f t="shared" si="5"/>
        <v>88923.343227066449</v>
      </c>
      <c r="R58" s="89">
        <f t="shared" si="5"/>
        <v>73687.6073927338</v>
      </c>
      <c r="S58" s="89">
        <f t="shared" si="5"/>
        <v>57539.70211546903</v>
      </c>
      <c r="T58" s="89">
        <f t="shared" si="5"/>
        <v>41195.895384978619</v>
      </c>
      <c r="U58" s="89">
        <f t="shared" si="5"/>
        <v>25668.890651971218</v>
      </c>
      <c r="V58" s="89">
        <f t="shared" si="5"/>
        <v>11359.590004598023</v>
      </c>
      <c r="W58" s="89">
        <f t="shared" si="5"/>
        <v>-2718.2019861688605</v>
      </c>
      <c r="X58" s="89">
        <f t="shared" si="5"/>
        <v>-17303.556570571614</v>
      </c>
      <c r="Y58" s="89">
        <f t="shared" si="5"/>
        <v>0</v>
      </c>
      <c r="Z58" s="89">
        <f t="shared" si="5"/>
        <v>0</v>
      </c>
      <c r="AA58" s="89">
        <f t="shared" si="5"/>
        <v>0</v>
      </c>
      <c r="AB58" s="89">
        <f t="shared" si="5"/>
        <v>0</v>
      </c>
      <c r="AC58" s="89">
        <f t="shared" si="5"/>
        <v>0</v>
      </c>
      <c r="AD58" s="89">
        <f t="shared" si="5"/>
        <v>0</v>
      </c>
      <c r="AE58" s="89">
        <f t="shared" si="5"/>
        <v>0</v>
      </c>
      <c r="AF58" s="89">
        <f t="shared" si="5"/>
        <v>0</v>
      </c>
      <c r="AG58" s="89">
        <f t="shared" si="5"/>
        <v>0</v>
      </c>
      <c r="AH58" s="89">
        <f t="shared" si="5"/>
        <v>0</v>
      </c>
      <c r="AI58" s="89">
        <f t="shared" si="5"/>
        <v>0</v>
      </c>
      <c r="AJ58" s="89">
        <f t="shared" si="5"/>
        <v>0</v>
      </c>
      <c r="AK58" s="89">
        <f t="shared" si="5"/>
        <v>0</v>
      </c>
      <c r="AL58" s="89">
        <f t="shared" si="5"/>
        <v>0</v>
      </c>
      <c r="AM58" s="89">
        <f t="shared" si="5"/>
        <v>0</v>
      </c>
      <c r="AN58" s="89">
        <f t="shared" si="5"/>
        <v>0</v>
      </c>
      <c r="AO58" s="89">
        <f t="shared" si="5"/>
        <v>0</v>
      </c>
      <c r="AP58" s="89">
        <f t="shared" si="5"/>
        <v>0</v>
      </c>
      <c r="AQ58" s="89">
        <f t="shared" si="5"/>
        <v>0</v>
      </c>
      <c r="AR58" s="89">
        <f t="shared" si="5"/>
        <v>0</v>
      </c>
      <c r="AS58" s="89">
        <f t="shared" si="5"/>
        <v>0</v>
      </c>
      <c r="AT58" s="89">
        <f t="shared" si="5"/>
        <v>0</v>
      </c>
      <c r="AU58" s="89">
        <f t="shared" si="5"/>
        <v>0</v>
      </c>
    </row>
    <row r="59" spans="1:47" x14ac:dyDescent="0.25">
      <c r="A59" s="10" t="s">
        <v>188</v>
      </c>
      <c r="B59" t="s">
        <v>195</v>
      </c>
      <c r="C59" s="78">
        <f>'Real values'!H27</f>
        <v>0</v>
      </c>
      <c r="D59" s="78">
        <f>'Real values'!I27</f>
        <v>0</v>
      </c>
      <c r="E59" s="78">
        <f>'Real values'!J27</f>
        <v>0</v>
      </c>
      <c r="F59" s="78">
        <f>'Real values'!K27</f>
        <v>0</v>
      </c>
      <c r="G59" s="78">
        <f>'Real values'!L27</f>
        <v>0</v>
      </c>
      <c r="H59" s="78">
        <f>'Real values'!M27</f>
        <v>0</v>
      </c>
      <c r="I59" s="78">
        <f>'Real values'!N27</f>
        <v>0</v>
      </c>
      <c r="J59" s="78">
        <f>'Real values'!O27</f>
        <v>0</v>
      </c>
      <c r="K59" s="78">
        <f>'Real values'!P27</f>
        <v>0</v>
      </c>
      <c r="L59" s="78">
        <f>'Real values'!Q27</f>
        <v>0</v>
      </c>
      <c r="M59" s="78">
        <f>'Real values'!R27</f>
        <v>0</v>
      </c>
      <c r="N59" s="78">
        <f>'Real values'!S27</f>
        <v>0</v>
      </c>
      <c r="O59" s="78">
        <f>'Real values'!T27</f>
        <v>0</v>
      </c>
      <c r="P59" s="78">
        <f>'Real values'!U27</f>
        <v>0</v>
      </c>
      <c r="Q59" s="78">
        <f>'Real values'!V27</f>
        <v>0</v>
      </c>
      <c r="R59" s="78">
        <f>'Real values'!W27</f>
        <v>0</v>
      </c>
      <c r="S59" s="78">
        <f>'Real values'!X27</f>
        <v>0</v>
      </c>
      <c r="T59" s="78">
        <f>'Real values'!Y27</f>
        <v>0</v>
      </c>
      <c r="U59" s="78">
        <f>'Real values'!Z27</f>
        <v>0</v>
      </c>
      <c r="V59" s="78">
        <f>'Real values'!AA27</f>
        <v>0</v>
      </c>
      <c r="W59" s="78">
        <f>'Real values'!AB27</f>
        <v>0</v>
      </c>
      <c r="X59" s="78">
        <f>'Real values'!AC27</f>
        <v>0</v>
      </c>
      <c r="Y59" s="78">
        <f>'Real values'!AD27</f>
        <v>0</v>
      </c>
      <c r="Z59" s="78">
        <f>'Real values'!AE27</f>
        <v>0</v>
      </c>
      <c r="AA59" s="78">
        <f>'Real values'!AF27</f>
        <v>0</v>
      </c>
      <c r="AB59" s="78">
        <f>'Real values'!AG27</f>
        <v>0</v>
      </c>
      <c r="AC59" s="78">
        <f>'Real values'!AH27</f>
        <v>0</v>
      </c>
      <c r="AD59" s="78">
        <f>'Real values'!AI27</f>
        <v>0</v>
      </c>
      <c r="AE59" s="78">
        <f>'Real values'!AJ27</f>
        <v>0</v>
      </c>
      <c r="AF59" s="78">
        <f>'Real values'!AK27</f>
        <v>0</v>
      </c>
      <c r="AG59" s="78">
        <f>'Real values'!AL27</f>
        <v>0</v>
      </c>
      <c r="AH59" s="78">
        <f>'Real values'!AM27</f>
        <v>0</v>
      </c>
      <c r="AI59" s="78">
        <f>'Real values'!AN27</f>
        <v>0</v>
      </c>
      <c r="AJ59" s="78">
        <f>'Real values'!AO27</f>
        <v>0</v>
      </c>
      <c r="AK59" s="78">
        <f>'Real values'!AP27</f>
        <v>0</v>
      </c>
      <c r="AL59" s="78">
        <f>'Real values'!AQ27</f>
        <v>0</v>
      </c>
      <c r="AM59" s="78">
        <f>'Real values'!AR27</f>
        <v>0</v>
      </c>
      <c r="AN59" s="78">
        <f>'Real values'!AS27</f>
        <v>0</v>
      </c>
      <c r="AO59" s="78">
        <f>'Real values'!AT27</f>
        <v>0</v>
      </c>
      <c r="AP59" s="78">
        <f>'Real values'!AU27</f>
        <v>0</v>
      </c>
      <c r="AQ59" s="78">
        <f>'Real values'!AV27</f>
        <v>0</v>
      </c>
      <c r="AR59" s="78">
        <f>'Real values'!AW27</f>
        <v>0</v>
      </c>
      <c r="AS59" s="78">
        <f>'Real values'!AX27</f>
        <v>0</v>
      </c>
      <c r="AT59" s="78">
        <f>'Real values'!AY27</f>
        <v>0</v>
      </c>
      <c r="AU59" s="78">
        <f>'Real values'!AZ27</f>
        <v>0</v>
      </c>
    </row>
    <row r="60" spans="1:47" x14ac:dyDescent="0.25">
      <c r="B60" t="str">
        <f>B53</f>
        <v>Non-fuel opex</v>
      </c>
      <c r="C60" s="78">
        <f>'Real values'!H49</f>
        <v>186072.0196648745</v>
      </c>
      <c r="D60" s="78">
        <f>'Real values'!I49</f>
        <v>182405.66578264337</v>
      </c>
      <c r="E60" s="78">
        <f>'Real values'!J49</f>
        <v>178811.55355616449</v>
      </c>
      <c r="F60" s="78">
        <f>'Real values'!K49</f>
        <v>175288.25953942208</v>
      </c>
      <c r="G60" s="78">
        <f>'Real values'!L49</f>
        <v>171834.38833391047</v>
      </c>
      <c r="H60" s="78">
        <f>'Real values'!M49</f>
        <v>168448.57203598713</v>
      </c>
      <c r="I60" s="78">
        <f>'Real values'!N49</f>
        <v>165129.46969511535</v>
      </c>
      <c r="J60" s="78">
        <f>'Real values'!O49</f>
        <v>161875.7667827814</v>
      </c>
      <c r="K60" s="78">
        <f>'Real values'!P49</f>
        <v>158686.17467187668</v>
      </c>
      <c r="L60" s="78">
        <f>'Real values'!Q49</f>
        <v>155559.43012633731</v>
      </c>
      <c r="M60" s="78">
        <f>'Real values'!R49</f>
        <v>152494.29480084041</v>
      </c>
      <c r="N60" s="78">
        <f>'Real values'!S49</f>
        <v>149489.55475035822</v>
      </c>
      <c r="O60" s="78">
        <f>'Real values'!T49</f>
        <v>146544.01994937577</v>
      </c>
      <c r="P60" s="78">
        <f>'Real values'!U49</f>
        <v>143656.52382058205</v>
      </c>
      <c r="Q60" s="78">
        <f>'Real values'!V49</f>
        <v>140825.92277284781</v>
      </c>
      <c r="R60" s="78">
        <f>'Real values'!W49</f>
        <v>138051.09574830683</v>
      </c>
      <c r="S60" s="78">
        <f>'Real values'!X49</f>
        <v>135330.94377836181</v>
      </c>
      <c r="T60" s="78">
        <f>'Real values'!Y49</f>
        <v>132664.38954843819</v>
      </c>
      <c r="U60" s="78">
        <f>'Real values'!Z49</f>
        <v>130050.37697131476</v>
      </c>
      <c r="V60" s="78">
        <f>'Real values'!AA49</f>
        <v>127487.87076886067</v>
      </c>
      <c r="W60" s="78">
        <f>'Real values'!AB49</f>
        <v>124975.85606201418</v>
      </c>
      <c r="X60" s="78">
        <f>'Real values'!AC49</f>
        <v>122513.33796884048</v>
      </c>
      <c r="Y60" s="78">
        <f>'Real values'!AD49</f>
        <v>0</v>
      </c>
      <c r="Z60" s="78">
        <f>'Real values'!AE49</f>
        <v>0</v>
      </c>
      <c r="AA60" s="78">
        <f>'Real values'!AF49</f>
        <v>0</v>
      </c>
      <c r="AB60" s="78">
        <f>'Real values'!AG49</f>
        <v>0</v>
      </c>
      <c r="AC60" s="78">
        <f>'Real values'!AH49</f>
        <v>0</v>
      </c>
      <c r="AD60" s="78">
        <f>'Real values'!AI49</f>
        <v>0</v>
      </c>
      <c r="AE60" s="78">
        <f>'Real values'!AJ49</f>
        <v>0</v>
      </c>
      <c r="AF60" s="78">
        <f>'Real values'!AK49</f>
        <v>0</v>
      </c>
      <c r="AG60" s="78">
        <f>'Real values'!AL49</f>
        <v>0</v>
      </c>
      <c r="AH60" s="78">
        <f>'Real values'!AM49</f>
        <v>0</v>
      </c>
      <c r="AI60" s="78">
        <f>'Real values'!AN49</f>
        <v>0</v>
      </c>
      <c r="AJ60" s="78">
        <f>'Real values'!AO49</f>
        <v>0</v>
      </c>
      <c r="AK60" s="78">
        <f>'Real values'!AP49</f>
        <v>0</v>
      </c>
      <c r="AL60" s="78">
        <f>'Real values'!AQ49</f>
        <v>0</v>
      </c>
      <c r="AM60" s="78">
        <f>'Real values'!AR49</f>
        <v>0</v>
      </c>
      <c r="AN60" s="78">
        <f>'Real values'!AS49</f>
        <v>0</v>
      </c>
      <c r="AO60" s="78">
        <f>'Real values'!AT49</f>
        <v>0</v>
      </c>
      <c r="AP60" s="78">
        <f>'Real values'!AU49</f>
        <v>0</v>
      </c>
      <c r="AQ60" s="78">
        <f>'Real values'!AV49</f>
        <v>0</v>
      </c>
      <c r="AR60" s="78">
        <f>'Real values'!AW49</f>
        <v>0</v>
      </c>
      <c r="AS60" s="78">
        <f>'Real values'!AX49</f>
        <v>0</v>
      </c>
      <c r="AT60" s="78">
        <f>'Real values'!AY49</f>
        <v>0</v>
      </c>
      <c r="AU60" s="78">
        <f>'Real values'!AZ49</f>
        <v>0</v>
      </c>
    </row>
    <row r="61" spans="1:47" x14ac:dyDescent="0.25">
      <c r="B61" t="str">
        <f>B54</f>
        <v>Fuel opex</v>
      </c>
      <c r="C61" s="78">
        <f>'Real values'!H132</f>
        <v>719617.39956013835</v>
      </c>
      <c r="D61" s="78">
        <f>'Real values'!I132</f>
        <v>718751.27360999922</v>
      </c>
      <c r="E61" s="78">
        <f>'Real values'!J132</f>
        <v>717584.57645198971</v>
      </c>
      <c r="F61" s="78">
        <f>'Real values'!K132</f>
        <v>716815.20804029866</v>
      </c>
      <c r="G61" s="78">
        <f>'Real values'!L132</f>
        <v>716045.62869563466</v>
      </c>
      <c r="H61" s="78">
        <f>'Real values'!M132</f>
        <v>715275.92654205905</v>
      </c>
      <c r="I61" s="78">
        <f>'Real values'!N132</f>
        <v>714422.42670965753</v>
      </c>
      <c r="J61" s="78">
        <f>'Real values'!O132</f>
        <v>713685.94907154108</v>
      </c>
      <c r="K61" s="78">
        <f>'Real values'!P132</f>
        <v>713916.0026730221</v>
      </c>
      <c r="L61" s="78">
        <f>'Real values'!Q132</f>
        <v>714155.76249645685</v>
      </c>
      <c r="M61" s="78">
        <f>'Real values'!R132</f>
        <v>714153.24981437472</v>
      </c>
      <c r="N61" s="78">
        <f>'Real values'!S132</f>
        <v>714181.67431637773</v>
      </c>
      <c r="O61" s="78">
        <f>'Real values'!T132</f>
        <v>714176.50632202055</v>
      </c>
      <c r="P61" s="78">
        <f>'Real values'!U132</f>
        <v>714169.5433814947</v>
      </c>
      <c r="Q61" s="78">
        <f>'Real values'!V132</f>
        <v>714162.60853181849</v>
      </c>
      <c r="R61" s="78">
        <f>'Real values'!W132</f>
        <v>714155.65135505854</v>
      </c>
      <c r="S61" s="78">
        <f>'Real values'!X132</f>
        <v>714148.69604950817</v>
      </c>
      <c r="T61" s="78">
        <f>'Real values'!Y132</f>
        <v>714141.73570112081</v>
      </c>
      <c r="U61" s="78">
        <f>'Real values'!Z132</f>
        <v>714134.7682607671</v>
      </c>
      <c r="V61" s="78">
        <f>'Real values'!AA132</f>
        <v>714127.78857939481</v>
      </c>
      <c r="W61" s="78">
        <f>'Real values'!AB132</f>
        <v>714120.81306402839</v>
      </c>
      <c r="X61" s="78">
        <f>'Real values'!AC132</f>
        <v>714113.82760603144</v>
      </c>
      <c r="Y61" s="78">
        <f>'Real values'!AD132</f>
        <v>0</v>
      </c>
      <c r="Z61" s="78">
        <f>'Real values'!AE132</f>
        <v>0</v>
      </c>
      <c r="AA61" s="78">
        <f>'Real values'!AF132</f>
        <v>0</v>
      </c>
      <c r="AB61" s="78">
        <f>'Real values'!AG132</f>
        <v>0</v>
      </c>
      <c r="AC61" s="78">
        <f>'Real values'!AH132</f>
        <v>0</v>
      </c>
      <c r="AD61" s="78">
        <f>'Real values'!AI132</f>
        <v>0</v>
      </c>
      <c r="AE61" s="78">
        <f>'Real values'!AJ132</f>
        <v>0</v>
      </c>
      <c r="AF61" s="78">
        <f>'Real values'!AK132</f>
        <v>0</v>
      </c>
      <c r="AG61" s="78">
        <f>'Real values'!AL132</f>
        <v>0</v>
      </c>
      <c r="AH61" s="78">
        <f>'Real values'!AM132</f>
        <v>0</v>
      </c>
      <c r="AI61" s="78">
        <f>'Real values'!AN132</f>
        <v>0</v>
      </c>
      <c r="AJ61" s="78">
        <f>'Real values'!AO132</f>
        <v>0</v>
      </c>
      <c r="AK61" s="78">
        <f>'Real values'!AP132</f>
        <v>0</v>
      </c>
      <c r="AL61" s="78">
        <f>'Real values'!AQ132</f>
        <v>0</v>
      </c>
      <c r="AM61" s="78">
        <f>'Real values'!AR132</f>
        <v>0</v>
      </c>
      <c r="AN61" s="78">
        <f>'Real values'!AS132</f>
        <v>0</v>
      </c>
      <c r="AO61" s="78">
        <f>'Real values'!AT132</f>
        <v>0</v>
      </c>
      <c r="AP61" s="78">
        <f>'Real values'!AU132</f>
        <v>0</v>
      </c>
      <c r="AQ61" s="78">
        <f>'Real values'!AV132</f>
        <v>0</v>
      </c>
      <c r="AR61" s="78">
        <f>'Real values'!AW132</f>
        <v>0</v>
      </c>
      <c r="AS61" s="78">
        <f>'Real values'!AX132</f>
        <v>0</v>
      </c>
      <c r="AT61" s="78">
        <f>'Real values'!AY132</f>
        <v>0</v>
      </c>
      <c r="AU61" s="78">
        <f>'Real values'!AZ132</f>
        <v>0</v>
      </c>
    </row>
    <row r="62" spans="1:47" x14ac:dyDescent="0.25">
      <c r="B62" t="s">
        <v>196</v>
      </c>
      <c r="C62" s="78">
        <f>C46</f>
        <v>529707.0096287562</v>
      </c>
      <c r="D62" s="78">
        <f t="shared" ref="D62:AU62" si="6">D46</f>
        <v>573851.17539251666</v>
      </c>
      <c r="E62" s="78">
        <f t="shared" si="6"/>
        <v>621963.32554971706</v>
      </c>
      <c r="F62" s="78">
        <f t="shared" si="6"/>
        <v>666021.18962053733</v>
      </c>
      <c r="G62" s="78">
        <f t="shared" si="6"/>
        <v>714032.17806283978</v>
      </c>
      <c r="H62" s="78">
        <f t="shared" si="6"/>
        <v>734065.72723265772</v>
      </c>
      <c r="I62" s="78">
        <f t="shared" si="6"/>
        <v>758160.48133478314</v>
      </c>
      <c r="J62" s="78">
        <f t="shared" si="6"/>
        <v>778217.88100826519</v>
      </c>
      <c r="K62" s="78">
        <f t="shared" si="6"/>
        <v>802275.16103235201</v>
      </c>
      <c r="L62" s="78">
        <f t="shared" si="6"/>
        <v>826348.97236045403</v>
      </c>
      <c r="M62" s="78">
        <f t="shared" si="6"/>
        <v>850403.25555327127</v>
      </c>
      <c r="N62" s="78">
        <f t="shared" si="6"/>
        <v>878095.42335347098</v>
      </c>
      <c r="O62" s="78">
        <f t="shared" si="6"/>
        <v>902131.40315558377</v>
      </c>
      <c r="P62" s="78">
        <f t="shared" si="6"/>
        <v>930191.8531621939</v>
      </c>
      <c r="Q62" s="78">
        <f t="shared" si="6"/>
        <v>958265.59690987132</v>
      </c>
      <c r="R62" s="78">
        <f t="shared" si="6"/>
        <v>986328.558020978</v>
      </c>
      <c r="S62" s="78">
        <f t="shared" si="6"/>
        <v>1014420.1266402397</v>
      </c>
      <c r="T62" s="78">
        <f t="shared" si="6"/>
        <v>1046527.8566464469</v>
      </c>
      <c r="U62" s="78">
        <f t="shared" si="6"/>
        <v>1078622.5178564789</v>
      </c>
      <c r="V62" s="78">
        <f t="shared" si="6"/>
        <v>1110694.3829225672</v>
      </c>
      <c r="W62" s="78">
        <f t="shared" si="6"/>
        <v>1142766.936698237</v>
      </c>
      <c r="X62" s="78">
        <f t="shared" si="6"/>
        <v>1178862.616573299</v>
      </c>
      <c r="Y62" s="78">
        <f t="shared" si="6"/>
        <v>0</v>
      </c>
      <c r="Z62" s="78">
        <f t="shared" si="6"/>
        <v>0</v>
      </c>
      <c r="AA62" s="78">
        <f t="shared" si="6"/>
        <v>0</v>
      </c>
      <c r="AB62" s="78">
        <f t="shared" si="6"/>
        <v>0</v>
      </c>
      <c r="AC62" s="78">
        <f t="shared" si="6"/>
        <v>0</v>
      </c>
      <c r="AD62" s="78">
        <f t="shared" si="6"/>
        <v>0</v>
      </c>
      <c r="AE62" s="78">
        <f t="shared" si="6"/>
        <v>0</v>
      </c>
      <c r="AF62" s="78">
        <f t="shared" si="6"/>
        <v>0</v>
      </c>
      <c r="AG62" s="78">
        <f t="shared" si="6"/>
        <v>0</v>
      </c>
      <c r="AH62" s="78">
        <f t="shared" si="6"/>
        <v>0</v>
      </c>
      <c r="AI62" s="78">
        <f t="shared" si="6"/>
        <v>0</v>
      </c>
      <c r="AJ62" s="78">
        <f t="shared" si="6"/>
        <v>0</v>
      </c>
      <c r="AK62" s="78">
        <f t="shared" si="6"/>
        <v>0</v>
      </c>
      <c r="AL62" s="78">
        <f t="shared" si="6"/>
        <v>0</v>
      </c>
      <c r="AM62" s="78">
        <f t="shared" si="6"/>
        <v>0</v>
      </c>
      <c r="AN62" s="78">
        <f t="shared" si="6"/>
        <v>0</v>
      </c>
      <c r="AO62" s="78">
        <f t="shared" si="6"/>
        <v>0</v>
      </c>
      <c r="AP62" s="78">
        <f t="shared" si="6"/>
        <v>0</v>
      </c>
      <c r="AQ62" s="78">
        <f t="shared" si="6"/>
        <v>0</v>
      </c>
      <c r="AR62" s="78">
        <f t="shared" si="6"/>
        <v>0</v>
      </c>
      <c r="AS62" s="78">
        <f t="shared" si="6"/>
        <v>0</v>
      </c>
      <c r="AT62" s="78">
        <f t="shared" si="6"/>
        <v>0</v>
      </c>
      <c r="AU62" s="78">
        <f t="shared" si="6"/>
        <v>0</v>
      </c>
    </row>
    <row r="63" spans="1:47" x14ac:dyDescent="0.25">
      <c r="B63" t="s">
        <v>197</v>
      </c>
      <c r="C63" s="78">
        <f>SUM(C59:C62)</f>
        <v>1435396.4288537691</v>
      </c>
      <c r="D63" s="78">
        <f t="shared" ref="D63:AU63" si="7">SUM(D59:D62)</f>
        <v>1475008.1147851592</v>
      </c>
      <c r="E63" s="78">
        <f t="shared" si="7"/>
        <v>1518359.4555578711</v>
      </c>
      <c r="F63" s="78">
        <f t="shared" si="7"/>
        <v>1558124.6572002582</v>
      </c>
      <c r="G63" s="78">
        <f t="shared" si="7"/>
        <v>1601912.1950923849</v>
      </c>
      <c r="H63" s="78">
        <f t="shared" si="7"/>
        <v>1617790.2258107038</v>
      </c>
      <c r="I63" s="78">
        <f t="shared" si="7"/>
        <v>1637712.3777395561</v>
      </c>
      <c r="J63" s="78">
        <f t="shared" si="7"/>
        <v>1653779.5968625876</v>
      </c>
      <c r="K63" s="78">
        <f t="shared" si="7"/>
        <v>1674877.3383772508</v>
      </c>
      <c r="L63" s="78">
        <f t="shared" si="7"/>
        <v>1696064.1649832483</v>
      </c>
      <c r="M63" s="78">
        <f t="shared" si="7"/>
        <v>1717050.8001684863</v>
      </c>
      <c r="N63" s="78">
        <f t="shared" si="7"/>
        <v>1741766.6524202069</v>
      </c>
      <c r="O63" s="78">
        <f t="shared" si="7"/>
        <v>1762851.9294269802</v>
      </c>
      <c r="P63" s="78">
        <f t="shared" si="7"/>
        <v>1788017.9203642707</v>
      </c>
      <c r="Q63" s="78">
        <f t="shared" si="7"/>
        <v>1813254.1282145376</v>
      </c>
      <c r="R63" s="78">
        <f t="shared" si="7"/>
        <v>1838535.3051243434</v>
      </c>
      <c r="S63" s="78">
        <f t="shared" si="7"/>
        <v>1863899.7664681096</v>
      </c>
      <c r="T63" s="78">
        <f t="shared" si="7"/>
        <v>1893333.981896006</v>
      </c>
      <c r="U63" s="78">
        <f t="shared" si="7"/>
        <v>1922807.6630885608</v>
      </c>
      <c r="V63" s="78">
        <f t="shared" si="7"/>
        <v>1952310.0422708227</v>
      </c>
      <c r="W63" s="78">
        <f t="shared" si="7"/>
        <v>1981863.6058242796</v>
      </c>
      <c r="X63" s="78">
        <f t="shared" si="7"/>
        <v>2015489.782148171</v>
      </c>
      <c r="Y63" s="78">
        <f t="shared" si="7"/>
        <v>0</v>
      </c>
      <c r="Z63" s="78">
        <f t="shared" si="7"/>
        <v>0</v>
      </c>
      <c r="AA63" s="78">
        <f t="shared" si="7"/>
        <v>0</v>
      </c>
      <c r="AB63" s="78">
        <f t="shared" si="7"/>
        <v>0</v>
      </c>
      <c r="AC63" s="78">
        <f t="shared" si="7"/>
        <v>0</v>
      </c>
      <c r="AD63" s="78">
        <f t="shared" si="7"/>
        <v>0</v>
      </c>
      <c r="AE63" s="78">
        <f t="shared" si="7"/>
        <v>0</v>
      </c>
      <c r="AF63" s="78">
        <f t="shared" si="7"/>
        <v>0</v>
      </c>
      <c r="AG63" s="78">
        <f t="shared" si="7"/>
        <v>0</v>
      </c>
      <c r="AH63" s="78">
        <f t="shared" si="7"/>
        <v>0</v>
      </c>
      <c r="AI63" s="78">
        <f t="shared" si="7"/>
        <v>0</v>
      </c>
      <c r="AJ63" s="78">
        <f t="shared" si="7"/>
        <v>0</v>
      </c>
      <c r="AK63" s="78">
        <f t="shared" si="7"/>
        <v>0</v>
      </c>
      <c r="AL63" s="78">
        <f t="shared" si="7"/>
        <v>0</v>
      </c>
      <c r="AM63" s="78">
        <f t="shared" si="7"/>
        <v>0</v>
      </c>
      <c r="AN63" s="78">
        <f t="shared" si="7"/>
        <v>0</v>
      </c>
      <c r="AO63" s="78">
        <f t="shared" si="7"/>
        <v>0</v>
      </c>
      <c r="AP63" s="78">
        <f t="shared" si="7"/>
        <v>0</v>
      </c>
      <c r="AQ63" s="78">
        <f t="shared" si="7"/>
        <v>0</v>
      </c>
      <c r="AR63" s="78">
        <f t="shared" si="7"/>
        <v>0</v>
      </c>
      <c r="AS63" s="78">
        <f t="shared" si="7"/>
        <v>0</v>
      </c>
      <c r="AT63" s="78">
        <f t="shared" si="7"/>
        <v>0</v>
      </c>
      <c r="AU63" s="78">
        <f t="shared" si="7"/>
        <v>0</v>
      </c>
    </row>
    <row r="64" spans="1:47" x14ac:dyDescent="0.25">
      <c r="B64" t="s">
        <v>198</v>
      </c>
      <c r="C64" s="78" cm="1">
        <f t="array" ref="C64">Revenue_BC[2026]</f>
        <v>979326.41928881314</v>
      </c>
      <c r="D64" s="78" cm="1">
        <f t="array" ref="D64">Revenue_BC[2027]</f>
        <v>960029.81990864931</v>
      </c>
      <c r="E64" s="78" cm="1">
        <f t="array" ref="E64">Revenue_BC[2028]</f>
        <v>941113.43976928678</v>
      </c>
      <c r="F64" s="78" cm="1">
        <f t="array" ref="F64">Revenue_BC[2029]</f>
        <v>922569.78704958991</v>
      </c>
      <c r="G64" s="78" cm="1">
        <f t="array" ref="G64">Revenue_BC[2030]</f>
        <v>904391.51754689717</v>
      </c>
      <c r="H64" s="78" cm="1">
        <f t="array" ref="H64">Revenue_BC[2031]</f>
        <v>886571.43176835333</v>
      </c>
      <c r="I64" s="78" cm="1">
        <f t="array" ref="I64">Revenue_BC[2032]</f>
        <v>869102.47207955434</v>
      </c>
      <c r="J64" s="78" cm="1">
        <f t="array" ref="J64">Revenue_BC[2033]</f>
        <v>851977.71990937588</v>
      </c>
      <c r="K64" s="78" cm="1">
        <f t="array" ref="K64">Revenue_BC[2034]</f>
        <v>835190.3930098773</v>
      </c>
      <c r="L64" s="78" cm="1">
        <f t="array" ref="L64">Revenue_BC[2035]</f>
        <v>818733.84277019638</v>
      </c>
      <c r="M64" s="78" cm="1">
        <f t="array" ref="M64">Revenue_BC[2036]</f>
        <v>802601.55158337054</v>
      </c>
      <c r="N64" s="78" cm="1">
        <f t="array" ref="N64">Revenue_BC[2037]</f>
        <v>786787.13026504323</v>
      </c>
      <c r="O64" s="78" cm="1">
        <f t="array" ref="O64">Revenue_BC[2038]</f>
        <v>771284.31552303035</v>
      </c>
      <c r="P64" s="78" cm="1">
        <f t="array" ref="P64">Revenue_BC[2039]</f>
        <v>756086.9674767477</v>
      </c>
      <c r="Q64" s="78" cm="1">
        <f t="array" ref="Q64">Revenue_BC[2040]</f>
        <v>741189.06722551479</v>
      </c>
      <c r="R64" s="78" cm="1">
        <f t="array" ref="R64">Revenue_BC[2041]</f>
        <v>726584.71446477296</v>
      </c>
      <c r="S64" s="78" cm="1">
        <f t="array" ref="S64">Revenue_BC[2042]</f>
        <v>712268.12514927262</v>
      </c>
      <c r="T64" s="78" cm="1">
        <f t="array" ref="T64">Revenue_BC[2043]</f>
        <v>698233.62920230627</v>
      </c>
      <c r="U64" s="78" cm="1">
        <f t="array" ref="U64">Revenue_BC[2044]</f>
        <v>684475.66827007767</v>
      </c>
      <c r="V64" s="78" cm="1">
        <f t="array" ref="V64">Revenue_BC[2045]</f>
        <v>670988.79352031928</v>
      </c>
      <c r="W64" s="78" cm="1">
        <f t="array" ref="W64">Revenue_BC[2046]</f>
        <v>657767.66348428512</v>
      </c>
      <c r="X64" s="78" cm="1">
        <f t="array" ref="X64">Revenue_BC[2047]</f>
        <v>644807.04194126569</v>
      </c>
      <c r="Y64" s="78" cm="1">
        <f t="array" ref="Y64">Revenue_BC[2048]</f>
        <v>0</v>
      </c>
      <c r="Z64" s="78" cm="1">
        <f t="array" ref="Z64">Revenue_BC[2049]</f>
        <v>0</v>
      </c>
      <c r="AA64" s="78" cm="1">
        <f t="array" ref="AA64">Revenue_BC[2050]</f>
        <v>0</v>
      </c>
      <c r="AB64" s="78" cm="1">
        <f t="array" ref="AB64">Revenue_BC[2051]</f>
        <v>0</v>
      </c>
      <c r="AC64" s="78" cm="1">
        <f t="array" ref="AC64">Revenue_BC[2052]</f>
        <v>0</v>
      </c>
      <c r="AD64" s="78" cm="1">
        <f t="array" ref="AD64">Revenue_BC[2053]</f>
        <v>0</v>
      </c>
      <c r="AE64" s="78" cm="1">
        <f t="array" ref="AE64">Revenue_BC[2054]</f>
        <v>0</v>
      </c>
      <c r="AF64" s="78" cm="1">
        <f t="array" ref="AF64">Revenue_BC[2055]</f>
        <v>0</v>
      </c>
      <c r="AG64" s="78" cm="1">
        <f t="array" ref="AG64">Revenue_BC[2056]</f>
        <v>0</v>
      </c>
      <c r="AH64" s="78" cm="1">
        <f t="array" ref="AH64">Revenue_BC[2057]</f>
        <v>0</v>
      </c>
      <c r="AI64" s="78" cm="1">
        <f t="array" ref="AI64">Revenue_BC[2058]</f>
        <v>0</v>
      </c>
      <c r="AJ64" s="78" cm="1">
        <f t="array" ref="AJ64">Revenue_BC[2059]</f>
        <v>0</v>
      </c>
      <c r="AK64" s="78" cm="1">
        <f t="array" ref="AK64">Revenue_BC[2060]</f>
        <v>0</v>
      </c>
      <c r="AL64" s="78" cm="1">
        <f t="array" ref="AL64">Revenue_BC[2061]</f>
        <v>0</v>
      </c>
      <c r="AM64" s="78" cm="1">
        <f t="array" ref="AM64">Revenue_BC[2062]</f>
        <v>0</v>
      </c>
      <c r="AN64" s="78" cm="1">
        <f t="array" ref="AN64">Revenue_BC[2063]</f>
        <v>0</v>
      </c>
      <c r="AO64" s="78" cm="1">
        <f t="array" ref="AO64">Revenue_BC[2064]</f>
        <v>0</v>
      </c>
      <c r="AP64" s="78" cm="1">
        <f t="array" ref="AP64">Revenue_BC[2065]</f>
        <v>0</v>
      </c>
      <c r="AQ64" s="78" cm="1">
        <f t="array" ref="AQ64">Revenue_BC[2066]</f>
        <v>0</v>
      </c>
      <c r="AR64" s="78" cm="1">
        <f t="array" ref="AR64">Revenue_BC[2067]</f>
        <v>0</v>
      </c>
      <c r="AS64" s="78" cm="1">
        <f t="array" ref="AS64">Revenue_BC[2068]</f>
        <v>0</v>
      </c>
      <c r="AT64" s="78" cm="1">
        <f t="array" ref="AT64">Revenue_BC[2069]</f>
        <v>0</v>
      </c>
      <c r="AU64" s="78" cm="1">
        <f t="array" ref="AU64">Revenue_BC[2070]</f>
        <v>0</v>
      </c>
    </row>
    <row r="65" spans="1:47" x14ac:dyDescent="0.25">
      <c r="B65" t="s">
        <v>199</v>
      </c>
      <c r="C65" s="78">
        <f>C64-C63</f>
        <v>-456070.00956495595</v>
      </c>
      <c r="D65" s="78">
        <f t="shared" ref="D65:AU65" si="8">D64-D63</f>
        <v>-514978.29487650993</v>
      </c>
      <c r="E65" s="78">
        <f t="shared" si="8"/>
        <v>-577246.01578858437</v>
      </c>
      <c r="F65" s="78">
        <f t="shared" si="8"/>
        <v>-635554.87015066831</v>
      </c>
      <c r="G65" s="78">
        <f t="shared" si="8"/>
        <v>-697520.67754548776</v>
      </c>
      <c r="H65" s="78">
        <f t="shared" si="8"/>
        <v>-731218.79404235049</v>
      </c>
      <c r="I65" s="78">
        <f t="shared" si="8"/>
        <v>-768609.90566000179</v>
      </c>
      <c r="J65" s="78">
        <f t="shared" si="8"/>
        <v>-801801.87695321173</v>
      </c>
      <c r="K65" s="78">
        <f t="shared" si="8"/>
        <v>-839686.94536737353</v>
      </c>
      <c r="L65" s="78">
        <f t="shared" si="8"/>
        <v>-877330.32221305196</v>
      </c>
      <c r="M65" s="78">
        <f t="shared" si="8"/>
        <v>-914449.24858511577</v>
      </c>
      <c r="N65" s="78">
        <f t="shared" si="8"/>
        <v>-954979.52215516369</v>
      </c>
      <c r="O65" s="78">
        <f t="shared" si="8"/>
        <v>-991567.61390394985</v>
      </c>
      <c r="P65" s="78">
        <f t="shared" si="8"/>
        <v>-1031930.952887523</v>
      </c>
      <c r="Q65" s="78">
        <f t="shared" si="8"/>
        <v>-1072065.0609890227</v>
      </c>
      <c r="R65" s="78">
        <f t="shared" si="8"/>
        <v>-1111950.5906595704</v>
      </c>
      <c r="S65" s="78">
        <f t="shared" si="8"/>
        <v>-1151631.6413188369</v>
      </c>
      <c r="T65" s="78">
        <f t="shared" si="8"/>
        <v>-1195100.3526936998</v>
      </c>
      <c r="U65" s="78">
        <f t="shared" si="8"/>
        <v>-1238331.994818483</v>
      </c>
      <c r="V65" s="78">
        <f t="shared" si="8"/>
        <v>-1281321.2487505034</v>
      </c>
      <c r="W65" s="78">
        <f t="shared" si="8"/>
        <v>-1324095.9423399945</v>
      </c>
      <c r="X65" s="78">
        <f t="shared" si="8"/>
        <v>-1370682.7402069052</v>
      </c>
      <c r="Y65" s="78">
        <f t="shared" si="8"/>
        <v>0</v>
      </c>
      <c r="Z65" s="78">
        <f t="shared" si="8"/>
        <v>0</v>
      </c>
      <c r="AA65" s="78">
        <f t="shared" si="8"/>
        <v>0</v>
      </c>
      <c r="AB65" s="78">
        <f t="shared" si="8"/>
        <v>0</v>
      </c>
      <c r="AC65" s="78">
        <f t="shared" si="8"/>
        <v>0</v>
      </c>
      <c r="AD65" s="78">
        <f t="shared" si="8"/>
        <v>0</v>
      </c>
      <c r="AE65" s="78">
        <f t="shared" si="8"/>
        <v>0</v>
      </c>
      <c r="AF65" s="78">
        <f t="shared" si="8"/>
        <v>0</v>
      </c>
      <c r="AG65" s="78">
        <f t="shared" si="8"/>
        <v>0</v>
      </c>
      <c r="AH65" s="78">
        <f t="shared" si="8"/>
        <v>0</v>
      </c>
      <c r="AI65" s="78">
        <f t="shared" si="8"/>
        <v>0</v>
      </c>
      <c r="AJ65" s="78">
        <f t="shared" si="8"/>
        <v>0</v>
      </c>
      <c r="AK65" s="78">
        <f t="shared" si="8"/>
        <v>0</v>
      </c>
      <c r="AL65" s="78">
        <f t="shared" si="8"/>
        <v>0</v>
      </c>
      <c r="AM65" s="78">
        <f t="shared" si="8"/>
        <v>0</v>
      </c>
      <c r="AN65" s="78">
        <f t="shared" si="8"/>
        <v>0</v>
      </c>
      <c r="AO65" s="78">
        <f t="shared" si="8"/>
        <v>0</v>
      </c>
      <c r="AP65" s="78">
        <f t="shared" si="8"/>
        <v>0</v>
      </c>
      <c r="AQ65" s="78">
        <f t="shared" si="8"/>
        <v>0</v>
      </c>
      <c r="AR65" s="78">
        <f t="shared" si="8"/>
        <v>0</v>
      </c>
      <c r="AS65" s="78">
        <f t="shared" si="8"/>
        <v>0</v>
      </c>
      <c r="AT65" s="78">
        <f t="shared" si="8"/>
        <v>0</v>
      </c>
      <c r="AU65" s="78">
        <f t="shared" si="8"/>
        <v>0</v>
      </c>
    </row>
    <row r="67" spans="1:47" x14ac:dyDescent="0.25">
      <c r="C67" s="75"/>
    </row>
    <row r="68" spans="1:47" x14ac:dyDescent="0.25">
      <c r="A68" s="66" t="s">
        <v>200</v>
      </c>
      <c r="B68" s="57" t="s">
        <v>201</v>
      </c>
      <c r="C68" s="118">
        <v>2026</v>
      </c>
      <c r="D68" s="118">
        <v>2027</v>
      </c>
      <c r="E68" s="118">
        <v>2028</v>
      </c>
      <c r="F68" s="118">
        <v>2029</v>
      </c>
      <c r="G68" s="118">
        <v>2030</v>
      </c>
      <c r="H68" s="118">
        <v>2031</v>
      </c>
      <c r="I68" s="118">
        <v>2032</v>
      </c>
      <c r="J68" s="118">
        <v>2033</v>
      </c>
      <c r="K68" s="118">
        <v>2034</v>
      </c>
      <c r="L68" s="118">
        <v>2035</v>
      </c>
      <c r="M68" s="118">
        <v>2036</v>
      </c>
      <c r="N68" s="118">
        <v>2037</v>
      </c>
      <c r="O68" s="118">
        <v>2038</v>
      </c>
      <c r="P68" s="118">
        <v>2039</v>
      </c>
      <c r="Q68" s="118">
        <v>2040</v>
      </c>
      <c r="R68" s="118">
        <v>2041</v>
      </c>
      <c r="S68" s="118">
        <v>2042</v>
      </c>
      <c r="T68" s="118">
        <v>2043</v>
      </c>
      <c r="U68" s="118">
        <v>2044</v>
      </c>
      <c r="V68" s="118">
        <v>2045</v>
      </c>
      <c r="W68" s="118">
        <v>2046</v>
      </c>
      <c r="X68" s="118">
        <v>2047</v>
      </c>
      <c r="Y68" s="118">
        <v>2048</v>
      </c>
      <c r="Z68" s="118">
        <v>2049</v>
      </c>
      <c r="AA68" s="118">
        <v>2050</v>
      </c>
      <c r="AB68" s="118">
        <v>2051</v>
      </c>
      <c r="AC68" s="118">
        <v>2052</v>
      </c>
      <c r="AD68" s="118">
        <v>2053</v>
      </c>
      <c r="AE68" s="118">
        <v>2054</v>
      </c>
      <c r="AF68" s="118">
        <v>2055</v>
      </c>
      <c r="AG68" s="118">
        <v>2056</v>
      </c>
      <c r="AH68" s="118">
        <v>2057</v>
      </c>
      <c r="AI68" s="118">
        <v>2058</v>
      </c>
      <c r="AJ68" s="118">
        <v>2059</v>
      </c>
      <c r="AK68" s="118">
        <v>2060</v>
      </c>
      <c r="AL68" s="118">
        <v>2061</v>
      </c>
      <c r="AM68" s="118">
        <v>2062</v>
      </c>
      <c r="AN68" s="118">
        <v>2063</v>
      </c>
      <c r="AO68" s="118">
        <v>2064</v>
      </c>
      <c r="AP68" s="118">
        <v>2065</v>
      </c>
      <c r="AQ68" s="118">
        <v>2066</v>
      </c>
      <c r="AR68" s="118">
        <v>2067</v>
      </c>
      <c r="AS68" s="118">
        <v>2068</v>
      </c>
      <c r="AT68" s="118">
        <v>2069</v>
      </c>
      <c r="AU68" s="118">
        <v>2070</v>
      </c>
    </row>
    <row r="69" spans="1:47" x14ac:dyDescent="0.25">
      <c r="B69" s="92">
        <v>0.02</v>
      </c>
      <c r="C69" s="33">
        <f ca="1">1/((1+$B69)^(C$68-'Project description'!$B$29))</f>
        <v>0.98039215686274506</v>
      </c>
      <c r="D69" s="33">
        <f ca="1">1/((1+$B69)^(D$68-'Project description'!$B$29))</f>
        <v>0.96116878123798544</v>
      </c>
      <c r="E69" s="33">
        <f ca="1">1/((1+$B69)^(E$68-'Project description'!$B$29))</f>
        <v>0.94232233454704462</v>
      </c>
      <c r="F69" s="33">
        <f ca="1">1/((1+$B69)^(F$68-'Project description'!$B$29))</f>
        <v>0.9238454260265142</v>
      </c>
      <c r="G69" s="33">
        <f ca="1">1/((1+$B69)^(G$68-'Project description'!$B$29))</f>
        <v>0.90573080982991594</v>
      </c>
      <c r="H69" s="33">
        <f ca="1">1/((1+$B69)^(H$68-'Project description'!$B$29))</f>
        <v>0.88797138218619198</v>
      </c>
      <c r="I69" s="33">
        <f ca="1">1/((1+$B69)^(I$68-'Project description'!$B$29))</f>
        <v>0.87056017861391388</v>
      </c>
      <c r="J69" s="33">
        <f ca="1">1/((1+$B69)^(J$68-'Project description'!$B$29))</f>
        <v>0.85349037119011162</v>
      </c>
      <c r="K69" s="33">
        <f ca="1">1/((1+$B69)^(K$68-'Project description'!$B$29))</f>
        <v>0.83675526587265847</v>
      </c>
      <c r="L69" s="33">
        <f ca="1">1/((1+$B69)^(L$68-'Project description'!$B$29))</f>
        <v>0.82034829987515534</v>
      </c>
      <c r="M69" s="33">
        <f ca="1">1/((1+$B69)^(M$68-'Project description'!$B$29))</f>
        <v>0.80426303909328967</v>
      </c>
      <c r="N69" s="33">
        <f ca="1">1/((1+$B69)^(N$68-'Project description'!$B$29))</f>
        <v>0.78849317558165644</v>
      </c>
      <c r="O69" s="33">
        <f ca="1">1/((1+$B69)^(O$68-'Project description'!$B$29))</f>
        <v>0.77303252508005538</v>
      </c>
      <c r="P69" s="33">
        <f ca="1">1/((1+$B69)^(P$68-'Project description'!$B$29))</f>
        <v>0.75787502458828948</v>
      </c>
      <c r="Q69" s="33">
        <f ca="1">1/((1+$B69)^(Q$68-'Project description'!$B$29))</f>
        <v>0.74301472998851925</v>
      </c>
      <c r="R69" s="33">
        <f ca="1">1/((1+$B69)^(R$68-'Project description'!$B$29))</f>
        <v>0.72844581371423445</v>
      </c>
      <c r="S69" s="33">
        <f ca="1">1/((1+$B69)^(S$68-'Project description'!$B$29))</f>
        <v>0.7141625624649357</v>
      </c>
      <c r="T69" s="33">
        <f ca="1">1/((1+$B69)^(T$68-'Project description'!$B$29))</f>
        <v>0.7001593749656233</v>
      </c>
      <c r="U69" s="33">
        <f ca="1">1/((1+$B69)^(U$68-'Project description'!$B$29))</f>
        <v>0.68643075977021895</v>
      </c>
      <c r="V69" s="33">
        <f ca="1">1/((1+$B69)^(V$68-'Project description'!$B$29))</f>
        <v>0.67297133310805779</v>
      </c>
      <c r="W69" s="33">
        <f ca="1">1/((1+$B69)^(W$68-'Project description'!$B$29))</f>
        <v>0.65977581677260566</v>
      </c>
      <c r="X69" s="33">
        <f ca="1">1/((1+$B69)^(X$68-'Project description'!$B$29))</f>
        <v>0.64683903605157411</v>
      </c>
      <c r="Y69" s="33">
        <f ca="1">1/((1+$B69)^(Y$68-'Project description'!$B$29))</f>
        <v>0.63415591769762181</v>
      </c>
      <c r="Z69" s="33">
        <f ca="1">1/((1+$B69)^(Z$68-'Project description'!$B$29))</f>
        <v>0.62172148793884485</v>
      </c>
      <c r="AA69" s="33">
        <f ca="1">1/((1+$B69)^(AA$68-'Project description'!$B$29))</f>
        <v>0.60953087052827937</v>
      </c>
      <c r="AB69" s="33">
        <f ca="1">1/((1+$B69)^(AB$68-'Project description'!$B$29))</f>
        <v>0.59757928483164635</v>
      </c>
      <c r="AC69" s="33">
        <f ca="1">1/((1+$B69)^(AC$68-'Project description'!$B$29))</f>
        <v>0.58586204395259456</v>
      </c>
      <c r="AD69" s="33">
        <f ca="1">1/((1+$B69)^(AD$68-'Project description'!$B$29))</f>
        <v>0.57437455289470041</v>
      </c>
      <c r="AE69" s="33">
        <f ca="1">1/((1+$B69)^(AE$68-'Project description'!$B$29))</f>
        <v>0.56311230675951029</v>
      </c>
      <c r="AF69" s="33">
        <f ca="1">1/((1+$B69)^(AF$68-'Project description'!$B$29))</f>
        <v>0.55207088897991197</v>
      </c>
      <c r="AG69" s="33">
        <f ca="1">1/((1+$B69)^(AG$68-'Project description'!$B$29))</f>
        <v>0.54124596958814919</v>
      </c>
      <c r="AH69" s="33">
        <f ca="1">1/((1+$B69)^(AH$68-'Project description'!$B$29))</f>
        <v>0.53063330351779314</v>
      </c>
      <c r="AI69" s="33">
        <f ca="1">1/((1+$B69)^(AI$68-'Project description'!$B$29))</f>
        <v>0.52022872893901284</v>
      </c>
      <c r="AJ69" s="33">
        <f ca="1">1/((1+$B69)^(AJ$68-'Project description'!$B$29))</f>
        <v>0.51002816562648323</v>
      </c>
      <c r="AK69" s="33">
        <f ca="1">1/((1+$B69)^(AK$68-'Project description'!$B$29))</f>
        <v>0.50002761335929735</v>
      </c>
      <c r="AL69" s="33">
        <f ca="1">1/((1+$B69)^(AL$68-'Project description'!$B$29))</f>
        <v>0.49022315035225233</v>
      </c>
      <c r="AM69" s="33">
        <f ca="1">1/((1+$B69)^(AM$68-'Project description'!$B$29))</f>
        <v>0.48061093171789437</v>
      </c>
      <c r="AN69" s="33">
        <f ca="1">1/((1+$B69)^(AN$68-'Project description'!$B$29))</f>
        <v>0.47118718795871989</v>
      </c>
      <c r="AO69" s="33">
        <f ca="1">1/((1+$B69)^(AO$68-'Project description'!$B$29))</f>
        <v>0.46194822348894127</v>
      </c>
      <c r="AP69" s="33">
        <f ca="1">1/((1+$B69)^(AP$68-'Project description'!$B$29))</f>
        <v>0.45289041518523643</v>
      </c>
      <c r="AQ69" s="33">
        <f ca="1">1/((1+$B69)^(AQ$68-'Project description'!$B$29))</f>
        <v>0.44401021096591808</v>
      </c>
      <c r="AR69" s="33">
        <f ca="1">1/((1+$B69)^(AR$68-'Project description'!$B$29))</f>
        <v>0.4353041283979589</v>
      </c>
      <c r="AS69" s="33">
        <f ca="1">1/((1+$B69)^(AS$68-'Project description'!$B$29))</f>
        <v>0.4267687533313323</v>
      </c>
      <c r="AT69" s="33">
        <f ca="1">1/((1+$B69)^(AT$68-'Project description'!$B$29))</f>
        <v>0.41840073856012966</v>
      </c>
      <c r="AU69" s="33">
        <f ca="1">1/((1+$B69)^(AU$68-'Project description'!$B$29))</f>
        <v>0.41019680250993107</v>
      </c>
    </row>
    <row r="70" spans="1:47" x14ac:dyDescent="0.25">
      <c r="B70" s="92">
        <v>0.08</v>
      </c>
      <c r="C70" s="33">
        <f ca="1">1/((1+$B70)^(C$68-'Project description'!$B$29))</f>
        <v>0.92592592592592582</v>
      </c>
      <c r="D70" s="33">
        <f ca="1">1/((1+$B70)^(D$68-'Project description'!$B$29))</f>
        <v>0.85733882030178321</v>
      </c>
      <c r="E70" s="33">
        <f ca="1">1/((1+$B70)^(E$68-'Project description'!$B$29))</f>
        <v>0.79383224102016958</v>
      </c>
      <c r="F70" s="33">
        <f ca="1">1/((1+$B70)^(F$68-'Project description'!$B$29))</f>
        <v>0.73502985279645328</v>
      </c>
      <c r="G70" s="33">
        <f ca="1">1/((1+$B70)^(G$68-'Project description'!$B$29))</f>
        <v>0.68058319703375303</v>
      </c>
      <c r="H70" s="33">
        <f ca="1">1/((1+$B70)^(H$68-'Project description'!$B$29))</f>
        <v>0.63016962688310452</v>
      </c>
      <c r="I70" s="33">
        <f ca="1">1/((1+$B70)^(I$68-'Project description'!$B$29))</f>
        <v>0.58349039526213387</v>
      </c>
      <c r="J70" s="33">
        <f ca="1">1/((1+$B70)^(J$68-'Project description'!$B$29))</f>
        <v>0.54026888450197574</v>
      </c>
      <c r="K70" s="33">
        <f ca="1">1/((1+$B70)^(K$68-'Project description'!$B$29))</f>
        <v>0.50024896713145905</v>
      </c>
      <c r="L70" s="33">
        <f ca="1">1/((1+$B70)^(L$68-'Project description'!$B$29))</f>
        <v>0.46319348808468425</v>
      </c>
      <c r="M70" s="33">
        <f ca="1">1/((1+$B70)^(M$68-'Project description'!$B$29))</f>
        <v>0.42888285933767062</v>
      </c>
      <c r="N70" s="33">
        <f ca="1">1/((1+$B70)^(N$68-'Project description'!$B$29))</f>
        <v>0.39711375864599124</v>
      </c>
      <c r="O70" s="33">
        <f ca="1">1/((1+$B70)^(O$68-'Project description'!$B$29))</f>
        <v>0.36769792467221413</v>
      </c>
      <c r="P70" s="33">
        <f ca="1">1/((1+$B70)^(P$68-'Project description'!$B$29))</f>
        <v>0.34046104136316119</v>
      </c>
      <c r="Q70" s="33">
        <f ca="1">1/((1+$B70)^(Q$68-'Project description'!$B$29))</f>
        <v>0.31524170496588994</v>
      </c>
      <c r="R70" s="33">
        <f ca="1">1/((1+$B70)^(R$68-'Project description'!$B$29))</f>
        <v>0.29189046756100923</v>
      </c>
      <c r="S70" s="33">
        <f ca="1">1/((1+$B70)^(S$68-'Project description'!$B$29))</f>
        <v>0.27026895144537894</v>
      </c>
      <c r="T70" s="33">
        <f ca="1">1/((1+$B70)^(T$68-'Project description'!$B$29))</f>
        <v>0.25024902911609154</v>
      </c>
      <c r="U70" s="33">
        <f ca="1">1/((1+$B70)^(U$68-'Project description'!$B$29))</f>
        <v>0.23171206399638106</v>
      </c>
      <c r="V70" s="33">
        <f ca="1">1/((1+$B70)^(V$68-'Project description'!$B$29))</f>
        <v>0.21454820740405653</v>
      </c>
      <c r="W70" s="33">
        <f ca="1">1/((1+$B70)^(W$68-'Project description'!$B$29))</f>
        <v>0.19865574759634863</v>
      </c>
      <c r="X70" s="33">
        <f ca="1">1/((1+$B70)^(X$68-'Project description'!$B$29))</f>
        <v>0.18394050703365611</v>
      </c>
      <c r="Y70" s="33">
        <f ca="1">1/((1+$B70)^(Y$68-'Project description'!$B$29))</f>
        <v>0.17031528429042234</v>
      </c>
      <c r="Z70" s="33">
        <f ca="1">1/((1+$B70)^(Z$68-'Project description'!$B$29))</f>
        <v>0.1576993373059466</v>
      </c>
      <c r="AA70" s="33">
        <f ca="1">1/((1+$B70)^(AA$68-'Project description'!$B$29))</f>
        <v>0.1460179049129135</v>
      </c>
      <c r="AB70" s="33">
        <f ca="1">1/((1+$B70)^(AB$68-'Project description'!$B$29))</f>
        <v>0.13520176380825324</v>
      </c>
      <c r="AC70" s="33">
        <f ca="1">1/((1+$B70)^(AC$68-'Project description'!$B$29))</f>
        <v>0.12518681834097523</v>
      </c>
      <c r="AD70" s="33">
        <f ca="1">1/((1+$B70)^(AD$68-'Project description'!$B$29))</f>
        <v>0.11591372068608817</v>
      </c>
      <c r="AE70" s="33">
        <f ca="1">1/((1+$B70)^(AE$68-'Project description'!$B$29))</f>
        <v>0.10732751915378534</v>
      </c>
      <c r="AF70" s="33">
        <f ca="1">1/((1+$B70)^(AF$68-'Project description'!$B$29))</f>
        <v>9.9377332549801231E-2</v>
      </c>
      <c r="AG70" s="33">
        <f ca="1">1/((1+$B70)^(AG$68-'Project description'!$B$29))</f>
        <v>9.2016048657223348E-2</v>
      </c>
      <c r="AH70" s="33">
        <f ca="1">1/((1+$B70)^(AH$68-'Project description'!$B$29))</f>
        <v>8.5200045052984577E-2</v>
      </c>
      <c r="AI70" s="33">
        <f ca="1">1/((1+$B70)^(AI$68-'Project description'!$B$29))</f>
        <v>7.8888930604615354E-2</v>
      </c>
      <c r="AJ70" s="33">
        <f ca="1">1/((1+$B70)^(AJ$68-'Project description'!$B$29))</f>
        <v>7.3045306115384581E-2</v>
      </c>
      <c r="AK70" s="33">
        <f ca="1">1/((1+$B70)^(AK$68-'Project description'!$B$29))</f>
        <v>6.7634542699430159E-2</v>
      </c>
      <c r="AL70" s="33">
        <f ca="1">1/((1+$B70)^(AL$68-'Project description'!$B$29))</f>
        <v>6.2624576573546434E-2</v>
      </c>
      <c r="AM70" s="33">
        <f ca="1">1/((1+$B70)^(AM$68-'Project description'!$B$29))</f>
        <v>5.7985719049580033E-2</v>
      </c>
      <c r="AN70" s="33">
        <f ca="1">1/((1+$B70)^(AN$68-'Project description'!$B$29))</f>
        <v>5.3690480601462989E-2</v>
      </c>
      <c r="AO70" s="33">
        <f ca="1">1/((1+$B70)^(AO$68-'Project description'!$B$29))</f>
        <v>4.9713407964317585E-2</v>
      </c>
      <c r="AP70" s="33">
        <f ca="1">1/((1+$B70)^(AP$68-'Project description'!$B$29))</f>
        <v>4.6030933300294057E-2</v>
      </c>
      <c r="AQ70" s="33">
        <f ca="1">1/((1+$B70)^(AQ$68-'Project description'!$B$29))</f>
        <v>4.2621234537309309E-2</v>
      </c>
      <c r="AR70" s="33">
        <f ca="1">1/((1+$B70)^(AR$68-'Project description'!$B$29))</f>
        <v>3.9464106053064177E-2</v>
      </c>
      <c r="AS70" s="33">
        <f ca="1">1/((1+$B70)^(AS$68-'Project description'!$B$29))</f>
        <v>3.6540838938022388E-2</v>
      </c>
      <c r="AT70" s="33">
        <f ca="1">1/((1+$B70)^(AT$68-'Project description'!$B$29))</f>
        <v>3.3834110127798502E-2</v>
      </c>
      <c r="AU70" s="33">
        <f ca="1">1/((1+$B70)^(AU$68-'Project description'!$B$29))</f>
        <v>3.1327879747961578E-2</v>
      </c>
    </row>
    <row r="71" spans="1:47" x14ac:dyDescent="0.25">
      <c r="A71" t="s">
        <v>202</v>
      </c>
      <c r="B71" s="90">
        <f>FinalYear_PP</f>
        <v>2047</v>
      </c>
      <c r="C71" s="75">
        <f>IF(C$68&gt;$B71,0,1)</f>
        <v>1</v>
      </c>
      <c r="D71" s="75">
        <f t="shared" ref="D71:AU72" si="9">IF(D$68&gt;$B71,0,1)</f>
        <v>1</v>
      </c>
      <c r="E71" s="75">
        <f t="shared" si="9"/>
        <v>1</v>
      </c>
      <c r="F71" s="75">
        <f t="shared" si="9"/>
        <v>1</v>
      </c>
      <c r="G71" s="75">
        <f t="shared" si="9"/>
        <v>1</v>
      </c>
      <c r="H71" s="75">
        <f t="shared" si="9"/>
        <v>1</v>
      </c>
      <c r="I71" s="75">
        <f t="shared" si="9"/>
        <v>1</v>
      </c>
      <c r="J71" s="75">
        <f t="shared" si="9"/>
        <v>1</v>
      </c>
      <c r="K71" s="75">
        <f t="shared" si="9"/>
        <v>1</v>
      </c>
      <c r="L71" s="75">
        <f t="shared" si="9"/>
        <v>1</v>
      </c>
      <c r="M71" s="75">
        <f t="shared" si="9"/>
        <v>1</v>
      </c>
      <c r="N71" s="75">
        <f t="shared" si="9"/>
        <v>1</v>
      </c>
      <c r="O71" s="75">
        <f t="shared" si="9"/>
        <v>1</v>
      </c>
      <c r="P71" s="75">
        <f t="shared" si="9"/>
        <v>1</v>
      </c>
      <c r="Q71" s="75">
        <f t="shared" si="9"/>
        <v>1</v>
      </c>
      <c r="R71" s="75">
        <f t="shared" si="9"/>
        <v>1</v>
      </c>
      <c r="S71" s="75">
        <f t="shared" si="9"/>
        <v>1</v>
      </c>
      <c r="T71" s="75">
        <f t="shared" si="9"/>
        <v>1</v>
      </c>
      <c r="U71" s="75">
        <f t="shared" si="9"/>
        <v>1</v>
      </c>
      <c r="V71" s="75">
        <f t="shared" si="9"/>
        <v>1</v>
      </c>
      <c r="W71" s="75">
        <f t="shared" si="9"/>
        <v>1</v>
      </c>
      <c r="X71" s="75">
        <f t="shared" si="9"/>
        <v>1</v>
      </c>
      <c r="Y71" s="75">
        <f t="shared" si="9"/>
        <v>0</v>
      </c>
      <c r="Z71" s="75">
        <f t="shared" si="9"/>
        <v>0</v>
      </c>
      <c r="AA71" s="75">
        <f t="shared" si="9"/>
        <v>0</v>
      </c>
      <c r="AB71" s="75">
        <f t="shared" si="9"/>
        <v>0</v>
      </c>
      <c r="AC71" s="75">
        <f t="shared" si="9"/>
        <v>0</v>
      </c>
      <c r="AD71" s="75">
        <f t="shared" si="9"/>
        <v>0</v>
      </c>
      <c r="AE71" s="75">
        <f t="shared" si="9"/>
        <v>0</v>
      </c>
      <c r="AF71" s="75">
        <f t="shared" si="9"/>
        <v>0</v>
      </c>
      <c r="AG71" s="75">
        <f t="shared" si="9"/>
        <v>0</v>
      </c>
      <c r="AH71" s="75">
        <f t="shared" si="9"/>
        <v>0</v>
      </c>
      <c r="AI71" s="75">
        <f t="shared" si="9"/>
        <v>0</v>
      </c>
      <c r="AJ71" s="75">
        <f t="shared" si="9"/>
        <v>0</v>
      </c>
      <c r="AK71" s="75">
        <f t="shared" si="9"/>
        <v>0</v>
      </c>
      <c r="AL71" s="75">
        <f t="shared" si="9"/>
        <v>0</v>
      </c>
      <c r="AM71" s="75">
        <f t="shared" si="9"/>
        <v>0</v>
      </c>
      <c r="AN71" s="75">
        <f t="shared" si="9"/>
        <v>0</v>
      </c>
      <c r="AO71" s="75">
        <f t="shared" si="9"/>
        <v>0</v>
      </c>
      <c r="AP71" s="75">
        <f t="shared" si="9"/>
        <v>0</v>
      </c>
      <c r="AQ71" s="75">
        <f t="shared" si="9"/>
        <v>0</v>
      </c>
      <c r="AR71" s="75">
        <f t="shared" si="9"/>
        <v>0</v>
      </c>
      <c r="AS71" s="75">
        <f t="shared" si="9"/>
        <v>0</v>
      </c>
      <c r="AT71" s="75">
        <f t="shared" si="9"/>
        <v>0</v>
      </c>
      <c r="AU71" s="75">
        <f t="shared" si="9"/>
        <v>0</v>
      </c>
    </row>
    <row r="72" spans="1:47" x14ac:dyDescent="0.25">
      <c r="A72" t="s">
        <v>203</v>
      </c>
      <c r="B72" s="90">
        <f>FinalYear_BC</f>
        <v>2047</v>
      </c>
      <c r="C72" s="75">
        <f>IF(C$68&gt;$B72,0,1)</f>
        <v>1</v>
      </c>
      <c r="D72" s="75">
        <f t="shared" si="9"/>
        <v>1</v>
      </c>
      <c r="E72" s="75">
        <f t="shared" si="9"/>
        <v>1</v>
      </c>
      <c r="F72" s="75">
        <f t="shared" si="9"/>
        <v>1</v>
      </c>
      <c r="G72" s="75">
        <f t="shared" si="9"/>
        <v>1</v>
      </c>
      <c r="H72" s="75">
        <f t="shared" si="9"/>
        <v>1</v>
      </c>
      <c r="I72" s="75">
        <f t="shared" si="9"/>
        <v>1</v>
      </c>
      <c r="J72" s="75">
        <f t="shared" si="9"/>
        <v>1</v>
      </c>
      <c r="K72" s="75">
        <f t="shared" si="9"/>
        <v>1</v>
      </c>
      <c r="L72" s="75">
        <f t="shared" si="9"/>
        <v>1</v>
      </c>
      <c r="M72" s="75">
        <f t="shared" si="9"/>
        <v>1</v>
      </c>
      <c r="N72" s="75">
        <f t="shared" si="9"/>
        <v>1</v>
      </c>
      <c r="O72" s="75">
        <f t="shared" si="9"/>
        <v>1</v>
      </c>
      <c r="P72" s="75">
        <f t="shared" si="9"/>
        <v>1</v>
      </c>
      <c r="Q72" s="75">
        <f t="shared" si="9"/>
        <v>1</v>
      </c>
      <c r="R72" s="75">
        <f t="shared" si="9"/>
        <v>1</v>
      </c>
      <c r="S72" s="75">
        <f t="shared" si="9"/>
        <v>1</v>
      </c>
      <c r="T72" s="75">
        <f t="shared" si="9"/>
        <v>1</v>
      </c>
      <c r="U72" s="75">
        <f t="shared" si="9"/>
        <v>1</v>
      </c>
      <c r="V72" s="75">
        <f t="shared" si="9"/>
        <v>1</v>
      </c>
      <c r="W72" s="75">
        <f t="shared" si="9"/>
        <v>1</v>
      </c>
      <c r="X72" s="75">
        <f t="shared" si="9"/>
        <v>1</v>
      </c>
      <c r="Y72" s="75">
        <f t="shared" si="9"/>
        <v>0</v>
      </c>
      <c r="Z72" s="75">
        <f t="shared" si="9"/>
        <v>0</v>
      </c>
      <c r="AA72" s="75">
        <f t="shared" si="9"/>
        <v>0</v>
      </c>
      <c r="AB72" s="75">
        <f t="shared" si="9"/>
        <v>0</v>
      </c>
      <c r="AC72" s="75">
        <f t="shared" si="9"/>
        <v>0</v>
      </c>
      <c r="AD72" s="75">
        <f t="shared" si="9"/>
        <v>0</v>
      </c>
      <c r="AE72" s="75">
        <f t="shared" si="9"/>
        <v>0</v>
      </c>
      <c r="AF72" s="75">
        <f t="shared" si="9"/>
        <v>0</v>
      </c>
      <c r="AG72" s="75">
        <f t="shared" si="9"/>
        <v>0</v>
      </c>
      <c r="AH72" s="75">
        <f t="shared" si="9"/>
        <v>0</v>
      </c>
      <c r="AI72" s="75">
        <f t="shared" si="9"/>
        <v>0</v>
      </c>
      <c r="AJ72" s="75">
        <f t="shared" si="9"/>
        <v>0</v>
      </c>
      <c r="AK72" s="75">
        <f t="shared" si="9"/>
        <v>0</v>
      </c>
      <c r="AL72" s="75">
        <f t="shared" si="9"/>
        <v>0</v>
      </c>
      <c r="AM72" s="75">
        <f t="shared" si="9"/>
        <v>0</v>
      </c>
      <c r="AN72" s="75">
        <f t="shared" si="9"/>
        <v>0</v>
      </c>
      <c r="AO72" s="75">
        <f t="shared" si="9"/>
        <v>0</v>
      </c>
      <c r="AP72" s="75">
        <f t="shared" si="9"/>
        <v>0</v>
      </c>
      <c r="AQ72" s="75">
        <f t="shared" si="9"/>
        <v>0</v>
      </c>
      <c r="AR72" s="75">
        <f t="shared" si="9"/>
        <v>0</v>
      </c>
      <c r="AS72" s="75">
        <f t="shared" si="9"/>
        <v>0</v>
      </c>
      <c r="AT72" s="75">
        <f t="shared" si="9"/>
        <v>0</v>
      </c>
      <c r="AU72" s="75">
        <f t="shared" si="9"/>
        <v>0</v>
      </c>
    </row>
    <row r="74" spans="1:47" x14ac:dyDescent="0.25">
      <c r="A74" s="49" t="s">
        <v>204</v>
      </c>
      <c r="B74" s="49"/>
      <c r="C74" s="74">
        <v>0.02</v>
      </c>
      <c r="D74" s="74">
        <v>0.08</v>
      </c>
    </row>
    <row r="75" spans="1:47" x14ac:dyDescent="0.25">
      <c r="B75" s="76" t="s">
        <v>205</v>
      </c>
      <c r="C75" s="82">
        <f ca="1">SUMPRODUCT($C$58:$AU$58,$C$69:$AU$69,$C71:$AU71)</f>
        <v>-467103.28044232418</v>
      </c>
      <c r="D75" s="82">
        <f ca="1">SUMPRODUCT($C$58:$AU$58,$C$70:$AU$70,$C72:$AU72)</f>
        <v>-999211.31401907071</v>
      </c>
    </row>
    <row r="76" spans="1:47" x14ac:dyDescent="0.25">
      <c r="B76" s="76" t="s">
        <v>188</v>
      </c>
      <c r="C76" s="82">
        <f ca="1">SUMPRODUCT($C$65:$AU$65,$C$69:$AU$69,$C71:$AU71)</f>
        <v>-15905411.704839101</v>
      </c>
      <c r="D76" s="82">
        <f ca="1">SUMPRODUCT($C$65:$AU$65,$C$70:$AU$70,$C72:$AU72)</f>
        <v>-8270002.3987494931</v>
      </c>
    </row>
    <row r="77" spans="1:47" x14ac:dyDescent="0.25">
      <c r="B77" s="76" t="s">
        <v>206</v>
      </c>
      <c r="C77" s="93" t="str">
        <f ca="1">IF(C75&gt;C76,$B75,$B76)</f>
        <v xml:space="preserve">PP </v>
      </c>
      <c r="D77" s="93" t="str">
        <f ca="1">IF(D75&gt;D76,$B75,$B76)</f>
        <v xml:space="preserve">PP </v>
      </c>
    </row>
    <row r="79" spans="1:47" x14ac:dyDescent="0.25">
      <c r="A79" s="66"/>
      <c r="B79" s="66" t="s">
        <v>207</v>
      </c>
      <c r="C79" s="118">
        <v>2026</v>
      </c>
      <c r="D79" s="118">
        <v>2027</v>
      </c>
      <c r="E79" s="118">
        <v>2028</v>
      </c>
      <c r="F79" s="118">
        <v>2029</v>
      </c>
      <c r="G79" s="118">
        <v>2030</v>
      </c>
      <c r="H79" s="118">
        <v>2031</v>
      </c>
      <c r="I79" s="118">
        <v>2032</v>
      </c>
      <c r="J79" s="118">
        <v>2033</v>
      </c>
      <c r="K79" s="118">
        <v>2034</v>
      </c>
      <c r="L79" s="118">
        <v>2035</v>
      </c>
      <c r="M79" s="118">
        <v>2036</v>
      </c>
      <c r="N79" s="118">
        <v>2037</v>
      </c>
      <c r="O79" s="118">
        <v>2038</v>
      </c>
      <c r="P79" s="118">
        <v>2039</v>
      </c>
      <c r="Q79" s="118">
        <v>2040</v>
      </c>
      <c r="R79" s="118">
        <v>2041</v>
      </c>
      <c r="S79" s="118">
        <v>2042</v>
      </c>
      <c r="T79" s="118">
        <v>2043</v>
      </c>
      <c r="U79" s="118">
        <v>2044</v>
      </c>
      <c r="V79" s="118">
        <v>2045</v>
      </c>
      <c r="W79" s="118">
        <v>2046</v>
      </c>
      <c r="X79" s="118">
        <v>2047</v>
      </c>
      <c r="Y79" s="118">
        <v>2048</v>
      </c>
      <c r="Z79" s="118">
        <v>2049</v>
      </c>
      <c r="AA79" s="118">
        <v>2050</v>
      </c>
      <c r="AB79" s="118">
        <v>2051</v>
      </c>
      <c r="AC79" s="118">
        <v>2052</v>
      </c>
      <c r="AD79" s="118">
        <v>2053</v>
      </c>
      <c r="AE79" s="118">
        <v>2054</v>
      </c>
      <c r="AF79" s="118">
        <v>2055</v>
      </c>
      <c r="AG79" s="118">
        <v>2056</v>
      </c>
      <c r="AH79" s="118">
        <v>2057</v>
      </c>
      <c r="AI79" s="118">
        <v>2058</v>
      </c>
      <c r="AJ79" s="118">
        <v>2059</v>
      </c>
      <c r="AK79" s="118">
        <v>2060</v>
      </c>
      <c r="AL79" s="118">
        <v>2061</v>
      </c>
      <c r="AM79" s="118">
        <v>2062</v>
      </c>
      <c r="AN79" s="118">
        <v>2063</v>
      </c>
      <c r="AO79" s="118">
        <v>2064</v>
      </c>
      <c r="AP79" s="118">
        <v>2065</v>
      </c>
      <c r="AQ79" s="118">
        <v>2066</v>
      </c>
      <c r="AR79" s="118">
        <v>2067</v>
      </c>
      <c r="AS79" s="118">
        <v>2068</v>
      </c>
      <c r="AT79" s="118">
        <v>2069</v>
      </c>
      <c r="AU79" s="118">
        <v>2070</v>
      </c>
    </row>
    <row r="80" spans="1:47" x14ac:dyDescent="0.25">
      <c r="A80" t="s">
        <v>208</v>
      </c>
      <c r="B80" s="71" t="str">
        <f>HurdleRateBasis</f>
        <v>Pre-tax Nominal</v>
      </c>
      <c r="C80" s="33">
        <f ca="1">1/((1+'Project description'!$B$26)^(C$79-Analysis_year))</f>
        <v>0.83333333333333337</v>
      </c>
      <c r="D80" s="33">
        <f ca="1">1/((1+'Project description'!$B$26)^(D$79-Analysis_year))</f>
        <v>0.69444444444444442</v>
      </c>
      <c r="E80" s="33">
        <f ca="1">1/((1+'Project description'!$B$26)^(E$79-Analysis_year))</f>
        <v>0.57870370370370372</v>
      </c>
      <c r="F80" s="33">
        <f ca="1">1/((1+'Project description'!$B$26)^(F$79-Analysis_year))</f>
        <v>0.48225308641975312</v>
      </c>
      <c r="G80" s="33">
        <f ca="1">1/((1+'Project description'!$B$26)^(G$79-Analysis_year))</f>
        <v>0.4018775720164609</v>
      </c>
      <c r="H80" s="33">
        <f ca="1">1/((1+'Project description'!$B$26)^(H$79-Analysis_year))</f>
        <v>0.33489797668038412</v>
      </c>
      <c r="I80" s="33">
        <f ca="1">1/((1+'Project description'!$B$26)^(I$79-Analysis_year))</f>
        <v>0.27908164723365342</v>
      </c>
      <c r="J80" s="33">
        <f ca="1">1/((1+'Project description'!$B$26)^(J$79-Analysis_year))</f>
        <v>0.23256803936137788</v>
      </c>
      <c r="K80" s="33">
        <f ca="1">1/((1+'Project description'!$B$26)^(K$79-Analysis_year))</f>
        <v>0.1938066994678149</v>
      </c>
      <c r="L80" s="33">
        <f ca="1">1/((1+'Project description'!$B$26)^(L$79-Analysis_year))</f>
        <v>0.16150558288984573</v>
      </c>
      <c r="M80" s="33">
        <f ca="1">1/((1+'Project description'!$B$26)^(M$79-Analysis_year))</f>
        <v>0.13458798574153813</v>
      </c>
      <c r="N80" s="33">
        <f ca="1">1/((1+'Project description'!$B$26)^(N$79-Analysis_year))</f>
        <v>0.11215665478461512</v>
      </c>
      <c r="O80" s="33">
        <f ca="1">1/((1+'Project description'!$B$26)^(O$79-Analysis_year))</f>
        <v>9.3463878987179255E-2</v>
      </c>
      <c r="P80" s="33">
        <f ca="1">1/((1+'Project description'!$B$26)^(P$79-Analysis_year))</f>
        <v>7.7886565822649384E-2</v>
      </c>
      <c r="Q80" s="33">
        <f ca="1">1/((1+'Project description'!$B$26)^(Q$79-Analysis_year))</f>
        <v>6.4905471518874491E-2</v>
      </c>
      <c r="R80" s="33">
        <f ca="1">1/((1+'Project description'!$B$26)^(R$79-Analysis_year))</f>
        <v>5.4087892932395409E-2</v>
      </c>
      <c r="S80" s="33">
        <f ca="1">1/((1+'Project description'!$B$26)^(S$79-Analysis_year))</f>
        <v>4.5073244110329508E-2</v>
      </c>
      <c r="T80" s="33">
        <f ca="1">1/((1+'Project description'!$B$26)^(T$79-Analysis_year))</f>
        <v>3.7561036758607926E-2</v>
      </c>
      <c r="U80" s="33">
        <f ca="1">1/((1+'Project description'!$B$26)^(U$79-Analysis_year))</f>
        <v>3.1300863965506603E-2</v>
      </c>
      <c r="V80" s="33">
        <f ca="1">1/((1+'Project description'!$B$26)^(V$79-Analysis_year))</f>
        <v>2.6084053304588836E-2</v>
      </c>
      <c r="W80" s="33">
        <f ca="1">1/((1+'Project description'!$B$26)^(W$79-Analysis_year))</f>
        <v>2.1736711087157363E-2</v>
      </c>
      <c r="X80" s="33">
        <f ca="1">1/((1+'Project description'!$B$26)^(X$79-Analysis_year))</f>
        <v>1.8113925905964473E-2</v>
      </c>
      <c r="Y80" s="33">
        <f ca="1">1/((1+'Project description'!$B$26)^(Y$79-Analysis_year))</f>
        <v>1.5094938254970394E-2</v>
      </c>
      <c r="Z80" s="33">
        <f ca="1">1/((1+'Project description'!$B$26)^(Z$79-Analysis_year))</f>
        <v>1.2579115212475329E-2</v>
      </c>
      <c r="AA80" s="33">
        <f ca="1">1/((1+'Project description'!$B$26)^(AA$79-Analysis_year))</f>
        <v>1.0482596010396106E-2</v>
      </c>
      <c r="AB80" s="33">
        <f ca="1">1/((1+'Project description'!$B$26)^(AB$79-Analysis_year))</f>
        <v>8.7354966753300893E-3</v>
      </c>
      <c r="AC80" s="33">
        <f ca="1">1/((1+'Project description'!$B$26)^(AC$79-Analysis_year))</f>
        <v>7.2795805627750738E-3</v>
      </c>
      <c r="AD80" s="33">
        <f ca="1">1/((1+'Project description'!$B$26)^(AD$79-Analysis_year))</f>
        <v>6.0663171356458954E-3</v>
      </c>
      <c r="AE80" s="33">
        <f ca="1">1/((1+'Project description'!$B$26)^(AE$79-Analysis_year))</f>
        <v>5.0552642797049132E-3</v>
      </c>
      <c r="AF80" s="33">
        <f ca="1">1/((1+'Project description'!$B$26)^(AF$79-Analysis_year))</f>
        <v>4.2127202330874275E-3</v>
      </c>
      <c r="AG80" s="33">
        <f ca="1">1/((1+'Project description'!$B$26)^(AG$79-Analysis_year))</f>
        <v>3.5106001942395229E-3</v>
      </c>
      <c r="AH80" s="33">
        <f ca="1">1/((1+'Project description'!$B$26)^(AH$79-Analysis_year))</f>
        <v>2.9255001618662697E-3</v>
      </c>
      <c r="AI80" s="33">
        <f ca="1">1/((1+'Project description'!$B$26)^(AI$79-Analysis_year))</f>
        <v>2.437916801555225E-3</v>
      </c>
      <c r="AJ80" s="33">
        <f ca="1">1/((1+'Project description'!$B$26)^(AJ$79-Analysis_year))</f>
        <v>2.0315973346293542E-3</v>
      </c>
      <c r="AK80" s="33">
        <f ca="1">1/((1+'Project description'!$B$26)^(AK$79-Analysis_year))</f>
        <v>1.6929977788577952E-3</v>
      </c>
      <c r="AL80" s="33">
        <f ca="1">1/((1+'Project description'!$B$26)^(AL$79-Analysis_year))</f>
        <v>1.4108314823814958E-3</v>
      </c>
      <c r="AM80" s="33">
        <f ca="1">1/((1+'Project description'!$B$26)^(AM$79-Analysis_year))</f>
        <v>1.1756929019845798E-3</v>
      </c>
      <c r="AN80" s="33">
        <f ca="1">1/((1+'Project description'!$B$26)^(AN$79-Analysis_year))</f>
        <v>9.7974408498714997E-4</v>
      </c>
      <c r="AO80" s="33">
        <f ca="1">1/((1+'Project description'!$B$26)^(AO$79-Analysis_year))</f>
        <v>8.1645340415595834E-4</v>
      </c>
      <c r="AP80" s="33">
        <f ca="1">1/((1+'Project description'!$B$26)^(AP$79-Analysis_year))</f>
        <v>6.8037783679663201E-4</v>
      </c>
      <c r="AQ80" s="33">
        <f ca="1">1/((1+'Project description'!$B$26)^(AQ$79-Analysis_year))</f>
        <v>5.6698153066386001E-4</v>
      </c>
      <c r="AR80" s="33">
        <f ca="1">1/((1+'Project description'!$B$26)^(AR$79-Analysis_year))</f>
        <v>4.7248460888654997E-4</v>
      </c>
      <c r="AS80" s="33">
        <f ca="1">1/((1+'Project description'!$B$26)^(AS$79-Analysis_year))</f>
        <v>3.93737174072125E-4</v>
      </c>
      <c r="AT80" s="33">
        <f ca="1">1/((1+'Project description'!$B$26)^(AT$79-Analysis_year))</f>
        <v>3.2811431172677082E-4</v>
      </c>
      <c r="AU80" s="33">
        <f ca="1">1/((1+'Project description'!$B$26)^(AU$79-Analysis_year))</f>
        <v>2.7342859310564233E-4</v>
      </c>
    </row>
    <row r="81" spans="1:51" x14ac:dyDescent="0.25">
      <c r="A81" t="s">
        <v>176</v>
      </c>
      <c r="B81" t="s">
        <v>209</v>
      </c>
      <c r="C81" s="78" cm="1">
        <f t="array" aca="1" ref="C81" ca="1">OFFSET(G1,SUMPRODUCT(($I$86:$I$89=HurdleRateBasis)*(Calculations!$J$85:$K$85=ReturnType)*(Calculations!$J$86:$K$89))-1,0)*C71</f>
        <v>-1144808.522864853</v>
      </c>
      <c r="D81" s="78" cm="1">
        <f t="array" aca="1" ref="D81" ca="1">OFFSET(H1,SUMPRODUCT(($I$86:$I$89=HurdleRateBasis)*(Calculations!$J$85:$K$85=ReturnType)*(Calculations!$J$86:$K$89))-1,0)*D71</f>
        <v>-661304.87807355192</v>
      </c>
      <c r="E81" s="78" cm="1">
        <f t="array" aca="1" ref="E81" ca="1">OFFSET(I1,SUMPRODUCT(($I$86:$I$89=HurdleRateBasis)*(Calculations!$J$85:$K$85=ReturnType)*(Calculations!$J$86:$K$89))-1,0)*E71</f>
        <v>200079.33493637794</v>
      </c>
      <c r="F81" s="78" cm="1">
        <f t="array" aca="1" ref="F81" ca="1">OFFSET(J1,SUMPRODUCT(($I$86:$I$89=HurdleRateBasis)*(Calculations!$J$85:$K$85=ReturnType)*(Calculations!$J$86:$K$89))-1,0)*F71</f>
        <v>219212.25557625422</v>
      </c>
      <c r="G81" s="78" cm="1">
        <f t="array" aca="1" ref="G81" ca="1">OFFSET(K1,SUMPRODUCT(($I$86:$I$89=HurdleRateBasis)*(Calculations!$J$85:$K$85=ReturnType)*(Calculations!$J$86:$K$89))-1,0)*G71</f>
        <v>239439.15065458871</v>
      </c>
      <c r="H81" s="78" cm="1">
        <f t="array" aca="1" ref="H81" ca="1">OFFSET(L1,SUMPRODUCT(($I$86:$I$89=HurdleRateBasis)*(Calculations!$J$85:$K$85=ReturnType)*(Calculations!$J$86:$K$89))-1,0)*H71</f>
        <v>260792.31475243357</v>
      </c>
      <c r="I81" s="78" cm="1">
        <f t="array" aca="1" ref="I81" ca="1">OFFSET(M1,SUMPRODUCT(($I$86:$I$89=HurdleRateBasis)*(Calculations!$J$85:$K$85=ReturnType)*(Calculations!$J$86:$K$89))-1,0)*I71</f>
        <v>287327.65865459025</v>
      </c>
      <c r="J81" s="78" cm="1">
        <f t="array" aca="1" ref="J81" ca="1">OFFSET(N1,SUMPRODUCT(($I$86:$I$89=HurdleRateBasis)*(Calculations!$J$85:$K$85=ReturnType)*(Calculations!$J$86:$K$89))-1,0)*J71</f>
        <v>309487.04561487073</v>
      </c>
      <c r="K81" s="78" cm="1">
        <f t="array" aca="1" ref="K81" ca="1">OFFSET(O1,SUMPRODUCT(($I$86:$I$89=HurdleRateBasis)*(Calculations!$J$85:$K$85=ReturnType)*(Calculations!$J$86:$K$89))-1,0)*K71</f>
        <v>284512.21883989568</v>
      </c>
      <c r="L81" s="78" cm="1">
        <f t="array" aca="1" ref="L81" ca="1">OFFSET(P1,SUMPRODUCT(($I$86:$I$89=HurdleRateBasis)*(Calculations!$J$85:$K$85=ReturnType)*(Calculations!$J$86:$K$89))-1,0)*L71</f>
        <v>258309.4543571315</v>
      </c>
      <c r="M81" s="78" cm="1">
        <f t="array" aca="1" ref="M81" ca="1">OFFSET(Q1,SUMPRODUCT(($I$86:$I$89=HurdleRateBasis)*(Calculations!$J$85:$K$85=ReturnType)*(Calculations!$J$86:$K$89))-1,0)*M71</f>
        <v>243934.15105366637</v>
      </c>
      <c r="N81" s="78" cm="1">
        <f t="array" aca="1" ref="N81" ca="1">OFFSET(R1,SUMPRODUCT(($I$86:$I$89=HurdleRateBasis)*(Calculations!$J$85:$K$85=ReturnType)*(Calculations!$J$86:$K$89))-1,0)*N71</f>
        <v>227631.24566149409</v>
      </c>
      <c r="O81" s="78" cm="1">
        <f t="array" aca="1" ref="O81" ca="1">OFFSET(S1,SUMPRODUCT(($I$86:$I$89=HurdleRateBasis)*(Calculations!$J$85:$K$85=ReturnType)*(Calculations!$J$86:$K$89))-1,0)*O71</f>
        <v>212788.31795671373</v>
      </c>
      <c r="P81" s="78" cm="1">
        <f t="array" aca="1" ref="P81" ca="1">OFFSET(T1,SUMPRODUCT(($I$86:$I$89=HurdleRateBasis)*(Calculations!$J$85:$K$85=ReturnType)*(Calculations!$J$86:$K$89))-1,0)*P71</f>
        <v>197751.76141758461</v>
      </c>
      <c r="Q81" s="78" cm="1">
        <f t="array" aca="1" ref="Q81" ca="1">OFFSET(U1,SUMPRODUCT(($I$86:$I$89=HurdleRateBasis)*(Calculations!$J$85:$K$85=ReturnType)*(Calculations!$J$86:$K$89))-1,0)*Q71</f>
        <v>182419.11453410261</v>
      </c>
      <c r="R81" s="78" cm="1">
        <f t="array" aca="1" ref="R81" ca="1">OFFSET(V1,SUMPRODUCT(($I$86:$I$89=HurdleRateBasis)*(Calculations!$J$85:$K$85=ReturnType)*(Calculations!$J$86:$K$89))-1,0)*R71</f>
        <v>166787.41400107392</v>
      </c>
      <c r="S81" s="78" cm="1">
        <f t="array" aca="1" ref="S81" ca="1">OFFSET(W1,SUMPRODUCT(($I$86:$I$89=HurdleRateBasis)*(Calculations!$J$85:$K$85=ReturnType)*(Calculations!$J$86:$K$89))-1,0)*S71</f>
        <v>150849.44010237674</v>
      </c>
      <c r="T81" s="78" cm="1">
        <f t="array" aca="1" ref="T81" ca="1">OFFSET(X1,SUMPRODUCT(($I$86:$I$89=HurdleRateBasis)*(Calculations!$J$85:$K$85=ReturnType)*(Calculations!$J$86:$K$89))-1,0)*T71</f>
        <v>134599.60713327373</v>
      </c>
      <c r="U81" s="78" cm="1">
        <f t="array" aca="1" ref="U81" ca="1">OFFSET(Y1,SUMPRODUCT(($I$86:$I$89=HurdleRateBasis)*(Calculations!$J$85:$K$85=ReturnType)*(Calculations!$J$86:$K$89))-1,0)*U71</f>
        <v>118031.94847961387</v>
      </c>
      <c r="V81" s="78" cm="1">
        <f t="array" aca="1" ref="V81" ca="1">OFFSET(Z1,SUMPRODUCT(($I$86:$I$89=HurdleRateBasis)*(Calculations!$J$85:$K$85=ReturnType)*(Calculations!$J$86:$K$89))-1,0)*V71</f>
        <v>101140.58164830517</v>
      </c>
      <c r="W81" s="78" cm="1">
        <f t="array" aca="1" ref="W81" ca="1">OFFSET(AA1,SUMPRODUCT(($I$86:$I$89=HurdleRateBasis)*(Calculations!$J$85:$K$85=ReturnType)*(Calculations!$J$86:$K$89))-1,0)*W71</f>
        <v>83918.161215498811</v>
      </c>
      <c r="X81" s="78" cm="1">
        <f t="array" aca="1" ref="X81" ca="1">OFFSET(AB1,SUMPRODUCT(($I$86:$I$89=HurdleRateBasis)*(Calculations!$J$85:$K$85=ReturnType)*(Calculations!$J$86:$K$89))-1,0)*X71</f>
        <v>66359.111098601832</v>
      </c>
      <c r="Y81" s="78" cm="1">
        <f t="array" aca="1" ref="Y81" ca="1">OFFSET(AC1,SUMPRODUCT(($I$86:$I$89=HurdleRateBasis)*(Calculations!$J$85:$K$85=ReturnType)*(Calculations!$J$86:$K$89))-1,0)*Y71</f>
        <v>0</v>
      </c>
      <c r="Z81" s="78" cm="1">
        <f t="array" aca="1" ref="Z81" ca="1">OFFSET(AD1,SUMPRODUCT(($I$86:$I$89=HurdleRateBasis)*(Calculations!$J$85:$K$85=ReturnType)*(Calculations!$J$86:$K$89))-1,0)*Z71</f>
        <v>0</v>
      </c>
      <c r="AA81" s="78" cm="1">
        <f t="array" aca="1" ref="AA81" ca="1">OFFSET(AE1,SUMPRODUCT(($I$86:$I$89=HurdleRateBasis)*(Calculations!$J$85:$K$85=ReturnType)*(Calculations!$J$86:$K$89))-1,0)*AA71</f>
        <v>0</v>
      </c>
      <c r="AB81" s="78" cm="1">
        <f t="array" aca="1" ref="AB81" ca="1">OFFSET(AF1,SUMPRODUCT(($I$86:$I$89=HurdleRateBasis)*(Calculations!$J$85:$K$85=ReturnType)*(Calculations!$J$86:$K$89))-1,0)*AB71</f>
        <v>0</v>
      </c>
      <c r="AC81" s="78" cm="1">
        <f t="array" aca="1" ref="AC81" ca="1">OFFSET(AG1,SUMPRODUCT(($I$86:$I$89=HurdleRateBasis)*(Calculations!$J$85:$K$85=ReturnType)*(Calculations!$J$86:$K$89))-1,0)*AC71</f>
        <v>0</v>
      </c>
      <c r="AD81" s="78" cm="1">
        <f t="array" aca="1" ref="AD81" ca="1">OFFSET(AH1,SUMPRODUCT(($I$86:$I$89=HurdleRateBasis)*(Calculations!$J$85:$K$85=ReturnType)*(Calculations!$J$86:$K$89))-1,0)*AD71</f>
        <v>0</v>
      </c>
      <c r="AE81" s="78" cm="1">
        <f t="array" aca="1" ref="AE81" ca="1">OFFSET(AI1,SUMPRODUCT(($I$86:$I$89=HurdleRateBasis)*(Calculations!$J$85:$K$85=ReturnType)*(Calculations!$J$86:$K$89))-1,0)*AE71</f>
        <v>0</v>
      </c>
      <c r="AF81" s="78" cm="1">
        <f t="array" aca="1" ref="AF81" ca="1">OFFSET(AJ1,SUMPRODUCT(($I$86:$I$89=HurdleRateBasis)*(Calculations!$J$85:$K$85=ReturnType)*(Calculations!$J$86:$K$89))-1,0)*AF71</f>
        <v>0</v>
      </c>
      <c r="AG81" s="78" cm="1">
        <f t="array" aca="1" ref="AG81" ca="1">OFFSET(AK1,SUMPRODUCT(($I$86:$I$89=HurdleRateBasis)*(Calculations!$J$85:$K$85=ReturnType)*(Calculations!$J$86:$K$89))-1,0)*AG71</f>
        <v>0</v>
      </c>
      <c r="AH81" s="78" cm="1">
        <f t="array" aca="1" ref="AH81" ca="1">OFFSET(AL1,SUMPRODUCT(($I$86:$I$89=HurdleRateBasis)*(Calculations!$J$85:$K$85=ReturnType)*(Calculations!$J$86:$K$89))-1,0)*AH71</f>
        <v>0</v>
      </c>
      <c r="AI81" s="78" cm="1">
        <f t="array" aca="1" ref="AI81" ca="1">OFFSET(AM1,SUMPRODUCT(($I$86:$I$89=HurdleRateBasis)*(Calculations!$J$85:$K$85=ReturnType)*(Calculations!$J$86:$K$89))-1,0)*AI71</f>
        <v>0</v>
      </c>
      <c r="AJ81" s="78" cm="1">
        <f t="array" aca="1" ref="AJ81" ca="1">OFFSET(AN1,SUMPRODUCT(($I$86:$I$89=HurdleRateBasis)*(Calculations!$J$85:$K$85=ReturnType)*(Calculations!$J$86:$K$89))-1,0)*AJ71</f>
        <v>0</v>
      </c>
      <c r="AK81" s="78" cm="1">
        <f t="array" aca="1" ref="AK81" ca="1">OFFSET(AO1,SUMPRODUCT(($I$86:$I$89=HurdleRateBasis)*(Calculations!$J$85:$K$85=ReturnType)*(Calculations!$J$86:$K$89))-1,0)*AK71</f>
        <v>0</v>
      </c>
      <c r="AL81" s="78" cm="1">
        <f t="array" aca="1" ref="AL81" ca="1">OFFSET(AP1,SUMPRODUCT(($I$86:$I$89=HurdleRateBasis)*(Calculations!$J$85:$K$85=ReturnType)*(Calculations!$J$86:$K$89))-1,0)*AL71</f>
        <v>0</v>
      </c>
      <c r="AM81" s="78" cm="1">
        <f t="array" aca="1" ref="AM81" ca="1">OFFSET(AQ1,SUMPRODUCT(($I$86:$I$89=HurdleRateBasis)*(Calculations!$J$85:$K$85=ReturnType)*(Calculations!$J$86:$K$89))-1,0)*AM71</f>
        <v>0</v>
      </c>
      <c r="AN81" s="78" cm="1">
        <f t="array" aca="1" ref="AN81" ca="1">OFFSET(AR1,SUMPRODUCT(($I$86:$I$89=HurdleRateBasis)*(Calculations!$J$85:$K$85=ReturnType)*(Calculations!$J$86:$K$89))-1,0)*AN71</f>
        <v>0</v>
      </c>
      <c r="AO81" s="78" cm="1">
        <f t="array" aca="1" ref="AO81" ca="1">OFFSET(AS1,SUMPRODUCT(($I$86:$I$89=HurdleRateBasis)*(Calculations!$J$85:$K$85=ReturnType)*(Calculations!$J$86:$K$89))-1,0)*AO71</f>
        <v>0</v>
      </c>
      <c r="AP81" s="78" cm="1">
        <f t="array" aca="1" ref="AP81" ca="1">OFFSET(AT1,SUMPRODUCT(($I$86:$I$89=HurdleRateBasis)*(Calculations!$J$85:$K$85=ReturnType)*(Calculations!$J$86:$K$89))-1,0)*AP71</f>
        <v>0</v>
      </c>
      <c r="AQ81" s="78" cm="1">
        <f t="array" aca="1" ref="AQ81" ca="1">OFFSET(AU1,SUMPRODUCT(($I$86:$I$89=HurdleRateBasis)*(Calculations!$J$85:$K$85=ReturnType)*(Calculations!$J$86:$K$89))-1,0)*AQ71</f>
        <v>0</v>
      </c>
      <c r="AR81" s="78" cm="1">
        <f t="array" aca="1" ref="AR81" ca="1">OFFSET(AV1,SUMPRODUCT(($I$86:$I$89=HurdleRateBasis)*(Calculations!$J$85:$K$85=ReturnType)*(Calculations!$J$86:$K$89))-1,0)*AR71</f>
        <v>0</v>
      </c>
      <c r="AS81" s="78" cm="1">
        <f t="array" aca="1" ref="AS81" ca="1">OFFSET(AW1,SUMPRODUCT(($I$86:$I$89=HurdleRateBasis)*(Calculations!$J$85:$K$85=ReturnType)*(Calculations!$J$86:$K$89))-1,0)*AS71</f>
        <v>0</v>
      </c>
      <c r="AT81" s="78" cm="1">
        <f t="array" aca="1" ref="AT81" ca="1">OFFSET(AX1,SUMPRODUCT(($I$86:$I$89=HurdleRateBasis)*(Calculations!$J$85:$K$85=ReturnType)*(Calculations!$J$86:$K$89))-1,0)*AT71</f>
        <v>0</v>
      </c>
      <c r="AU81" s="78" cm="1">
        <f t="array" aca="1" ref="AU81" ca="1">OFFSET(AY1,SUMPRODUCT(($I$86:$I$89=HurdleRateBasis)*(Calculations!$J$85:$K$85=ReturnType)*(Calculations!$J$86:$K$89))-1,0)*AU71</f>
        <v>0</v>
      </c>
    </row>
    <row r="82" spans="1:51" x14ac:dyDescent="0.25">
      <c r="A82" t="s">
        <v>188</v>
      </c>
      <c r="B82" t="s">
        <v>209</v>
      </c>
      <c r="C82" s="78" cm="1">
        <f t="array" aca="1" ref="C82" ca="1">OFFSET(G1,SUMPRODUCT(($I$86:$I$89=HurdleRateBasis)*(Calculations!$L$85:$M$85=ReturnType)*(Calculations!$L$86:$M$89))-1,0)*C72</f>
        <v>75191.477135147201</v>
      </c>
      <c r="D82" s="78" cm="1">
        <f t="array" aca="1" ref="D82" ca="1">OFFSET(H1,SUMPRODUCT(($I$86:$I$89=HurdleRateBasis)*(Calculations!$L$85:$M$85=ReturnType)*(Calculations!$L$86:$M$89))-1,0)*D72</f>
        <v>61324.012332875864</v>
      </c>
      <c r="E82" s="78" cm="1">
        <f t="array" aca="1" ref="E82" ca="1">OFFSET(I1,SUMPRODUCT(($I$86:$I$89=HurdleRateBasis)*(Calculations!$L$85:$M$85=ReturnType)*(Calculations!$L$86:$M$89))-1,0)*E72</f>
        <v>47515.323734081467</v>
      </c>
      <c r="F82" s="78" cm="1">
        <f t="array" aca="1" ref="F82" ca="1">OFFSET(J1,SUMPRODUCT(($I$86:$I$89=HurdleRateBasis)*(Calculations!$L$85:$M$85=ReturnType)*(Calculations!$L$86:$M$89))-1,0)*F72</f>
        <v>33023.32235190738</v>
      </c>
      <c r="G82" s="78" cm="1">
        <f t="array" aca="1" ref="G82" ca="1">OFFSET(K1,SUMPRODUCT(($I$86:$I$89=HurdleRateBasis)*(Calculations!$L$85:$M$85=ReturnType)*(Calculations!$L$86:$M$89))-1,0)*G72</f>
        <v>18257.027180151432</v>
      </c>
      <c r="H82" s="78" cm="1">
        <f t="array" aca="1" ref="H82" ca="1">OFFSET(L1,SUMPRODUCT(($I$86:$I$89=HurdleRateBasis)*(Calculations!$L$85:$M$85=ReturnType)*(Calculations!$L$86:$M$89))-1,0)*H72</f>
        <v>3211.1718111970695</v>
      </c>
      <c r="I82" s="78" cm="1">
        <f t="array" aca="1" ref="I82" ca="1">OFFSET(M1,SUMPRODUCT(($I$86:$I$89=HurdleRateBasis)*(Calculations!$L$85:$M$85=ReturnType)*(Calculations!$L$86:$M$89))-1,0)*I72</f>
        <v>-12023.236224625609</v>
      </c>
      <c r="J82" s="78" cm="1">
        <f t="array" aca="1" ref="J82" ca="1">OFFSET(N1,SUMPRODUCT(($I$86:$I$89=HurdleRateBasis)*(Calculations!$L$85:$M$85=ReturnType)*(Calculations!$L$86:$M$89))-1,0)*J72</f>
        <v>-27681.470294147148</v>
      </c>
      <c r="K82" s="78" cm="1">
        <f t="array" aca="1" ref="K82" ca="1">OFFSET(O1,SUMPRODUCT(($I$86:$I$89=HurdleRateBasis)*(Calculations!$L$85:$M$85=ReturnType)*(Calculations!$L$86:$M$89))-1,0)*K72</f>
        <v>-44794.318335243384</v>
      </c>
      <c r="L82" s="78" cm="1">
        <f t="array" aca="1" ref="L82" ca="1">OFFSET(P1,SUMPRODUCT(($I$86:$I$89=HurdleRateBasis)*(Calculations!$L$85:$M$85=ReturnType)*(Calculations!$L$86:$M$89))-1,0)*L72</f>
        <v>-62268.526338305208</v>
      </c>
      <c r="M82" s="78" cm="1">
        <f t="array" aca="1" ref="M82" ca="1">OFFSET(Q1,SUMPRODUCT(($I$86:$I$89=HurdleRateBasis)*(Calculations!$L$85:$M$85=ReturnType)*(Calculations!$L$86:$M$89))-1,0)*M72</f>
        <v>-79797.993045858108</v>
      </c>
      <c r="N82" s="78" cm="1">
        <f t="array" aca="1" ref="N82" ca="1">OFFSET(R1,SUMPRODUCT(($I$86:$I$89=HurdleRateBasis)*(Calculations!$L$85:$M$85=ReturnType)*(Calculations!$L$86:$M$89))-1,0)*N72</f>
        <v>-97719.060015372932</v>
      </c>
      <c r="O82" s="78" cm="1">
        <f t="array" aca="1" ref="O82" ca="1">OFFSET(S1,SUMPRODUCT(($I$86:$I$89=HurdleRateBasis)*(Calculations!$L$85:$M$85=ReturnType)*(Calculations!$L$86:$M$89))-1,0)*O72</f>
        <v>-115957.51261675358</v>
      </c>
      <c r="P82" s="78" cm="1">
        <f t="array" aca="1" ref="P82" ca="1">OFFSET(T1,SUMPRODUCT(($I$86:$I$89=HurdleRateBasis)*(Calculations!$L$85:$M$85=ReturnType)*(Calculations!$L$86:$M$89))-1,0)*P72</f>
        <v>-134560.04944094992</v>
      </c>
      <c r="Q82" s="78" cm="1">
        <f t="array" aca="1" ref="Q82" ca="1">OFFSET(U1,SUMPRODUCT(($I$86:$I$89=HurdleRateBasis)*(Calculations!$L$85:$M$85=ReturnType)*(Calculations!$L$86:$M$89))-1,0)*Q72</f>
        <v>-153536.35005051503</v>
      </c>
      <c r="R82" s="78" cm="1">
        <f t="array" aca="1" ref="R82" ca="1">OFFSET(V1,SUMPRODUCT(($I$86:$I$89=HurdleRateBasis)*(Calculations!$L$85:$M$85=ReturnType)*(Calculations!$L$86:$M$89))-1,0)*R72</f>
        <v>-172893.85551020014</v>
      </c>
      <c r="S82" s="78" cm="1">
        <f t="array" aca="1" ref="S82" ca="1">OFFSET(W1,SUMPRODUCT(($I$86:$I$89=HurdleRateBasis)*(Calculations!$L$85:$M$85=ReturnType)*(Calculations!$L$86:$M$89))-1,0)*S72</f>
        <v>-192640.25699569448</v>
      </c>
      <c r="T82" s="78" cm="1">
        <f t="array" aca="1" ref="T82" ca="1">OFFSET(X1,SUMPRODUCT(($I$86:$I$89=HurdleRateBasis)*(Calculations!$L$85:$M$85=ReturnType)*(Calculations!$L$86:$M$89))-1,0)*T72</f>
        <v>-212783.3576520636</v>
      </c>
      <c r="U82" s="78" cm="1">
        <f t="array" aca="1" ref="U82" ca="1">OFFSET(Y1,SUMPRODUCT(($I$86:$I$89=HurdleRateBasis)*(Calculations!$L$85:$M$85=ReturnType)*(Calculations!$L$86:$M$89))-1,0)*U72</f>
        <v>-233331.12390342366</v>
      </c>
      <c r="V82" s="78" cm="1">
        <f t="array" aca="1" ref="V82" ca="1">OFFSET(Z1,SUMPRODUCT(($I$86:$I$89=HurdleRateBasis)*(Calculations!$L$85:$M$85=ReturnType)*(Calculations!$L$86:$M$89))-1,0)*V72</f>
        <v>-254291.67741050967</v>
      </c>
      <c r="W82" s="78" cm="1">
        <f t="array" aca="1" ref="W82" ca="1">OFFSET(AA1,SUMPRODUCT(($I$86:$I$89=HurdleRateBasis)*(Calculations!$L$85:$M$85=ReturnType)*(Calculations!$L$86:$M$89))-1,0)*W72</f>
        <v>-275673.33529476484</v>
      </c>
      <c r="X82" s="78" cm="1">
        <f t="array" aca="1" ref="X82" ca="1">OFFSET(AB1,SUMPRODUCT(($I$86:$I$89=HurdleRateBasis)*(Calculations!$L$85:$M$85=ReturnType)*(Calculations!$L$86:$M$89))-1,0)*X72</f>
        <v>-297484.53592583246</v>
      </c>
      <c r="Y82" s="78" cm="1">
        <f t="array" aca="1" ref="Y82" ca="1">OFFSET(AC1,SUMPRODUCT(($I$86:$I$89=HurdleRateBasis)*(Calculations!$L$85:$M$85=ReturnType)*(Calculations!$L$86:$M$89))-1,0)*Y72</f>
        <v>0</v>
      </c>
      <c r="Z82" s="78" cm="1">
        <f t="array" aca="1" ref="Z82" ca="1">OFFSET(AD1,SUMPRODUCT(($I$86:$I$89=HurdleRateBasis)*(Calculations!$L$85:$M$85=ReturnType)*(Calculations!$L$86:$M$89))-1,0)*Z72</f>
        <v>0</v>
      </c>
      <c r="AA82" s="78" cm="1">
        <f t="array" aca="1" ref="AA82" ca="1">OFFSET(AE1,SUMPRODUCT(($I$86:$I$89=HurdleRateBasis)*(Calculations!$L$85:$M$85=ReturnType)*(Calculations!$L$86:$M$89))-1,0)*AA72</f>
        <v>0</v>
      </c>
      <c r="AB82" s="78" cm="1">
        <f t="array" aca="1" ref="AB82" ca="1">OFFSET(AF1,SUMPRODUCT(($I$86:$I$89=HurdleRateBasis)*(Calculations!$L$85:$M$85=ReturnType)*(Calculations!$L$86:$M$89))-1,0)*AB72</f>
        <v>0</v>
      </c>
      <c r="AC82" s="78" cm="1">
        <f t="array" aca="1" ref="AC82" ca="1">OFFSET(AG1,SUMPRODUCT(($I$86:$I$89=HurdleRateBasis)*(Calculations!$L$85:$M$85=ReturnType)*(Calculations!$L$86:$M$89))-1,0)*AC72</f>
        <v>0</v>
      </c>
      <c r="AD82" s="78" cm="1">
        <f t="array" aca="1" ref="AD82" ca="1">OFFSET(AH1,SUMPRODUCT(($I$86:$I$89=HurdleRateBasis)*(Calculations!$L$85:$M$85=ReturnType)*(Calculations!$L$86:$M$89))-1,0)*AD72</f>
        <v>0</v>
      </c>
      <c r="AE82" s="78" cm="1">
        <f t="array" aca="1" ref="AE82" ca="1">OFFSET(AI1,SUMPRODUCT(($I$86:$I$89=HurdleRateBasis)*(Calculations!$L$85:$M$85=ReturnType)*(Calculations!$L$86:$M$89))-1,0)*AE72</f>
        <v>0</v>
      </c>
      <c r="AF82" s="78" cm="1">
        <f t="array" aca="1" ref="AF82" ca="1">OFFSET(AJ1,SUMPRODUCT(($I$86:$I$89=HurdleRateBasis)*(Calculations!$L$85:$M$85=ReturnType)*(Calculations!$L$86:$M$89))-1,0)*AF72</f>
        <v>0</v>
      </c>
      <c r="AG82" s="78" cm="1">
        <f t="array" aca="1" ref="AG82" ca="1">OFFSET(AK1,SUMPRODUCT(($I$86:$I$89=HurdleRateBasis)*(Calculations!$L$85:$M$85=ReturnType)*(Calculations!$L$86:$M$89))-1,0)*AG72</f>
        <v>0</v>
      </c>
      <c r="AH82" s="78" cm="1">
        <f t="array" aca="1" ref="AH82" ca="1">OFFSET(AL1,SUMPRODUCT(($I$86:$I$89=HurdleRateBasis)*(Calculations!$L$85:$M$85=ReturnType)*(Calculations!$L$86:$M$89))-1,0)*AH72</f>
        <v>0</v>
      </c>
      <c r="AI82" s="78" cm="1">
        <f t="array" aca="1" ref="AI82" ca="1">OFFSET(AM1,SUMPRODUCT(($I$86:$I$89=HurdleRateBasis)*(Calculations!$L$85:$M$85=ReturnType)*(Calculations!$L$86:$M$89))-1,0)*AI72</f>
        <v>0</v>
      </c>
      <c r="AJ82" s="78" cm="1">
        <f t="array" aca="1" ref="AJ82" ca="1">OFFSET(AN1,SUMPRODUCT(($I$86:$I$89=HurdleRateBasis)*(Calculations!$L$85:$M$85=ReturnType)*(Calculations!$L$86:$M$89))-1,0)*AJ72</f>
        <v>0</v>
      </c>
      <c r="AK82" s="78" cm="1">
        <f t="array" aca="1" ref="AK82" ca="1">OFFSET(AO1,SUMPRODUCT(($I$86:$I$89=HurdleRateBasis)*(Calculations!$L$85:$M$85=ReturnType)*(Calculations!$L$86:$M$89))-1,0)*AK72</f>
        <v>0</v>
      </c>
      <c r="AL82" s="78" cm="1">
        <f t="array" aca="1" ref="AL82" ca="1">OFFSET(AP1,SUMPRODUCT(($I$86:$I$89=HurdleRateBasis)*(Calculations!$L$85:$M$85=ReturnType)*(Calculations!$L$86:$M$89))-1,0)*AL72</f>
        <v>0</v>
      </c>
      <c r="AM82" s="78" cm="1">
        <f t="array" aca="1" ref="AM82" ca="1">OFFSET(AQ1,SUMPRODUCT(($I$86:$I$89=HurdleRateBasis)*(Calculations!$L$85:$M$85=ReturnType)*(Calculations!$L$86:$M$89))-1,0)*AM72</f>
        <v>0</v>
      </c>
      <c r="AN82" s="78" cm="1">
        <f t="array" aca="1" ref="AN82" ca="1">OFFSET(AR1,SUMPRODUCT(($I$86:$I$89=HurdleRateBasis)*(Calculations!$L$85:$M$85=ReturnType)*(Calculations!$L$86:$M$89))-1,0)*AN72</f>
        <v>0</v>
      </c>
      <c r="AO82" s="78" cm="1">
        <f t="array" aca="1" ref="AO82" ca="1">OFFSET(AS1,SUMPRODUCT(($I$86:$I$89=HurdleRateBasis)*(Calculations!$L$85:$M$85=ReturnType)*(Calculations!$L$86:$M$89))-1,0)*AO72</f>
        <v>0</v>
      </c>
      <c r="AP82" s="78" cm="1">
        <f t="array" aca="1" ref="AP82" ca="1">OFFSET(AT1,SUMPRODUCT(($I$86:$I$89=HurdleRateBasis)*(Calculations!$L$85:$M$85=ReturnType)*(Calculations!$L$86:$M$89))-1,0)*AP72</f>
        <v>0</v>
      </c>
      <c r="AQ82" s="78" cm="1">
        <f t="array" aca="1" ref="AQ82" ca="1">OFFSET(AU1,SUMPRODUCT(($I$86:$I$89=HurdleRateBasis)*(Calculations!$L$85:$M$85=ReturnType)*(Calculations!$L$86:$M$89))-1,0)*AQ72</f>
        <v>0</v>
      </c>
      <c r="AR82" s="78" cm="1">
        <f t="array" aca="1" ref="AR82" ca="1">OFFSET(AV1,SUMPRODUCT(($I$86:$I$89=HurdleRateBasis)*(Calculations!$L$85:$M$85=ReturnType)*(Calculations!$L$86:$M$89))-1,0)*AR72</f>
        <v>0</v>
      </c>
      <c r="AS82" s="78" cm="1">
        <f t="array" aca="1" ref="AS82" ca="1">OFFSET(AW1,SUMPRODUCT(($I$86:$I$89=HurdleRateBasis)*(Calculations!$L$85:$M$85=ReturnType)*(Calculations!$L$86:$M$89))-1,0)*AS72</f>
        <v>0</v>
      </c>
      <c r="AT82" s="78" cm="1">
        <f t="array" aca="1" ref="AT82" ca="1">OFFSET(AX1,SUMPRODUCT(($I$86:$I$89=HurdleRateBasis)*(Calculations!$L$85:$M$85=ReturnType)*(Calculations!$L$86:$M$89))-1,0)*AT72</f>
        <v>0</v>
      </c>
      <c r="AU82" s="78" cm="1">
        <f t="array" aca="1" ref="AU82" ca="1">OFFSET(AY1,SUMPRODUCT(($I$86:$I$89=HurdleRateBasis)*(Calculations!$L$85:$M$85=ReturnType)*(Calculations!$L$86:$M$89))-1,0)*AU72</f>
        <v>0</v>
      </c>
    </row>
    <row r="83" spans="1:51" x14ac:dyDescent="0.25">
      <c r="B83" s="71"/>
    </row>
    <row r="84" spans="1:51" x14ac:dyDescent="0.25">
      <c r="A84" s="4" t="s">
        <v>210</v>
      </c>
      <c r="B84" s="4" t="str">
        <f>HurdleRateBasis</f>
        <v>Pre-tax Nominal</v>
      </c>
      <c r="I84" s="30" t="s">
        <v>211</v>
      </c>
      <c r="J84" s="4" t="s">
        <v>176</v>
      </c>
      <c r="K84" s="4"/>
      <c r="L84" s="4" t="s">
        <v>188</v>
      </c>
      <c r="M84" s="4"/>
    </row>
    <row r="85" spans="1:51" x14ac:dyDescent="0.25">
      <c r="A85" s="49"/>
      <c r="B85" s="49" t="str">
        <f>ReturnType</f>
        <v>Return on Equity</v>
      </c>
      <c r="I85" s="49"/>
      <c r="J85" s="49" t="str">
        <f>Lists!A18</f>
        <v>Return on Equity</v>
      </c>
      <c r="K85" s="49" t="str">
        <f>Lists!A19</f>
        <v>Return on Whole Investment</v>
      </c>
      <c r="L85" s="49" t="str">
        <f>J85</f>
        <v>Return on Equity</v>
      </c>
      <c r="M85" s="49" t="str">
        <f>K85</f>
        <v>Return on Whole Investment</v>
      </c>
    </row>
    <row r="86" spans="1:51" x14ac:dyDescent="0.25">
      <c r="A86" s="212" t="s">
        <v>205</v>
      </c>
      <c r="B86" s="213">
        <f ca="1">SUMPRODUCT($C$81:$AU$81,$C$80:$AU$80)</f>
        <v>-623430.52197756409</v>
      </c>
      <c r="C86" s="71">
        <f ca="1">IFERROR(IRR(C81:AU81,0.05),"No feasible solution")</f>
        <v>9.812593167808803E-2</v>
      </c>
      <c r="I86" s="210" t="str">
        <f>Lists!A12</f>
        <v>Pre-tax Real</v>
      </c>
      <c r="J86" s="211">
        <f>ROW(A137)</f>
        <v>137</v>
      </c>
      <c r="K86" s="211">
        <f>J86+1</f>
        <v>138</v>
      </c>
      <c r="L86" s="211">
        <f>J86+16</f>
        <v>153</v>
      </c>
      <c r="M86" s="211">
        <f>K86+16</f>
        <v>154</v>
      </c>
    </row>
    <row r="87" spans="1:51" x14ac:dyDescent="0.25">
      <c r="A87" s="76" t="s">
        <v>188</v>
      </c>
      <c r="B87" s="82">
        <f ca="1">SUMPRODUCT($C$82:$AU$82,$C$80:$AU$80)</f>
        <v>24222.318715595073</v>
      </c>
      <c r="C87" s="71">
        <f ca="1">IFERROR(IRR(C82:AU82,0.05),"No feasible solution")</f>
        <v>0.18369181224577535</v>
      </c>
      <c r="I87" s="210" t="str">
        <f>Lists!A13</f>
        <v>Post-tax Real</v>
      </c>
      <c r="J87" s="211">
        <f>ROW(G140)</f>
        <v>140</v>
      </c>
      <c r="K87" s="211">
        <f t="shared" ref="K87:K89" si="10">J87+1</f>
        <v>141</v>
      </c>
      <c r="L87" s="211">
        <f t="shared" ref="L87:M89" si="11">J87+16</f>
        <v>156</v>
      </c>
      <c r="M87" s="211">
        <f t="shared" si="11"/>
        <v>157</v>
      </c>
    </row>
    <row r="88" spans="1:51" x14ac:dyDescent="0.25">
      <c r="A88" s="76" t="s">
        <v>206</v>
      </c>
      <c r="B88" s="93" t="str">
        <f ca="1">IF(B86&gt;B87,$A86,$A87)</f>
        <v>BC</v>
      </c>
      <c r="I88" s="210" t="str">
        <f>Lists!A14</f>
        <v>Pre-tax Nominal</v>
      </c>
      <c r="J88" s="211">
        <f>ROW(G104)</f>
        <v>104</v>
      </c>
      <c r="K88" s="211">
        <f t="shared" si="10"/>
        <v>105</v>
      </c>
      <c r="L88" s="211">
        <f t="shared" si="11"/>
        <v>120</v>
      </c>
      <c r="M88" s="211">
        <f t="shared" si="11"/>
        <v>121</v>
      </c>
    </row>
    <row r="89" spans="1:51" x14ac:dyDescent="0.25">
      <c r="I89" s="210" t="str">
        <f>Lists!A15</f>
        <v>Post-tax Nominal</v>
      </c>
      <c r="J89" s="211">
        <f>ROW(G107)</f>
        <v>107</v>
      </c>
      <c r="K89" s="211">
        <f t="shared" si="10"/>
        <v>108</v>
      </c>
      <c r="L89" s="211">
        <f t="shared" si="11"/>
        <v>123</v>
      </c>
      <c r="M89" s="211">
        <f t="shared" si="11"/>
        <v>124</v>
      </c>
    </row>
    <row r="92" spans="1:51" ht="18.75" x14ac:dyDescent="0.3">
      <c r="A92" s="18" t="s">
        <v>212</v>
      </c>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spans="1:51" ht="18.75" x14ac:dyDescent="0.3">
      <c r="A93" s="18" t="s">
        <v>147</v>
      </c>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spans="1:51" x14ac:dyDescent="0.25">
      <c r="A94" s="52" t="s">
        <v>50</v>
      </c>
      <c r="B94" s="47"/>
      <c r="C94" s="47"/>
      <c r="D94" s="47"/>
      <c r="E94" s="47"/>
      <c r="F94" s="47"/>
      <c r="G94" s="49">
        <f>Start_Yr</f>
        <v>2026</v>
      </c>
      <c r="H94" s="49">
        <f t="shared" ref="H94:AY94" si="12">G94+1</f>
        <v>2027</v>
      </c>
      <c r="I94" s="49">
        <f t="shared" si="12"/>
        <v>2028</v>
      </c>
      <c r="J94" s="49">
        <f t="shared" si="12"/>
        <v>2029</v>
      </c>
      <c r="K94" s="49">
        <f t="shared" si="12"/>
        <v>2030</v>
      </c>
      <c r="L94" s="49">
        <f t="shared" si="12"/>
        <v>2031</v>
      </c>
      <c r="M94" s="49">
        <f t="shared" si="12"/>
        <v>2032</v>
      </c>
      <c r="N94" s="49">
        <f t="shared" si="12"/>
        <v>2033</v>
      </c>
      <c r="O94" s="49">
        <f t="shared" si="12"/>
        <v>2034</v>
      </c>
      <c r="P94" s="49">
        <f t="shared" si="12"/>
        <v>2035</v>
      </c>
      <c r="Q94" s="49">
        <f t="shared" si="12"/>
        <v>2036</v>
      </c>
      <c r="R94" s="49">
        <f t="shared" si="12"/>
        <v>2037</v>
      </c>
      <c r="S94" s="49">
        <f t="shared" si="12"/>
        <v>2038</v>
      </c>
      <c r="T94" s="49">
        <f t="shared" si="12"/>
        <v>2039</v>
      </c>
      <c r="U94" s="49">
        <f t="shared" si="12"/>
        <v>2040</v>
      </c>
      <c r="V94" s="49">
        <f t="shared" si="12"/>
        <v>2041</v>
      </c>
      <c r="W94" s="49">
        <f t="shared" si="12"/>
        <v>2042</v>
      </c>
      <c r="X94" s="49">
        <f t="shared" si="12"/>
        <v>2043</v>
      </c>
      <c r="Y94" s="49">
        <f t="shared" si="12"/>
        <v>2044</v>
      </c>
      <c r="Z94" s="49">
        <f t="shared" si="12"/>
        <v>2045</v>
      </c>
      <c r="AA94" s="49">
        <f t="shared" si="12"/>
        <v>2046</v>
      </c>
      <c r="AB94" s="49">
        <f t="shared" si="12"/>
        <v>2047</v>
      </c>
      <c r="AC94" s="49">
        <f t="shared" si="12"/>
        <v>2048</v>
      </c>
      <c r="AD94" s="49">
        <f t="shared" si="12"/>
        <v>2049</v>
      </c>
      <c r="AE94" s="49">
        <f t="shared" si="12"/>
        <v>2050</v>
      </c>
      <c r="AF94" s="49">
        <f t="shared" si="12"/>
        <v>2051</v>
      </c>
      <c r="AG94" s="49">
        <f t="shared" si="12"/>
        <v>2052</v>
      </c>
      <c r="AH94" s="49">
        <f t="shared" si="12"/>
        <v>2053</v>
      </c>
      <c r="AI94" s="49">
        <f t="shared" si="12"/>
        <v>2054</v>
      </c>
      <c r="AJ94" s="49">
        <f t="shared" si="12"/>
        <v>2055</v>
      </c>
      <c r="AK94" s="49">
        <f t="shared" si="12"/>
        <v>2056</v>
      </c>
      <c r="AL94" s="49">
        <f t="shared" si="12"/>
        <v>2057</v>
      </c>
      <c r="AM94" s="49">
        <f t="shared" si="12"/>
        <v>2058</v>
      </c>
      <c r="AN94" s="49">
        <f t="shared" si="12"/>
        <v>2059</v>
      </c>
      <c r="AO94" s="49">
        <f t="shared" si="12"/>
        <v>2060</v>
      </c>
      <c r="AP94" s="49">
        <f t="shared" si="12"/>
        <v>2061</v>
      </c>
      <c r="AQ94" s="49">
        <f t="shared" si="12"/>
        <v>2062</v>
      </c>
      <c r="AR94" s="49">
        <f t="shared" si="12"/>
        <v>2063</v>
      </c>
      <c r="AS94" s="49">
        <f t="shared" si="12"/>
        <v>2064</v>
      </c>
      <c r="AT94" s="49">
        <f t="shared" si="12"/>
        <v>2065</v>
      </c>
      <c r="AU94" s="49">
        <f t="shared" si="12"/>
        <v>2066</v>
      </c>
      <c r="AV94" s="49">
        <f t="shared" si="12"/>
        <v>2067</v>
      </c>
      <c r="AW94" s="49">
        <f t="shared" si="12"/>
        <v>2068</v>
      </c>
      <c r="AX94" s="49">
        <f t="shared" si="12"/>
        <v>2069</v>
      </c>
      <c r="AY94" s="49">
        <f t="shared" si="12"/>
        <v>2070</v>
      </c>
    </row>
    <row r="95" spans="1:51" x14ac:dyDescent="0.25">
      <c r="A95" s="201" t="s">
        <v>213</v>
      </c>
      <c r="B95" s="3"/>
      <c r="C95" s="3"/>
      <c r="D95" s="3"/>
      <c r="E95" s="3"/>
      <c r="F95" s="20" t="s">
        <v>49</v>
      </c>
      <c r="G95" s="113">
        <f>G97-G96</f>
        <v>1280000.0000000002</v>
      </c>
      <c r="H95" s="113">
        <f t="shared" ref="H95:AY95" si="13">H97-H96</f>
        <v>816025.34692235198</v>
      </c>
      <c r="I95" s="113">
        <f t="shared" si="13"/>
        <v>0</v>
      </c>
      <c r="J95" s="113">
        <f t="shared" si="13"/>
        <v>0</v>
      </c>
      <c r="K95" s="113">
        <f t="shared" si="13"/>
        <v>0</v>
      </c>
      <c r="L95" s="113">
        <f t="shared" si="13"/>
        <v>0</v>
      </c>
      <c r="M95" s="113">
        <f t="shared" si="13"/>
        <v>0</v>
      </c>
      <c r="N95" s="113">
        <f t="shared" si="13"/>
        <v>0</v>
      </c>
      <c r="O95" s="113">
        <f t="shared" si="13"/>
        <v>0</v>
      </c>
      <c r="P95" s="113">
        <f t="shared" si="13"/>
        <v>0</v>
      </c>
      <c r="Q95" s="113">
        <f t="shared" si="13"/>
        <v>0</v>
      </c>
      <c r="R95" s="113">
        <f t="shared" si="13"/>
        <v>0</v>
      </c>
      <c r="S95" s="113">
        <f t="shared" si="13"/>
        <v>0</v>
      </c>
      <c r="T95" s="113">
        <f t="shared" si="13"/>
        <v>0</v>
      </c>
      <c r="U95" s="113">
        <f t="shared" si="13"/>
        <v>0</v>
      </c>
      <c r="V95" s="113">
        <f t="shared" si="13"/>
        <v>0</v>
      </c>
      <c r="W95" s="113">
        <f t="shared" si="13"/>
        <v>0</v>
      </c>
      <c r="X95" s="113">
        <f t="shared" si="13"/>
        <v>0</v>
      </c>
      <c r="Y95" s="113">
        <f t="shared" si="13"/>
        <v>0</v>
      </c>
      <c r="Z95" s="113">
        <f t="shared" si="13"/>
        <v>0</v>
      </c>
      <c r="AA95" s="113">
        <f t="shared" si="13"/>
        <v>0</v>
      </c>
      <c r="AB95" s="113">
        <f t="shared" si="13"/>
        <v>0</v>
      </c>
      <c r="AC95" s="113">
        <f t="shared" si="13"/>
        <v>0</v>
      </c>
      <c r="AD95" s="113">
        <f t="shared" si="13"/>
        <v>0</v>
      </c>
      <c r="AE95" s="113">
        <f t="shared" si="13"/>
        <v>0</v>
      </c>
      <c r="AF95" s="113">
        <f t="shared" si="13"/>
        <v>0</v>
      </c>
      <c r="AG95" s="113">
        <f t="shared" si="13"/>
        <v>0</v>
      </c>
      <c r="AH95" s="113">
        <f t="shared" si="13"/>
        <v>0</v>
      </c>
      <c r="AI95" s="113">
        <f t="shared" si="13"/>
        <v>0</v>
      </c>
      <c r="AJ95" s="113">
        <f t="shared" si="13"/>
        <v>0</v>
      </c>
      <c r="AK95" s="113">
        <f t="shared" si="13"/>
        <v>0</v>
      </c>
      <c r="AL95" s="113">
        <f t="shared" si="13"/>
        <v>0</v>
      </c>
      <c r="AM95" s="113">
        <f t="shared" si="13"/>
        <v>0</v>
      </c>
      <c r="AN95" s="113">
        <f t="shared" si="13"/>
        <v>0</v>
      </c>
      <c r="AO95" s="113">
        <f t="shared" si="13"/>
        <v>0</v>
      </c>
      <c r="AP95" s="113">
        <f t="shared" si="13"/>
        <v>0</v>
      </c>
      <c r="AQ95" s="113">
        <f t="shared" si="13"/>
        <v>0</v>
      </c>
      <c r="AR95" s="113">
        <f t="shared" si="13"/>
        <v>0</v>
      </c>
      <c r="AS95" s="113">
        <f t="shared" si="13"/>
        <v>0</v>
      </c>
      <c r="AT95" s="113">
        <f t="shared" si="13"/>
        <v>0</v>
      </c>
      <c r="AU95" s="113">
        <f t="shared" si="13"/>
        <v>0</v>
      </c>
      <c r="AV95" s="113">
        <f t="shared" si="13"/>
        <v>0</v>
      </c>
      <c r="AW95" s="113">
        <f t="shared" si="13"/>
        <v>0</v>
      </c>
      <c r="AX95" s="113">
        <f t="shared" si="13"/>
        <v>0</v>
      </c>
      <c r="AY95" s="113">
        <f t="shared" si="13"/>
        <v>0</v>
      </c>
    </row>
    <row r="96" spans="1:51" x14ac:dyDescent="0.25">
      <c r="A96" s="201" t="s">
        <v>214</v>
      </c>
      <c r="B96" s="3"/>
      <c r="C96" s="3"/>
      <c r="D96" s="3"/>
      <c r="E96" s="3"/>
      <c r="F96" s="20" t="s">
        <v>49</v>
      </c>
      <c r="G96" s="113">
        <f>'Real values'!H136*'Real values'!H4</f>
        <v>0</v>
      </c>
      <c r="H96" s="113">
        <f>'Real values'!I136*'Real values'!I4</f>
        <v>0</v>
      </c>
      <c r="I96" s="113">
        <f>'Real values'!J136*'Real values'!J4</f>
        <v>0</v>
      </c>
      <c r="J96" s="113">
        <f>'Real values'!K136*'Real values'!K4</f>
        <v>0</v>
      </c>
      <c r="K96" s="113">
        <f>'Real values'!L136*'Real values'!L4</f>
        <v>0</v>
      </c>
      <c r="L96" s="113">
        <f>'Real values'!M136*'Real values'!M4</f>
        <v>0</v>
      </c>
      <c r="M96" s="113">
        <f>'Real values'!N136*'Real values'!N4</f>
        <v>0</v>
      </c>
      <c r="N96" s="113">
        <f>'Real values'!O136*'Real values'!O4</f>
        <v>0</v>
      </c>
      <c r="O96" s="113">
        <f>'Real values'!P136*'Real values'!P4</f>
        <v>0</v>
      </c>
      <c r="P96" s="113">
        <f>'Real values'!Q136*'Real values'!Q4</f>
        <v>0</v>
      </c>
      <c r="Q96" s="113">
        <f>'Real values'!R136*'Real values'!R4</f>
        <v>0</v>
      </c>
      <c r="R96" s="113">
        <f>'Real values'!S136*'Real values'!S4</f>
        <v>0</v>
      </c>
      <c r="S96" s="113">
        <f>'Real values'!T136*'Real values'!T4</f>
        <v>0</v>
      </c>
      <c r="T96" s="113">
        <f>'Real values'!U136*'Real values'!U4</f>
        <v>0</v>
      </c>
      <c r="U96" s="113">
        <f>'Real values'!V136*'Real values'!V4</f>
        <v>0</v>
      </c>
      <c r="V96" s="113">
        <f>'Real values'!W136*'Real values'!W4</f>
        <v>0</v>
      </c>
      <c r="W96" s="113">
        <f>'Real values'!X136*'Real values'!X4</f>
        <v>0</v>
      </c>
      <c r="X96" s="113">
        <f>'Real values'!Y136*'Real values'!Y4</f>
        <v>0</v>
      </c>
      <c r="Y96" s="113">
        <f>'Real values'!Z136*'Real values'!Z4</f>
        <v>0</v>
      </c>
      <c r="Z96" s="113">
        <f>'Real values'!AA136*'Real values'!AA4</f>
        <v>0</v>
      </c>
      <c r="AA96" s="113">
        <f>'Real values'!AB136*'Real values'!AB4</f>
        <v>0</v>
      </c>
      <c r="AB96" s="113">
        <f>'Real values'!AC136*'Real values'!AC4</f>
        <v>0</v>
      </c>
      <c r="AC96" s="113">
        <f>'Real values'!AD136*'Real values'!AD4</f>
        <v>0</v>
      </c>
      <c r="AD96" s="113">
        <f>'Real values'!AE136*'Real values'!AE4</f>
        <v>0</v>
      </c>
      <c r="AE96" s="113">
        <f>'Real values'!AF136*'Real values'!AF4</f>
        <v>0</v>
      </c>
      <c r="AF96" s="113">
        <f>'Real values'!AG136*'Real values'!AG4</f>
        <v>0</v>
      </c>
      <c r="AG96" s="113">
        <f>'Real values'!AH136*'Real values'!AH4</f>
        <v>0</v>
      </c>
      <c r="AH96" s="113">
        <f>'Real values'!AI136*'Real values'!AI4</f>
        <v>0</v>
      </c>
      <c r="AI96" s="113">
        <f>'Real values'!AJ136*'Real values'!AJ4</f>
        <v>0</v>
      </c>
      <c r="AJ96" s="113">
        <f>'Real values'!AK136*'Real values'!AK4</f>
        <v>0</v>
      </c>
      <c r="AK96" s="113">
        <f>'Real values'!AL136*'Real values'!AL4</f>
        <v>0</v>
      </c>
      <c r="AL96" s="113">
        <f>'Real values'!AM136*'Real values'!AM4</f>
        <v>0</v>
      </c>
      <c r="AM96" s="113">
        <f>'Real values'!AN136*'Real values'!AN4</f>
        <v>0</v>
      </c>
      <c r="AN96" s="113">
        <f>'Real values'!AO136*'Real values'!AO4</f>
        <v>0</v>
      </c>
      <c r="AO96" s="113">
        <f>'Real values'!AP136*'Real values'!AP4</f>
        <v>0</v>
      </c>
      <c r="AP96" s="113">
        <f>'Real values'!AQ136*'Real values'!AQ4</f>
        <v>0</v>
      </c>
      <c r="AQ96" s="113">
        <f>'Real values'!AR136*'Real values'!AR4</f>
        <v>0</v>
      </c>
      <c r="AR96" s="113">
        <f>'Real values'!AS136*'Real values'!AS4</f>
        <v>0</v>
      </c>
      <c r="AS96" s="113">
        <f>'Real values'!AT136*'Real values'!AT4</f>
        <v>0</v>
      </c>
      <c r="AT96" s="113">
        <f>'Real values'!AU136*'Real values'!AU4</f>
        <v>0</v>
      </c>
      <c r="AU96" s="113">
        <f>'Real values'!AV136*'Real values'!AV4</f>
        <v>0</v>
      </c>
      <c r="AV96" s="113">
        <f>'Real values'!AW136*'Real values'!AW4</f>
        <v>0</v>
      </c>
      <c r="AW96" s="113">
        <f>'Real values'!AX136*'Real values'!AX4</f>
        <v>0</v>
      </c>
      <c r="AX96" s="113">
        <f>'Real values'!AY136*'Real values'!AY4</f>
        <v>0</v>
      </c>
      <c r="AY96" s="113">
        <f>'Real values'!AZ136*'Real values'!AZ4</f>
        <v>0</v>
      </c>
    </row>
    <row r="97" spans="1:51" x14ac:dyDescent="0.25">
      <c r="A97" s="6" t="s">
        <v>215</v>
      </c>
      <c r="B97" s="3"/>
      <c r="C97" s="3"/>
      <c r="D97" s="3"/>
      <c r="E97" s="3"/>
      <c r="F97" s="20" t="s">
        <v>49</v>
      </c>
      <c r="G97" s="113">
        <f>Calculations!C52*'Real values'!H4</f>
        <v>1280000.0000000002</v>
      </c>
      <c r="H97" s="113">
        <f>Calculations!D52*'Real values'!I4</f>
        <v>816025.34692235198</v>
      </c>
      <c r="I97" s="113">
        <f>Calculations!E52*'Real values'!J4</f>
        <v>0</v>
      </c>
      <c r="J97" s="113">
        <f>Calculations!F52*'Real values'!K4</f>
        <v>0</v>
      </c>
      <c r="K97" s="113">
        <f>Calculations!G52*'Real values'!L4</f>
        <v>0</v>
      </c>
      <c r="L97" s="113">
        <f>Calculations!H52*'Real values'!M4</f>
        <v>0</v>
      </c>
      <c r="M97" s="113">
        <f>Calculations!I52*'Real values'!N4</f>
        <v>0</v>
      </c>
      <c r="N97" s="113">
        <f>Calculations!J52*'Real values'!O4</f>
        <v>0</v>
      </c>
      <c r="O97" s="113">
        <f>Calculations!K52*'Real values'!P4</f>
        <v>0</v>
      </c>
      <c r="P97" s="113">
        <f>Calculations!L52*'Real values'!Q4</f>
        <v>0</v>
      </c>
      <c r="Q97" s="113">
        <f>Calculations!M52*'Real values'!R4</f>
        <v>0</v>
      </c>
      <c r="R97" s="113">
        <f>Calculations!N52*'Real values'!S4</f>
        <v>0</v>
      </c>
      <c r="S97" s="113">
        <f>Calculations!O52*'Real values'!T4</f>
        <v>0</v>
      </c>
      <c r="T97" s="113">
        <f>Calculations!P52*'Real values'!U4</f>
        <v>0</v>
      </c>
      <c r="U97" s="113">
        <f>Calculations!Q52*'Real values'!V4</f>
        <v>0</v>
      </c>
      <c r="V97" s="113">
        <f>Calculations!R52*'Real values'!W4</f>
        <v>0</v>
      </c>
      <c r="W97" s="113">
        <f>Calculations!S52*'Real values'!X4</f>
        <v>0</v>
      </c>
      <c r="X97" s="113">
        <f>Calculations!T52*'Real values'!Y4</f>
        <v>0</v>
      </c>
      <c r="Y97" s="113">
        <f>Calculations!U52*'Real values'!Z4</f>
        <v>0</v>
      </c>
      <c r="Z97" s="113">
        <f>Calculations!V52*'Real values'!AA4</f>
        <v>0</v>
      </c>
      <c r="AA97" s="113">
        <f>Calculations!W52*'Real values'!AB4</f>
        <v>0</v>
      </c>
      <c r="AB97" s="113">
        <f>Calculations!X52*'Real values'!AC4</f>
        <v>0</v>
      </c>
      <c r="AC97" s="113">
        <f>Calculations!Y52*'Real values'!AD4</f>
        <v>0</v>
      </c>
      <c r="AD97" s="113">
        <f>Calculations!Z52*'Real values'!AE4</f>
        <v>0</v>
      </c>
      <c r="AE97" s="113">
        <f>Calculations!AA52*'Real values'!AF4</f>
        <v>0</v>
      </c>
      <c r="AF97" s="113">
        <f>Calculations!AB52*'Real values'!AG4</f>
        <v>0</v>
      </c>
      <c r="AG97" s="113">
        <f>Calculations!AC52*'Real values'!AH4</f>
        <v>0</v>
      </c>
      <c r="AH97" s="113">
        <f>Calculations!AD52*'Real values'!AI4</f>
        <v>0</v>
      </c>
      <c r="AI97" s="113">
        <f>Calculations!AE52*'Real values'!AJ4</f>
        <v>0</v>
      </c>
      <c r="AJ97" s="113">
        <f>Calculations!AF52*'Real values'!AK4</f>
        <v>0</v>
      </c>
      <c r="AK97" s="113">
        <f>Calculations!AG52*'Real values'!AL4</f>
        <v>0</v>
      </c>
      <c r="AL97" s="113">
        <f>Calculations!AH52*'Real values'!AM4</f>
        <v>0</v>
      </c>
      <c r="AM97" s="113">
        <f>Calculations!AI52*'Real values'!AN4</f>
        <v>0</v>
      </c>
      <c r="AN97" s="113">
        <f>Calculations!AJ52*'Real values'!AO4</f>
        <v>0</v>
      </c>
      <c r="AO97" s="113">
        <f>Calculations!AK52*'Real values'!AP4</f>
        <v>0</v>
      </c>
      <c r="AP97" s="113">
        <f>Calculations!AL52*'Real values'!AQ4</f>
        <v>0</v>
      </c>
      <c r="AQ97" s="113">
        <f>Calculations!AM52*'Real values'!AR4</f>
        <v>0</v>
      </c>
      <c r="AR97" s="113">
        <f>Calculations!AN52*'Real values'!AS4</f>
        <v>0</v>
      </c>
      <c r="AS97" s="113">
        <f>Calculations!AO52*'Real values'!AT4</f>
        <v>0</v>
      </c>
      <c r="AT97" s="113">
        <f>Calculations!AP52*'Real values'!AU4</f>
        <v>0</v>
      </c>
      <c r="AU97" s="113">
        <f>Calculations!AQ52*'Real values'!AV4</f>
        <v>0</v>
      </c>
      <c r="AV97" s="113">
        <f>Calculations!AR52*'Real values'!AW4</f>
        <v>0</v>
      </c>
      <c r="AW97" s="113">
        <f>Calculations!AS52*'Real values'!AX4</f>
        <v>0</v>
      </c>
      <c r="AX97" s="113">
        <f>Calculations!AT52*'Real values'!AY4</f>
        <v>0</v>
      </c>
      <c r="AY97" s="113">
        <f>Calculations!AU52*'Real values'!AZ4</f>
        <v>0</v>
      </c>
    </row>
    <row r="98" spans="1:51" x14ac:dyDescent="0.25">
      <c r="A98" s="4" t="s">
        <v>148</v>
      </c>
      <c r="B98" s="4"/>
      <c r="C98" s="4"/>
      <c r="D98" s="4"/>
      <c r="E98" s="4"/>
      <c r="F98" s="20" t="s">
        <v>49</v>
      </c>
      <c r="G98" s="113">
        <f>G131*'Real values'!H$4</f>
        <v>130000.00000000001</v>
      </c>
      <c r="H98" s="113">
        <f>H131*'Real values'!I$4</f>
        <v>130000</v>
      </c>
      <c r="I98" s="113">
        <f>I131*'Real values'!J$4</f>
        <v>120000.00000000001</v>
      </c>
      <c r="J98" s="113">
        <f>J131*'Real values'!K$4</f>
        <v>120000</v>
      </c>
      <c r="K98" s="113">
        <f>K131*'Real values'!L$4</f>
        <v>120000</v>
      </c>
      <c r="L98" s="113">
        <f>L131*'Real values'!M$4</f>
        <v>120000</v>
      </c>
      <c r="M98" s="113">
        <f>M131*'Real values'!N$4</f>
        <v>120000.00000000001</v>
      </c>
      <c r="N98" s="113">
        <f>N131*'Real values'!O$4</f>
        <v>120000.00000000001</v>
      </c>
      <c r="O98" s="113">
        <f>O131*'Real values'!P$4</f>
        <v>120000</v>
      </c>
      <c r="P98" s="113">
        <f>P131*'Real values'!Q$4</f>
        <v>120000.00000000001</v>
      </c>
      <c r="Q98" s="113">
        <f>Q131*'Real values'!R$4</f>
        <v>120000.00000000001</v>
      </c>
      <c r="R98" s="113">
        <f>R131*'Real values'!S$4</f>
        <v>120000.00000000001</v>
      </c>
      <c r="S98" s="113">
        <f>S131*'Real values'!T$4</f>
        <v>120000</v>
      </c>
      <c r="T98" s="113">
        <f>T131*'Real values'!U$4</f>
        <v>120000</v>
      </c>
      <c r="U98" s="113">
        <f>U131*'Real values'!V$4</f>
        <v>119999.99999999999</v>
      </c>
      <c r="V98" s="113">
        <f>V131*'Real values'!W$4</f>
        <v>119999.99999999999</v>
      </c>
      <c r="W98" s="113">
        <f>W131*'Real values'!X$4</f>
        <v>120000.00000000003</v>
      </c>
      <c r="X98" s="113">
        <f>X131*'Real values'!Y$4</f>
        <v>120000</v>
      </c>
      <c r="Y98" s="113">
        <f>Y131*'Real values'!Z$4</f>
        <v>120000.00000000001</v>
      </c>
      <c r="Z98" s="113">
        <f>Z131*'Real values'!AA$4</f>
        <v>120000.00000000003</v>
      </c>
      <c r="AA98" s="113">
        <f>AA131*'Real values'!AB$4</f>
        <v>120000.00000000001</v>
      </c>
      <c r="AB98" s="113">
        <f>AB131*'Real values'!AC$4</f>
        <v>120000</v>
      </c>
      <c r="AC98" s="113">
        <f>AC131*'Real values'!AD$4</f>
        <v>0</v>
      </c>
      <c r="AD98" s="113">
        <f>AD131*'Real values'!AE$4</f>
        <v>0</v>
      </c>
      <c r="AE98" s="113">
        <f>AE131*'Real values'!AF$4</f>
        <v>0</v>
      </c>
      <c r="AF98" s="113">
        <f>AF131*'Real values'!AG$4</f>
        <v>0</v>
      </c>
      <c r="AG98" s="113">
        <f>AG131*'Real values'!AH$4</f>
        <v>0</v>
      </c>
      <c r="AH98" s="113">
        <f>AH131*'Real values'!AI$4</f>
        <v>0</v>
      </c>
      <c r="AI98" s="113">
        <f>AI131*'Real values'!AJ$4</f>
        <v>0</v>
      </c>
      <c r="AJ98" s="113">
        <f>AJ131*'Real values'!AK$4</f>
        <v>0</v>
      </c>
      <c r="AK98" s="113">
        <f>AK131*'Real values'!AL$4</f>
        <v>0</v>
      </c>
      <c r="AL98" s="113">
        <f>AL131*'Real values'!AM$4</f>
        <v>0</v>
      </c>
      <c r="AM98" s="113">
        <f>AM131*'Real values'!AN$4</f>
        <v>0</v>
      </c>
      <c r="AN98" s="113">
        <f>AN131*'Real values'!AO$4</f>
        <v>0</v>
      </c>
      <c r="AO98" s="113">
        <f>AO131*'Real values'!AP$4</f>
        <v>0</v>
      </c>
      <c r="AP98" s="113">
        <f>AP131*'Real values'!AQ$4</f>
        <v>0</v>
      </c>
      <c r="AQ98" s="113">
        <f>AQ131*'Real values'!AR$4</f>
        <v>0</v>
      </c>
      <c r="AR98" s="113">
        <f>AR131*'Real values'!AS$4</f>
        <v>0</v>
      </c>
      <c r="AS98" s="113">
        <f>AS131*'Real values'!AT$4</f>
        <v>0</v>
      </c>
      <c r="AT98" s="113">
        <f>AT131*'Real values'!AU$4</f>
        <v>0</v>
      </c>
      <c r="AU98" s="113">
        <f>AU131*'Real values'!AV$4</f>
        <v>0</v>
      </c>
      <c r="AV98" s="113">
        <f>AV131*'Real values'!AW$4</f>
        <v>0</v>
      </c>
      <c r="AW98" s="113">
        <f>AW131*'Real values'!AX$4</f>
        <v>0</v>
      </c>
      <c r="AX98" s="113">
        <f>AX131*'Real values'!AY$4</f>
        <v>0</v>
      </c>
      <c r="AY98" s="113">
        <f>AY131*'Real values'!AZ$4</f>
        <v>0</v>
      </c>
    </row>
    <row r="99" spans="1:51" x14ac:dyDescent="0.25">
      <c r="A99" s="4" t="s">
        <v>149</v>
      </c>
      <c r="B99" s="4"/>
      <c r="C99" s="4"/>
      <c r="D99" s="4"/>
      <c r="E99" s="4"/>
      <c r="F99" s="20" t="s">
        <v>49</v>
      </c>
      <c r="G99" s="113">
        <f>G132*'Real values'!H$4</f>
        <v>734808.5228648528</v>
      </c>
      <c r="H99" s="113">
        <f>H132*'Real values'!I$4</f>
        <v>815279.5311511996</v>
      </c>
      <c r="I99" s="113">
        <f>I132*'Real values'!J$4</f>
        <v>779920.66506362206</v>
      </c>
      <c r="J99" s="113">
        <f>J132*'Real values'!K$4</f>
        <v>760787.74442374578</v>
      </c>
      <c r="K99" s="113">
        <f>K132*'Real values'!L$4</f>
        <v>740560.84934541129</v>
      </c>
      <c r="L99" s="113">
        <f>L132*'Real values'!M$4</f>
        <v>719207.68524756643</v>
      </c>
      <c r="M99" s="113">
        <f>M132*'Real values'!N$4</f>
        <v>692672.34134540975</v>
      </c>
      <c r="N99" s="113">
        <f>N132*'Real values'!O$4</f>
        <v>670512.95438512927</v>
      </c>
      <c r="O99" s="113">
        <f>O132*'Real values'!P$4</f>
        <v>695487.78116010432</v>
      </c>
      <c r="P99" s="113">
        <f>P132*'Real values'!Q$4</f>
        <v>721690.54564286873</v>
      </c>
      <c r="Q99" s="113">
        <f>Q132*'Real values'!R$4</f>
        <v>736065.84894633363</v>
      </c>
      <c r="R99" s="113">
        <f>R132*'Real values'!S$4</f>
        <v>752368.75433850591</v>
      </c>
      <c r="S99" s="113">
        <f>S132*'Real values'!T$4</f>
        <v>767211.68204328627</v>
      </c>
      <c r="T99" s="113">
        <f>T132*'Real values'!U$4</f>
        <v>782248.23858241539</v>
      </c>
      <c r="U99" s="113">
        <f>U132*'Real values'!V$4</f>
        <v>797580.88546589739</v>
      </c>
      <c r="V99" s="113">
        <f>V132*'Real values'!W$4</f>
        <v>813212.58599892608</v>
      </c>
      <c r="W99" s="113">
        <f>W132*'Real values'!X$4</f>
        <v>829150.55989762326</v>
      </c>
      <c r="X99" s="113">
        <f>X132*'Real values'!Y$4</f>
        <v>845400.39286672627</v>
      </c>
      <c r="Y99" s="113">
        <f>Y132*'Real values'!Z$4</f>
        <v>861968.05152038636</v>
      </c>
      <c r="Z99" s="113">
        <f>Z132*'Real values'!AA$4</f>
        <v>878859.41835169483</v>
      </c>
      <c r="AA99" s="113">
        <f>AA132*'Real values'!AB$4</f>
        <v>896081.83878450142</v>
      </c>
      <c r="AB99" s="113">
        <f>AB132*'Real values'!AC$4</f>
        <v>913640.88890139817</v>
      </c>
      <c r="AC99" s="113">
        <f>AC132*'Real values'!AD$4</f>
        <v>0</v>
      </c>
      <c r="AD99" s="113">
        <f>AD132*'Real values'!AE$4</f>
        <v>0</v>
      </c>
      <c r="AE99" s="113">
        <f>AE132*'Real values'!AF$4</f>
        <v>0</v>
      </c>
      <c r="AF99" s="113">
        <f>AF132*'Real values'!AG$4</f>
        <v>0</v>
      </c>
      <c r="AG99" s="113">
        <f>AG132*'Real values'!AH$4</f>
        <v>0</v>
      </c>
      <c r="AH99" s="113">
        <f>AH132*'Real values'!AI$4</f>
        <v>0</v>
      </c>
      <c r="AI99" s="113">
        <f>AI132*'Real values'!AJ$4</f>
        <v>0</v>
      </c>
      <c r="AJ99" s="113">
        <f>AJ132*'Real values'!AK$4</f>
        <v>0</v>
      </c>
      <c r="AK99" s="113">
        <f>AK132*'Real values'!AL$4</f>
        <v>0</v>
      </c>
      <c r="AL99" s="113">
        <f>AL132*'Real values'!AM$4</f>
        <v>0</v>
      </c>
      <c r="AM99" s="113">
        <f>AM132*'Real values'!AN$4</f>
        <v>0</v>
      </c>
      <c r="AN99" s="113">
        <f>AN132*'Real values'!AO$4</f>
        <v>0</v>
      </c>
      <c r="AO99" s="113">
        <f>AO132*'Real values'!AP$4</f>
        <v>0</v>
      </c>
      <c r="AP99" s="113">
        <f>AP132*'Real values'!AQ$4</f>
        <v>0</v>
      </c>
      <c r="AQ99" s="113">
        <f>AQ132*'Real values'!AR$4</f>
        <v>0</v>
      </c>
      <c r="AR99" s="113">
        <f>AR132*'Real values'!AS$4</f>
        <v>0</v>
      </c>
      <c r="AS99" s="113">
        <f>AS132*'Real values'!AT$4</f>
        <v>0</v>
      </c>
      <c r="AT99" s="113">
        <f>AT132*'Real values'!AU$4</f>
        <v>0</v>
      </c>
      <c r="AU99" s="113">
        <f>AU132*'Real values'!AV$4</f>
        <v>0</v>
      </c>
      <c r="AV99" s="113">
        <f>AV132*'Real values'!AW$4</f>
        <v>0</v>
      </c>
      <c r="AW99" s="113">
        <f>AW132*'Real values'!AX$4</f>
        <v>0</v>
      </c>
      <c r="AX99" s="113">
        <f>AX132*'Real values'!AY$4</f>
        <v>0</v>
      </c>
      <c r="AY99" s="113">
        <f>AY132*'Real values'!AZ$4</f>
        <v>0</v>
      </c>
    </row>
    <row r="100" spans="1:51" x14ac:dyDescent="0.25">
      <c r="A100" s="4" t="s">
        <v>150</v>
      </c>
      <c r="B100" s="4"/>
      <c r="C100" s="4"/>
      <c r="D100" s="4"/>
      <c r="E100" s="4"/>
      <c r="F100" s="20" t="s">
        <v>49</v>
      </c>
      <c r="G100" s="113">
        <f>G133*'Real values'!H$4</f>
        <v>0</v>
      </c>
      <c r="H100" s="113">
        <f>H133*'Real values'!I$4</f>
        <v>0</v>
      </c>
      <c r="I100" s="113">
        <f>I133*'Real values'!J$4</f>
        <v>0</v>
      </c>
      <c r="J100" s="113">
        <f>J133*'Real values'!K$4</f>
        <v>0</v>
      </c>
      <c r="K100" s="113">
        <f>K133*'Real values'!L$4</f>
        <v>0</v>
      </c>
      <c r="L100" s="113">
        <f>L133*'Real values'!M$4</f>
        <v>0</v>
      </c>
      <c r="M100" s="113">
        <f>M133*'Real values'!N$4</f>
        <v>0</v>
      </c>
      <c r="N100" s="113">
        <f>N133*'Real values'!O$4</f>
        <v>0</v>
      </c>
      <c r="O100" s="113">
        <f>O133*'Real values'!P$4</f>
        <v>0</v>
      </c>
      <c r="P100" s="113">
        <f>P133*'Real values'!Q$4</f>
        <v>0</v>
      </c>
      <c r="Q100" s="113">
        <f>Q133*'Real values'!R$4</f>
        <v>0</v>
      </c>
      <c r="R100" s="113">
        <f>R133*'Real values'!S$4</f>
        <v>0</v>
      </c>
      <c r="S100" s="113">
        <f>S133*'Real values'!T$4</f>
        <v>0</v>
      </c>
      <c r="T100" s="113">
        <f>T133*'Real values'!U$4</f>
        <v>0</v>
      </c>
      <c r="U100" s="113">
        <f>U133*'Real values'!V$4</f>
        <v>0</v>
      </c>
      <c r="V100" s="113">
        <f>V133*'Real values'!W$4</f>
        <v>0</v>
      </c>
      <c r="W100" s="113">
        <f>W133*'Real values'!X$4</f>
        <v>0</v>
      </c>
      <c r="X100" s="113">
        <f>X133*'Real values'!Y$4</f>
        <v>0</v>
      </c>
      <c r="Y100" s="113">
        <f>Y133*'Real values'!Z$4</f>
        <v>0</v>
      </c>
      <c r="Z100" s="113">
        <f>Z133*'Real values'!AA$4</f>
        <v>0</v>
      </c>
      <c r="AA100" s="113">
        <f>AA133*'Real values'!AB$4</f>
        <v>0</v>
      </c>
      <c r="AB100" s="113">
        <f>AB133*'Real values'!AC$4</f>
        <v>0</v>
      </c>
      <c r="AC100" s="113">
        <f>AC133*'Real values'!AD$4</f>
        <v>0</v>
      </c>
      <c r="AD100" s="113">
        <f>AD133*'Real values'!AE$4</f>
        <v>0</v>
      </c>
      <c r="AE100" s="113">
        <f>AE133*'Real values'!AF$4</f>
        <v>0</v>
      </c>
      <c r="AF100" s="113">
        <f>AF133*'Real values'!AG$4</f>
        <v>0</v>
      </c>
      <c r="AG100" s="113">
        <f>AG133*'Real values'!AH$4</f>
        <v>0</v>
      </c>
      <c r="AH100" s="113">
        <f>AH133*'Real values'!AI$4</f>
        <v>0</v>
      </c>
      <c r="AI100" s="113">
        <f>AI133*'Real values'!AJ$4</f>
        <v>0</v>
      </c>
      <c r="AJ100" s="113">
        <f>AJ133*'Real values'!AK$4</f>
        <v>0</v>
      </c>
      <c r="AK100" s="113">
        <f>AK133*'Real values'!AL$4</f>
        <v>0</v>
      </c>
      <c r="AL100" s="113">
        <f>AL133*'Real values'!AM$4</f>
        <v>0</v>
      </c>
      <c r="AM100" s="113">
        <f>AM133*'Real values'!AN$4</f>
        <v>0</v>
      </c>
      <c r="AN100" s="113">
        <f>AN133*'Real values'!AO$4</f>
        <v>0</v>
      </c>
      <c r="AO100" s="113">
        <f>AO133*'Real values'!AP$4</f>
        <v>0</v>
      </c>
      <c r="AP100" s="113">
        <f>AP133*'Real values'!AQ$4</f>
        <v>0</v>
      </c>
      <c r="AQ100" s="113">
        <f>AQ133*'Real values'!AR$4</f>
        <v>0</v>
      </c>
      <c r="AR100" s="113">
        <f>AR133*'Real values'!AS$4</f>
        <v>0</v>
      </c>
      <c r="AS100" s="113">
        <f>AS133*'Real values'!AT$4</f>
        <v>0</v>
      </c>
      <c r="AT100" s="113">
        <f>AT133*'Real values'!AU$4</f>
        <v>0</v>
      </c>
      <c r="AU100" s="113">
        <f>AU133*'Real values'!AV$4</f>
        <v>0</v>
      </c>
      <c r="AV100" s="113">
        <f>AV133*'Real values'!AW$4</f>
        <v>0</v>
      </c>
      <c r="AW100" s="113">
        <f>AW133*'Real values'!AX$4</f>
        <v>0</v>
      </c>
      <c r="AX100" s="113">
        <f>AX133*'Real values'!AY$4</f>
        <v>0</v>
      </c>
      <c r="AY100" s="113">
        <f>AY133*'Real values'!AZ$4</f>
        <v>0</v>
      </c>
    </row>
    <row r="101" spans="1:51" x14ac:dyDescent="0.25">
      <c r="A101" s="4" t="s">
        <v>216</v>
      </c>
      <c r="B101" s="4"/>
      <c r="C101" s="4"/>
      <c r="D101" s="4"/>
      <c r="E101" s="4"/>
      <c r="F101" s="20" t="s">
        <v>49</v>
      </c>
      <c r="G101" s="113">
        <f>G95+SUM(G98:G100)</f>
        <v>2144808.522864853</v>
      </c>
      <c r="H101" s="113">
        <f t="shared" ref="H101:AY101" si="14">H95+SUM(H98:H100)</f>
        <v>1761304.8780735517</v>
      </c>
      <c r="I101" s="113">
        <f t="shared" si="14"/>
        <v>899920.66506362206</v>
      </c>
      <c r="J101" s="113">
        <f t="shared" si="14"/>
        <v>880787.74442374578</v>
      </c>
      <c r="K101" s="113">
        <f t="shared" si="14"/>
        <v>860560.84934541129</v>
      </c>
      <c r="L101" s="113">
        <f t="shared" si="14"/>
        <v>839207.68524756643</v>
      </c>
      <c r="M101" s="113">
        <f t="shared" si="14"/>
        <v>812672.34134540975</v>
      </c>
      <c r="N101" s="113">
        <f t="shared" si="14"/>
        <v>790512.95438512927</v>
      </c>
      <c r="O101" s="113">
        <f t="shared" si="14"/>
        <v>815487.78116010432</v>
      </c>
      <c r="P101" s="113">
        <f t="shared" si="14"/>
        <v>841690.54564286873</v>
      </c>
      <c r="Q101" s="113">
        <f t="shared" si="14"/>
        <v>856065.84894633363</v>
      </c>
      <c r="R101" s="113">
        <f t="shared" si="14"/>
        <v>872368.75433850591</v>
      </c>
      <c r="S101" s="113">
        <f t="shared" si="14"/>
        <v>887211.68204328627</v>
      </c>
      <c r="T101" s="113">
        <f t="shared" si="14"/>
        <v>902248.23858241539</v>
      </c>
      <c r="U101" s="113">
        <f t="shared" si="14"/>
        <v>917580.88546589739</v>
      </c>
      <c r="V101" s="113">
        <f t="shared" si="14"/>
        <v>933212.58599892608</v>
      </c>
      <c r="W101" s="113">
        <f t="shared" si="14"/>
        <v>949150.55989762326</v>
      </c>
      <c r="X101" s="113">
        <f t="shared" si="14"/>
        <v>965400.39286672627</v>
      </c>
      <c r="Y101" s="113">
        <f t="shared" si="14"/>
        <v>981968.05152038636</v>
      </c>
      <c r="Z101" s="113">
        <f t="shared" si="14"/>
        <v>998859.41835169483</v>
      </c>
      <c r="AA101" s="113">
        <f t="shared" si="14"/>
        <v>1016081.8387845014</v>
      </c>
      <c r="AB101" s="113">
        <f t="shared" si="14"/>
        <v>1033640.8889013982</v>
      </c>
      <c r="AC101" s="113">
        <f t="shared" si="14"/>
        <v>0</v>
      </c>
      <c r="AD101" s="113">
        <f t="shared" si="14"/>
        <v>0</v>
      </c>
      <c r="AE101" s="113">
        <f t="shared" si="14"/>
        <v>0</v>
      </c>
      <c r="AF101" s="113">
        <f t="shared" si="14"/>
        <v>0</v>
      </c>
      <c r="AG101" s="113">
        <f t="shared" si="14"/>
        <v>0</v>
      </c>
      <c r="AH101" s="113">
        <f t="shared" si="14"/>
        <v>0</v>
      </c>
      <c r="AI101" s="113">
        <f t="shared" si="14"/>
        <v>0</v>
      </c>
      <c r="AJ101" s="113">
        <f t="shared" si="14"/>
        <v>0</v>
      </c>
      <c r="AK101" s="113">
        <f t="shared" si="14"/>
        <v>0</v>
      </c>
      <c r="AL101" s="113">
        <f t="shared" si="14"/>
        <v>0</v>
      </c>
      <c r="AM101" s="113">
        <f t="shared" si="14"/>
        <v>0</v>
      </c>
      <c r="AN101" s="113">
        <f t="shared" si="14"/>
        <v>0</v>
      </c>
      <c r="AO101" s="113">
        <f t="shared" si="14"/>
        <v>0</v>
      </c>
      <c r="AP101" s="113">
        <f t="shared" si="14"/>
        <v>0</v>
      </c>
      <c r="AQ101" s="113">
        <f t="shared" si="14"/>
        <v>0</v>
      </c>
      <c r="AR101" s="113">
        <f t="shared" si="14"/>
        <v>0</v>
      </c>
      <c r="AS101" s="113">
        <f t="shared" si="14"/>
        <v>0</v>
      </c>
      <c r="AT101" s="113">
        <f t="shared" si="14"/>
        <v>0</v>
      </c>
      <c r="AU101" s="113">
        <f t="shared" si="14"/>
        <v>0</v>
      </c>
      <c r="AV101" s="113">
        <f t="shared" si="14"/>
        <v>0</v>
      </c>
      <c r="AW101" s="113">
        <f t="shared" si="14"/>
        <v>0</v>
      </c>
      <c r="AX101" s="113">
        <f t="shared" si="14"/>
        <v>0</v>
      </c>
      <c r="AY101" s="113">
        <f t="shared" si="14"/>
        <v>0</v>
      </c>
    </row>
    <row r="102" spans="1:51" x14ac:dyDescent="0.25">
      <c r="A102" s="4" t="s">
        <v>217</v>
      </c>
      <c r="B102" s="4"/>
      <c r="C102" s="4"/>
      <c r="D102" s="4"/>
      <c r="E102" s="4"/>
      <c r="F102" s="20" t="s">
        <v>49</v>
      </c>
      <c r="G102" s="113">
        <f>SUM(G97:G99)</f>
        <v>2144808.522864853</v>
      </c>
      <c r="H102" s="113">
        <f t="shared" ref="H102:AY102" si="15">SUM(H97:H99)</f>
        <v>1761304.8780735517</v>
      </c>
      <c r="I102" s="113">
        <f t="shared" si="15"/>
        <v>899920.66506362206</v>
      </c>
      <c r="J102" s="113">
        <f t="shared" si="15"/>
        <v>880787.74442374578</v>
      </c>
      <c r="K102" s="113">
        <f t="shared" si="15"/>
        <v>860560.84934541129</v>
      </c>
      <c r="L102" s="113">
        <f t="shared" si="15"/>
        <v>839207.68524756643</v>
      </c>
      <c r="M102" s="113">
        <f t="shared" si="15"/>
        <v>812672.34134540975</v>
      </c>
      <c r="N102" s="113">
        <f t="shared" si="15"/>
        <v>790512.95438512927</v>
      </c>
      <c r="O102" s="113">
        <f t="shared" si="15"/>
        <v>815487.78116010432</v>
      </c>
      <c r="P102" s="113">
        <f t="shared" si="15"/>
        <v>841690.54564286873</v>
      </c>
      <c r="Q102" s="113">
        <f t="shared" si="15"/>
        <v>856065.84894633363</v>
      </c>
      <c r="R102" s="113">
        <f t="shared" si="15"/>
        <v>872368.75433850591</v>
      </c>
      <c r="S102" s="113">
        <f t="shared" si="15"/>
        <v>887211.68204328627</v>
      </c>
      <c r="T102" s="113">
        <f t="shared" si="15"/>
        <v>902248.23858241539</v>
      </c>
      <c r="U102" s="113">
        <f t="shared" si="15"/>
        <v>917580.88546589739</v>
      </c>
      <c r="V102" s="113">
        <f t="shared" si="15"/>
        <v>933212.58599892608</v>
      </c>
      <c r="W102" s="113">
        <f t="shared" si="15"/>
        <v>949150.55989762326</v>
      </c>
      <c r="X102" s="113">
        <f t="shared" si="15"/>
        <v>965400.39286672627</v>
      </c>
      <c r="Y102" s="113">
        <f t="shared" si="15"/>
        <v>981968.05152038636</v>
      </c>
      <c r="Z102" s="113">
        <f t="shared" si="15"/>
        <v>998859.41835169483</v>
      </c>
      <c r="AA102" s="113">
        <f t="shared" si="15"/>
        <v>1016081.8387845014</v>
      </c>
      <c r="AB102" s="113">
        <f t="shared" si="15"/>
        <v>1033640.8889013982</v>
      </c>
      <c r="AC102" s="113">
        <f t="shared" si="15"/>
        <v>0</v>
      </c>
      <c r="AD102" s="113">
        <f t="shared" si="15"/>
        <v>0</v>
      </c>
      <c r="AE102" s="113">
        <f t="shared" si="15"/>
        <v>0</v>
      </c>
      <c r="AF102" s="113">
        <f t="shared" si="15"/>
        <v>0</v>
      </c>
      <c r="AG102" s="113">
        <f t="shared" si="15"/>
        <v>0</v>
      </c>
      <c r="AH102" s="113">
        <f t="shared" si="15"/>
        <v>0</v>
      </c>
      <c r="AI102" s="113">
        <f t="shared" si="15"/>
        <v>0</v>
      </c>
      <c r="AJ102" s="113">
        <f t="shared" si="15"/>
        <v>0</v>
      </c>
      <c r="AK102" s="113">
        <f t="shared" si="15"/>
        <v>0</v>
      </c>
      <c r="AL102" s="113">
        <f t="shared" si="15"/>
        <v>0</v>
      </c>
      <c r="AM102" s="113">
        <f t="shared" si="15"/>
        <v>0</v>
      </c>
      <c r="AN102" s="113">
        <f t="shared" si="15"/>
        <v>0</v>
      </c>
      <c r="AO102" s="113">
        <f t="shared" si="15"/>
        <v>0</v>
      </c>
      <c r="AP102" s="113">
        <f t="shared" si="15"/>
        <v>0</v>
      </c>
      <c r="AQ102" s="113">
        <f t="shared" si="15"/>
        <v>0</v>
      </c>
      <c r="AR102" s="113">
        <f t="shared" si="15"/>
        <v>0</v>
      </c>
      <c r="AS102" s="113">
        <f t="shared" si="15"/>
        <v>0</v>
      </c>
      <c r="AT102" s="113">
        <f t="shared" si="15"/>
        <v>0</v>
      </c>
      <c r="AU102" s="113">
        <f t="shared" si="15"/>
        <v>0</v>
      </c>
      <c r="AV102" s="113">
        <f t="shared" si="15"/>
        <v>0</v>
      </c>
      <c r="AW102" s="113">
        <f t="shared" si="15"/>
        <v>0</v>
      </c>
      <c r="AX102" s="113">
        <f t="shared" si="15"/>
        <v>0</v>
      </c>
      <c r="AY102" s="113">
        <f t="shared" si="15"/>
        <v>0</v>
      </c>
    </row>
    <row r="103" spans="1:51" x14ac:dyDescent="0.25">
      <c r="A103" s="4" t="s">
        <v>142</v>
      </c>
      <c r="B103" s="4"/>
      <c r="C103" s="4"/>
      <c r="D103" s="4"/>
      <c r="E103" s="4"/>
      <c r="F103" s="20" t="s">
        <v>49</v>
      </c>
      <c r="G103" s="113">
        <f>G136*'Real values'!H$4</f>
        <v>1000000</v>
      </c>
      <c r="H103" s="113">
        <f>H136*'Real values'!I$4</f>
        <v>1099999.9999999998</v>
      </c>
      <c r="I103" s="113">
        <f>I136*'Real values'!J$4</f>
        <v>1100000</v>
      </c>
      <c r="J103" s="113">
        <f>J136*'Real values'!K$4</f>
        <v>1100000</v>
      </c>
      <c r="K103" s="113">
        <f>K136*'Real values'!L$4</f>
        <v>1100000</v>
      </c>
      <c r="L103" s="113">
        <f>L136*'Real values'!M$4</f>
        <v>1100000</v>
      </c>
      <c r="M103" s="113">
        <f>M136*'Real values'!N$4</f>
        <v>1100000</v>
      </c>
      <c r="N103" s="113">
        <f>N136*'Real values'!O$4</f>
        <v>1100000</v>
      </c>
      <c r="O103" s="113">
        <f>O136*'Real values'!P$4</f>
        <v>1100000</v>
      </c>
      <c r="P103" s="113">
        <f>P136*'Real values'!Q$4</f>
        <v>1100000.0000000002</v>
      </c>
      <c r="Q103" s="113">
        <f>Q136*'Real values'!R$4</f>
        <v>1100000</v>
      </c>
      <c r="R103" s="113">
        <f>R136*'Real values'!S$4</f>
        <v>1100000</v>
      </c>
      <c r="S103" s="113">
        <f>S136*'Real values'!T$4</f>
        <v>1100000</v>
      </c>
      <c r="T103" s="113">
        <f>T136*'Real values'!U$4</f>
        <v>1100000</v>
      </c>
      <c r="U103" s="113">
        <f>U136*'Real values'!V$4</f>
        <v>1100000</v>
      </c>
      <c r="V103" s="113">
        <f>V136*'Real values'!W$4</f>
        <v>1100000</v>
      </c>
      <c r="W103" s="113">
        <f>W136*'Real values'!X$4</f>
        <v>1100000</v>
      </c>
      <c r="X103" s="113">
        <f>X136*'Real values'!Y$4</f>
        <v>1100000</v>
      </c>
      <c r="Y103" s="113">
        <f>Y136*'Real values'!Z$4</f>
        <v>1100000.0000000002</v>
      </c>
      <c r="Z103" s="113">
        <f>Z136*'Real values'!AA$4</f>
        <v>1100000</v>
      </c>
      <c r="AA103" s="113">
        <f>AA136*'Real values'!AB$4</f>
        <v>1100000.0000000002</v>
      </c>
      <c r="AB103" s="113">
        <f>AB136*'Real values'!AC$4</f>
        <v>1100000</v>
      </c>
      <c r="AC103" s="113">
        <f>AC136*'Real values'!AD$4</f>
        <v>0</v>
      </c>
      <c r="AD103" s="113">
        <f>AD136*'Real values'!AE$4</f>
        <v>0</v>
      </c>
      <c r="AE103" s="113">
        <f>AE136*'Real values'!AF$4</f>
        <v>0</v>
      </c>
      <c r="AF103" s="113">
        <f>AF136*'Real values'!AG$4</f>
        <v>0</v>
      </c>
      <c r="AG103" s="113">
        <f>AG136*'Real values'!AH$4</f>
        <v>0</v>
      </c>
      <c r="AH103" s="113">
        <f>AH136*'Real values'!AI$4</f>
        <v>0</v>
      </c>
      <c r="AI103" s="113">
        <f>AI136*'Real values'!AJ$4</f>
        <v>0</v>
      </c>
      <c r="AJ103" s="113">
        <f>AJ136*'Real values'!AK$4</f>
        <v>0</v>
      </c>
      <c r="AK103" s="113">
        <f>AK136*'Real values'!AL$4</f>
        <v>0</v>
      </c>
      <c r="AL103" s="113">
        <f>AL136*'Real values'!AM$4</f>
        <v>0</v>
      </c>
      <c r="AM103" s="113">
        <f>AM136*'Real values'!AN$4</f>
        <v>0</v>
      </c>
      <c r="AN103" s="113">
        <f>AN136*'Real values'!AO$4</f>
        <v>0</v>
      </c>
      <c r="AO103" s="113">
        <f>AO136*'Real values'!AP$4</f>
        <v>0</v>
      </c>
      <c r="AP103" s="113">
        <f>AP136*'Real values'!AQ$4</f>
        <v>0</v>
      </c>
      <c r="AQ103" s="113">
        <f>AQ136*'Real values'!AR$4</f>
        <v>0</v>
      </c>
      <c r="AR103" s="113">
        <f>AR136*'Real values'!AS$4</f>
        <v>0</v>
      </c>
      <c r="AS103" s="113">
        <f>AS136*'Real values'!AT$4</f>
        <v>0</v>
      </c>
      <c r="AT103" s="113">
        <f>AT136*'Real values'!AU$4</f>
        <v>0</v>
      </c>
      <c r="AU103" s="113">
        <f>AU136*'Real values'!AV$4</f>
        <v>0</v>
      </c>
      <c r="AV103" s="113">
        <f>AV136*'Real values'!AW$4</f>
        <v>0</v>
      </c>
      <c r="AW103" s="113">
        <f>AW136*'Real values'!AX$4</f>
        <v>0</v>
      </c>
      <c r="AX103" s="113">
        <f>AX136*'Real values'!AY$4</f>
        <v>0</v>
      </c>
      <c r="AY103" s="113">
        <f>AY136*'Real values'!AZ$4</f>
        <v>0</v>
      </c>
    </row>
    <row r="104" spans="1:51" x14ac:dyDescent="0.25">
      <c r="A104" s="4" t="s">
        <v>218</v>
      </c>
      <c r="B104" s="4"/>
      <c r="C104" s="4"/>
      <c r="D104" s="4"/>
      <c r="E104" s="4"/>
      <c r="F104" s="20" t="s">
        <v>49</v>
      </c>
      <c r="G104" s="113">
        <f>G103-G101</f>
        <v>-1144808.522864853</v>
      </c>
      <c r="H104" s="113">
        <f t="shared" ref="H104:AY104" si="16">H103-H101</f>
        <v>-661304.87807355192</v>
      </c>
      <c r="I104" s="113">
        <f t="shared" si="16"/>
        <v>200079.33493637794</v>
      </c>
      <c r="J104" s="113">
        <f t="shared" si="16"/>
        <v>219212.25557625422</v>
      </c>
      <c r="K104" s="113">
        <f t="shared" si="16"/>
        <v>239439.15065458871</v>
      </c>
      <c r="L104" s="113">
        <f t="shared" si="16"/>
        <v>260792.31475243357</v>
      </c>
      <c r="M104" s="113">
        <f t="shared" si="16"/>
        <v>287327.65865459025</v>
      </c>
      <c r="N104" s="113">
        <f t="shared" si="16"/>
        <v>309487.04561487073</v>
      </c>
      <c r="O104" s="113">
        <f t="shared" si="16"/>
        <v>284512.21883989568</v>
      </c>
      <c r="P104" s="113">
        <f t="shared" si="16"/>
        <v>258309.4543571315</v>
      </c>
      <c r="Q104" s="113">
        <f t="shared" si="16"/>
        <v>243934.15105366637</v>
      </c>
      <c r="R104" s="113">
        <f t="shared" si="16"/>
        <v>227631.24566149409</v>
      </c>
      <c r="S104" s="113">
        <f t="shared" si="16"/>
        <v>212788.31795671373</v>
      </c>
      <c r="T104" s="113">
        <f t="shared" si="16"/>
        <v>197751.76141758461</v>
      </c>
      <c r="U104" s="113">
        <f t="shared" si="16"/>
        <v>182419.11453410261</v>
      </c>
      <c r="V104" s="113">
        <f t="shared" si="16"/>
        <v>166787.41400107392</v>
      </c>
      <c r="W104" s="113">
        <f t="shared" si="16"/>
        <v>150849.44010237674</v>
      </c>
      <c r="X104" s="113">
        <f t="shared" si="16"/>
        <v>134599.60713327373</v>
      </c>
      <c r="Y104" s="113">
        <f t="shared" si="16"/>
        <v>118031.94847961387</v>
      </c>
      <c r="Z104" s="113">
        <f t="shared" si="16"/>
        <v>101140.58164830517</v>
      </c>
      <c r="AA104" s="113">
        <f t="shared" si="16"/>
        <v>83918.161215498811</v>
      </c>
      <c r="AB104" s="113">
        <f t="shared" si="16"/>
        <v>66359.111098601832</v>
      </c>
      <c r="AC104" s="113">
        <f t="shared" si="16"/>
        <v>0</v>
      </c>
      <c r="AD104" s="113">
        <f t="shared" si="16"/>
        <v>0</v>
      </c>
      <c r="AE104" s="113">
        <f t="shared" si="16"/>
        <v>0</v>
      </c>
      <c r="AF104" s="113">
        <f t="shared" si="16"/>
        <v>0</v>
      </c>
      <c r="AG104" s="113">
        <f t="shared" si="16"/>
        <v>0</v>
      </c>
      <c r="AH104" s="113">
        <f t="shared" si="16"/>
        <v>0</v>
      </c>
      <c r="AI104" s="113">
        <f t="shared" si="16"/>
        <v>0</v>
      </c>
      <c r="AJ104" s="113">
        <f t="shared" si="16"/>
        <v>0</v>
      </c>
      <c r="AK104" s="113">
        <f t="shared" si="16"/>
        <v>0</v>
      </c>
      <c r="AL104" s="113">
        <f t="shared" si="16"/>
        <v>0</v>
      </c>
      <c r="AM104" s="113">
        <f t="shared" si="16"/>
        <v>0</v>
      </c>
      <c r="AN104" s="113">
        <f t="shared" si="16"/>
        <v>0</v>
      </c>
      <c r="AO104" s="113">
        <f t="shared" si="16"/>
        <v>0</v>
      </c>
      <c r="AP104" s="113">
        <f t="shared" si="16"/>
        <v>0</v>
      </c>
      <c r="AQ104" s="113">
        <f t="shared" si="16"/>
        <v>0</v>
      </c>
      <c r="AR104" s="113">
        <f t="shared" si="16"/>
        <v>0</v>
      </c>
      <c r="AS104" s="113">
        <f t="shared" si="16"/>
        <v>0</v>
      </c>
      <c r="AT104" s="113">
        <f t="shared" si="16"/>
        <v>0</v>
      </c>
      <c r="AU104" s="113">
        <f t="shared" si="16"/>
        <v>0</v>
      </c>
      <c r="AV104" s="113">
        <f t="shared" si="16"/>
        <v>0</v>
      </c>
      <c r="AW104" s="113">
        <f t="shared" si="16"/>
        <v>0</v>
      </c>
      <c r="AX104" s="113">
        <f t="shared" si="16"/>
        <v>0</v>
      </c>
      <c r="AY104" s="113">
        <f t="shared" si="16"/>
        <v>0</v>
      </c>
    </row>
    <row r="105" spans="1:51" x14ac:dyDescent="0.25">
      <c r="A105" s="4" t="s">
        <v>219</v>
      </c>
      <c r="B105" s="4"/>
      <c r="C105" s="4"/>
      <c r="D105" s="4"/>
      <c r="E105" s="4"/>
      <c r="F105" s="20" t="s">
        <v>49</v>
      </c>
      <c r="G105" s="113">
        <f>G103-G102</f>
        <v>-1144808.522864853</v>
      </c>
      <c r="H105" s="113">
        <f t="shared" ref="H105:AY105" si="17">H103-H102</f>
        <v>-661304.87807355192</v>
      </c>
      <c r="I105" s="113">
        <f t="shared" si="17"/>
        <v>200079.33493637794</v>
      </c>
      <c r="J105" s="113">
        <f t="shared" si="17"/>
        <v>219212.25557625422</v>
      </c>
      <c r="K105" s="113">
        <f t="shared" si="17"/>
        <v>239439.15065458871</v>
      </c>
      <c r="L105" s="113">
        <f t="shared" si="17"/>
        <v>260792.31475243357</v>
      </c>
      <c r="M105" s="113">
        <f t="shared" si="17"/>
        <v>287327.65865459025</v>
      </c>
      <c r="N105" s="113">
        <f t="shared" si="17"/>
        <v>309487.04561487073</v>
      </c>
      <c r="O105" s="113">
        <f t="shared" si="17"/>
        <v>284512.21883989568</v>
      </c>
      <c r="P105" s="113">
        <f t="shared" si="17"/>
        <v>258309.4543571315</v>
      </c>
      <c r="Q105" s="113">
        <f t="shared" si="17"/>
        <v>243934.15105366637</v>
      </c>
      <c r="R105" s="113">
        <f t="shared" si="17"/>
        <v>227631.24566149409</v>
      </c>
      <c r="S105" s="113">
        <f t="shared" si="17"/>
        <v>212788.31795671373</v>
      </c>
      <c r="T105" s="113">
        <f t="shared" si="17"/>
        <v>197751.76141758461</v>
      </c>
      <c r="U105" s="113">
        <f t="shared" si="17"/>
        <v>182419.11453410261</v>
      </c>
      <c r="V105" s="113">
        <f t="shared" si="17"/>
        <v>166787.41400107392</v>
      </c>
      <c r="W105" s="113">
        <f t="shared" si="17"/>
        <v>150849.44010237674</v>
      </c>
      <c r="X105" s="113">
        <f t="shared" si="17"/>
        <v>134599.60713327373</v>
      </c>
      <c r="Y105" s="113">
        <f t="shared" si="17"/>
        <v>118031.94847961387</v>
      </c>
      <c r="Z105" s="113">
        <f t="shared" si="17"/>
        <v>101140.58164830517</v>
      </c>
      <c r="AA105" s="113">
        <f t="shared" si="17"/>
        <v>83918.161215498811</v>
      </c>
      <c r="AB105" s="113">
        <f t="shared" si="17"/>
        <v>66359.111098601832</v>
      </c>
      <c r="AC105" s="113">
        <f t="shared" si="17"/>
        <v>0</v>
      </c>
      <c r="AD105" s="113">
        <f t="shared" si="17"/>
        <v>0</v>
      </c>
      <c r="AE105" s="113">
        <f t="shared" si="17"/>
        <v>0</v>
      </c>
      <c r="AF105" s="113">
        <f t="shared" si="17"/>
        <v>0</v>
      </c>
      <c r="AG105" s="113">
        <f t="shared" si="17"/>
        <v>0</v>
      </c>
      <c r="AH105" s="113">
        <f t="shared" si="17"/>
        <v>0</v>
      </c>
      <c r="AI105" s="113">
        <f t="shared" si="17"/>
        <v>0</v>
      </c>
      <c r="AJ105" s="113">
        <f t="shared" si="17"/>
        <v>0</v>
      </c>
      <c r="AK105" s="113">
        <f t="shared" si="17"/>
        <v>0</v>
      </c>
      <c r="AL105" s="113">
        <f t="shared" si="17"/>
        <v>0</v>
      </c>
      <c r="AM105" s="113">
        <f t="shared" si="17"/>
        <v>0</v>
      </c>
      <c r="AN105" s="113">
        <f t="shared" si="17"/>
        <v>0</v>
      </c>
      <c r="AO105" s="113">
        <f t="shared" si="17"/>
        <v>0</v>
      </c>
      <c r="AP105" s="113">
        <f t="shared" si="17"/>
        <v>0</v>
      </c>
      <c r="AQ105" s="113">
        <f t="shared" si="17"/>
        <v>0</v>
      </c>
      <c r="AR105" s="113">
        <f t="shared" si="17"/>
        <v>0</v>
      </c>
      <c r="AS105" s="113">
        <f t="shared" si="17"/>
        <v>0</v>
      </c>
      <c r="AT105" s="113">
        <f t="shared" si="17"/>
        <v>0</v>
      </c>
      <c r="AU105" s="113">
        <f t="shared" si="17"/>
        <v>0</v>
      </c>
      <c r="AV105" s="113">
        <f t="shared" si="17"/>
        <v>0</v>
      </c>
      <c r="AW105" s="113">
        <f t="shared" si="17"/>
        <v>0</v>
      </c>
      <c r="AX105" s="113">
        <f t="shared" si="17"/>
        <v>0</v>
      </c>
      <c r="AY105" s="113">
        <f t="shared" si="17"/>
        <v>0</v>
      </c>
    </row>
    <row r="106" spans="1:51" x14ac:dyDescent="0.25">
      <c r="A106" s="4" t="s">
        <v>172</v>
      </c>
      <c r="B106" s="4"/>
      <c r="C106" s="4"/>
      <c r="D106" s="4"/>
      <c r="E106" s="4"/>
      <c r="F106" s="20" t="s">
        <v>49</v>
      </c>
      <c r="G106" s="113">
        <f>Inputs!H182</f>
        <v>0</v>
      </c>
      <c r="H106" s="113">
        <f>Inputs!I182</f>
        <v>0</v>
      </c>
      <c r="I106" s="113">
        <f>Inputs!J182</f>
        <v>0</v>
      </c>
      <c r="J106" s="113">
        <f>Inputs!K182</f>
        <v>0</v>
      </c>
      <c r="K106" s="113">
        <f>Inputs!L182</f>
        <v>0</v>
      </c>
      <c r="L106" s="113">
        <f>Inputs!M182</f>
        <v>0</v>
      </c>
      <c r="M106" s="113">
        <f>Inputs!N182</f>
        <v>0</v>
      </c>
      <c r="N106" s="113">
        <f>Inputs!O182</f>
        <v>0</v>
      </c>
      <c r="O106" s="113">
        <f>Inputs!P182</f>
        <v>0</v>
      </c>
      <c r="P106" s="113">
        <f>Inputs!Q182</f>
        <v>0</v>
      </c>
      <c r="Q106" s="113">
        <f>Inputs!R182</f>
        <v>0</v>
      </c>
      <c r="R106" s="113">
        <f>Inputs!S182</f>
        <v>0</v>
      </c>
      <c r="S106" s="113">
        <f>Inputs!T182</f>
        <v>0</v>
      </c>
      <c r="T106" s="113">
        <f>Inputs!U182</f>
        <v>0</v>
      </c>
      <c r="U106" s="113">
        <f>Inputs!V182</f>
        <v>0</v>
      </c>
      <c r="V106" s="113">
        <f>Inputs!W182</f>
        <v>0</v>
      </c>
      <c r="W106" s="113">
        <f>Inputs!X182</f>
        <v>0</v>
      </c>
      <c r="X106" s="113">
        <f>Inputs!Y182</f>
        <v>0</v>
      </c>
      <c r="Y106" s="113">
        <f>Inputs!Z182</f>
        <v>0</v>
      </c>
      <c r="Z106" s="113">
        <f>Inputs!AA182</f>
        <v>0</v>
      </c>
      <c r="AA106" s="113">
        <f>Inputs!AB182</f>
        <v>0</v>
      </c>
      <c r="AB106" s="113">
        <f>Inputs!AC182</f>
        <v>0</v>
      </c>
      <c r="AC106" s="113">
        <f>Inputs!AD182</f>
        <v>0</v>
      </c>
      <c r="AD106" s="113">
        <f>Inputs!AE182</f>
        <v>0</v>
      </c>
      <c r="AE106" s="113">
        <f>Inputs!AF182</f>
        <v>0</v>
      </c>
      <c r="AF106" s="113">
        <f>Inputs!AG182</f>
        <v>0</v>
      </c>
      <c r="AG106" s="113">
        <f>Inputs!AH182</f>
        <v>0</v>
      </c>
      <c r="AH106" s="113">
        <f>Inputs!AI182</f>
        <v>0</v>
      </c>
      <c r="AI106" s="113">
        <f>Inputs!AJ182</f>
        <v>0</v>
      </c>
      <c r="AJ106" s="113">
        <f>Inputs!AK182</f>
        <v>0</v>
      </c>
      <c r="AK106" s="113">
        <f>Inputs!AL182</f>
        <v>0</v>
      </c>
      <c r="AL106" s="113">
        <f>Inputs!AM182</f>
        <v>0</v>
      </c>
      <c r="AM106" s="113">
        <f>Inputs!AN182</f>
        <v>0</v>
      </c>
      <c r="AN106" s="113">
        <f>Inputs!AO182</f>
        <v>0</v>
      </c>
      <c r="AO106" s="113">
        <f>Inputs!AP182</f>
        <v>0</v>
      </c>
      <c r="AP106" s="113">
        <f>Inputs!AQ182</f>
        <v>0</v>
      </c>
      <c r="AQ106" s="113">
        <f>Inputs!AR182</f>
        <v>0</v>
      </c>
      <c r="AR106" s="113">
        <f>Inputs!AS182</f>
        <v>0</v>
      </c>
      <c r="AS106" s="113">
        <f>Inputs!AT182</f>
        <v>0</v>
      </c>
      <c r="AT106" s="113">
        <f>Inputs!AU182</f>
        <v>0</v>
      </c>
      <c r="AU106" s="113">
        <f>Inputs!AV182</f>
        <v>0</v>
      </c>
      <c r="AV106" s="113">
        <f>Inputs!AW182</f>
        <v>0</v>
      </c>
      <c r="AW106" s="113">
        <f>Inputs!AX182</f>
        <v>0</v>
      </c>
      <c r="AX106" s="113">
        <f>Inputs!AY182</f>
        <v>0</v>
      </c>
      <c r="AY106" s="113">
        <f>Inputs!AZ182</f>
        <v>0</v>
      </c>
    </row>
    <row r="107" spans="1:51" x14ac:dyDescent="0.25">
      <c r="A107" s="4" t="s">
        <v>220</v>
      </c>
      <c r="B107" s="4"/>
      <c r="C107" s="4"/>
      <c r="D107" s="4"/>
      <c r="E107" s="4"/>
      <c r="F107" s="20" t="s">
        <v>49</v>
      </c>
      <c r="G107" s="113">
        <f>G104-G$106</f>
        <v>-1144808.522864853</v>
      </c>
      <c r="H107" s="113">
        <f t="shared" ref="H107:AY107" si="18">H104-H$106</f>
        <v>-661304.87807355192</v>
      </c>
      <c r="I107" s="113">
        <f t="shared" si="18"/>
        <v>200079.33493637794</v>
      </c>
      <c r="J107" s="113">
        <f t="shared" si="18"/>
        <v>219212.25557625422</v>
      </c>
      <c r="K107" s="113">
        <f t="shared" si="18"/>
        <v>239439.15065458871</v>
      </c>
      <c r="L107" s="113">
        <f t="shared" si="18"/>
        <v>260792.31475243357</v>
      </c>
      <c r="M107" s="113">
        <f t="shared" si="18"/>
        <v>287327.65865459025</v>
      </c>
      <c r="N107" s="113">
        <f t="shared" si="18"/>
        <v>309487.04561487073</v>
      </c>
      <c r="O107" s="113">
        <f t="shared" si="18"/>
        <v>284512.21883989568</v>
      </c>
      <c r="P107" s="113">
        <f t="shared" si="18"/>
        <v>258309.4543571315</v>
      </c>
      <c r="Q107" s="113">
        <f t="shared" si="18"/>
        <v>243934.15105366637</v>
      </c>
      <c r="R107" s="113">
        <f t="shared" si="18"/>
        <v>227631.24566149409</v>
      </c>
      <c r="S107" s="113">
        <f t="shared" si="18"/>
        <v>212788.31795671373</v>
      </c>
      <c r="T107" s="113">
        <f t="shared" si="18"/>
        <v>197751.76141758461</v>
      </c>
      <c r="U107" s="113">
        <f t="shared" si="18"/>
        <v>182419.11453410261</v>
      </c>
      <c r="V107" s="113">
        <f t="shared" si="18"/>
        <v>166787.41400107392</v>
      </c>
      <c r="W107" s="113">
        <f t="shared" si="18"/>
        <v>150849.44010237674</v>
      </c>
      <c r="X107" s="113">
        <f t="shared" si="18"/>
        <v>134599.60713327373</v>
      </c>
      <c r="Y107" s="113">
        <f t="shared" si="18"/>
        <v>118031.94847961387</v>
      </c>
      <c r="Z107" s="113">
        <f t="shared" si="18"/>
        <v>101140.58164830517</v>
      </c>
      <c r="AA107" s="113">
        <f t="shared" si="18"/>
        <v>83918.161215498811</v>
      </c>
      <c r="AB107" s="113">
        <f t="shared" si="18"/>
        <v>66359.111098601832</v>
      </c>
      <c r="AC107" s="113">
        <f t="shared" si="18"/>
        <v>0</v>
      </c>
      <c r="AD107" s="113">
        <f t="shared" si="18"/>
        <v>0</v>
      </c>
      <c r="AE107" s="113">
        <f t="shared" si="18"/>
        <v>0</v>
      </c>
      <c r="AF107" s="113">
        <f t="shared" si="18"/>
        <v>0</v>
      </c>
      <c r="AG107" s="113">
        <f t="shared" si="18"/>
        <v>0</v>
      </c>
      <c r="AH107" s="113">
        <f t="shared" si="18"/>
        <v>0</v>
      </c>
      <c r="AI107" s="113">
        <f t="shared" si="18"/>
        <v>0</v>
      </c>
      <c r="AJ107" s="113">
        <f t="shared" si="18"/>
        <v>0</v>
      </c>
      <c r="AK107" s="113">
        <f t="shared" si="18"/>
        <v>0</v>
      </c>
      <c r="AL107" s="113">
        <f t="shared" si="18"/>
        <v>0</v>
      </c>
      <c r="AM107" s="113">
        <f t="shared" si="18"/>
        <v>0</v>
      </c>
      <c r="AN107" s="113">
        <f t="shared" si="18"/>
        <v>0</v>
      </c>
      <c r="AO107" s="113">
        <f t="shared" si="18"/>
        <v>0</v>
      </c>
      <c r="AP107" s="113">
        <f t="shared" si="18"/>
        <v>0</v>
      </c>
      <c r="AQ107" s="113">
        <f t="shared" si="18"/>
        <v>0</v>
      </c>
      <c r="AR107" s="113">
        <f t="shared" si="18"/>
        <v>0</v>
      </c>
      <c r="AS107" s="113">
        <f t="shared" si="18"/>
        <v>0</v>
      </c>
      <c r="AT107" s="113">
        <f t="shared" si="18"/>
        <v>0</v>
      </c>
      <c r="AU107" s="113">
        <f t="shared" si="18"/>
        <v>0</v>
      </c>
      <c r="AV107" s="113">
        <f t="shared" si="18"/>
        <v>0</v>
      </c>
      <c r="AW107" s="113">
        <f t="shared" si="18"/>
        <v>0</v>
      </c>
      <c r="AX107" s="113">
        <f t="shared" si="18"/>
        <v>0</v>
      </c>
      <c r="AY107" s="113">
        <f t="shared" si="18"/>
        <v>0</v>
      </c>
    </row>
    <row r="108" spans="1:51" x14ac:dyDescent="0.25">
      <c r="A108" s="4" t="s">
        <v>221</v>
      </c>
      <c r="B108" s="4"/>
      <c r="C108" s="4"/>
      <c r="D108" s="4"/>
      <c r="E108" s="4"/>
      <c r="F108" s="20" t="s">
        <v>49</v>
      </c>
      <c r="G108" s="113">
        <f>G105-G$106</f>
        <v>-1144808.522864853</v>
      </c>
      <c r="H108" s="113">
        <f t="shared" ref="H108:AY108" si="19">H105-H$106</f>
        <v>-661304.87807355192</v>
      </c>
      <c r="I108" s="113">
        <f t="shared" si="19"/>
        <v>200079.33493637794</v>
      </c>
      <c r="J108" s="113">
        <f t="shared" si="19"/>
        <v>219212.25557625422</v>
      </c>
      <c r="K108" s="113">
        <f t="shared" si="19"/>
        <v>239439.15065458871</v>
      </c>
      <c r="L108" s="113">
        <f t="shared" si="19"/>
        <v>260792.31475243357</v>
      </c>
      <c r="M108" s="113">
        <f t="shared" si="19"/>
        <v>287327.65865459025</v>
      </c>
      <c r="N108" s="113">
        <f t="shared" si="19"/>
        <v>309487.04561487073</v>
      </c>
      <c r="O108" s="113">
        <f t="shared" si="19"/>
        <v>284512.21883989568</v>
      </c>
      <c r="P108" s="113">
        <f t="shared" si="19"/>
        <v>258309.4543571315</v>
      </c>
      <c r="Q108" s="113">
        <f t="shared" si="19"/>
        <v>243934.15105366637</v>
      </c>
      <c r="R108" s="113">
        <f t="shared" si="19"/>
        <v>227631.24566149409</v>
      </c>
      <c r="S108" s="113">
        <f t="shared" si="19"/>
        <v>212788.31795671373</v>
      </c>
      <c r="T108" s="113">
        <f t="shared" si="19"/>
        <v>197751.76141758461</v>
      </c>
      <c r="U108" s="113">
        <f t="shared" si="19"/>
        <v>182419.11453410261</v>
      </c>
      <c r="V108" s="113">
        <f t="shared" si="19"/>
        <v>166787.41400107392</v>
      </c>
      <c r="W108" s="113">
        <f t="shared" si="19"/>
        <v>150849.44010237674</v>
      </c>
      <c r="X108" s="113">
        <f t="shared" si="19"/>
        <v>134599.60713327373</v>
      </c>
      <c r="Y108" s="113">
        <f t="shared" si="19"/>
        <v>118031.94847961387</v>
      </c>
      <c r="Z108" s="113">
        <f t="shared" si="19"/>
        <v>101140.58164830517</v>
      </c>
      <c r="AA108" s="113">
        <f t="shared" si="19"/>
        <v>83918.161215498811</v>
      </c>
      <c r="AB108" s="113">
        <f t="shared" si="19"/>
        <v>66359.111098601832</v>
      </c>
      <c r="AC108" s="113">
        <f t="shared" si="19"/>
        <v>0</v>
      </c>
      <c r="AD108" s="113">
        <f t="shared" si="19"/>
        <v>0</v>
      </c>
      <c r="AE108" s="113">
        <f t="shared" si="19"/>
        <v>0</v>
      </c>
      <c r="AF108" s="113">
        <f t="shared" si="19"/>
        <v>0</v>
      </c>
      <c r="AG108" s="113">
        <f t="shared" si="19"/>
        <v>0</v>
      </c>
      <c r="AH108" s="113">
        <f t="shared" si="19"/>
        <v>0</v>
      </c>
      <c r="AI108" s="113">
        <f t="shared" si="19"/>
        <v>0</v>
      </c>
      <c r="AJ108" s="113">
        <f t="shared" si="19"/>
        <v>0</v>
      </c>
      <c r="AK108" s="113">
        <f t="shared" si="19"/>
        <v>0</v>
      </c>
      <c r="AL108" s="113">
        <f t="shared" si="19"/>
        <v>0</v>
      </c>
      <c r="AM108" s="113">
        <f t="shared" si="19"/>
        <v>0</v>
      </c>
      <c r="AN108" s="113">
        <f t="shared" si="19"/>
        <v>0</v>
      </c>
      <c r="AO108" s="113">
        <f t="shared" si="19"/>
        <v>0</v>
      </c>
      <c r="AP108" s="113">
        <f t="shared" si="19"/>
        <v>0</v>
      </c>
      <c r="AQ108" s="113">
        <f t="shared" si="19"/>
        <v>0</v>
      </c>
      <c r="AR108" s="113">
        <f t="shared" si="19"/>
        <v>0</v>
      </c>
      <c r="AS108" s="113">
        <f t="shared" si="19"/>
        <v>0</v>
      </c>
      <c r="AT108" s="113">
        <f t="shared" si="19"/>
        <v>0</v>
      </c>
      <c r="AU108" s="113">
        <f t="shared" si="19"/>
        <v>0</v>
      </c>
      <c r="AV108" s="113">
        <f t="shared" si="19"/>
        <v>0</v>
      </c>
      <c r="AW108" s="113">
        <f t="shared" si="19"/>
        <v>0</v>
      </c>
      <c r="AX108" s="113">
        <f t="shared" si="19"/>
        <v>0</v>
      </c>
      <c r="AY108" s="113">
        <f t="shared" si="19"/>
        <v>0</v>
      </c>
    </row>
    <row r="109" spans="1:51" x14ac:dyDescent="0.25">
      <c r="A109" s="4"/>
      <c r="B109" s="4"/>
      <c r="C109" s="4"/>
      <c r="D109" s="4"/>
      <c r="E109" s="4"/>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row>
    <row r="110" spans="1:51" x14ac:dyDescent="0.25">
      <c r="A110" s="50" t="s">
        <v>61</v>
      </c>
      <c r="B110" s="50"/>
      <c r="C110" s="54"/>
      <c r="D110" s="54"/>
      <c r="E110" s="54"/>
      <c r="F110" s="54"/>
      <c r="G110" s="49">
        <f>Start_Yr</f>
        <v>2026</v>
      </c>
      <c r="H110" s="49">
        <f t="shared" ref="H110:AY110" si="20">G110+1</f>
        <v>2027</v>
      </c>
      <c r="I110" s="49">
        <f t="shared" si="20"/>
        <v>2028</v>
      </c>
      <c r="J110" s="49">
        <f t="shared" si="20"/>
        <v>2029</v>
      </c>
      <c r="K110" s="49">
        <f t="shared" si="20"/>
        <v>2030</v>
      </c>
      <c r="L110" s="49">
        <f t="shared" si="20"/>
        <v>2031</v>
      </c>
      <c r="M110" s="49">
        <f t="shared" si="20"/>
        <v>2032</v>
      </c>
      <c r="N110" s="49">
        <f t="shared" si="20"/>
        <v>2033</v>
      </c>
      <c r="O110" s="49">
        <f t="shared" si="20"/>
        <v>2034</v>
      </c>
      <c r="P110" s="49">
        <f t="shared" si="20"/>
        <v>2035</v>
      </c>
      <c r="Q110" s="49">
        <f t="shared" si="20"/>
        <v>2036</v>
      </c>
      <c r="R110" s="49">
        <f t="shared" si="20"/>
        <v>2037</v>
      </c>
      <c r="S110" s="49">
        <f t="shared" si="20"/>
        <v>2038</v>
      </c>
      <c r="T110" s="49">
        <f t="shared" si="20"/>
        <v>2039</v>
      </c>
      <c r="U110" s="49">
        <f t="shared" si="20"/>
        <v>2040</v>
      </c>
      <c r="V110" s="49">
        <f t="shared" si="20"/>
        <v>2041</v>
      </c>
      <c r="W110" s="49">
        <f t="shared" si="20"/>
        <v>2042</v>
      </c>
      <c r="X110" s="49">
        <f t="shared" si="20"/>
        <v>2043</v>
      </c>
      <c r="Y110" s="49">
        <f t="shared" si="20"/>
        <v>2044</v>
      </c>
      <c r="Z110" s="49">
        <f t="shared" si="20"/>
        <v>2045</v>
      </c>
      <c r="AA110" s="49">
        <f t="shared" si="20"/>
        <v>2046</v>
      </c>
      <c r="AB110" s="49">
        <f t="shared" si="20"/>
        <v>2047</v>
      </c>
      <c r="AC110" s="49">
        <f t="shared" si="20"/>
        <v>2048</v>
      </c>
      <c r="AD110" s="49">
        <f t="shared" si="20"/>
        <v>2049</v>
      </c>
      <c r="AE110" s="49">
        <f t="shared" si="20"/>
        <v>2050</v>
      </c>
      <c r="AF110" s="49">
        <f t="shared" si="20"/>
        <v>2051</v>
      </c>
      <c r="AG110" s="49">
        <f t="shared" si="20"/>
        <v>2052</v>
      </c>
      <c r="AH110" s="49">
        <f t="shared" si="20"/>
        <v>2053</v>
      </c>
      <c r="AI110" s="49">
        <f t="shared" si="20"/>
        <v>2054</v>
      </c>
      <c r="AJ110" s="49">
        <f t="shared" si="20"/>
        <v>2055</v>
      </c>
      <c r="AK110" s="49">
        <f t="shared" si="20"/>
        <v>2056</v>
      </c>
      <c r="AL110" s="49">
        <f t="shared" si="20"/>
        <v>2057</v>
      </c>
      <c r="AM110" s="49">
        <f t="shared" si="20"/>
        <v>2058</v>
      </c>
      <c r="AN110" s="49">
        <f t="shared" si="20"/>
        <v>2059</v>
      </c>
      <c r="AO110" s="49">
        <f t="shared" si="20"/>
        <v>2060</v>
      </c>
      <c r="AP110" s="49">
        <f t="shared" si="20"/>
        <v>2061</v>
      </c>
      <c r="AQ110" s="49">
        <f t="shared" si="20"/>
        <v>2062</v>
      </c>
      <c r="AR110" s="49">
        <f t="shared" si="20"/>
        <v>2063</v>
      </c>
      <c r="AS110" s="49">
        <f t="shared" si="20"/>
        <v>2064</v>
      </c>
      <c r="AT110" s="49">
        <f t="shared" si="20"/>
        <v>2065</v>
      </c>
      <c r="AU110" s="49">
        <f t="shared" si="20"/>
        <v>2066</v>
      </c>
      <c r="AV110" s="49">
        <f t="shared" si="20"/>
        <v>2067</v>
      </c>
      <c r="AW110" s="49">
        <f t="shared" si="20"/>
        <v>2068</v>
      </c>
      <c r="AX110" s="49">
        <f t="shared" si="20"/>
        <v>2069</v>
      </c>
      <c r="AY110" s="49">
        <f t="shared" si="20"/>
        <v>2070</v>
      </c>
    </row>
    <row r="111" spans="1:51" x14ac:dyDescent="0.25">
      <c r="A111" s="201" t="s">
        <v>213</v>
      </c>
      <c r="B111" s="26"/>
      <c r="C111" s="9"/>
      <c r="D111" s="9"/>
      <c r="E111" s="9"/>
      <c r="F111" s="9" t="s">
        <v>49</v>
      </c>
      <c r="G111" s="116">
        <f>G113-G112</f>
        <v>0</v>
      </c>
      <c r="H111" s="116">
        <f t="shared" ref="H111:AY111" si="21">H113-H112</f>
        <v>0</v>
      </c>
      <c r="I111" s="116">
        <f t="shared" si="21"/>
        <v>0</v>
      </c>
      <c r="J111" s="116">
        <f t="shared" si="21"/>
        <v>0</v>
      </c>
      <c r="K111" s="116">
        <f t="shared" si="21"/>
        <v>0</v>
      </c>
      <c r="L111" s="116">
        <f t="shared" si="21"/>
        <v>0</v>
      </c>
      <c r="M111" s="116">
        <f t="shared" si="21"/>
        <v>0</v>
      </c>
      <c r="N111" s="116">
        <f t="shared" si="21"/>
        <v>0</v>
      </c>
      <c r="O111" s="116">
        <f t="shared" si="21"/>
        <v>0</v>
      </c>
      <c r="P111" s="116">
        <f t="shared" si="21"/>
        <v>0</v>
      </c>
      <c r="Q111" s="116">
        <f t="shared" si="21"/>
        <v>0</v>
      </c>
      <c r="R111" s="116">
        <f t="shared" si="21"/>
        <v>0</v>
      </c>
      <c r="S111" s="116">
        <f t="shared" si="21"/>
        <v>0</v>
      </c>
      <c r="T111" s="116">
        <f t="shared" si="21"/>
        <v>0</v>
      </c>
      <c r="U111" s="116">
        <f t="shared" si="21"/>
        <v>0</v>
      </c>
      <c r="V111" s="116">
        <f t="shared" si="21"/>
        <v>0</v>
      </c>
      <c r="W111" s="116">
        <f t="shared" si="21"/>
        <v>0</v>
      </c>
      <c r="X111" s="116">
        <f t="shared" si="21"/>
        <v>0</v>
      </c>
      <c r="Y111" s="116">
        <f t="shared" si="21"/>
        <v>0</v>
      </c>
      <c r="Z111" s="116">
        <f t="shared" si="21"/>
        <v>0</v>
      </c>
      <c r="AA111" s="116">
        <f t="shared" si="21"/>
        <v>0</v>
      </c>
      <c r="AB111" s="116">
        <f t="shared" si="21"/>
        <v>0</v>
      </c>
      <c r="AC111" s="116">
        <f t="shared" si="21"/>
        <v>0</v>
      </c>
      <c r="AD111" s="116">
        <f t="shared" si="21"/>
        <v>0</v>
      </c>
      <c r="AE111" s="116">
        <f t="shared" si="21"/>
        <v>0</v>
      </c>
      <c r="AF111" s="116">
        <f t="shared" si="21"/>
        <v>0</v>
      </c>
      <c r="AG111" s="116">
        <f t="shared" si="21"/>
        <v>0</v>
      </c>
      <c r="AH111" s="116">
        <f t="shared" si="21"/>
        <v>0</v>
      </c>
      <c r="AI111" s="116">
        <f t="shared" si="21"/>
        <v>0</v>
      </c>
      <c r="AJ111" s="116">
        <f t="shared" si="21"/>
        <v>0</v>
      </c>
      <c r="AK111" s="116">
        <f t="shared" si="21"/>
        <v>0</v>
      </c>
      <c r="AL111" s="116">
        <f t="shared" si="21"/>
        <v>0</v>
      </c>
      <c r="AM111" s="116">
        <f t="shared" si="21"/>
        <v>0</v>
      </c>
      <c r="AN111" s="116">
        <f t="shared" si="21"/>
        <v>0</v>
      </c>
      <c r="AO111" s="116">
        <f t="shared" si="21"/>
        <v>0</v>
      </c>
      <c r="AP111" s="116">
        <f t="shared" si="21"/>
        <v>0</v>
      </c>
      <c r="AQ111" s="116">
        <f t="shared" si="21"/>
        <v>0</v>
      </c>
      <c r="AR111" s="116">
        <f t="shared" si="21"/>
        <v>0</v>
      </c>
      <c r="AS111" s="116">
        <f t="shared" si="21"/>
        <v>0</v>
      </c>
      <c r="AT111" s="116">
        <f t="shared" si="21"/>
        <v>0</v>
      </c>
      <c r="AU111" s="116">
        <f t="shared" si="21"/>
        <v>0</v>
      </c>
      <c r="AV111" s="116">
        <f t="shared" si="21"/>
        <v>0</v>
      </c>
      <c r="AW111" s="116">
        <f t="shared" si="21"/>
        <v>0</v>
      </c>
      <c r="AX111" s="116">
        <f t="shared" si="21"/>
        <v>0</v>
      </c>
      <c r="AY111" s="116">
        <f t="shared" si="21"/>
        <v>0</v>
      </c>
    </row>
    <row r="112" spans="1:51" x14ac:dyDescent="0.25">
      <c r="A112" s="201" t="s">
        <v>214</v>
      </c>
      <c r="B112" s="26"/>
      <c r="C112" s="9"/>
      <c r="D112" s="9"/>
      <c r="E112" s="9"/>
      <c r="F112" s="9" t="s">
        <v>49</v>
      </c>
      <c r="G112" s="116">
        <f>'Real values'!H147*'Real values'!H$4</f>
        <v>0</v>
      </c>
      <c r="H112" s="116">
        <f>'Real values'!I147*'Real values'!I$4</f>
        <v>0</v>
      </c>
      <c r="I112" s="116">
        <f>'Real values'!J147*'Real values'!J$4</f>
        <v>0</v>
      </c>
      <c r="J112" s="116">
        <f>'Real values'!K147*'Real values'!K$4</f>
        <v>0</v>
      </c>
      <c r="K112" s="116">
        <f>'Real values'!L147*'Real values'!L$4</f>
        <v>0</v>
      </c>
      <c r="L112" s="116">
        <f>'Real values'!M147*'Real values'!M$4</f>
        <v>0</v>
      </c>
      <c r="M112" s="116">
        <f>'Real values'!N147*'Real values'!N$4</f>
        <v>0</v>
      </c>
      <c r="N112" s="116">
        <f>'Real values'!O147*'Real values'!O$4</f>
        <v>0</v>
      </c>
      <c r="O112" s="116">
        <f>'Real values'!P147*'Real values'!P$4</f>
        <v>0</v>
      </c>
      <c r="P112" s="116">
        <f>'Real values'!Q147*'Real values'!Q$4</f>
        <v>0</v>
      </c>
      <c r="Q112" s="116">
        <f>'Real values'!R147*'Real values'!R$4</f>
        <v>0</v>
      </c>
      <c r="R112" s="116">
        <f>'Real values'!S147*'Real values'!S$4</f>
        <v>0</v>
      </c>
      <c r="S112" s="116">
        <f>'Real values'!T147*'Real values'!T$4</f>
        <v>0</v>
      </c>
      <c r="T112" s="116">
        <f>'Real values'!U147*'Real values'!U$4</f>
        <v>0</v>
      </c>
      <c r="U112" s="116">
        <f>'Real values'!V147*'Real values'!V$4</f>
        <v>0</v>
      </c>
      <c r="V112" s="116">
        <f>'Real values'!W147*'Real values'!W$4</f>
        <v>0</v>
      </c>
      <c r="W112" s="116">
        <f>'Real values'!X147*'Real values'!X$4</f>
        <v>0</v>
      </c>
      <c r="X112" s="116">
        <f>'Real values'!Y147*'Real values'!Y$4</f>
        <v>0</v>
      </c>
      <c r="Y112" s="116">
        <f>'Real values'!Z147*'Real values'!Z$4</f>
        <v>0</v>
      </c>
      <c r="Z112" s="116">
        <f>'Real values'!AA147*'Real values'!AA$4</f>
        <v>0</v>
      </c>
      <c r="AA112" s="116">
        <f>'Real values'!AB147*'Real values'!AB$4</f>
        <v>0</v>
      </c>
      <c r="AB112" s="116">
        <f>'Real values'!AC147*'Real values'!AC$4</f>
        <v>0</v>
      </c>
      <c r="AC112" s="116">
        <f>'Real values'!AD147*'Real values'!AD$4</f>
        <v>0</v>
      </c>
      <c r="AD112" s="116">
        <f>'Real values'!AE147*'Real values'!AE$4</f>
        <v>0</v>
      </c>
      <c r="AE112" s="116">
        <f>'Real values'!AF147*'Real values'!AF$4</f>
        <v>0</v>
      </c>
      <c r="AF112" s="116">
        <f>'Real values'!AG147*'Real values'!AG$4</f>
        <v>0</v>
      </c>
      <c r="AG112" s="116">
        <f>'Real values'!AH147*'Real values'!AH$4</f>
        <v>0</v>
      </c>
      <c r="AH112" s="116">
        <f>'Real values'!AI147*'Real values'!AI$4</f>
        <v>0</v>
      </c>
      <c r="AI112" s="116">
        <f>'Real values'!AJ147*'Real values'!AJ$4</f>
        <v>0</v>
      </c>
      <c r="AJ112" s="116">
        <f>'Real values'!AK147*'Real values'!AK$4</f>
        <v>0</v>
      </c>
      <c r="AK112" s="116">
        <f>'Real values'!AL147*'Real values'!AL$4</f>
        <v>0</v>
      </c>
      <c r="AL112" s="116">
        <f>'Real values'!AM147*'Real values'!AM$4</f>
        <v>0</v>
      </c>
      <c r="AM112" s="116">
        <f>'Real values'!AN147*'Real values'!AN$4</f>
        <v>0</v>
      </c>
      <c r="AN112" s="116">
        <f>'Real values'!AO147*'Real values'!AO$4</f>
        <v>0</v>
      </c>
      <c r="AO112" s="116">
        <f>'Real values'!AP147*'Real values'!AP$4</f>
        <v>0</v>
      </c>
      <c r="AP112" s="116">
        <f>'Real values'!AQ147*'Real values'!AQ$4</f>
        <v>0</v>
      </c>
      <c r="AQ112" s="116">
        <f>'Real values'!AR147*'Real values'!AR$4</f>
        <v>0</v>
      </c>
      <c r="AR112" s="116">
        <f>'Real values'!AS147*'Real values'!AS$4</f>
        <v>0</v>
      </c>
      <c r="AS112" s="116">
        <f>'Real values'!AT147*'Real values'!AT$4</f>
        <v>0</v>
      </c>
      <c r="AT112" s="116">
        <f>'Real values'!AU147*'Real values'!AU$4</f>
        <v>0</v>
      </c>
      <c r="AU112" s="116">
        <f>'Real values'!AV147*'Real values'!AV$4</f>
        <v>0</v>
      </c>
      <c r="AV112" s="116">
        <f>'Real values'!AW147*'Real values'!AW$4</f>
        <v>0</v>
      </c>
      <c r="AW112" s="116">
        <f>'Real values'!AX147*'Real values'!AX$4</f>
        <v>0</v>
      </c>
      <c r="AX112" s="116">
        <f>'Real values'!AY147*'Real values'!AY$4</f>
        <v>0</v>
      </c>
      <c r="AY112" s="116">
        <f>'Real values'!AZ147*'Real values'!AZ$4</f>
        <v>0</v>
      </c>
    </row>
    <row r="113" spans="1:51" x14ac:dyDescent="0.25">
      <c r="A113" s="6" t="s">
        <v>215</v>
      </c>
      <c r="B113" s="26"/>
      <c r="C113" s="9"/>
      <c r="D113" s="9"/>
      <c r="E113" s="9"/>
      <c r="F113" s="9" t="s">
        <v>49</v>
      </c>
      <c r="G113" s="116">
        <f>C59*'Real values'!H$4</f>
        <v>0</v>
      </c>
      <c r="H113" s="116">
        <f>D59*'Real values'!I$4</f>
        <v>0</v>
      </c>
      <c r="I113" s="116">
        <f>E59*'Real values'!J$4</f>
        <v>0</v>
      </c>
      <c r="J113" s="116">
        <f>F59*'Real values'!K$4</f>
        <v>0</v>
      </c>
      <c r="K113" s="116">
        <f>G59*'Real values'!L$4</f>
        <v>0</v>
      </c>
      <c r="L113" s="116">
        <f>H59*'Real values'!M$4</f>
        <v>0</v>
      </c>
      <c r="M113" s="116">
        <f>I59*'Real values'!N$4</f>
        <v>0</v>
      </c>
      <c r="N113" s="116">
        <f>J59*'Real values'!O$4</f>
        <v>0</v>
      </c>
      <c r="O113" s="116">
        <f>K59*'Real values'!P$4</f>
        <v>0</v>
      </c>
      <c r="P113" s="116">
        <f>L59*'Real values'!Q$4</f>
        <v>0</v>
      </c>
      <c r="Q113" s="116">
        <f>M59*'Real values'!R$4</f>
        <v>0</v>
      </c>
      <c r="R113" s="116">
        <f>N59*'Real values'!S$4</f>
        <v>0</v>
      </c>
      <c r="S113" s="116">
        <f>O59*'Real values'!T$4</f>
        <v>0</v>
      </c>
      <c r="T113" s="116">
        <f>P59*'Real values'!U$4</f>
        <v>0</v>
      </c>
      <c r="U113" s="116">
        <f>Q59*'Real values'!V$4</f>
        <v>0</v>
      </c>
      <c r="V113" s="116">
        <f>R59*'Real values'!W$4</f>
        <v>0</v>
      </c>
      <c r="W113" s="116">
        <f>S59*'Real values'!X$4</f>
        <v>0</v>
      </c>
      <c r="X113" s="116">
        <f>T59*'Real values'!Y$4</f>
        <v>0</v>
      </c>
      <c r="Y113" s="116">
        <f>U59*'Real values'!Z$4</f>
        <v>0</v>
      </c>
      <c r="Z113" s="116">
        <f>V59*'Real values'!AA$4</f>
        <v>0</v>
      </c>
      <c r="AA113" s="116">
        <f>W59*'Real values'!AB$4</f>
        <v>0</v>
      </c>
      <c r="AB113" s="116">
        <f>X59*'Real values'!AC$4</f>
        <v>0</v>
      </c>
      <c r="AC113" s="116">
        <f>Y59*'Real values'!AD$4</f>
        <v>0</v>
      </c>
      <c r="AD113" s="116">
        <f>Z59*'Real values'!AE$4</f>
        <v>0</v>
      </c>
      <c r="AE113" s="116">
        <f>AA59*'Real values'!AF$4</f>
        <v>0</v>
      </c>
      <c r="AF113" s="116">
        <f>AB59*'Real values'!AG$4</f>
        <v>0</v>
      </c>
      <c r="AG113" s="116">
        <f>AC59*'Real values'!AH$4</f>
        <v>0</v>
      </c>
      <c r="AH113" s="116">
        <f>AD59*'Real values'!AI$4</f>
        <v>0</v>
      </c>
      <c r="AI113" s="116">
        <f>AE59*'Real values'!AJ$4</f>
        <v>0</v>
      </c>
      <c r="AJ113" s="116">
        <f>AF59*'Real values'!AK$4</f>
        <v>0</v>
      </c>
      <c r="AK113" s="116">
        <f>AG59*'Real values'!AL$4</f>
        <v>0</v>
      </c>
      <c r="AL113" s="116">
        <f>AH59*'Real values'!AM$4</f>
        <v>0</v>
      </c>
      <c r="AM113" s="116">
        <f>AI59*'Real values'!AN$4</f>
        <v>0</v>
      </c>
      <c r="AN113" s="116">
        <f>AJ59*'Real values'!AO$4</f>
        <v>0</v>
      </c>
      <c r="AO113" s="116">
        <f>AK59*'Real values'!AP$4</f>
        <v>0</v>
      </c>
      <c r="AP113" s="116">
        <f>AL59*'Real values'!AQ$4</f>
        <v>0</v>
      </c>
      <c r="AQ113" s="116">
        <f>AM59*'Real values'!AR$4</f>
        <v>0</v>
      </c>
      <c r="AR113" s="116">
        <f>AN59*'Real values'!AS$4</f>
        <v>0</v>
      </c>
      <c r="AS113" s="116">
        <f>AO59*'Real values'!AT$4</f>
        <v>0</v>
      </c>
      <c r="AT113" s="116">
        <f>AP59*'Real values'!AU$4</f>
        <v>0</v>
      </c>
      <c r="AU113" s="116">
        <f>AQ59*'Real values'!AV$4</f>
        <v>0</v>
      </c>
      <c r="AV113" s="116">
        <f>AR59*'Real values'!AW$4</f>
        <v>0</v>
      </c>
      <c r="AW113" s="116">
        <f>AS59*'Real values'!AX$4</f>
        <v>0</v>
      </c>
      <c r="AX113" s="116">
        <f>AT59*'Real values'!AY$4</f>
        <v>0</v>
      </c>
      <c r="AY113" s="116">
        <f>AU59*'Real values'!AZ$4</f>
        <v>0</v>
      </c>
    </row>
    <row r="114" spans="1:51" x14ac:dyDescent="0.25">
      <c r="A114" s="4" t="s">
        <v>148</v>
      </c>
      <c r="B114" s="4"/>
      <c r="C114" s="4"/>
      <c r="D114" s="4"/>
      <c r="E114" s="4"/>
      <c r="F114" s="9" t="s">
        <v>49</v>
      </c>
      <c r="G114" s="116">
        <f>G147*'Real values'!H$4</f>
        <v>190000</v>
      </c>
      <c r="H114" s="116">
        <f>H147*'Real values'!I$4</f>
        <v>189999.99999999997</v>
      </c>
      <c r="I114" s="116">
        <f>I147*'Real values'!J$4</f>
        <v>190000.00000000003</v>
      </c>
      <c r="J114" s="116">
        <f>J147*'Real values'!K$4</f>
        <v>190000</v>
      </c>
      <c r="K114" s="116">
        <f>K147*'Real values'!L$4</f>
        <v>190000</v>
      </c>
      <c r="L114" s="116">
        <f>L147*'Real values'!M$4</f>
        <v>190000</v>
      </c>
      <c r="M114" s="116">
        <f>M147*'Real values'!N$4</f>
        <v>190000.00000000003</v>
      </c>
      <c r="N114" s="116">
        <f>N147*'Real values'!O$4</f>
        <v>190000</v>
      </c>
      <c r="O114" s="116">
        <f>O147*'Real values'!P$4</f>
        <v>190000</v>
      </c>
      <c r="P114" s="116">
        <f>P147*'Real values'!Q$4</f>
        <v>190000</v>
      </c>
      <c r="Q114" s="116">
        <f>Q147*'Real values'!R$4</f>
        <v>190000</v>
      </c>
      <c r="R114" s="116">
        <f>R147*'Real values'!S$4</f>
        <v>190000</v>
      </c>
      <c r="S114" s="116">
        <f>S147*'Real values'!T$4</f>
        <v>190000</v>
      </c>
      <c r="T114" s="116">
        <f>T147*'Real values'!U$4</f>
        <v>190000</v>
      </c>
      <c r="U114" s="116">
        <f>U147*'Real values'!V$4</f>
        <v>190000</v>
      </c>
      <c r="V114" s="116">
        <f>V147*'Real values'!W$4</f>
        <v>189999.99999999997</v>
      </c>
      <c r="W114" s="116">
        <f>W147*'Real values'!X$4</f>
        <v>190000.00000000003</v>
      </c>
      <c r="X114" s="116">
        <f>X147*'Real values'!Y$4</f>
        <v>190000.00000000003</v>
      </c>
      <c r="Y114" s="116">
        <f>Y147*'Real values'!Z$4</f>
        <v>190000.00000000003</v>
      </c>
      <c r="Z114" s="116">
        <f>Z147*'Real values'!AA$4</f>
        <v>190000.00000000003</v>
      </c>
      <c r="AA114" s="116">
        <f>AA147*'Real values'!AB$4</f>
        <v>190000.00000000003</v>
      </c>
      <c r="AB114" s="116">
        <f>AB147*'Real values'!AC$4</f>
        <v>190000</v>
      </c>
      <c r="AC114" s="116">
        <f>AC147*'Real values'!AD$4</f>
        <v>0</v>
      </c>
      <c r="AD114" s="116">
        <f>AD147*'Real values'!AE$4</f>
        <v>0</v>
      </c>
      <c r="AE114" s="116">
        <f>AE147*'Real values'!AF$4</f>
        <v>0</v>
      </c>
      <c r="AF114" s="116">
        <f>AF147*'Real values'!AG$4</f>
        <v>0</v>
      </c>
      <c r="AG114" s="116">
        <f>AG147*'Real values'!AH$4</f>
        <v>0</v>
      </c>
      <c r="AH114" s="116">
        <f>AH147*'Real values'!AI$4</f>
        <v>0</v>
      </c>
      <c r="AI114" s="116">
        <f>AI147*'Real values'!AJ$4</f>
        <v>0</v>
      </c>
      <c r="AJ114" s="116">
        <f>AJ147*'Real values'!AK$4</f>
        <v>0</v>
      </c>
      <c r="AK114" s="116">
        <f>AK147*'Real values'!AL$4</f>
        <v>0</v>
      </c>
      <c r="AL114" s="116">
        <f>AL147*'Real values'!AM$4</f>
        <v>0</v>
      </c>
      <c r="AM114" s="116">
        <f>AM147*'Real values'!AN$4</f>
        <v>0</v>
      </c>
      <c r="AN114" s="116">
        <f>AN147*'Real values'!AO$4</f>
        <v>0</v>
      </c>
      <c r="AO114" s="116">
        <f>AO147*'Real values'!AP$4</f>
        <v>0</v>
      </c>
      <c r="AP114" s="116">
        <f>AP147*'Real values'!AQ$4</f>
        <v>0</v>
      </c>
      <c r="AQ114" s="116">
        <f>AQ147*'Real values'!AR$4</f>
        <v>0</v>
      </c>
      <c r="AR114" s="116">
        <f>AR147*'Real values'!AS$4</f>
        <v>0</v>
      </c>
      <c r="AS114" s="116">
        <f>AS147*'Real values'!AT$4</f>
        <v>0</v>
      </c>
      <c r="AT114" s="116">
        <f>AT147*'Real values'!AU$4</f>
        <v>0</v>
      </c>
      <c r="AU114" s="116">
        <f>AU147*'Real values'!AV$4</f>
        <v>0</v>
      </c>
      <c r="AV114" s="116">
        <f>AV147*'Real values'!AW$4</f>
        <v>0</v>
      </c>
      <c r="AW114" s="116">
        <f>AW147*'Real values'!AX$4</f>
        <v>0</v>
      </c>
      <c r="AX114" s="116">
        <f>AX147*'Real values'!AY$4</f>
        <v>0</v>
      </c>
      <c r="AY114" s="116">
        <f>AY147*'Real values'!AZ$4</f>
        <v>0</v>
      </c>
    </row>
    <row r="115" spans="1:51" x14ac:dyDescent="0.25">
      <c r="A115" s="4" t="s">
        <v>149</v>
      </c>
      <c r="B115" s="4"/>
      <c r="C115" s="4"/>
      <c r="D115" s="4"/>
      <c r="E115" s="4"/>
      <c r="F115" s="9" t="s">
        <v>49</v>
      </c>
      <c r="G115" s="116">
        <f>G148*'Real values'!H$4</f>
        <v>734808.5228648528</v>
      </c>
      <c r="H115" s="116">
        <f>H148*'Real values'!I$4</f>
        <v>748675.98766712402</v>
      </c>
      <c r="I115" s="116">
        <f>I148*'Real values'!J$4</f>
        <v>762484.67626591865</v>
      </c>
      <c r="J115" s="116">
        <f>J148*'Real values'!K$4</f>
        <v>776976.67764809262</v>
      </c>
      <c r="K115" s="116">
        <f>K148*'Real values'!L$4</f>
        <v>791742.97281984857</v>
      </c>
      <c r="L115" s="116">
        <f>L148*'Real values'!M$4</f>
        <v>806788.82818880293</v>
      </c>
      <c r="M115" s="116">
        <f>M148*'Real values'!N$4</f>
        <v>822023.23622462561</v>
      </c>
      <c r="N115" s="116">
        <f>N148*'Real values'!O$4</f>
        <v>837681.47029414726</v>
      </c>
      <c r="O115" s="116">
        <f>O148*'Real values'!P$4</f>
        <v>854794.31833524338</v>
      </c>
      <c r="P115" s="116">
        <f>P148*'Real values'!Q$4</f>
        <v>872268.52633830532</v>
      </c>
      <c r="Q115" s="116">
        <f>Q148*'Real values'!R$4</f>
        <v>889797.99304585799</v>
      </c>
      <c r="R115" s="116">
        <f>R148*'Real values'!S$4</f>
        <v>907719.06001537282</v>
      </c>
      <c r="S115" s="116">
        <f>S148*'Real values'!T$4</f>
        <v>925957.51261675369</v>
      </c>
      <c r="T115" s="116">
        <f>T148*'Real values'!U$4</f>
        <v>944560.04944094992</v>
      </c>
      <c r="U115" s="116">
        <f>U148*'Real values'!V$4</f>
        <v>963536.35005051515</v>
      </c>
      <c r="V115" s="116">
        <f>V148*'Real values'!W$4</f>
        <v>982893.85551020014</v>
      </c>
      <c r="W115" s="116">
        <f>W148*'Real values'!X$4</f>
        <v>1002640.2569956945</v>
      </c>
      <c r="X115" s="116">
        <f>X148*'Real values'!Y$4</f>
        <v>1022783.3576520637</v>
      </c>
      <c r="Y115" s="116">
        <f>Y148*'Real values'!Z$4</f>
        <v>1043331.1239034238</v>
      </c>
      <c r="Z115" s="116">
        <f>Z148*'Real values'!AA$4</f>
        <v>1064291.6774105099</v>
      </c>
      <c r="AA115" s="116">
        <f>AA148*'Real values'!AB$4</f>
        <v>1085673.335294765</v>
      </c>
      <c r="AB115" s="116">
        <f>AB148*'Real values'!AC$4</f>
        <v>1107484.5359258326</v>
      </c>
      <c r="AC115" s="116">
        <f>AC148*'Real values'!AD$4</f>
        <v>0</v>
      </c>
      <c r="AD115" s="116">
        <f>AD148*'Real values'!AE$4</f>
        <v>0</v>
      </c>
      <c r="AE115" s="116">
        <f>AE148*'Real values'!AF$4</f>
        <v>0</v>
      </c>
      <c r="AF115" s="116">
        <f>AF148*'Real values'!AG$4</f>
        <v>0</v>
      </c>
      <c r="AG115" s="116">
        <f>AG148*'Real values'!AH$4</f>
        <v>0</v>
      </c>
      <c r="AH115" s="116">
        <f>AH148*'Real values'!AI$4</f>
        <v>0</v>
      </c>
      <c r="AI115" s="116">
        <f>AI148*'Real values'!AJ$4</f>
        <v>0</v>
      </c>
      <c r="AJ115" s="116">
        <f>AJ148*'Real values'!AK$4</f>
        <v>0</v>
      </c>
      <c r="AK115" s="116">
        <f>AK148*'Real values'!AL$4</f>
        <v>0</v>
      </c>
      <c r="AL115" s="116">
        <f>AL148*'Real values'!AM$4</f>
        <v>0</v>
      </c>
      <c r="AM115" s="116">
        <f>AM148*'Real values'!AN$4</f>
        <v>0</v>
      </c>
      <c r="AN115" s="116">
        <f>AN148*'Real values'!AO$4</f>
        <v>0</v>
      </c>
      <c r="AO115" s="116">
        <f>AO148*'Real values'!AP$4</f>
        <v>0</v>
      </c>
      <c r="AP115" s="116">
        <f>AP148*'Real values'!AQ$4</f>
        <v>0</v>
      </c>
      <c r="AQ115" s="116">
        <f>AQ148*'Real values'!AR$4</f>
        <v>0</v>
      </c>
      <c r="AR115" s="116">
        <f>AR148*'Real values'!AS$4</f>
        <v>0</v>
      </c>
      <c r="AS115" s="116">
        <f>AS148*'Real values'!AT$4</f>
        <v>0</v>
      </c>
      <c r="AT115" s="116">
        <f>AT148*'Real values'!AU$4</f>
        <v>0</v>
      </c>
      <c r="AU115" s="116">
        <f>AU148*'Real values'!AV$4</f>
        <v>0</v>
      </c>
      <c r="AV115" s="116">
        <f>AV148*'Real values'!AW$4</f>
        <v>0</v>
      </c>
      <c r="AW115" s="116">
        <f>AW148*'Real values'!AX$4</f>
        <v>0</v>
      </c>
      <c r="AX115" s="116">
        <f>AX148*'Real values'!AY$4</f>
        <v>0</v>
      </c>
      <c r="AY115" s="116">
        <f>AY148*'Real values'!AZ$4</f>
        <v>0</v>
      </c>
    </row>
    <row r="116" spans="1:51" x14ac:dyDescent="0.25">
      <c r="A116" s="4" t="s">
        <v>150</v>
      </c>
      <c r="B116" s="4"/>
      <c r="C116" s="4"/>
      <c r="D116" s="4"/>
      <c r="E116" s="4"/>
      <c r="F116" s="9" t="s">
        <v>49</v>
      </c>
      <c r="G116" s="116">
        <f>G149*'Real values'!H$4</f>
        <v>0</v>
      </c>
      <c r="H116" s="116">
        <f>H149*'Real values'!I$4</f>
        <v>0</v>
      </c>
      <c r="I116" s="116">
        <f>I149*'Real values'!J$4</f>
        <v>0</v>
      </c>
      <c r="J116" s="116">
        <f>J149*'Real values'!K$4</f>
        <v>0</v>
      </c>
      <c r="K116" s="116">
        <f>K149*'Real values'!L$4</f>
        <v>0</v>
      </c>
      <c r="L116" s="116">
        <f>L149*'Real values'!M$4</f>
        <v>0</v>
      </c>
      <c r="M116" s="116">
        <f>M149*'Real values'!N$4</f>
        <v>0</v>
      </c>
      <c r="N116" s="116">
        <f>N149*'Real values'!O$4</f>
        <v>0</v>
      </c>
      <c r="O116" s="116">
        <f>O149*'Real values'!P$4</f>
        <v>0</v>
      </c>
      <c r="P116" s="116">
        <f>P149*'Real values'!Q$4</f>
        <v>0</v>
      </c>
      <c r="Q116" s="116">
        <f>Q149*'Real values'!R$4</f>
        <v>0</v>
      </c>
      <c r="R116" s="116">
        <f>R149*'Real values'!S$4</f>
        <v>0</v>
      </c>
      <c r="S116" s="116">
        <f>S149*'Real values'!T$4</f>
        <v>0</v>
      </c>
      <c r="T116" s="116">
        <f>T149*'Real values'!U$4</f>
        <v>0</v>
      </c>
      <c r="U116" s="116">
        <f>U149*'Real values'!V$4</f>
        <v>0</v>
      </c>
      <c r="V116" s="116">
        <f>V149*'Real values'!W$4</f>
        <v>0</v>
      </c>
      <c r="W116" s="116">
        <f>W149*'Real values'!X$4</f>
        <v>0</v>
      </c>
      <c r="X116" s="116">
        <f>X149*'Real values'!Y$4</f>
        <v>0</v>
      </c>
      <c r="Y116" s="116">
        <f>Y149*'Real values'!Z$4</f>
        <v>0</v>
      </c>
      <c r="Z116" s="116">
        <f>Z149*'Real values'!AA$4</f>
        <v>0</v>
      </c>
      <c r="AA116" s="116">
        <f>AA149*'Real values'!AB$4</f>
        <v>0</v>
      </c>
      <c r="AB116" s="116">
        <f>AB149*'Real values'!AC$4</f>
        <v>0</v>
      </c>
      <c r="AC116" s="116">
        <f>AC149*'Real values'!AD$4</f>
        <v>0</v>
      </c>
      <c r="AD116" s="116">
        <f>AD149*'Real values'!AE$4</f>
        <v>0</v>
      </c>
      <c r="AE116" s="116">
        <f>AE149*'Real values'!AF$4</f>
        <v>0</v>
      </c>
      <c r="AF116" s="116">
        <f>AF149*'Real values'!AG$4</f>
        <v>0</v>
      </c>
      <c r="AG116" s="116">
        <f>AG149*'Real values'!AH$4</f>
        <v>0</v>
      </c>
      <c r="AH116" s="116">
        <f>AH149*'Real values'!AI$4</f>
        <v>0</v>
      </c>
      <c r="AI116" s="116">
        <f>AI149*'Real values'!AJ$4</f>
        <v>0</v>
      </c>
      <c r="AJ116" s="116">
        <f>AJ149*'Real values'!AK$4</f>
        <v>0</v>
      </c>
      <c r="AK116" s="116">
        <f>AK149*'Real values'!AL$4</f>
        <v>0</v>
      </c>
      <c r="AL116" s="116">
        <f>AL149*'Real values'!AM$4</f>
        <v>0</v>
      </c>
      <c r="AM116" s="116">
        <f>AM149*'Real values'!AN$4</f>
        <v>0</v>
      </c>
      <c r="AN116" s="116">
        <f>AN149*'Real values'!AO$4</f>
        <v>0</v>
      </c>
      <c r="AO116" s="116">
        <f>AO149*'Real values'!AP$4</f>
        <v>0</v>
      </c>
      <c r="AP116" s="116">
        <f>AP149*'Real values'!AQ$4</f>
        <v>0</v>
      </c>
      <c r="AQ116" s="116">
        <f>AQ149*'Real values'!AR$4</f>
        <v>0</v>
      </c>
      <c r="AR116" s="116">
        <f>AR149*'Real values'!AS$4</f>
        <v>0</v>
      </c>
      <c r="AS116" s="116">
        <f>AS149*'Real values'!AT$4</f>
        <v>0</v>
      </c>
      <c r="AT116" s="116">
        <f>AT149*'Real values'!AU$4</f>
        <v>0</v>
      </c>
      <c r="AU116" s="116">
        <f>AU149*'Real values'!AV$4</f>
        <v>0</v>
      </c>
      <c r="AV116" s="116">
        <f>AV149*'Real values'!AW$4</f>
        <v>0</v>
      </c>
      <c r="AW116" s="116">
        <f>AW149*'Real values'!AX$4</f>
        <v>0</v>
      </c>
      <c r="AX116" s="116">
        <f>AX149*'Real values'!AY$4</f>
        <v>0</v>
      </c>
      <c r="AY116" s="116">
        <f>AY149*'Real values'!AZ$4</f>
        <v>0</v>
      </c>
    </row>
    <row r="117" spans="1:51" x14ac:dyDescent="0.25">
      <c r="A117" s="4" t="s">
        <v>216</v>
      </c>
      <c r="B117" s="4"/>
      <c r="C117" s="4"/>
      <c r="D117" s="4"/>
      <c r="E117" s="4"/>
      <c r="F117" s="9" t="s">
        <v>49</v>
      </c>
      <c r="G117" s="116">
        <f>G111+SUM(G114:G116)</f>
        <v>924808.5228648528</v>
      </c>
      <c r="H117" s="116">
        <f t="shared" ref="H117:AY117" si="22">H111+SUM(H114:H116)</f>
        <v>938675.98766712402</v>
      </c>
      <c r="I117" s="116">
        <f t="shared" si="22"/>
        <v>952484.67626591865</v>
      </c>
      <c r="J117" s="116">
        <f t="shared" si="22"/>
        <v>966976.67764809262</v>
      </c>
      <c r="K117" s="116">
        <f t="shared" si="22"/>
        <v>981742.97281984857</v>
      </c>
      <c r="L117" s="116">
        <f t="shared" si="22"/>
        <v>996788.82818880293</v>
      </c>
      <c r="M117" s="116">
        <f t="shared" si="22"/>
        <v>1012023.2362246256</v>
      </c>
      <c r="N117" s="116">
        <f t="shared" si="22"/>
        <v>1027681.4702941473</v>
      </c>
      <c r="O117" s="116">
        <f t="shared" si="22"/>
        <v>1044794.3183352434</v>
      </c>
      <c r="P117" s="116">
        <f t="shared" si="22"/>
        <v>1062268.5263383053</v>
      </c>
      <c r="Q117" s="116">
        <f t="shared" si="22"/>
        <v>1079797.9930458581</v>
      </c>
      <c r="R117" s="116">
        <f t="shared" si="22"/>
        <v>1097719.0600153729</v>
      </c>
      <c r="S117" s="116">
        <f t="shared" si="22"/>
        <v>1115957.5126167536</v>
      </c>
      <c r="T117" s="116">
        <f t="shared" si="22"/>
        <v>1134560.0494409499</v>
      </c>
      <c r="U117" s="116">
        <f t="shared" si="22"/>
        <v>1153536.350050515</v>
      </c>
      <c r="V117" s="116">
        <f t="shared" si="22"/>
        <v>1172893.8555102001</v>
      </c>
      <c r="W117" s="116">
        <f t="shared" si="22"/>
        <v>1192640.2569956945</v>
      </c>
      <c r="X117" s="116">
        <f t="shared" si="22"/>
        <v>1212783.3576520637</v>
      </c>
      <c r="Y117" s="116">
        <f t="shared" si="22"/>
        <v>1233331.1239034238</v>
      </c>
      <c r="Z117" s="116">
        <f t="shared" si="22"/>
        <v>1254291.6774105099</v>
      </c>
      <c r="AA117" s="116">
        <f t="shared" si="22"/>
        <v>1275673.335294765</v>
      </c>
      <c r="AB117" s="116">
        <f t="shared" si="22"/>
        <v>1297484.5359258326</v>
      </c>
      <c r="AC117" s="116">
        <f t="shared" si="22"/>
        <v>0</v>
      </c>
      <c r="AD117" s="116">
        <f t="shared" si="22"/>
        <v>0</v>
      </c>
      <c r="AE117" s="116">
        <f t="shared" si="22"/>
        <v>0</v>
      </c>
      <c r="AF117" s="116">
        <f t="shared" si="22"/>
        <v>0</v>
      </c>
      <c r="AG117" s="116">
        <f t="shared" si="22"/>
        <v>0</v>
      </c>
      <c r="AH117" s="116">
        <f t="shared" si="22"/>
        <v>0</v>
      </c>
      <c r="AI117" s="116">
        <f t="shared" si="22"/>
        <v>0</v>
      </c>
      <c r="AJ117" s="116">
        <f t="shared" si="22"/>
        <v>0</v>
      </c>
      <c r="AK117" s="116">
        <f t="shared" si="22"/>
        <v>0</v>
      </c>
      <c r="AL117" s="116">
        <f t="shared" si="22"/>
        <v>0</v>
      </c>
      <c r="AM117" s="116">
        <f t="shared" si="22"/>
        <v>0</v>
      </c>
      <c r="AN117" s="116">
        <f t="shared" si="22"/>
        <v>0</v>
      </c>
      <c r="AO117" s="116">
        <f t="shared" si="22"/>
        <v>0</v>
      </c>
      <c r="AP117" s="116">
        <f t="shared" si="22"/>
        <v>0</v>
      </c>
      <c r="AQ117" s="116">
        <f t="shared" si="22"/>
        <v>0</v>
      </c>
      <c r="AR117" s="116">
        <f t="shared" si="22"/>
        <v>0</v>
      </c>
      <c r="AS117" s="116">
        <f t="shared" si="22"/>
        <v>0</v>
      </c>
      <c r="AT117" s="116">
        <f t="shared" si="22"/>
        <v>0</v>
      </c>
      <c r="AU117" s="116">
        <f t="shared" si="22"/>
        <v>0</v>
      </c>
      <c r="AV117" s="116">
        <f t="shared" si="22"/>
        <v>0</v>
      </c>
      <c r="AW117" s="116">
        <f t="shared" si="22"/>
        <v>0</v>
      </c>
      <c r="AX117" s="116">
        <f t="shared" si="22"/>
        <v>0</v>
      </c>
      <c r="AY117" s="116">
        <f t="shared" si="22"/>
        <v>0</v>
      </c>
    </row>
    <row r="118" spans="1:51" x14ac:dyDescent="0.25">
      <c r="A118" s="4" t="s">
        <v>217</v>
      </c>
      <c r="B118" s="4"/>
      <c r="C118" s="4"/>
      <c r="D118" s="4"/>
      <c r="E118" s="4"/>
      <c r="F118" s="9" t="s">
        <v>49</v>
      </c>
      <c r="G118" s="116">
        <f>SUM(G113:G115)</f>
        <v>924808.5228648528</v>
      </c>
      <c r="H118" s="116">
        <f t="shared" ref="H118:AY118" si="23">SUM(H113:H115)</f>
        <v>938675.98766712402</v>
      </c>
      <c r="I118" s="116">
        <f t="shared" si="23"/>
        <v>952484.67626591865</v>
      </c>
      <c r="J118" s="116">
        <f t="shared" si="23"/>
        <v>966976.67764809262</v>
      </c>
      <c r="K118" s="116">
        <f t="shared" si="23"/>
        <v>981742.97281984857</v>
      </c>
      <c r="L118" s="116">
        <f t="shared" si="23"/>
        <v>996788.82818880293</v>
      </c>
      <c r="M118" s="116">
        <f t="shared" si="23"/>
        <v>1012023.2362246256</v>
      </c>
      <c r="N118" s="116">
        <f t="shared" si="23"/>
        <v>1027681.4702941473</v>
      </c>
      <c r="O118" s="116">
        <f t="shared" si="23"/>
        <v>1044794.3183352434</v>
      </c>
      <c r="P118" s="116">
        <f t="shared" si="23"/>
        <v>1062268.5263383053</v>
      </c>
      <c r="Q118" s="116">
        <f t="shared" si="23"/>
        <v>1079797.9930458581</v>
      </c>
      <c r="R118" s="116">
        <f t="shared" si="23"/>
        <v>1097719.0600153729</v>
      </c>
      <c r="S118" s="116">
        <f t="shared" si="23"/>
        <v>1115957.5126167536</v>
      </c>
      <c r="T118" s="116">
        <f t="shared" si="23"/>
        <v>1134560.0494409499</v>
      </c>
      <c r="U118" s="116">
        <f t="shared" si="23"/>
        <v>1153536.350050515</v>
      </c>
      <c r="V118" s="116">
        <f t="shared" si="23"/>
        <v>1172893.8555102001</v>
      </c>
      <c r="W118" s="116">
        <f t="shared" si="23"/>
        <v>1192640.2569956945</v>
      </c>
      <c r="X118" s="116">
        <f t="shared" si="23"/>
        <v>1212783.3576520637</v>
      </c>
      <c r="Y118" s="116">
        <f t="shared" si="23"/>
        <v>1233331.1239034238</v>
      </c>
      <c r="Z118" s="116">
        <f t="shared" si="23"/>
        <v>1254291.6774105099</v>
      </c>
      <c r="AA118" s="116">
        <f t="shared" si="23"/>
        <v>1275673.335294765</v>
      </c>
      <c r="AB118" s="116">
        <f t="shared" si="23"/>
        <v>1297484.5359258326</v>
      </c>
      <c r="AC118" s="116">
        <f t="shared" si="23"/>
        <v>0</v>
      </c>
      <c r="AD118" s="116">
        <f t="shared" si="23"/>
        <v>0</v>
      </c>
      <c r="AE118" s="116">
        <f t="shared" si="23"/>
        <v>0</v>
      </c>
      <c r="AF118" s="116">
        <f t="shared" si="23"/>
        <v>0</v>
      </c>
      <c r="AG118" s="116">
        <f t="shared" si="23"/>
        <v>0</v>
      </c>
      <c r="AH118" s="116">
        <f t="shared" si="23"/>
        <v>0</v>
      </c>
      <c r="AI118" s="116">
        <f t="shared" si="23"/>
        <v>0</v>
      </c>
      <c r="AJ118" s="116">
        <f t="shared" si="23"/>
        <v>0</v>
      </c>
      <c r="AK118" s="116">
        <f t="shared" si="23"/>
        <v>0</v>
      </c>
      <c r="AL118" s="116">
        <f t="shared" si="23"/>
        <v>0</v>
      </c>
      <c r="AM118" s="116">
        <f t="shared" si="23"/>
        <v>0</v>
      </c>
      <c r="AN118" s="116">
        <f t="shared" si="23"/>
        <v>0</v>
      </c>
      <c r="AO118" s="116">
        <f t="shared" si="23"/>
        <v>0</v>
      </c>
      <c r="AP118" s="116">
        <f t="shared" si="23"/>
        <v>0</v>
      </c>
      <c r="AQ118" s="116">
        <f t="shared" si="23"/>
        <v>0</v>
      </c>
      <c r="AR118" s="116">
        <f t="shared" si="23"/>
        <v>0</v>
      </c>
      <c r="AS118" s="116">
        <f t="shared" si="23"/>
        <v>0</v>
      </c>
      <c r="AT118" s="116">
        <f t="shared" si="23"/>
        <v>0</v>
      </c>
      <c r="AU118" s="116">
        <f t="shared" si="23"/>
        <v>0</v>
      </c>
      <c r="AV118" s="116">
        <f t="shared" si="23"/>
        <v>0</v>
      </c>
      <c r="AW118" s="116">
        <f t="shared" si="23"/>
        <v>0</v>
      </c>
      <c r="AX118" s="116">
        <f t="shared" si="23"/>
        <v>0</v>
      </c>
      <c r="AY118" s="116">
        <f t="shared" si="23"/>
        <v>0</v>
      </c>
    </row>
    <row r="119" spans="1:51" x14ac:dyDescent="0.25">
      <c r="A119" s="4" t="s">
        <v>142</v>
      </c>
      <c r="B119" s="4"/>
      <c r="C119" s="4"/>
      <c r="D119" s="4"/>
      <c r="E119" s="4"/>
      <c r="F119" s="9" t="s">
        <v>49</v>
      </c>
      <c r="G119" s="116">
        <f>G152*'Real values'!H$4</f>
        <v>1000000</v>
      </c>
      <c r="H119" s="116">
        <f>H152*'Real values'!I$4</f>
        <v>999999.99999999988</v>
      </c>
      <c r="I119" s="116">
        <f>I152*'Real values'!J$4</f>
        <v>1000000.0000000001</v>
      </c>
      <c r="J119" s="116">
        <f>J152*'Real values'!K$4</f>
        <v>1000000</v>
      </c>
      <c r="K119" s="116">
        <f>K152*'Real values'!L$4</f>
        <v>1000000</v>
      </c>
      <c r="L119" s="116">
        <f>L152*'Real values'!M$4</f>
        <v>1000000</v>
      </c>
      <c r="M119" s="116">
        <f>M152*'Real values'!N$4</f>
        <v>1000000</v>
      </c>
      <c r="N119" s="116">
        <f>N152*'Real values'!O$4</f>
        <v>1000000.0000000001</v>
      </c>
      <c r="O119" s="116">
        <f>O152*'Real values'!P$4</f>
        <v>1000000</v>
      </c>
      <c r="P119" s="116">
        <f>P152*'Real values'!Q$4</f>
        <v>1000000.0000000001</v>
      </c>
      <c r="Q119" s="116">
        <f>Q152*'Real values'!R$4</f>
        <v>1000000</v>
      </c>
      <c r="R119" s="116">
        <f>R152*'Real values'!S$4</f>
        <v>1000000</v>
      </c>
      <c r="S119" s="116">
        <f>S152*'Real values'!T$4</f>
        <v>1000000</v>
      </c>
      <c r="T119" s="116">
        <f>T152*'Real values'!U$4</f>
        <v>1000000</v>
      </c>
      <c r="U119" s="116">
        <f>U152*'Real values'!V$4</f>
        <v>1000000</v>
      </c>
      <c r="V119" s="116">
        <f>V152*'Real values'!W$4</f>
        <v>1000000</v>
      </c>
      <c r="W119" s="116">
        <f>W152*'Real values'!X$4</f>
        <v>1000000</v>
      </c>
      <c r="X119" s="116">
        <f>X152*'Real values'!Y$4</f>
        <v>1000000.0000000001</v>
      </c>
      <c r="Y119" s="116">
        <f>Y152*'Real values'!Z$4</f>
        <v>1000000.0000000001</v>
      </c>
      <c r="Z119" s="116">
        <f>Z152*'Real values'!AA$4</f>
        <v>1000000.0000000002</v>
      </c>
      <c r="AA119" s="116">
        <f>AA152*'Real values'!AB$4</f>
        <v>1000000.0000000001</v>
      </c>
      <c r="AB119" s="116">
        <f>AB152*'Real values'!AC$4</f>
        <v>1000000.0000000001</v>
      </c>
      <c r="AC119" s="116">
        <f>AC152*'Real values'!AD$4</f>
        <v>0</v>
      </c>
      <c r="AD119" s="116">
        <f>AD152*'Real values'!AE$4</f>
        <v>0</v>
      </c>
      <c r="AE119" s="116">
        <f>AE152*'Real values'!AF$4</f>
        <v>0</v>
      </c>
      <c r="AF119" s="116">
        <f>AF152*'Real values'!AG$4</f>
        <v>0</v>
      </c>
      <c r="AG119" s="116">
        <f>AG152*'Real values'!AH$4</f>
        <v>0</v>
      </c>
      <c r="AH119" s="116">
        <f>AH152*'Real values'!AI$4</f>
        <v>0</v>
      </c>
      <c r="AI119" s="116">
        <f>AI152*'Real values'!AJ$4</f>
        <v>0</v>
      </c>
      <c r="AJ119" s="116">
        <f>AJ152*'Real values'!AK$4</f>
        <v>0</v>
      </c>
      <c r="AK119" s="116">
        <f>AK152*'Real values'!AL$4</f>
        <v>0</v>
      </c>
      <c r="AL119" s="116">
        <f>AL152*'Real values'!AM$4</f>
        <v>0</v>
      </c>
      <c r="AM119" s="116">
        <f>AM152*'Real values'!AN$4</f>
        <v>0</v>
      </c>
      <c r="AN119" s="116">
        <f>AN152*'Real values'!AO$4</f>
        <v>0</v>
      </c>
      <c r="AO119" s="116">
        <f>AO152*'Real values'!AP$4</f>
        <v>0</v>
      </c>
      <c r="AP119" s="116">
        <f>AP152*'Real values'!AQ$4</f>
        <v>0</v>
      </c>
      <c r="AQ119" s="116">
        <f>AQ152*'Real values'!AR$4</f>
        <v>0</v>
      </c>
      <c r="AR119" s="116">
        <f>AR152*'Real values'!AS$4</f>
        <v>0</v>
      </c>
      <c r="AS119" s="116">
        <f>AS152*'Real values'!AT$4</f>
        <v>0</v>
      </c>
      <c r="AT119" s="116">
        <f>AT152*'Real values'!AU$4</f>
        <v>0</v>
      </c>
      <c r="AU119" s="116">
        <f>AU152*'Real values'!AV$4</f>
        <v>0</v>
      </c>
      <c r="AV119" s="116">
        <f>AV152*'Real values'!AW$4</f>
        <v>0</v>
      </c>
      <c r="AW119" s="116">
        <f>AW152*'Real values'!AX$4</f>
        <v>0</v>
      </c>
      <c r="AX119" s="116">
        <f>AX152*'Real values'!AY$4</f>
        <v>0</v>
      </c>
      <c r="AY119" s="116">
        <f>AY152*'Real values'!AZ$4</f>
        <v>0</v>
      </c>
    </row>
    <row r="120" spans="1:51" x14ac:dyDescent="0.25">
      <c r="A120" s="4" t="s">
        <v>218</v>
      </c>
      <c r="B120" s="4"/>
      <c r="C120" s="4"/>
      <c r="D120" s="4"/>
      <c r="E120" s="4"/>
      <c r="F120" s="9" t="s">
        <v>49</v>
      </c>
      <c r="G120" s="116">
        <f>G119-G117</f>
        <v>75191.477135147201</v>
      </c>
      <c r="H120" s="116">
        <f t="shared" ref="H120:AY120" si="24">H119-H117</f>
        <v>61324.012332875864</v>
      </c>
      <c r="I120" s="116">
        <f t="shared" si="24"/>
        <v>47515.323734081467</v>
      </c>
      <c r="J120" s="116">
        <f t="shared" si="24"/>
        <v>33023.32235190738</v>
      </c>
      <c r="K120" s="116">
        <f t="shared" si="24"/>
        <v>18257.027180151432</v>
      </c>
      <c r="L120" s="116">
        <f t="shared" si="24"/>
        <v>3211.1718111970695</v>
      </c>
      <c r="M120" s="116">
        <f t="shared" si="24"/>
        <v>-12023.236224625609</v>
      </c>
      <c r="N120" s="116">
        <f t="shared" si="24"/>
        <v>-27681.470294147148</v>
      </c>
      <c r="O120" s="116">
        <f t="shared" si="24"/>
        <v>-44794.318335243384</v>
      </c>
      <c r="P120" s="116">
        <f t="shared" si="24"/>
        <v>-62268.526338305208</v>
      </c>
      <c r="Q120" s="116">
        <f t="shared" si="24"/>
        <v>-79797.993045858108</v>
      </c>
      <c r="R120" s="116">
        <f t="shared" si="24"/>
        <v>-97719.060015372932</v>
      </c>
      <c r="S120" s="116">
        <f t="shared" si="24"/>
        <v>-115957.51261675358</v>
      </c>
      <c r="T120" s="116">
        <f t="shared" si="24"/>
        <v>-134560.04944094992</v>
      </c>
      <c r="U120" s="116">
        <f t="shared" si="24"/>
        <v>-153536.35005051503</v>
      </c>
      <c r="V120" s="116">
        <f t="shared" si="24"/>
        <v>-172893.85551020014</v>
      </c>
      <c r="W120" s="116">
        <f t="shared" si="24"/>
        <v>-192640.25699569448</v>
      </c>
      <c r="X120" s="116">
        <f t="shared" si="24"/>
        <v>-212783.3576520636</v>
      </c>
      <c r="Y120" s="116">
        <f t="shared" si="24"/>
        <v>-233331.12390342366</v>
      </c>
      <c r="Z120" s="116">
        <f t="shared" si="24"/>
        <v>-254291.67741050967</v>
      </c>
      <c r="AA120" s="116">
        <f t="shared" si="24"/>
        <v>-275673.33529476484</v>
      </c>
      <c r="AB120" s="116">
        <f t="shared" si="24"/>
        <v>-297484.53592583246</v>
      </c>
      <c r="AC120" s="116">
        <f t="shared" si="24"/>
        <v>0</v>
      </c>
      <c r="AD120" s="116">
        <f t="shared" si="24"/>
        <v>0</v>
      </c>
      <c r="AE120" s="116">
        <f t="shared" si="24"/>
        <v>0</v>
      </c>
      <c r="AF120" s="116">
        <f t="shared" si="24"/>
        <v>0</v>
      </c>
      <c r="AG120" s="116">
        <f t="shared" si="24"/>
        <v>0</v>
      </c>
      <c r="AH120" s="116">
        <f t="shared" si="24"/>
        <v>0</v>
      </c>
      <c r="AI120" s="116">
        <f t="shared" si="24"/>
        <v>0</v>
      </c>
      <c r="AJ120" s="116">
        <f t="shared" si="24"/>
        <v>0</v>
      </c>
      <c r="AK120" s="116">
        <f t="shared" si="24"/>
        <v>0</v>
      </c>
      <c r="AL120" s="116">
        <f t="shared" si="24"/>
        <v>0</v>
      </c>
      <c r="AM120" s="116">
        <f t="shared" si="24"/>
        <v>0</v>
      </c>
      <c r="AN120" s="116">
        <f t="shared" si="24"/>
        <v>0</v>
      </c>
      <c r="AO120" s="116">
        <f t="shared" si="24"/>
        <v>0</v>
      </c>
      <c r="AP120" s="116">
        <f t="shared" si="24"/>
        <v>0</v>
      </c>
      <c r="AQ120" s="116">
        <f t="shared" si="24"/>
        <v>0</v>
      </c>
      <c r="AR120" s="116">
        <f t="shared" si="24"/>
        <v>0</v>
      </c>
      <c r="AS120" s="116">
        <f t="shared" si="24"/>
        <v>0</v>
      </c>
      <c r="AT120" s="116">
        <f t="shared" si="24"/>
        <v>0</v>
      </c>
      <c r="AU120" s="116">
        <f t="shared" si="24"/>
        <v>0</v>
      </c>
      <c r="AV120" s="116">
        <f t="shared" si="24"/>
        <v>0</v>
      </c>
      <c r="AW120" s="116">
        <f t="shared" si="24"/>
        <v>0</v>
      </c>
      <c r="AX120" s="116">
        <f t="shared" si="24"/>
        <v>0</v>
      </c>
      <c r="AY120" s="116">
        <f t="shared" si="24"/>
        <v>0</v>
      </c>
    </row>
    <row r="121" spans="1:51" x14ac:dyDescent="0.25">
      <c r="A121" s="4" t="s">
        <v>219</v>
      </c>
      <c r="B121" s="4"/>
      <c r="C121" s="4"/>
      <c r="D121" s="4"/>
      <c r="E121" s="4"/>
      <c r="F121" s="9" t="s">
        <v>49</v>
      </c>
      <c r="G121" s="116">
        <f>G119-G118</f>
        <v>75191.477135147201</v>
      </c>
      <c r="H121" s="116">
        <f t="shared" ref="H121:AY121" si="25">H119-H118</f>
        <v>61324.012332875864</v>
      </c>
      <c r="I121" s="116">
        <f t="shared" si="25"/>
        <v>47515.323734081467</v>
      </c>
      <c r="J121" s="116">
        <f t="shared" si="25"/>
        <v>33023.32235190738</v>
      </c>
      <c r="K121" s="116">
        <f t="shared" si="25"/>
        <v>18257.027180151432</v>
      </c>
      <c r="L121" s="116">
        <f t="shared" si="25"/>
        <v>3211.1718111970695</v>
      </c>
      <c r="M121" s="116">
        <f t="shared" si="25"/>
        <v>-12023.236224625609</v>
      </c>
      <c r="N121" s="116">
        <f t="shared" si="25"/>
        <v>-27681.470294147148</v>
      </c>
      <c r="O121" s="116">
        <f t="shared" si="25"/>
        <v>-44794.318335243384</v>
      </c>
      <c r="P121" s="116">
        <f t="shared" si="25"/>
        <v>-62268.526338305208</v>
      </c>
      <c r="Q121" s="116">
        <f t="shared" si="25"/>
        <v>-79797.993045858108</v>
      </c>
      <c r="R121" s="116">
        <f t="shared" si="25"/>
        <v>-97719.060015372932</v>
      </c>
      <c r="S121" s="116">
        <f t="shared" si="25"/>
        <v>-115957.51261675358</v>
      </c>
      <c r="T121" s="116">
        <f t="shared" si="25"/>
        <v>-134560.04944094992</v>
      </c>
      <c r="U121" s="116">
        <f t="shared" si="25"/>
        <v>-153536.35005051503</v>
      </c>
      <c r="V121" s="116">
        <f t="shared" si="25"/>
        <v>-172893.85551020014</v>
      </c>
      <c r="W121" s="116">
        <f t="shared" si="25"/>
        <v>-192640.25699569448</v>
      </c>
      <c r="X121" s="116">
        <f t="shared" si="25"/>
        <v>-212783.3576520636</v>
      </c>
      <c r="Y121" s="116">
        <f t="shared" si="25"/>
        <v>-233331.12390342366</v>
      </c>
      <c r="Z121" s="116">
        <f t="shared" si="25"/>
        <v>-254291.67741050967</v>
      </c>
      <c r="AA121" s="116">
        <f t="shared" si="25"/>
        <v>-275673.33529476484</v>
      </c>
      <c r="AB121" s="116">
        <f t="shared" si="25"/>
        <v>-297484.53592583246</v>
      </c>
      <c r="AC121" s="116">
        <f t="shared" si="25"/>
        <v>0</v>
      </c>
      <c r="AD121" s="116">
        <f t="shared" si="25"/>
        <v>0</v>
      </c>
      <c r="AE121" s="116">
        <f t="shared" si="25"/>
        <v>0</v>
      </c>
      <c r="AF121" s="116">
        <f t="shared" si="25"/>
        <v>0</v>
      </c>
      <c r="AG121" s="116">
        <f t="shared" si="25"/>
        <v>0</v>
      </c>
      <c r="AH121" s="116">
        <f t="shared" si="25"/>
        <v>0</v>
      </c>
      <c r="AI121" s="116">
        <f t="shared" si="25"/>
        <v>0</v>
      </c>
      <c r="AJ121" s="116">
        <f t="shared" si="25"/>
        <v>0</v>
      </c>
      <c r="AK121" s="116">
        <f t="shared" si="25"/>
        <v>0</v>
      </c>
      <c r="AL121" s="116">
        <f t="shared" si="25"/>
        <v>0</v>
      </c>
      <c r="AM121" s="116">
        <f t="shared" si="25"/>
        <v>0</v>
      </c>
      <c r="AN121" s="116">
        <f t="shared" si="25"/>
        <v>0</v>
      </c>
      <c r="AO121" s="116">
        <f t="shared" si="25"/>
        <v>0</v>
      </c>
      <c r="AP121" s="116">
        <f t="shared" si="25"/>
        <v>0</v>
      </c>
      <c r="AQ121" s="116">
        <f t="shared" si="25"/>
        <v>0</v>
      </c>
      <c r="AR121" s="116">
        <f t="shared" si="25"/>
        <v>0</v>
      </c>
      <c r="AS121" s="116">
        <f t="shared" si="25"/>
        <v>0</v>
      </c>
      <c r="AT121" s="116">
        <f t="shared" si="25"/>
        <v>0</v>
      </c>
      <c r="AU121" s="116">
        <f t="shared" si="25"/>
        <v>0</v>
      </c>
      <c r="AV121" s="116">
        <f t="shared" si="25"/>
        <v>0</v>
      </c>
      <c r="AW121" s="116">
        <f t="shared" si="25"/>
        <v>0</v>
      </c>
      <c r="AX121" s="116">
        <f t="shared" si="25"/>
        <v>0</v>
      </c>
      <c r="AY121" s="116">
        <f t="shared" si="25"/>
        <v>0</v>
      </c>
    </row>
    <row r="122" spans="1:51" x14ac:dyDescent="0.25">
      <c r="A122" s="4" t="s">
        <v>172</v>
      </c>
      <c r="B122" s="4"/>
      <c r="C122" s="4"/>
      <c r="D122" s="4"/>
      <c r="E122" s="4"/>
      <c r="F122" s="9" t="s">
        <v>49</v>
      </c>
      <c r="G122" s="116">
        <f>Inputs!H185</f>
        <v>0</v>
      </c>
      <c r="H122" s="116">
        <f>Inputs!I185</f>
        <v>0</v>
      </c>
      <c r="I122" s="116">
        <f>Inputs!J185</f>
        <v>0</v>
      </c>
      <c r="J122" s="116">
        <f>Inputs!K185</f>
        <v>0</v>
      </c>
      <c r="K122" s="116">
        <f>Inputs!L185</f>
        <v>0</v>
      </c>
      <c r="L122" s="116">
        <f>Inputs!M185</f>
        <v>0</v>
      </c>
      <c r="M122" s="116">
        <f>Inputs!N185</f>
        <v>0</v>
      </c>
      <c r="N122" s="116">
        <f>Inputs!O185</f>
        <v>0</v>
      </c>
      <c r="O122" s="116">
        <f>Inputs!P185</f>
        <v>0</v>
      </c>
      <c r="P122" s="116">
        <f>Inputs!Q185</f>
        <v>0</v>
      </c>
      <c r="Q122" s="116">
        <f>Inputs!R185</f>
        <v>0</v>
      </c>
      <c r="R122" s="116">
        <f>Inputs!S185</f>
        <v>0</v>
      </c>
      <c r="S122" s="116">
        <f>Inputs!T185</f>
        <v>0</v>
      </c>
      <c r="T122" s="116">
        <f>Inputs!U185</f>
        <v>0</v>
      </c>
      <c r="U122" s="116">
        <f>Inputs!V185</f>
        <v>0</v>
      </c>
      <c r="V122" s="116">
        <f>Inputs!W185</f>
        <v>0</v>
      </c>
      <c r="W122" s="116">
        <f>Inputs!X185</f>
        <v>0</v>
      </c>
      <c r="X122" s="116">
        <f>Inputs!Y185</f>
        <v>0</v>
      </c>
      <c r="Y122" s="116">
        <f>Inputs!Z185</f>
        <v>0</v>
      </c>
      <c r="Z122" s="116">
        <f>Inputs!AA185</f>
        <v>0</v>
      </c>
      <c r="AA122" s="116">
        <f>Inputs!AB185</f>
        <v>0</v>
      </c>
      <c r="AB122" s="116">
        <f>Inputs!AC185</f>
        <v>0</v>
      </c>
      <c r="AC122" s="116">
        <f>Inputs!AD185</f>
        <v>0</v>
      </c>
      <c r="AD122" s="116">
        <f>Inputs!AE185</f>
        <v>0</v>
      </c>
      <c r="AE122" s="116">
        <f>Inputs!AF185</f>
        <v>0</v>
      </c>
      <c r="AF122" s="116">
        <f>Inputs!AG185</f>
        <v>0</v>
      </c>
      <c r="AG122" s="116">
        <f>Inputs!AH185</f>
        <v>0</v>
      </c>
      <c r="AH122" s="116">
        <f>Inputs!AI185</f>
        <v>0</v>
      </c>
      <c r="AI122" s="116">
        <f>Inputs!AJ185</f>
        <v>0</v>
      </c>
      <c r="AJ122" s="116">
        <f>Inputs!AK185</f>
        <v>0</v>
      </c>
      <c r="AK122" s="116">
        <f>Inputs!AL185</f>
        <v>0</v>
      </c>
      <c r="AL122" s="116">
        <f>Inputs!AM185</f>
        <v>0</v>
      </c>
      <c r="AM122" s="116">
        <f>Inputs!AN185</f>
        <v>0</v>
      </c>
      <c r="AN122" s="116">
        <f>Inputs!AO185</f>
        <v>0</v>
      </c>
      <c r="AO122" s="116">
        <f>Inputs!AP185</f>
        <v>0</v>
      </c>
      <c r="AP122" s="116">
        <f>Inputs!AQ185</f>
        <v>0</v>
      </c>
      <c r="AQ122" s="116">
        <f>Inputs!AR185</f>
        <v>0</v>
      </c>
      <c r="AR122" s="116">
        <f>Inputs!AS185</f>
        <v>0</v>
      </c>
      <c r="AS122" s="116">
        <f>Inputs!AT185</f>
        <v>0</v>
      </c>
      <c r="AT122" s="116">
        <f>Inputs!AU185</f>
        <v>0</v>
      </c>
      <c r="AU122" s="116">
        <f>Inputs!AV185</f>
        <v>0</v>
      </c>
      <c r="AV122" s="116">
        <f>Inputs!AW185</f>
        <v>0</v>
      </c>
      <c r="AW122" s="116">
        <f>Inputs!AX185</f>
        <v>0</v>
      </c>
      <c r="AX122" s="116">
        <f>Inputs!AY185</f>
        <v>0</v>
      </c>
      <c r="AY122" s="116">
        <f>Inputs!AZ185</f>
        <v>0</v>
      </c>
    </row>
    <row r="123" spans="1:51" x14ac:dyDescent="0.25">
      <c r="A123" s="4" t="s">
        <v>220</v>
      </c>
      <c r="B123" s="4"/>
      <c r="C123" s="4"/>
      <c r="D123" s="4"/>
      <c r="E123" s="4"/>
      <c r="F123" s="9" t="s">
        <v>49</v>
      </c>
      <c r="G123" s="116">
        <f>G120-G122</f>
        <v>75191.477135147201</v>
      </c>
      <c r="H123" s="116">
        <f t="shared" ref="H123:AY123" si="26">H120-H122</f>
        <v>61324.012332875864</v>
      </c>
      <c r="I123" s="116">
        <f t="shared" si="26"/>
        <v>47515.323734081467</v>
      </c>
      <c r="J123" s="116">
        <f t="shared" si="26"/>
        <v>33023.32235190738</v>
      </c>
      <c r="K123" s="116">
        <f t="shared" si="26"/>
        <v>18257.027180151432</v>
      </c>
      <c r="L123" s="116">
        <f t="shared" si="26"/>
        <v>3211.1718111970695</v>
      </c>
      <c r="M123" s="116">
        <f t="shared" si="26"/>
        <v>-12023.236224625609</v>
      </c>
      <c r="N123" s="116">
        <f t="shared" si="26"/>
        <v>-27681.470294147148</v>
      </c>
      <c r="O123" s="116">
        <f t="shared" si="26"/>
        <v>-44794.318335243384</v>
      </c>
      <c r="P123" s="116">
        <f t="shared" si="26"/>
        <v>-62268.526338305208</v>
      </c>
      <c r="Q123" s="116">
        <f t="shared" si="26"/>
        <v>-79797.993045858108</v>
      </c>
      <c r="R123" s="116">
        <f t="shared" si="26"/>
        <v>-97719.060015372932</v>
      </c>
      <c r="S123" s="116">
        <f t="shared" si="26"/>
        <v>-115957.51261675358</v>
      </c>
      <c r="T123" s="116">
        <f t="shared" si="26"/>
        <v>-134560.04944094992</v>
      </c>
      <c r="U123" s="116">
        <f t="shared" si="26"/>
        <v>-153536.35005051503</v>
      </c>
      <c r="V123" s="116">
        <f t="shared" si="26"/>
        <v>-172893.85551020014</v>
      </c>
      <c r="W123" s="116">
        <f t="shared" si="26"/>
        <v>-192640.25699569448</v>
      </c>
      <c r="X123" s="116">
        <f t="shared" si="26"/>
        <v>-212783.3576520636</v>
      </c>
      <c r="Y123" s="116">
        <f t="shared" si="26"/>
        <v>-233331.12390342366</v>
      </c>
      <c r="Z123" s="116">
        <f t="shared" si="26"/>
        <v>-254291.67741050967</v>
      </c>
      <c r="AA123" s="116">
        <f t="shared" si="26"/>
        <v>-275673.33529476484</v>
      </c>
      <c r="AB123" s="116">
        <f t="shared" si="26"/>
        <v>-297484.53592583246</v>
      </c>
      <c r="AC123" s="116">
        <f t="shared" si="26"/>
        <v>0</v>
      </c>
      <c r="AD123" s="116">
        <f t="shared" si="26"/>
        <v>0</v>
      </c>
      <c r="AE123" s="116">
        <f t="shared" si="26"/>
        <v>0</v>
      </c>
      <c r="AF123" s="116">
        <f t="shared" si="26"/>
        <v>0</v>
      </c>
      <c r="AG123" s="116">
        <f t="shared" si="26"/>
        <v>0</v>
      </c>
      <c r="AH123" s="116">
        <f t="shared" si="26"/>
        <v>0</v>
      </c>
      <c r="AI123" s="116">
        <f t="shared" si="26"/>
        <v>0</v>
      </c>
      <c r="AJ123" s="116">
        <f t="shared" si="26"/>
        <v>0</v>
      </c>
      <c r="AK123" s="116">
        <f t="shared" si="26"/>
        <v>0</v>
      </c>
      <c r="AL123" s="116">
        <f t="shared" si="26"/>
        <v>0</v>
      </c>
      <c r="AM123" s="116">
        <f t="shared" si="26"/>
        <v>0</v>
      </c>
      <c r="AN123" s="116">
        <f t="shared" si="26"/>
        <v>0</v>
      </c>
      <c r="AO123" s="116">
        <f t="shared" si="26"/>
        <v>0</v>
      </c>
      <c r="AP123" s="116">
        <f t="shared" si="26"/>
        <v>0</v>
      </c>
      <c r="AQ123" s="116">
        <f t="shared" si="26"/>
        <v>0</v>
      </c>
      <c r="AR123" s="116">
        <f t="shared" si="26"/>
        <v>0</v>
      </c>
      <c r="AS123" s="116">
        <f t="shared" si="26"/>
        <v>0</v>
      </c>
      <c r="AT123" s="116">
        <f t="shared" si="26"/>
        <v>0</v>
      </c>
      <c r="AU123" s="116">
        <f t="shared" si="26"/>
        <v>0</v>
      </c>
      <c r="AV123" s="116">
        <f t="shared" si="26"/>
        <v>0</v>
      </c>
      <c r="AW123" s="116">
        <f t="shared" si="26"/>
        <v>0</v>
      </c>
      <c r="AX123" s="116">
        <f t="shared" si="26"/>
        <v>0</v>
      </c>
      <c r="AY123" s="116">
        <f t="shared" si="26"/>
        <v>0</v>
      </c>
    </row>
    <row r="124" spans="1:51" x14ac:dyDescent="0.25">
      <c r="A124" s="4" t="s">
        <v>221</v>
      </c>
      <c r="B124" s="4"/>
      <c r="C124" s="4"/>
      <c r="D124" s="4"/>
      <c r="E124" s="4"/>
      <c r="F124" s="9" t="s">
        <v>49</v>
      </c>
      <c r="G124" s="116">
        <f>G121-G122</f>
        <v>75191.477135147201</v>
      </c>
      <c r="H124" s="116">
        <f t="shared" ref="H124:AY124" si="27">H121-H122</f>
        <v>61324.012332875864</v>
      </c>
      <c r="I124" s="116">
        <f t="shared" si="27"/>
        <v>47515.323734081467</v>
      </c>
      <c r="J124" s="116">
        <f t="shared" si="27"/>
        <v>33023.32235190738</v>
      </c>
      <c r="K124" s="116">
        <f t="shared" si="27"/>
        <v>18257.027180151432</v>
      </c>
      <c r="L124" s="116">
        <f t="shared" si="27"/>
        <v>3211.1718111970695</v>
      </c>
      <c r="M124" s="116">
        <f t="shared" si="27"/>
        <v>-12023.236224625609</v>
      </c>
      <c r="N124" s="116">
        <f t="shared" si="27"/>
        <v>-27681.470294147148</v>
      </c>
      <c r="O124" s="116">
        <f t="shared" si="27"/>
        <v>-44794.318335243384</v>
      </c>
      <c r="P124" s="116">
        <f t="shared" si="27"/>
        <v>-62268.526338305208</v>
      </c>
      <c r="Q124" s="116">
        <f t="shared" si="27"/>
        <v>-79797.993045858108</v>
      </c>
      <c r="R124" s="116">
        <f t="shared" si="27"/>
        <v>-97719.060015372932</v>
      </c>
      <c r="S124" s="116">
        <f t="shared" si="27"/>
        <v>-115957.51261675358</v>
      </c>
      <c r="T124" s="116">
        <f t="shared" si="27"/>
        <v>-134560.04944094992</v>
      </c>
      <c r="U124" s="116">
        <f t="shared" si="27"/>
        <v>-153536.35005051503</v>
      </c>
      <c r="V124" s="116">
        <f t="shared" si="27"/>
        <v>-172893.85551020014</v>
      </c>
      <c r="W124" s="116">
        <f t="shared" si="27"/>
        <v>-192640.25699569448</v>
      </c>
      <c r="X124" s="116">
        <f t="shared" si="27"/>
        <v>-212783.3576520636</v>
      </c>
      <c r="Y124" s="116">
        <f t="shared" si="27"/>
        <v>-233331.12390342366</v>
      </c>
      <c r="Z124" s="116">
        <f t="shared" si="27"/>
        <v>-254291.67741050967</v>
      </c>
      <c r="AA124" s="116">
        <f t="shared" si="27"/>
        <v>-275673.33529476484</v>
      </c>
      <c r="AB124" s="116">
        <f t="shared" si="27"/>
        <v>-297484.53592583246</v>
      </c>
      <c r="AC124" s="116">
        <f t="shared" si="27"/>
        <v>0</v>
      </c>
      <c r="AD124" s="116">
        <f t="shared" si="27"/>
        <v>0</v>
      </c>
      <c r="AE124" s="116">
        <f t="shared" si="27"/>
        <v>0</v>
      </c>
      <c r="AF124" s="116">
        <f t="shared" si="27"/>
        <v>0</v>
      </c>
      <c r="AG124" s="116">
        <f t="shared" si="27"/>
        <v>0</v>
      </c>
      <c r="AH124" s="116">
        <f t="shared" si="27"/>
        <v>0</v>
      </c>
      <c r="AI124" s="116">
        <f t="shared" si="27"/>
        <v>0</v>
      </c>
      <c r="AJ124" s="116">
        <f t="shared" si="27"/>
        <v>0</v>
      </c>
      <c r="AK124" s="116">
        <f t="shared" si="27"/>
        <v>0</v>
      </c>
      <c r="AL124" s="116">
        <f t="shared" si="27"/>
        <v>0</v>
      </c>
      <c r="AM124" s="116">
        <f t="shared" si="27"/>
        <v>0</v>
      </c>
      <c r="AN124" s="116">
        <f t="shared" si="27"/>
        <v>0</v>
      </c>
      <c r="AO124" s="116">
        <f t="shared" si="27"/>
        <v>0</v>
      </c>
      <c r="AP124" s="116">
        <f t="shared" si="27"/>
        <v>0</v>
      </c>
      <c r="AQ124" s="116">
        <f t="shared" si="27"/>
        <v>0</v>
      </c>
      <c r="AR124" s="116">
        <f t="shared" si="27"/>
        <v>0</v>
      </c>
      <c r="AS124" s="116">
        <f t="shared" si="27"/>
        <v>0</v>
      </c>
      <c r="AT124" s="116">
        <f t="shared" si="27"/>
        <v>0</v>
      </c>
      <c r="AU124" s="116">
        <f t="shared" si="27"/>
        <v>0</v>
      </c>
      <c r="AV124" s="116">
        <f t="shared" si="27"/>
        <v>0</v>
      </c>
      <c r="AW124" s="116">
        <f t="shared" si="27"/>
        <v>0</v>
      </c>
      <c r="AX124" s="116">
        <f t="shared" si="27"/>
        <v>0</v>
      </c>
      <c r="AY124" s="116">
        <f t="shared" si="27"/>
        <v>0</v>
      </c>
    </row>
    <row r="125" spans="1:51"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spans="1:51" ht="18.75" x14ac:dyDescent="0.3">
      <c r="A126" s="18" t="s">
        <v>154</v>
      </c>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15"/>
      <c r="AF126" s="115"/>
      <c r="AG126" s="115"/>
      <c r="AH126" s="115"/>
      <c r="AI126" s="115"/>
      <c r="AJ126" s="115"/>
      <c r="AK126" s="115"/>
      <c r="AL126" s="115"/>
      <c r="AM126" s="115"/>
      <c r="AN126" s="115"/>
      <c r="AO126" s="115"/>
      <c r="AP126" s="115"/>
      <c r="AQ126" s="115"/>
      <c r="AR126" s="115"/>
      <c r="AS126" s="115"/>
      <c r="AT126" s="115"/>
      <c r="AU126" s="115"/>
      <c r="AV126" s="115"/>
      <c r="AW126" s="115"/>
      <c r="AX126" s="115"/>
      <c r="AY126" s="115"/>
    </row>
    <row r="127" spans="1:51" x14ac:dyDescent="0.25">
      <c r="A127" s="52" t="s">
        <v>50</v>
      </c>
      <c r="B127" s="47"/>
      <c r="C127" s="47"/>
      <c r="D127" s="47"/>
      <c r="E127" s="47"/>
      <c r="F127" s="47"/>
      <c r="G127" s="49">
        <f>Start_Yr</f>
        <v>2026</v>
      </c>
      <c r="H127" s="49">
        <f t="shared" ref="H127:AY127" si="28">G127+1</f>
        <v>2027</v>
      </c>
      <c r="I127" s="49">
        <f t="shared" si="28"/>
        <v>2028</v>
      </c>
      <c r="J127" s="49">
        <f t="shared" si="28"/>
        <v>2029</v>
      </c>
      <c r="K127" s="49">
        <f t="shared" si="28"/>
        <v>2030</v>
      </c>
      <c r="L127" s="49">
        <f t="shared" si="28"/>
        <v>2031</v>
      </c>
      <c r="M127" s="49">
        <f t="shared" si="28"/>
        <v>2032</v>
      </c>
      <c r="N127" s="49">
        <f t="shared" si="28"/>
        <v>2033</v>
      </c>
      <c r="O127" s="49">
        <f t="shared" si="28"/>
        <v>2034</v>
      </c>
      <c r="P127" s="49">
        <f t="shared" si="28"/>
        <v>2035</v>
      </c>
      <c r="Q127" s="49">
        <f t="shared" si="28"/>
        <v>2036</v>
      </c>
      <c r="R127" s="49">
        <f t="shared" si="28"/>
        <v>2037</v>
      </c>
      <c r="S127" s="49">
        <f t="shared" si="28"/>
        <v>2038</v>
      </c>
      <c r="T127" s="49">
        <f t="shared" si="28"/>
        <v>2039</v>
      </c>
      <c r="U127" s="49">
        <f t="shared" si="28"/>
        <v>2040</v>
      </c>
      <c r="V127" s="49">
        <f t="shared" si="28"/>
        <v>2041</v>
      </c>
      <c r="W127" s="49">
        <f t="shared" si="28"/>
        <v>2042</v>
      </c>
      <c r="X127" s="49">
        <f t="shared" si="28"/>
        <v>2043</v>
      </c>
      <c r="Y127" s="49">
        <f t="shared" si="28"/>
        <v>2044</v>
      </c>
      <c r="Z127" s="49">
        <f t="shared" si="28"/>
        <v>2045</v>
      </c>
      <c r="AA127" s="49">
        <f t="shared" si="28"/>
        <v>2046</v>
      </c>
      <c r="AB127" s="49">
        <f t="shared" si="28"/>
        <v>2047</v>
      </c>
      <c r="AC127" s="49">
        <f t="shared" si="28"/>
        <v>2048</v>
      </c>
      <c r="AD127" s="49">
        <f t="shared" si="28"/>
        <v>2049</v>
      </c>
      <c r="AE127" s="49">
        <f t="shared" si="28"/>
        <v>2050</v>
      </c>
      <c r="AF127" s="49">
        <f t="shared" si="28"/>
        <v>2051</v>
      </c>
      <c r="AG127" s="49">
        <f t="shared" si="28"/>
        <v>2052</v>
      </c>
      <c r="AH127" s="49">
        <f t="shared" si="28"/>
        <v>2053</v>
      </c>
      <c r="AI127" s="49">
        <f t="shared" si="28"/>
        <v>2054</v>
      </c>
      <c r="AJ127" s="49">
        <f t="shared" si="28"/>
        <v>2055</v>
      </c>
      <c r="AK127" s="49">
        <f t="shared" si="28"/>
        <v>2056</v>
      </c>
      <c r="AL127" s="49">
        <f t="shared" si="28"/>
        <v>2057</v>
      </c>
      <c r="AM127" s="49">
        <f t="shared" si="28"/>
        <v>2058</v>
      </c>
      <c r="AN127" s="49">
        <f t="shared" si="28"/>
        <v>2059</v>
      </c>
      <c r="AO127" s="49">
        <f t="shared" si="28"/>
        <v>2060</v>
      </c>
      <c r="AP127" s="49">
        <f t="shared" si="28"/>
        <v>2061</v>
      </c>
      <c r="AQ127" s="49">
        <f t="shared" si="28"/>
        <v>2062</v>
      </c>
      <c r="AR127" s="49">
        <f t="shared" si="28"/>
        <v>2063</v>
      </c>
      <c r="AS127" s="49">
        <f t="shared" si="28"/>
        <v>2064</v>
      </c>
      <c r="AT127" s="49">
        <f t="shared" si="28"/>
        <v>2065</v>
      </c>
      <c r="AU127" s="49">
        <f t="shared" si="28"/>
        <v>2066</v>
      </c>
      <c r="AV127" s="49">
        <f t="shared" si="28"/>
        <v>2067</v>
      </c>
      <c r="AW127" s="49">
        <f t="shared" si="28"/>
        <v>2068</v>
      </c>
      <c r="AX127" s="49">
        <f t="shared" si="28"/>
        <v>2069</v>
      </c>
      <c r="AY127" s="49">
        <f t="shared" si="28"/>
        <v>2070</v>
      </c>
    </row>
    <row r="128" spans="1:51" x14ac:dyDescent="0.25">
      <c r="A128" s="201" t="s">
        <v>213</v>
      </c>
      <c r="B128" s="3"/>
      <c r="C128" s="3"/>
      <c r="D128" s="3"/>
      <c r="E128" s="3"/>
      <c r="F128" s="20" t="s">
        <v>124</v>
      </c>
      <c r="G128" s="113">
        <f>G130-G129</f>
        <v>1253537.816689681</v>
      </c>
      <c r="H128" s="113">
        <f t="shared" ref="H128:AY128" si="29">H130-H129</f>
        <v>783408.66684675869</v>
      </c>
      <c r="I128" s="113">
        <f t="shared" si="29"/>
        <v>0</v>
      </c>
      <c r="J128" s="113">
        <f t="shared" si="29"/>
        <v>0</v>
      </c>
      <c r="K128" s="113">
        <f t="shared" si="29"/>
        <v>0</v>
      </c>
      <c r="L128" s="113">
        <f t="shared" si="29"/>
        <v>0</v>
      </c>
      <c r="M128" s="113">
        <f t="shared" si="29"/>
        <v>0</v>
      </c>
      <c r="N128" s="113">
        <f t="shared" si="29"/>
        <v>0</v>
      </c>
      <c r="O128" s="113">
        <f t="shared" si="29"/>
        <v>0</v>
      </c>
      <c r="P128" s="113">
        <f t="shared" si="29"/>
        <v>0</v>
      </c>
      <c r="Q128" s="113">
        <f t="shared" si="29"/>
        <v>0</v>
      </c>
      <c r="R128" s="113">
        <f t="shared" si="29"/>
        <v>0</v>
      </c>
      <c r="S128" s="113">
        <f t="shared" si="29"/>
        <v>0</v>
      </c>
      <c r="T128" s="113">
        <f t="shared" si="29"/>
        <v>0</v>
      </c>
      <c r="U128" s="113">
        <f t="shared" si="29"/>
        <v>0</v>
      </c>
      <c r="V128" s="113">
        <f t="shared" si="29"/>
        <v>0</v>
      </c>
      <c r="W128" s="113">
        <f t="shared" si="29"/>
        <v>0</v>
      </c>
      <c r="X128" s="113">
        <f t="shared" si="29"/>
        <v>0</v>
      </c>
      <c r="Y128" s="113">
        <f t="shared" si="29"/>
        <v>0</v>
      </c>
      <c r="Z128" s="113">
        <f t="shared" si="29"/>
        <v>0</v>
      </c>
      <c r="AA128" s="113">
        <f t="shared" si="29"/>
        <v>0</v>
      </c>
      <c r="AB128" s="113">
        <f t="shared" si="29"/>
        <v>0</v>
      </c>
      <c r="AC128" s="113">
        <f t="shared" si="29"/>
        <v>0</v>
      </c>
      <c r="AD128" s="113">
        <f t="shared" si="29"/>
        <v>0</v>
      </c>
      <c r="AE128" s="113">
        <f t="shared" si="29"/>
        <v>0</v>
      </c>
      <c r="AF128" s="113">
        <f t="shared" si="29"/>
        <v>0</v>
      </c>
      <c r="AG128" s="113">
        <f t="shared" si="29"/>
        <v>0</v>
      </c>
      <c r="AH128" s="113">
        <f t="shared" si="29"/>
        <v>0</v>
      </c>
      <c r="AI128" s="113">
        <f t="shared" si="29"/>
        <v>0</v>
      </c>
      <c r="AJ128" s="113">
        <f t="shared" si="29"/>
        <v>0</v>
      </c>
      <c r="AK128" s="113">
        <f t="shared" si="29"/>
        <v>0</v>
      </c>
      <c r="AL128" s="113">
        <f t="shared" si="29"/>
        <v>0</v>
      </c>
      <c r="AM128" s="113">
        <f t="shared" si="29"/>
        <v>0</v>
      </c>
      <c r="AN128" s="113">
        <f t="shared" si="29"/>
        <v>0</v>
      </c>
      <c r="AO128" s="113">
        <f t="shared" si="29"/>
        <v>0</v>
      </c>
      <c r="AP128" s="113">
        <f t="shared" si="29"/>
        <v>0</v>
      </c>
      <c r="AQ128" s="113">
        <f t="shared" si="29"/>
        <v>0</v>
      </c>
      <c r="AR128" s="113">
        <f t="shared" si="29"/>
        <v>0</v>
      </c>
      <c r="AS128" s="113">
        <f t="shared" si="29"/>
        <v>0</v>
      </c>
      <c r="AT128" s="113">
        <f t="shared" si="29"/>
        <v>0</v>
      </c>
      <c r="AU128" s="113">
        <f t="shared" si="29"/>
        <v>0</v>
      </c>
      <c r="AV128" s="113">
        <f t="shared" si="29"/>
        <v>0</v>
      </c>
      <c r="AW128" s="113">
        <f t="shared" si="29"/>
        <v>0</v>
      </c>
      <c r="AX128" s="113">
        <f t="shared" si="29"/>
        <v>0</v>
      </c>
      <c r="AY128" s="113">
        <f t="shared" si="29"/>
        <v>0</v>
      </c>
    </row>
    <row r="129" spans="1:51" x14ac:dyDescent="0.25">
      <c r="A129" s="201" t="s">
        <v>214</v>
      </c>
      <c r="B129" s="3"/>
      <c r="C129" s="3"/>
      <c r="D129" s="3"/>
      <c r="E129" s="3"/>
      <c r="F129" s="20" t="s">
        <v>124</v>
      </c>
      <c r="G129" s="113">
        <f>'Real values'!H136</f>
        <v>0</v>
      </c>
      <c r="H129" s="113">
        <f>'Real values'!I136</f>
        <v>0</v>
      </c>
      <c r="I129" s="113">
        <f>'Real values'!J136</f>
        <v>0</v>
      </c>
      <c r="J129" s="113">
        <f>'Real values'!K136</f>
        <v>0</v>
      </c>
      <c r="K129" s="113">
        <f>'Real values'!L136</f>
        <v>0</v>
      </c>
      <c r="L129" s="113">
        <f>'Real values'!M136</f>
        <v>0</v>
      </c>
      <c r="M129" s="113">
        <f>'Real values'!N136</f>
        <v>0</v>
      </c>
      <c r="N129" s="113">
        <f>'Real values'!O136</f>
        <v>0</v>
      </c>
      <c r="O129" s="113">
        <f>'Real values'!P136</f>
        <v>0</v>
      </c>
      <c r="P129" s="113">
        <f>'Real values'!Q136</f>
        <v>0</v>
      </c>
      <c r="Q129" s="113">
        <f>'Real values'!R136</f>
        <v>0</v>
      </c>
      <c r="R129" s="113">
        <f>'Real values'!S136</f>
        <v>0</v>
      </c>
      <c r="S129" s="113">
        <f>'Real values'!T136</f>
        <v>0</v>
      </c>
      <c r="T129" s="113">
        <f>'Real values'!U136</f>
        <v>0</v>
      </c>
      <c r="U129" s="113">
        <f>'Real values'!V136</f>
        <v>0</v>
      </c>
      <c r="V129" s="113">
        <f>'Real values'!W136</f>
        <v>0</v>
      </c>
      <c r="W129" s="113">
        <f>'Real values'!X136</f>
        <v>0</v>
      </c>
      <c r="X129" s="113">
        <f>'Real values'!Y136</f>
        <v>0</v>
      </c>
      <c r="Y129" s="113">
        <f>'Real values'!Z136</f>
        <v>0</v>
      </c>
      <c r="Z129" s="113">
        <f>'Real values'!AA136</f>
        <v>0</v>
      </c>
      <c r="AA129" s="113">
        <f>'Real values'!AB136</f>
        <v>0</v>
      </c>
      <c r="AB129" s="113">
        <f>'Real values'!AC136</f>
        <v>0</v>
      </c>
      <c r="AC129" s="113">
        <f>'Real values'!AD136</f>
        <v>0</v>
      </c>
      <c r="AD129" s="113">
        <f>'Real values'!AE136</f>
        <v>0</v>
      </c>
      <c r="AE129" s="113">
        <f>'Real values'!AF136</f>
        <v>0</v>
      </c>
      <c r="AF129" s="113">
        <f>'Real values'!AG136</f>
        <v>0</v>
      </c>
      <c r="AG129" s="113">
        <f>'Real values'!AH136</f>
        <v>0</v>
      </c>
      <c r="AH129" s="113">
        <f>'Real values'!AI136</f>
        <v>0</v>
      </c>
      <c r="AI129" s="113">
        <f>'Real values'!AJ136</f>
        <v>0</v>
      </c>
      <c r="AJ129" s="113">
        <f>'Real values'!AK136</f>
        <v>0</v>
      </c>
      <c r="AK129" s="113">
        <f>'Real values'!AL136</f>
        <v>0</v>
      </c>
      <c r="AL129" s="113">
        <f>'Real values'!AM136</f>
        <v>0</v>
      </c>
      <c r="AM129" s="113">
        <f>'Real values'!AN136</f>
        <v>0</v>
      </c>
      <c r="AN129" s="113">
        <f>'Real values'!AO136</f>
        <v>0</v>
      </c>
      <c r="AO129" s="113">
        <f>'Real values'!AP136</f>
        <v>0</v>
      </c>
      <c r="AP129" s="113">
        <f>'Real values'!AQ136</f>
        <v>0</v>
      </c>
      <c r="AQ129" s="113">
        <f>'Real values'!AR136</f>
        <v>0</v>
      </c>
      <c r="AR129" s="113">
        <f>'Real values'!AS136</f>
        <v>0</v>
      </c>
      <c r="AS129" s="113">
        <f>'Real values'!AT136</f>
        <v>0</v>
      </c>
      <c r="AT129" s="113">
        <f>'Real values'!AU136</f>
        <v>0</v>
      </c>
      <c r="AU129" s="113">
        <f>'Real values'!AV136</f>
        <v>0</v>
      </c>
      <c r="AV129" s="113">
        <f>'Real values'!AW136</f>
        <v>0</v>
      </c>
      <c r="AW129" s="113">
        <f>'Real values'!AX136</f>
        <v>0</v>
      </c>
      <c r="AX129" s="113">
        <f>'Real values'!AY136</f>
        <v>0</v>
      </c>
      <c r="AY129" s="113">
        <f>'Real values'!AZ136</f>
        <v>0</v>
      </c>
    </row>
    <row r="130" spans="1:51" x14ac:dyDescent="0.25">
      <c r="A130" s="6" t="s">
        <v>215</v>
      </c>
      <c r="B130" s="3"/>
      <c r="C130" s="3"/>
      <c r="D130" s="3"/>
      <c r="E130" s="3"/>
      <c r="F130" s="20" t="s">
        <v>124</v>
      </c>
      <c r="G130" s="113">
        <f t="shared" ref="G130:AY130" si="30">C52</f>
        <v>1253537.816689681</v>
      </c>
      <c r="H130" s="113">
        <f t="shared" si="30"/>
        <v>783408.66684675869</v>
      </c>
      <c r="I130" s="113">
        <f t="shared" si="30"/>
        <v>0</v>
      </c>
      <c r="J130" s="113">
        <f t="shared" si="30"/>
        <v>0</v>
      </c>
      <c r="K130" s="113">
        <f t="shared" si="30"/>
        <v>0</v>
      </c>
      <c r="L130" s="113">
        <f t="shared" si="30"/>
        <v>0</v>
      </c>
      <c r="M130" s="113">
        <f t="shared" si="30"/>
        <v>0</v>
      </c>
      <c r="N130" s="113">
        <f t="shared" si="30"/>
        <v>0</v>
      </c>
      <c r="O130" s="113">
        <f t="shared" si="30"/>
        <v>0</v>
      </c>
      <c r="P130" s="113">
        <f t="shared" si="30"/>
        <v>0</v>
      </c>
      <c r="Q130" s="113">
        <f t="shared" si="30"/>
        <v>0</v>
      </c>
      <c r="R130" s="113">
        <f t="shared" si="30"/>
        <v>0</v>
      </c>
      <c r="S130" s="113">
        <f t="shared" si="30"/>
        <v>0</v>
      </c>
      <c r="T130" s="113">
        <f t="shared" si="30"/>
        <v>0</v>
      </c>
      <c r="U130" s="113">
        <f t="shared" si="30"/>
        <v>0</v>
      </c>
      <c r="V130" s="113">
        <f t="shared" si="30"/>
        <v>0</v>
      </c>
      <c r="W130" s="113">
        <f t="shared" si="30"/>
        <v>0</v>
      </c>
      <c r="X130" s="113">
        <f t="shared" si="30"/>
        <v>0</v>
      </c>
      <c r="Y130" s="113">
        <f t="shared" si="30"/>
        <v>0</v>
      </c>
      <c r="Z130" s="113">
        <f t="shared" si="30"/>
        <v>0</v>
      </c>
      <c r="AA130" s="113">
        <f t="shared" si="30"/>
        <v>0</v>
      </c>
      <c r="AB130" s="113">
        <f t="shared" si="30"/>
        <v>0</v>
      </c>
      <c r="AC130" s="113">
        <f t="shared" si="30"/>
        <v>0</v>
      </c>
      <c r="AD130" s="113">
        <f t="shared" si="30"/>
        <v>0</v>
      </c>
      <c r="AE130" s="113">
        <f t="shared" si="30"/>
        <v>0</v>
      </c>
      <c r="AF130" s="113">
        <f t="shared" si="30"/>
        <v>0</v>
      </c>
      <c r="AG130" s="113">
        <f t="shared" si="30"/>
        <v>0</v>
      </c>
      <c r="AH130" s="113">
        <f t="shared" si="30"/>
        <v>0</v>
      </c>
      <c r="AI130" s="113">
        <f t="shared" si="30"/>
        <v>0</v>
      </c>
      <c r="AJ130" s="113">
        <f t="shared" si="30"/>
        <v>0</v>
      </c>
      <c r="AK130" s="113">
        <f t="shared" si="30"/>
        <v>0</v>
      </c>
      <c r="AL130" s="113">
        <f t="shared" si="30"/>
        <v>0</v>
      </c>
      <c r="AM130" s="113">
        <f t="shared" si="30"/>
        <v>0</v>
      </c>
      <c r="AN130" s="113">
        <f t="shared" si="30"/>
        <v>0</v>
      </c>
      <c r="AO130" s="113">
        <f t="shared" si="30"/>
        <v>0</v>
      </c>
      <c r="AP130" s="113">
        <f t="shared" si="30"/>
        <v>0</v>
      </c>
      <c r="AQ130" s="113">
        <f t="shared" si="30"/>
        <v>0</v>
      </c>
      <c r="AR130" s="113">
        <f t="shared" si="30"/>
        <v>0</v>
      </c>
      <c r="AS130" s="113">
        <f t="shared" si="30"/>
        <v>0</v>
      </c>
      <c r="AT130" s="113">
        <f t="shared" si="30"/>
        <v>0</v>
      </c>
      <c r="AU130" s="113">
        <f t="shared" si="30"/>
        <v>0</v>
      </c>
      <c r="AV130" s="113">
        <f t="shared" si="30"/>
        <v>0</v>
      </c>
      <c r="AW130" s="113">
        <f t="shared" si="30"/>
        <v>0</v>
      </c>
      <c r="AX130" s="113">
        <f t="shared" si="30"/>
        <v>0</v>
      </c>
      <c r="AY130" s="113">
        <f t="shared" si="30"/>
        <v>0</v>
      </c>
    </row>
    <row r="131" spans="1:51" x14ac:dyDescent="0.25">
      <c r="A131" s="4" t="s">
        <v>148</v>
      </c>
      <c r="B131" s="4"/>
      <c r="C131" s="4"/>
      <c r="D131" s="4"/>
      <c r="E131" s="4"/>
      <c r="F131" s="20" t="s">
        <v>124</v>
      </c>
      <c r="G131" s="113">
        <f>'Real values'!H39</f>
        <v>127312.43450754572</v>
      </c>
      <c r="H131" s="113">
        <f>'Real values'!I39</f>
        <v>124803.87658812442</v>
      </c>
      <c r="I131" s="113">
        <f>'Real values'!J39</f>
        <v>112933.61277231442</v>
      </c>
      <c r="J131" s="113">
        <f>'Real values'!K39</f>
        <v>110708.37444595079</v>
      </c>
      <c r="K131" s="113">
        <f>'Real values'!L39</f>
        <v>108526.98210562767</v>
      </c>
      <c r="L131" s="113">
        <f>'Real values'!M39</f>
        <v>106388.5718122024</v>
      </c>
      <c r="M131" s="113">
        <f>'Real values'!N39</f>
        <v>104292.29664954654</v>
      </c>
      <c r="N131" s="113">
        <f>'Real values'!O39</f>
        <v>102237.32638912511</v>
      </c>
      <c r="O131" s="113">
        <f>'Real values'!P39</f>
        <v>100222.84716118527</v>
      </c>
      <c r="P131" s="113">
        <f>'Real values'!Q39</f>
        <v>98248.061132423565</v>
      </c>
      <c r="Q131" s="113">
        <f>'Real values'!R39</f>
        <v>96312.186190004475</v>
      </c>
      <c r="R131" s="113">
        <f>'Real values'!S39</f>
        <v>94414.455631805191</v>
      </c>
      <c r="S131" s="113">
        <f>'Real values'!T39</f>
        <v>92554.11786276364</v>
      </c>
      <c r="T131" s="113">
        <f>'Real values'!U39</f>
        <v>90730.43609720972</v>
      </c>
      <c r="U131" s="113">
        <f>'Real values'!V39</f>
        <v>88942.688067061768</v>
      </c>
      <c r="V131" s="113">
        <f>'Real values'!W39</f>
        <v>87190.165735772738</v>
      </c>
      <c r="W131" s="113">
        <f>'Real values'!X39</f>
        <v>85472.175017912727</v>
      </c>
      <c r="X131" s="113">
        <f>'Real values'!Y39</f>
        <v>83788.035504276748</v>
      </c>
      <c r="Y131" s="113">
        <f>'Real values'!Z39</f>
        <v>82137.080192409325</v>
      </c>
      <c r="Z131" s="113">
        <f>'Real values'!AA39</f>
        <v>80518.655222438319</v>
      </c>
      <c r="AA131" s="113">
        <f>'Real values'!AB39</f>
        <v>78932.119618114215</v>
      </c>
      <c r="AB131" s="113">
        <f>'Real values'!AC39</f>
        <v>77376.845032951882</v>
      </c>
      <c r="AC131" s="113">
        <f>'Real values'!AD39</f>
        <v>0</v>
      </c>
      <c r="AD131" s="113">
        <f>'Real values'!AE39</f>
        <v>0</v>
      </c>
      <c r="AE131" s="113">
        <f>'Real values'!AF39</f>
        <v>0</v>
      </c>
      <c r="AF131" s="113">
        <f>'Real values'!AG39</f>
        <v>0</v>
      </c>
      <c r="AG131" s="113">
        <f>'Real values'!AH39</f>
        <v>0</v>
      </c>
      <c r="AH131" s="113">
        <f>'Real values'!AI39</f>
        <v>0</v>
      </c>
      <c r="AI131" s="113">
        <f>'Real values'!AJ39</f>
        <v>0</v>
      </c>
      <c r="AJ131" s="113">
        <f>'Real values'!AK39</f>
        <v>0</v>
      </c>
      <c r="AK131" s="113">
        <f>'Real values'!AL39</f>
        <v>0</v>
      </c>
      <c r="AL131" s="113">
        <f>'Real values'!AM39</f>
        <v>0</v>
      </c>
      <c r="AM131" s="113">
        <f>'Real values'!AN39</f>
        <v>0</v>
      </c>
      <c r="AN131" s="113">
        <f>'Real values'!AO39</f>
        <v>0</v>
      </c>
      <c r="AO131" s="113">
        <f>'Real values'!AP39</f>
        <v>0</v>
      </c>
      <c r="AP131" s="113">
        <f>'Real values'!AQ39</f>
        <v>0</v>
      </c>
      <c r="AQ131" s="113">
        <f>'Real values'!AR39</f>
        <v>0</v>
      </c>
      <c r="AR131" s="113">
        <f>'Real values'!AS39</f>
        <v>0</v>
      </c>
      <c r="AS131" s="113">
        <f>'Real values'!AT39</f>
        <v>0</v>
      </c>
      <c r="AT131" s="113">
        <f>'Real values'!AU39</f>
        <v>0</v>
      </c>
      <c r="AU131" s="113">
        <f>'Real values'!AV39</f>
        <v>0</v>
      </c>
      <c r="AV131" s="113">
        <f>'Real values'!AW39</f>
        <v>0</v>
      </c>
      <c r="AW131" s="113">
        <f>'Real values'!AX39</f>
        <v>0</v>
      </c>
      <c r="AX131" s="113">
        <f>'Real values'!AY39</f>
        <v>0</v>
      </c>
      <c r="AY131" s="113">
        <f>'Real values'!AZ39</f>
        <v>0</v>
      </c>
    </row>
    <row r="132" spans="1:51" x14ac:dyDescent="0.25">
      <c r="A132" s="4" t="s">
        <v>149</v>
      </c>
      <c r="B132" s="4"/>
      <c r="C132" s="4"/>
      <c r="D132" s="4"/>
      <c r="E132" s="4"/>
      <c r="F132" s="20" t="s">
        <v>124</v>
      </c>
      <c r="G132" s="113">
        <f>'Real values'!H118</f>
        <v>719617.39956013835</v>
      </c>
      <c r="H132" s="113">
        <f>'Real values'!I118</f>
        <v>782692.6614662942</v>
      </c>
      <c r="I132" s="113">
        <f>'Real values'!J118</f>
        <v>733993.81984517514</v>
      </c>
      <c r="J132" s="113">
        <f>'Real values'!K118</f>
        <v>701879.78736295295</v>
      </c>
      <c r="K132" s="113">
        <f>'Real values'!L118</f>
        <v>669756.95037531562</v>
      </c>
      <c r="L132" s="113">
        <f>'Real values'!M118</f>
        <v>637628.98724873818</v>
      </c>
      <c r="M132" s="113">
        <f>'Real values'!N118</f>
        <v>602003.24420442851</v>
      </c>
      <c r="N132" s="113">
        <f>'Real values'!O118</f>
        <v>571262.0980467418</v>
      </c>
      <c r="O132" s="113">
        <f>'Real values'!P118</f>
        <v>580864.713280675</v>
      </c>
      <c r="P132" s="113">
        <f>'Real values'!Q118</f>
        <v>590872.47372510564</v>
      </c>
      <c r="Q132" s="113">
        <f>'Real values'!R118</f>
        <v>590767.59243185818</v>
      </c>
      <c r="R132" s="113">
        <f>'Real values'!S118</f>
        <v>591954.05312707834</v>
      </c>
      <c r="S132" s="113">
        <f>'Real values'!T118</f>
        <v>591738.33704602881</v>
      </c>
      <c r="T132" s="113">
        <f>'Real values'!U118</f>
        <v>591447.69852380583</v>
      </c>
      <c r="U132" s="113">
        <f>'Real values'!V118</f>
        <v>591158.23253536865</v>
      </c>
      <c r="V132" s="113">
        <f>'Real values'!W118</f>
        <v>590867.83459718933</v>
      </c>
      <c r="W132" s="113">
        <f>'Real values'!X118</f>
        <v>590577.51476474979</v>
      </c>
      <c r="X132" s="113">
        <f>'Real values'!Y118</f>
        <v>590286.98444038979</v>
      </c>
      <c r="Y132" s="113">
        <f>'Real values'!Z118</f>
        <v>589996.15809187316</v>
      </c>
      <c r="Z132" s="113">
        <f>'Real values'!AA118</f>
        <v>589704.82079377316</v>
      </c>
      <c r="AA132" s="113">
        <f>'Real values'!AB118</f>
        <v>589413.65738798329</v>
      </c>
      <c r="AB132" s="113">
        <f>'Real values'!AC118</f>
        <v>589122.07896909909</v>
      </c>
      <c r="AC132" s="113">
        <f>'Real values'!AD118</f>
        <v>0</v>
      </c>
      <c r="AD132" s="113">
        <f>'Real values'!AE118</f>
        <v>0</v>
      </c>
      <c r="AE132" s="113">
        <f>'Real values'!AF118</f>
        <v>0</v>
      </c>
      <c r="AF132" s="113">
        <f>'Real values'!AG118</f>
        <v>0</v>
      </c>
      <c r="AG132" s="113">
        <f>'Real values'!AH118</f>
        <v>0</v>
      </c>
      <c r="AH132" s="113">
        <f>'Real values'!AI118</f>
        <v>0</v>
      </c>
      <c r="AI132" s="113">
        <f>'Real values'!AJ118</f>
        <v>0</v>
      </c>
      <c r="AJ132" s="113">
        <f>'Real values'!AK118</f>
        <v>0</v>
      </c>
      <c r="AK132" s="113">
        <f>'Real values'!AL118</f>
        <v>0</v>
      </c>
      <c r="AL132" s="113">
        <f>'Real values'!AM118</f>
        <v>0</v>
      </c>
      <c r="AM132" s="113">
        <f>'Real values'!AN118</f>
        <v>0</v>
      </c>
      <c r="AN132" s="113">
        <f>'Real values'!AO118</f>
        <v>0</v>
      </c>
      <c r="AO132" s="113">
        <f>'Real values'!AP118</f>
        <v>0</v>
      </c>
      <c r="AP132" s="113">
        <f>'Real values'!AQ118</f>
        <v>0</v>
      </c>
      <c r="AQ132" s="113">
        <f>'Real values'!AR118</f>
        <v>0</v>
      </c>
      <c r="AR132" s="113">
        <f>'Real values'!AS118</f>
        <v>0</v>
      </c>
      <c r="AS132" s="113">
        <f>'Real values'!AT118</f>
        <v>0</v>
      </c>
      <c r="AT132" s="113">
        <f>'Real values'!AU118</f>
        <v>0</v>
      </c>
      <c r="AU132" s="113">
        <f>'Real values'!AV118</f>
        <v>0</v>
      </c>
      <c r="AV132" s="113">
        <f>'Real values'!AW118</f>
        <v>0</v>
      </c>
      <c r="AW132" s="113">
        <f>'Real values'!AX118</f>
        <v>0</v>
      </c>
      <c r="AX132" s="113">
        <f>'Real values'!AY118</f>
        <v>0</v>
      </c>
      <c r="AY132" s="113">
        <f>'Real values'!AZ118</f>
        <v>0</v>
      </c>
    </row>
    <row r="133" spans="1:51" x14ac:dyDescent="0.25">
      <c r="A133" s="4" t="s">
        <v>150</v>
      </c>
      <c r="B133" s="4"/>
      <c r="C133" s="4"/>
      <c r="D133" s="4"/>
      <c r="E133" s="4"/>
      <c r="F133" s="20" t="s">
        <v>124</v>
      </c>
      <c r="G133" s="113">
        <f>'Real values'!H144</f>
        <v>0</v>
      </c>
      <c r="H133" s="113">
        <f>'Real values'!I144</f>
        <v>0</v>
      </c>
      <c r="I133" s="113">
        <f>'Real values'!J144</f>
        <v>0</v>
      </c>
      <c r="J133" s="113">
        <f>'Real values'!K144</f>
        <v>0</v>
      </c>
      <c r="K133" s="113">
        <f>'Real values'!L144</f>
        <v>0</v>
      </c>
      <c r="L133" s="113">
        <f>'Real values'!M144</f>
        <v>0</v>
      </c>
      <c r="M133" s="113">
        <f>'Real values'!N144</f>
        <v>0</v>
      </c>
      <c r="N133" s="113">
        <f>'Real values'!O144</f>
        <v>0</v>
      </c>
      <c r="O133" s="113">
        <f>'Real values'!P144</f>
        <v>0</v>
      </c>
      <c r="P133" s="113">
        <f>'Real values'!Q144</f>
        <v>0</v>
      </c>
      <c r="Q133" s="113">
        <f>'Real values'!R144</f>
        <v>0</v>
      </c>
      <c r="R133" s="113">
        <f>'Real values'!S144</f>
        <v>0</v>
      </c>
      <c r="S133" s="113">
        <f>'Real values'!T144</f>
        <v>0</v>
      </c>
      <c r="T133" s="113">
        <f>'Real values'!U144</f>
        <v>0</v>
      </c>
      <c r="U133" s="113">
        <f>'Real values'!V144</f>
        <v>0</v>
      </c>
      <c r="V133" s="113">
        <f>'Real values'!W144</f>
        <v>0</v>
      </c>
      <c r="W133" s="113">
        <f>'Real values'!X144</f>
        <v>0</v>
      </c>
      <c r="X133" s="113">
        <f>'Real values'!Y144</f>
        <v>0</v>
      </c>
      <c r="Y133" s="113">
        <f>'Real values'!Z144</f>
        <v>0</v>
      </c>
      <c r="Z133" s="113">
        <f>'Real values'!AA144</f>
        <v>0</v>
      </c>
      <c r="AA133" s="113">
        <f>'Real values'!AB144</f>
        <v>0</v>
      </c>
      <c r="AB133" s="113">
        <f>'Real values'!AC144</f>
        <v>0</v>
      </c>
      <c r="AC133" s="113">
        <f>'Real values'!AD144</f>
        <v>0</v>
      </c>
      <c r="AD133" s="113">
        <f>'Real values'!AE144</f>
        <v>0</v>
      </c>
      <c r="AE133" s="113">
        <f>'Real values'!AF144</f>
        <v>0</v>
      </c>
      <c r="AF133" s="113">
        <f>'Real values'!AG144</f>
        <v>0</v>
      </c>
      <c r="AG133" s="113">
        <f>'Real values'!AH144</f>
        <v>0</v>
      </c>
      <c r="AH133" s="113">
        <f>'Real values'!AI144</f>
        <v>0</v>
      </c>
      <c r="AI133" s="113">
        <f>'Real values'!AJ144</f>
        <v>0</v>
      </c>
      <c r="AJ133" s="113">
        <f>'Real values'!AK144</f>
        <v>0</v>
      </c>
      <c r="AK133" s="113">
        <f>'Real values'!AL144</f>
        <v>0</v>
      </c>
      <c r="AL133" s="113">
        <f>'Real values'!AM144</f>
        <v>0</v>
      </c>
      <c r="AM133" s="113">
        <f>'Real values'!AN144</f>
        <v>0</v>
      </c>
      <c r="AN133" s="113">
        <f>'Real values'!AO144</f>
        <v>0</v>
      </c>
      <c r="AO133" s="113">
        <f>'Real values'!AP144</f>
        <v>0</v>
      </c>
      <c r="AP133" s="113">
        <f>'Real values'!AQ144</f>
        <v>0</v>
      </c>
      <c r="AQ133" s="113">
        <f>'Real values'!AR144</f>
        <v>0</v>
      </c>
      <c r="AR133" s="113">
        <f>'Real values'!AS144</f>
        <v>0</v>
      </c>
      <c r="AS133" s="113">
        <f>'Real values'!AT144</f>
        <v>0</v>
      </c>
      <c r="AT133" s="113">
        <f>'Real values'!AU144</f>
        <v>0</v>
      </c>
      <c r="AU133" s="113">
        <f>'Real values'!AV144</f>
        <v>0</v>
      </c>
      <c r="AV133" s="113">
        <f>'Real values'!AW144</f>
        <v>0</v>
      </c>
      <c r="AW133" s="113">
        <f>'Real values'!AX144</f>
        <v>0</v>
      </c>
      <c r="AX133" s="113">
        <f>'Real values'!AY144</f>
        <v>0</v>
      </c>
      <c r="AY133" s="113">
        <f>'Real values'!AZ144</f>
        <v>0</v>
      </c>
    </row>
    <row r="134" spans="1:51" x14ac:dyDescent="0.25">
      <c r="A134" s="4" t="s">
        <v>216</v>
      </c>
      <c r="B134" s="4"/>
      <c r="C134" s="4"/>
      <c r="D134" s="4"/>
      <c r="E134" s="4"/>
      <c r="F134" s="20" t="s">
        <v>124</v>
      </c>
      <c r="G134" s="113">
        <f>G128+SUM(G131:G133)</f>
        <v>2100467.6507573649</v>
      </c>
      <c r="H134" s="113">
        <f t="shared" ref="H134:AY134" si="31">H128+SUM(H131:H133)</f>
        <v>1690905.2049011774</v>
      </c>
      <c r="I134" s="113">
        <f t="shared" si="31"/>
        <v>846927.4326174896</v>
      </c>
      <c r="J134" s="113">
        <f t="shared" si="31"/>
        <v>812588.16180890379</v>
      </c>
      <c r="K134" s="113">
        <f t="shared" si="31"/>
        <v>778283.93248094327</v>
      </c>
      <c r="L134" s="113">
        <f t="shared" si="31"/>
        <v>744017.55906094052</v>
      </c>
      <c r="M134" s="113">
        <f t="shared" si="31"/>
        <v>706295.54085397511</v>
      </c>
      <c r="N134" s="113">
        <f t="shared" si="31"/>
        <v>673499.42443586688</v>
      </c>
      <c r="O134" s="113">
        <f t="shared" si="31"/>
        <v>681087.56044186023</v>
      </c>
      <c r="P134" s="113">
        <f t="shared" si="31"/>
        <v>689120.53485752922</v>
      </c>
      <c r="Q134" s="113">
        <f t="shared" si="31"/>
        <v>687079.77862186264</v>
      </c>
      <c r="R134" s="113">
        <f t="shared" si="31"/>
        <v>686368.50875888357</v>
      </c>
      <c r="S134" s="113">
        <f t="shared" si="31"/>
        <v>684292.4549087924</v>
      </c>
      <c r="T134" s="113">
        <f t="shared" si="31"/>
        <v>682178.13462101552</v>
      </c>
      <c r="U134" s="113">
        <f t="shared" si="31"/>
        <v>680100.92060243036</v>
      </c>
      <c r="V134" s="113">
        <f t="shared" si="31"/>
        <v>678058.00033296202</v>
      </c>
      <c r="W134" s="113">
        <f t="shared" si="31"/>
        <v>676049.68978266255</v>
      </c>
      <c r="X134" s="113">
        <f t="shared" si="31"/>
        <v>674075.01994466654</v>
      </c>
      <c r="Y134" s="113">
        <f t="shared" si="31"/>
        <v>672133.2382842825</v>
      </c>
      <c r="Z134" s="113">
        <f t="shared" si="31"/>
        <v>670223.47601621144</v>
      </c>
      <c r="AA134" s="113">
        <f t="shared" si="31"/>
        <v>668345.77700609749</v>
      </c>
      <c r="AB134" s="113">
        <f t="shared" si="31"/>
        <v>666498.924002051</v>
      </c>
      <c r="AC134" s="113">
        <f t="shared" si="31"/>
        <v>0</v>
      </c>
      <c r="AD134" s="113">
        <f t="shared" si="31"/>
        <v>0</v>
      </c>
      <c r="AE134" s="113">
        <f t="shared" si="31"/>
        <v>0</v>
      </c>
      <c r="AF134" s="113">
        <f t="shared" si="31"/>
        <v>0</v>
      </c>
      <c r="AG134" s="113">
        <f t="shared" si="31"/>
        <v>0</v>
      </c>
      <c r="AH134" s="113">
        <f t="shared" si="31"/>
        <v>0</v>
      </c>
      <c r="AI134" s="113">
        <f t="shared" si="31"/>
        <v>0</v>
      </c>
      <c r="AJ134" s="113">
        <f t="shared" si="31"/>
        <v>0</v>
      </c>
      <c r="AK134" s="113">
        <f t="shared" si="31"/>
        <v>0</v>
      </c>
      <c r="AL134" s="113">
        <f t="shared" si="31"/>
        <v>0</v>
      </c>
      <c r="AM134" s="113">
        <f t="shared" si="31"/>
        <v>0</v>
      </c>
      <c r="AN134" s="113">
        <f t="shared" si="31"/>
        <v>0</v>
      </c>
      <c r="AO134" s="113">
        <f t="shared" si="31"/>
        <v>0</v>
      </c>
      <c r="AP134" s="113">
        <f t="shared" si="31"/>
        <v>0</v>
      </c>
      <c r="AQ134" s="113">
        <f t="shared" si="31"/>
        <v>0</v>
      </c>
      <c r="AR134" s="113">
        <f t="shared" si="31"/>
        <v>0</v>
      </c>
      <c r="AS134" s="113">
        <f t="shared" si="31"/>
        <v>0</v>
      </c>
      <c r="AT134" s="113">
        <f t="shared" si="31"/>
        <v>0</v>
      </c>
      <c r="AU134" s="113">
        <f t="shared" si="31"/>
        <v>0</v>
      </c>
      <c r="AV134" s="113">
        <f t="shared" si="31"/>
        <v>0</v>
      </c>
      <c r="AW134" s="113">
        <f t="shared" si="31"/>
        <v>0</v>
      </c>
      <c r="AX134" s="113">
        <f t="shared" si="31"/>
        <v>0</v>
      </c>
      <c r="AY134" s="113">
        <f t="shared" si="31"/>
        <v>0</v>
      </c>
    </row>
    <row r="135" spans="1:51" x14ac:dyDescent="0.25">
      <c r="A135" s="4" t="s">
        <v>217</v>
      </c>
      <c r="B135" s="4"/>
      <c r="C135" s="4"/>
      <c r="D135" s="4"/>
      <c r="E135" s="4"/>
      <c r="F135" s="20" t="s">
        <v>124</v>
      </c>
      <c r="G135" s="113">
        <f>SUM(G130:G132)</f>
        <v>2100467.6507573649</v>
      </c>
      <c r="H135" s="113">
        <f t="shared" ref="H135:AY135" si="32">SUM(H130:H132)</f>
        <v>1690905.2049011774</v>
      </c>
      <c r="I135" s="113">
        <f t="shared" si="32"/>
        <v>846927.4326174896</v>
      </c>
      <c r="J135" s="113">
        <f t="shared" si="32"/>
        <v>812588.16180890379</v>
      </c>
      <c r="K135" s="113">
        <f t="shared" si="32"/>
        <v>778283.93248094327</v>
      </c>
      <c r="L135" s="113">
        <f t="shared" si="32"/>
        <v>744017.55906094052</v>
      </c>
      <c r="M135" s="113">
        <f t="shared" si="32"/>
        <v>706295.54085397511</v>
      </c>
      <c r="N135" s="113">
        <f t="shared" si="32"/>
        <v>673499.42443586688</v>
      </c>
      <c r="O135" s="113">
        <f t="shared" si="32"/>
        <v>681087.56044186023</v>
      </c>
      <c r="P135" s="113">
        <f t="shared" si="32"/>
        <v>689120.53485752922</v>
      </c>
      <c r="Q135" s="113">
        <f t="shared" si="32"/>
        <v>687079.77862186264</v>
      </c>
      <c r="R135" s="113">
        <f t="shared" si="32"/>
        <v>686368.50875888357</v>
      </c>
      <c r="S135" s="113">
        <f t="shared" si="32"/>
        <v>684292.4549087924</v>
      </c>
      <c r="T135" s="113">
        <f t="shared" si="32"/>
        <v>682178.13462101552</v>
      </c>
      <c r="U135" s="113">
        <f t="shared" si="32"/>
        <v>680100.92060243036</v>
      </c>
      <c r="V135" s="113">
        <f t="shared" si="32"/>
        <v>678058.00033296202</v>
      </c>
      <c r="W135" s="113">
        <f t="shared" si="32"/>
        <v>676049.68978266255</v>
      </c>
      <c r="X135" s="113">
        <f t="shared" si="32"/>
        <v>674075.01994466654</v>
      </c>
      <c r="Y135" s="113">
        <f t="shared" si="32"/>
        <v>672133.2382842825</v>
      </c>
      <c r="Z135" s="113">
        <f t="shared" si="32"/>
        <v>670223.47601621144</v>
      </c>
      <c r="AA135" s="113">
        <f t="shared" si="32"/>
        <v>668345.77700609749</v>
      </c>
      <c r="AB135" s="113">
        <f t="shared" si="32"/>
        <v>666498.924002051</v>
      </c>
      <c r="AC135" s="113">
        <f t="shared" si="32"/>
        <v>0</v>
      </c>
      <c r="AD135" s="113">
        <f t="shared" si="32"/>
        <v>0</v>
      </c>
      <c r="AE135" s="113">
        <f t="shared" si="32"/>
        <v>0</v>
      </c>
      <c r="AF135" s="113">
        <f t="shared" si="32"/>
        <v>0</v>
      </c>
      <c r="AG135" s="113">
        <f t="shared" si="32"/>
        <v>0</v>
      </c>
      <c r="AH135" s="113">
        <f t="shared" si="32"/>
        <v>0</v>
      </c>
      <c r="AI135" s="113">
        <f t="shared" si="32"/>
        <v>0</v>
      </c>
      <c r="AJ135" s="113">
        <f t="shared" si="32"/>
        <v>0</v>
      </c>
      <c r="AK135" s="113">
        <f t="shared" si="32"/>
        <v>0</v>
      </c>
      <c r="AL135" s="113">
        <f t="shared" si="32"/>
        <v>0</v>
      </c>
      <c r="AM135" s="113">
        <f t="shared" si="32"/>
        <v>0</v>
      </c>
      <c r="AN135" s="113">
        <f t="shared" si="32"/>
        <v>0</v>
      </c>
      <c r="AO135" s="113">
        <f t="shared" si="32"/>
        <v>0</v>
      </c>
      <c r="AP135" s="113">
        <f t="shared" si="32"/>
        <v>0</v>
      </c>
      <c r="AQ135" s="113">
        <f t="shared" si="32"/>
        <v>0</v>
      </c>
      <c r="AR135" s="113">
        <f t="shared" si="32"/>
        <v>0</v>
      </c>
      <c r="AS135" s="113">
        <f t="shared" si="32"/>
        <v>0</v>
      </c>
      <c r="AT135" s="113">
        <f t="shared" si="32"/>
        <v>0</v>
      </c>
      <c r="AU135" s="113">
        <f t="shared" si="32"/>
        <v>0</v>
      </c>
      <c r="AV135" s="113">
        <f t="shared" si="32"/>
        <v>0</v>
      </c>
      <c r="AW135" s="113">
        <f t="shared" si="32"/>
        <v>0</v>
      </c>
      <c r="AX135" s="113">
        <f t="shared" si="32"/>
        <v>0</v>
      </c>
      <c r="AY135" s="113">
        <f t="shared" si="32"/>
        <v>0</v>
      </c>
    </row>
    <row r="136" spans="1:51" x14ac:dyDescent="0.25">
      <c r="A136" s="4" t="s">
        <v>142</v>
      </c>
      <c r="B136" s="4"/>
      <c r="C136" s="4"/>
      <c r="D136" s="4"/>
      <c r="E136" s="4"/>
      <c r="F136" s="20" t="s">
        <v>124</v>
      </c>
      <c r="G136" s="113">
        <f>'Real values'!H161</f>
        <v>979326.41928881314</v>
      </c>
      <c r="H136" s="113">
        <f>'Real values'!I161</f>
        <v>1056032.8018995142</v>
      </c>
      <c r="I136" s="113">
        <f>'Real values'!J161</f>
        <v>1035224.7837462154</v>
      </c>
      <c r="J136" s="113">
        <f>'Real values'!K161</f>
        <v>1014826.7657545489</v>
      </c>
      <c r="K136" s="113">
        <f>'Real values'!L161</f>
        <v>994830.66930158692</v>
      </c>
      <c r="L136" s="113">
        <f>'Real values'!M161</f>
        <v>975228.57494518859</v>
      </c>
      <c r="M136" s="113">
        <f>'Real values'!N161</f>
        <v>956012.7192875098</v>
      </c>
      <c r="N136" s="113">
        <f>'Real values'!O161</f>
        <v>937175.49190031341</v>
      </c>
      <c r="O136" s="113">
        <f>'Real values'!P161</f>
        <v>918709.43231086503</v>
      </c>
      <c r="P136" s="113">
        <f>'Real values'!Q161</f>
        <v>900607.22704721603</v>
      </c>
      <c r="Q136" s="113">
        <f>'Real values'!R161</f>
        <v>882861.70674170763</v>
      </c>
      <c r="R136" s="113">
        <f>'Real values'!S161</f>
        <v>865465.8432915475</v>
      </c>
      <c r="S136" s="113">
        <f>'Real values'!T161</f>
        <v>848412.74707533338</v>
      </c>
      <c r="T136" s="113">
        <f>'Real values'!U161</f>
        <v>831695.66422442242</v>
      </c>
      <c r="U136" s="113">
        <f>'Real values'!V161</f>
        <v>815307.97394806624</v>
      </c>
      <c r="V136" s="113">
        <f>'Real values'!W161</f>
        <v>799243.18591125018</v>
      </c>
      <c r="W136" s="113">
        <f>'Real values'!X161</f>
        <v>783494.93766419985</v>
      </c>
      <c r="X136" s="113">
        <f>'Real values'!Y161</f>
        <v>768056.99212253687</v>
      </c>
      <c r="Y136" s="113">
        <f>'Real values'!Z161</f>
        <v>752923.23509708547</v>
      </c>
      <c r="Z136" s="113">
        <f>'Real values'!AA161</f>
        <v>738087.67287235113</v>
      </c>
      <c r="AA136" s="113">
        <f>'Real values'!AB161</f>
        <v>723544.42983271368</v>
      </c>
      <c r="AB136" s="113">
        <f>'Real values'!AC161</f>
        <v>709287.74613539223</v>
      </c>
      <c r="AC136" s="113">
        <f>'Real values'!AD161</f>
        <v>0</v>
      </c>
      <c r="AD136" s="113">
        <f>'Real values'!AE161</f>
        <v>0</v>
      </c>
      <c r="AE136" s="113">
        <f>'Real values'!AF161</f>
        <v>0</v>
      </c>
      <c r="AF136" s="113">
        <f>'Real values'!AG161</f>
        <v>0</v>
      </c>
      <c r="AG136" s="113">
        <f>'Real values'!AH161</f>
        <v>0</v>
      </c>
      <c r="AH136" s="113">
        <f>'Real values'!AI161</f>
        <v>0</v>
      </c>
      <c r="AI136" s="113">
        <f>'Real values'!AJ161</f>
        <v>0</v>
      </c>
      <c r="AJ136" s="113">
        <f>'Real values'!AK161</f>
        <v>0</v>
      </c>
      <c r="AK136" s="113">
        <f>'Real values'!AL161</f>
        <v>0</v>
      </c>
      <c r="AL136" s="113">
        <f>'Real values'!AM161</f>
        <v>0</v>
      </c>
      <c r="AM136" s="113">
        <f>'Real values'!AN161</f>
        <v>0</v>
      </c>
      <c r="AN136" s="113">
        <f>'Real values'!AO161</f>
        <v>0</v>
      </c>
      <c r="AO136" s="113">
        <f>'Real values'!AP161</f>
        <v>0</v>
      </c>
      <c r="AP136" s="113">
        <f>'Real values'!AQ161</f>
        <v>0</v>
      </c>
      <c r="AQ136" s="113">
        <f>'Real values'!AR161</f>
        <v>0</v>
      </c>
      <c r="AR136" s="113">
        <f>'Real values'!AS161</f>
        <v>0</v>
      </c>
      <c r="AS136" s="113">
        <f>'Real values'!AT161</f>
        <v>0</v>
      </c>
      <c r="AT136" s="113">
        <f>'Real values'!AU161</f>
        <v>0</v>
      </c>
      <c r="AU136" s="113">
        <f>'Real values'!AV161</f>
        <v>0</v>
      </c>
      <c r="AV136" s="113">
        <f>'Real values'!AW161</f>
        <v>0</v>
      </c>
      <c r="AW136" s="113">
        <f>'Real values'!AX161</f>
        <v>0</v>
      </c>
      <c r="AX136" s="113">
        <f>'Real values'!AY161</f>
        <v>0</v>
      </c>
      <c r="AY136" s="113">
        <f>'Real values'!AZ161</f>
        <v>0</v>
      </c>
    </row>
    <row r="137" spans="1:51" x14ac:dyDescent="0.25">
      <c r="A137" s="4" t="s">
        <v>218</v>
      </c>
      <c r="B137" s="4"/>
      <c r="C137" s="4"/>
      <c r="D137" s="4"/>
      <c r="E137" s="4"/>
      <c r="F137" s="20" t="s">
        <v>124</v>
      </c>
      <c r="G137" s="113">
        <f>G136-G134</f>
        <v>-1121141.2314685518</v>
      </c>
      <c r="H137" s="113">
        <f t="shared" ref="H137:AY137" si="33">H136-H134</f>
        <v>-634872.40300166328</v>
      </c>
      <c r="I137" s="113">
        <f t="shared" si="33"/>
        <v>188297.3511287258</v>
      </c>
      <c r="J137" s="113">
        <f t="shared" si="33"/>
        <v>202238.60394564515</v>
      </c>
      <c r="K137" s="113">
        <f t="shared" si="33"/>
        <v>216546.73682064365</v>
      </c>
      <c r="L137" s="113">
        <f t="shared" si="33"/>
        <v>231211.01588424807</v>
      </c>
      <c r="M137" s="113">
        <f t="shared" si="33"/>
        <v>249717.17843353469</v>
      </c>
      <c r="N137" s="113">
        <f t="shared" si="33"/>
        <v>263676.06746444653</v>
      </c>
      <c r="O137" s="113">
        <f t="shared" si="33"/>
        <v>237621.8718690048</v>
      </c>
      <c r="P137" s="113">
        <f t="shared" si="33"/>
        <v>211486.69218968682</v>
      </c>
      <c r="Q137" s="113">
        <f t="shared" si="33"/>
        <v>195781.92811984499</v>
      </c>
      <c r="R137" s="113">
        <f t="shared" si="33"/>
        <v>179097.33453266392</v>
      </c>
      <c r="S137" s="113">
        <f t="shared" si="33"/>
        <v>164120.29216654098</v>
      </c>
      <c r="T137" s="113">
        <f t="shared" si="33"/>
        <v>149517.5296034069</v>
      </c>
      <c r="U137" s="113">
        <f t="shared" si="33"/>
        <v>135207.05334563588</v>
      </c>
      <c r="V137" s="113">
        <f t="shared" si="33"/>
        <v>121185.18557828816</v>
      </c>
      <c r="W137" s="113">
        <f t="shared" si="33"/>
        <v>107445.2478815373</v>
      </c>
      <c r="X137" s="113">
        <f t="shared" si="33"/>
        <v>93981.972177870339</v>
      </c>
      <c r="Y137" s="113">
        <f t="shared" si="33"/>
        <v>80789.996812802972</v>
      </c>
      <c r="Z137" s="113">
        <f t="shared" si="33"/>
        <v>67864.196856139693</v>
      </c>
      <c r="AA137" s="113">
        <f t="shared" si="33"/>
        <v>55198.652826616191</v>
      </c>
      <c r="AB137" s="113">
        <f t="shared" si="33"/>
        <v>42788.822133341222</v>
      </c>
      <c r="AC137" s="113">
        <f t="shared" si="33"/>
        <v>0</v>
      </c>
      <c r="AD137" s="113">
        <f t="shared" si="33"/>
        <v>0</v>
      </c>
      <c r="AE137" s="113">
        <f t="shared" si="33"/>
        <v>0</v>
      </c>
      <c r="AF137" s="113">
        <f t="shared" si="33"/>
        <v>0</v>
      </c>
      <c r="AG137" s="113">
        <f t="shared" si="33"/>
        <v>0</v>
      </c>
      <c r="AH137" s="113">
        <f t="shared" si="33"/>
        <v>0</v>
      </c>
      <c r="AI137" s="113">
        <f t="shared" si="33"/>
        <v>0</v>
      </c>
      <c r="AJ137" s="113">
        <f t="shared" si="33"/>
        <v>0</v>
      </c>
      <c r="AK137" s="113">
        <f t="shared" si="33"/>
        <v>0</v>
      </c>
      <c r="AL137" s="113">
        <f t="shared" si="33"/>
        <v>0</v>
      </c>
      <c r="AM137" s="113">
        <f t="shared" si="33"/>
        <v>0</v>
      </c>
      <c r="AN137" s="113">
        <f t="shared" si="33"/>
        <v>0</v>
      </c>
      <c r="AO137" s="113">
        <f t="shared" si="33"/>
        <v>0</v>
      </c>
      <c r="AP137" s="113">
        <f t="shared" si="33"/>
        <v>0</v>
      </c>
      <c r="AQ137" s="113">
        <f t="shared" si="33"/>
        <v>0</v>
      </c>
      <c r="AR137" s="113">
        <f t="shared" si="33"/>
        <v>0</v>
      </c>
      <c r="AS137" s="113">
        <f t="shared" si="33"/>
        <v>0</v>
      </c>
      <c r="AT137" s="113">
        <f t="shared" si="33"/>
        <v>0</v>
      </c>
      <c r="AU137" s="113">
        <f t="shared" si="33"/>
        <v>0</v>
      </c>
      <c r="AV137" s="113">
        <f t="shared" si="33"/>
        <v>0</v>
      </c>
      <c r="AW137" s="113">
        <f t="shared" si="33"/>
        <v>0</v>
      </c>
      <c r="AX137" s="113">
        <f t="shared" si="33"/>
        <v>0</v>
      </c>
      <c r="AY137" s="113">
        <f t="shared" si="33"/>
        <v>0</v>
      </c>
    </row>
    <row r="138" spans="1:51" x14ac:dyDescent="0.25">
      <c r="A138" s="4" t="s">
        <v>219</v>
      </c>
      <c r="B138" s="4"/>
      <c r="C138" s="4"/>
      <c r="D138" s="4"/>
      <c r="E138" s="4"/>
      <c r="F138" s="20" t="s">
        <v>124</v>
      </c>
      <c r="G138" s="113">
        <f>G136-G135</f>
        <v>-1121141.2314685518</v>
      </c>
      <c r="H138" s="113">
        <f t="shared" ref="H138:AY138" si="34">H136-H135</f>
        <v>-634872.40300166328</v>
      </c>
      <c r="I138" s="113">
        <f t="shared" si="34"/>
        <v>188297.3511287258</v>
      </c>
      <c r="J138" s="113">
        <f t="shared" si="34"/>
        <v>202238.60394564515</v>
      </c>
      <c r="K138" s="113">
        <f t="shared" si="34"/>
        <v>216546.73682064365</v>
      </c>
      <c r="L138" s="113">
        <f t="shared" si="34"/>
        <v>231211.01588424807</v>
      </c>
      <c r="M138" s="113">
        <f t="shared" si="34"/>
        <v>249717.17843353469</v>
      </c>
      <c r="N138" s="113">
        <f t="shared" si="34"/>
        <v>263676.06746444653</v>
      </c>
      <c r="O138" s="113">
        <f t="shared" si="34"/>
        <v>237621.8718690048</v>
      </c>
      <c r="P138" s="113">
        <f t="shared" si="34"/>
        <v>211486.69218968682</v>
      </c>
      <c r="Q138" s="113">
        <f t="shared" si="34"/>
        <v>195781.92811984499</v>
      </c>
      <c r="R138" s="113">
        <f t="shared" si="34"/>
        <v>179097.33453266392</v>
      </c>
      <c r="S138" s="113">
        <f t="shared" si="34"/>
        <v>164120.29216654098</v>
      </c>
      <c r="T138" s="113">
        <f t="shared" si="34"/>
        <v>149517.5296034069</v>
      </c>
      <c r="U138" s="113">
        <f t="shared" si="34"/>
        <v>135207.05334563588</v>
      </c>
      <c r="V138" s="113">
        <f t="shared" si="34"/>
        <v>121185.18557828816</v>
      </c>
      <c r="W138" s="113">
        <f t="shared" si="34"/>
        <v>107445.2478815373</v>
      </c>
      <c r="X138" s="113">
        <f t="shared" si="34"/>
        <v>93981.972177870339</v>
      </c>
      <c r="Y138" s="113">
        <f t="shared" si="34"/>
        <v>80789.996812802972</v>
      </c>
      <c r="Z138" s="113">
        <f t="shared" si="34"/>
        <v>67864.196856139693</v>
      </c>
      <c r="AA138" s="113">
        <f t="shared" si="34"/>
        <v>55198.652826616191</v>
      </c>
      <c r="AB138" s="113">
        <f t="shared" si="34"/>
        <v>42788.822133341222</v>
      </c>
      <c r="AC138" s="113">
        <f t="shared" si="34"/>
        <v>0</v>
      </c>
      <c r="AD138" s="113">
        <f t="shared" si="34"/>
        <v>0</v>
      </c>
      <c r="AE138" s="113">
        <f t="shared" si="34"/>
        <v>0</v>
      </c>
      <c r="AF138" s="113">
        <f t="shared" si="34"/>
        <v>0</v>
      </c>
      <c r="AG138" s="113">
        <f t="shared" si="34"/>
        <v>0</v>
      </c>
      <c r="AH138" s="113">
        <f t="shared" si="34"/>
        <v>0</v>
      </c>
      <c r="AI138" s="113">
        <f t="shared" si="34"/>
        <v>0</v>
      </c>
      <c r="AJ138" s="113">
        <f t="shared" si="34"/>
        <v>0</v>
      </c>
      <c r="AK138" s="113">
        <f t="shared" si="34"/>
        <v>0</v>
      </c>
      <c r="AL138" s="113">
        <f t="shared" si="34"/>
        <v>0</v>
      </c>
      <c r="AM138" s="113">
        <f t="shared" si="34"/>
        <v>0</v>
      </c>
      <c r="AN138" s="113">
        <f t="shared" si="34"/>
        <v>0</v>
      </c>
      <c r="AO138" s="113">
        <f t="shared" si="34"/>
        <v>0</v>
      </c>
      <c r="AP138" s="113">
        <f t="shared" si="34"/>
        <v>0</v>
      </c>
      <c r="AQ138" s="113">
        <f t="shared" si="34"/>
        <v>0</v>
      </c>
      <c r="AR138" s="113">
        <f t="shared" si="34"/>
        <v>0</v>
      </c>
      <c r="AS138" s="113">
        <f t="shared" si="34"/>
        <v>0</v>
      </c>
      <c r="AT138" s="113">
        <f t="shared" si="34"/>
        <v>0</v>
      </c>
      <c r="AU138" s="113">
        <f t="shared" si="34"/>
        <v>0</v>
      </c>
      <c r="AV138" s="113">
        <f t="shared" si="34"/>
        <v>0</v>
      </c>
      <c r="AW138" s="113">
        <f t="shared" si="34"/>
        <v>0</v>
      </c>
      <c r="AX138" s="113">
        <f t="shared" si="34"/>
        <v>0</v>
      </c>
      <c r="AY138" s="113">
        <f t="shared" si="34"/>
        <v>0</v>
      </c>
    </row>
    <row r="139" spans="1:51" x14ac:dyDescent="0.25">
      <c r="A139" s="4" t="s">
        <v>172</v>
      </c>
      <c r="B139" s="4"/>
      <c r="C139" s="4"/>
      <c r="D139" s="4"/>
      <c r="E139" s="4"/>
      <c r="F139" s="20" t="s">
        <v>124</v>
      </c>
      <c r="G139" s="113">
        <f>'Real values'!H168</f>
        <v>0</v>
      </c>
      <c r="H139" s="113">
        <f>'Real values'!I168</f>
        <v>0</v>
      </c>
      <c r="I139" s="113">
        <f>'Real values'!J168</f>
        <v>0</v>
      </c>
      <c r="J139" s="113">
        <f>'Real values'!K168</f>
        <v>0</v>
      </c>
      <c r="K139" s="113">
        <f>'Real values'!L168</f>
        <v>0</v>
      </c>
      <c r="L139" s="113">
        <f>'Real values'!M168</f>
        <v>0</v>
      </c>
      <c r="M139" s="113">
        <f>'Real values'!N168</f>
        <v>0</v>
      </c>
      <c r="N139" s="113">
        <f>'Real values'!O168</f>
        <v>0</v>
      </c>
      <c r="O139" s="113">
        <f>'Real values'!P168</f>
        <v>0</v>
      </c>
      <c r="P139" s="113">
        <f>'Real values'!Q168</f>
        <v>0</v>
      </c>
      <c r="Q139" s="113">
        <f>'Real values'!R168</f>
        <v>0</v>
      </c>
      <c r="R139" s="113">
        <f>'Real values'!S168</f>
        <v>0</v>
      </c>
      <c r="S139" s="113">
        <f>'Real values'!T168</f>
        <v>0</v>
      </c>
      <c r="T139" s="113">
        <f>'Real values'!U168</f>
        <v>0</v>
      </c>
      <c r="U139" s="113">
        <f>'Real values'!V168</f>
        <v>0</v>
      </c>
      <c r="V139" s="113">
        <f>'Real values'!W168</f>
        <v>0</v>
      </c>
      <c r="W139" s="113">
        <f>'Real values'!X168</f>
        <v>0</v>
      </c>
      <c r="X139" s="113">
        <f>'Real values'!Y168</f>
        <v>0</v>
      </c>
      <c r="Y139" s="113">
        <f>'Real values'!Z168</f>
        <v>0</v>
      </c>
      <c r="Z139" s="113">
        <f>'Real values'!AA168</f>
        <v>0</v>
      </c>
      <c r="AA139" s="113">
        <f>'Real values'!AB168</f>
        <v>0</v>
      </c>
      <c r="AB139" s="113">
        <f>'Real values'!AC168</f>
        <v>0</v>
      </c>
      <c r="AC139" s="113">
        <f>'Real values'!AD168</f>
        <v>0</v>
      </c>
      <c r="AD139" s="113">
        <f>'Real values'!AE168</f>
        <v>0</v>
      </c>
      <c r="AE139" s="113">
        <f>'Real values'!AF168</f>
        <v>0</v>
      </c>
      <c r="AF139" s="113">
        <f>'Real values'!AG168</f>
        <v>0</v>
      </c>
      <c r="AG139" s="113">
        <f>'Real values'!AH168</f>
        <v>0</v>
      </c>
      <c r="AH139" s="113">
        <f>'Real values'!AI168</f>
        <v>0</v>
      </c>
      <c r="AI139" s="113">
        <f>'Real values'!AJ168</f>
        <v>0</v>
      </c>
      <c r="AJ139" s="113">
        <f>'Real values'!AK168</f>
        <v>0</v>
      </c>
      <c r="AK139" s="113">
        <f>'Real values'!AL168</f>
        <v>0</v>
      </c>
      <c r="AL139" s="113">
        <f>'Real values'!AM168</f>
        <v>0</v>
      </c>
      <c r="AM139" s="113">
        <f>'Real values'!AN168</f>
        <v>0</v>
      </c>
      <c r="AN139" s="113">
        <f>'Real values'!AO168</f>
        <v>0</v>
      </c>
      <c r="AO139" s="113">
        <f>'Real values'!AP168</f>
        <v>0</v>
      </c>
      <c r="AP139" s="113">
        <f>'Real values'!AQ168</f>
        <v>0</v>
      </c>
      <c r="AQ139" s="113">
        <f>'Real values'!AR168</f>
        <v>0</v>
      </c>
      <c r="AR139" s="113">
        <f>'Real values'!AS168</f>
        <v>0</v>
      </c>
      <c r="AS139" s="113">
        <f>'Real values'!AT168</f>
        <v>0</v>
      </c>
      <c r="AT139" s="113">
        <f>'Real values'!AU168</f>
        <v>0</v>
      </c>
      <c r="AU139" s="113">
        <f>'Real values'!AV168</f>
        <v>0</v>
      </c>
      <c r="AV139" s="113">
        <f>'Real values'!AW168</f>
        <v>0</v>
      </c>
      <c r="AW139" s="113">
        <f>'Real values'!AX168</f>
        <v>0</v>
      </c>
      <c r="AX139" s="113">
        <f>'Real values'!AY168</f>
        <v>0</v>
      </c>
      <c r="AY139" s="113">
        <f>'Real values'!AZ168</f>
        <v>0</v>
      </c>
    </row>
    <row r="140" spans="1:51" x14ac:dyDescent="0.25">
      <c r="A140" s="4" t="s">
        <v>220</v>
      </c>
      <c r="B140" s="4"/>
      <c r="C140" s="4"/>
      <c r="D140" s="4"/>
      <c r="E140" s="4"/>
      <c r="F140" s="20" t="s">
        <v>124</v>
      </c>
      <c r="G140" s="113">
        <f>G137-G139</f>
        <v>-1121141.2314685518</v>
      </c>
      <c r="H140" s="113">
        <f t="shared" ref="H140:AY140" si="35">H137-H139</f>
        <v>-634872.40300166328</v>
      </c>
      <c r="I140" s="113">
        <f t="shared" si="35"/>
        <v>188297.3511287258</v>
      </c>
      <c r="J140" s="113">
        <f t="shared" si="35"/>
        <v>202238.60394564515</v>
      </c>
      <c r="K140" s="113">
        <f t="shared" si="35"/>
        <v>216546.73682064365</v>
      </c>
      <c r="L140" s="113">
        <f t="shared" si="35"/>
        <v>231211.01588424807</v>
      </c>
      <c r="M140" s="113">
        <f t="shared" si="35"/>
        <v>249717.17843353469</v>
      </c>
      <c r="N140" s="113">
        <f t="shared" si="35"/>
        <v>263676.06746444653</v>
      </c>
      <c r="O140" s="113">
        <f t="shared" si="35"/>
        <v>237621.8718690048</v>
      </c>
      <c r="P140" s="113">
        <f t="shared" si="35"/>
        <v>211486.69218968682</v>
      </c>
      <c r="Q140" s="113">
        <f t="shared" si="35"/>
        <v>195781.92811984499</v>
      </c>
      <c r="R140" s="113">
        <f t="shared" si="35"/>
        <v>179097.33453266392</v>
      </c>
      <c r="S140" s="113">
        <f t="shared" si="35"/>
        <v>164120.29216654098</v>
      </c>
      <c r="T140" s="113">
        <f t="shared" si="35"/>
        <v>149517.5296034069</v>
      </c>
      <c r="U140" s="113">
        <f t="shared" si="35"/>
        <v>135207.05334563588</v>
      </c>
      <c r="V140" s="113">
        <f t="shared" si="35"/>
        <v>121185.18557828816</v>
      </c>
      <c r="W140" s="113">
        <f t="shared" si="35"/>
        <v>107445.2478815373</v>
      </c>
      <c r="X140" s="113">
        <f t="shared" si="35"/>
        <v>93981.972177870339</v>
      </c>
      <c r="Y140" s="113">
        <f t="shared" si="35"/>
        <v>80789.996812802972</v>
      </c>
      <c r="Z140" s="113">
        <f t="shared" si="35"/>
        <v>67864.196856139693</v>
      </c>
      <c r="AA140" s="113">
        <f t="shared" si="35"/>
        <v>55198.652826616191</v>
      </c>
      <c r="AB140" s="113">
        <f t="shared" si="35"/>
        <v>42788.822133341222</v>
      </c>
      <c r="AC140" s="113">
        <f t="shared" si="35"/>
        <v>0</v>
      </c>
      <c r="AD140" s="113">
        <f t="shared" si="35"/>
        <v>0</v>
      </c>
      <c r="AE140" s="113">
        <f t="shared" si="35"/>
        <v>0</v>
      </c>
      <c r="AF140" s="113">
        <f t="shared" si="35"/>
        <v>0</v>
      </c>
      <c r="AG140" s="113">
        <f t="shared" si="35"/>
        <v>0</v>
      </c>
      <c r="AH140" s="113">
        <f t="shared" si="35"/>
        <v>0</v>
      </c>
      <c r="AI140" s="113">
        <f t="shared" si="35"/>
        <v>0</v>
      </c>
      <c r="AJ140" s="113">
        <f t="shared" si="35"/>
        <v>0</v>
      </c>
      <c r="AK140" s="113">
        <f t="shared" si="35"/>
        <v>0</v>
      </c>
      <c r="AL140" s="113">
        <f t="shared" si="35"/>
        <v>0</v>
      </c>
      <c r="AM140" s="113">
        <f t="shared" si="35"/>
        <v>0</v>
      </c>
      <c r="AN140" s="113">
        <f t="shared" si="35"/>
        <v>0</v>
      </c>
      <c r="AO140" s="113">
        <f t="shared" si="35"/>
        <v>0</v>
      </c>
      <c r="AP140" s="113">
        <f t="shared" si="35"/>
        <v>0</v>
      </c>
      <c r="AQ140" s="113">
        <f t="shared" si="35"/>
        <v>0</v>
      </c>
      <c r="AR140" s="113">
        <f t="shared" si="35"/>
        <v>0</v>
      </c>
      <c r="AS140" s="113">
        <f t="shared" si="35"/>
        <v>0</v>
      </c>
      <c r="AT140" s="113">
        <f t="shared" si="35"/>
        <v>0</v>
      </c>
      <c r="AU140" s="113">
        <f t="shared" si="35"/>
        <v>0</v>
      </c>
      <c r="AV140" s="113">
        <f t="shared" si="35"/>
        <v>0</v>
      </c>
      <c r="AW140" s="113">
        <f t="shared" si="35"/>
        <v>0</v>
      </c>
      <c r="AX140" s="113">
        <f t="shared" si="35"/>
        <v>0</v>
      </c>
      <c r="AY140" s="113">
        <f t="shared" si="35"/>
        <v>0</v>
      </c>
    </row>
    <row r="141" spans="1:51" x14ac:dyDescent="0.25">
      <c r="A141" s="4" t="s">
        <v>221</v>
      </c>
      <c r="B141" s="4"/>
      <c r="C141" s="4"/>
      <c r="D141" s="4"/>
      <c r="E141" s="4"/>
      <c r="F141" s="20" t="s">
        <v>124</v>
      </c>
      <c r="G141" s="113">
        <f>G138-G139</f>
        <v>-1121141.2314685518</v>
      </c>
      <c r="H141" s="113">
        <f t="shared" ref="H141:AY141" si="36">H138-H139</f>
        <v>-634872.40300166328</v>
      </c>
      <c r="I141" s="113">
        <f t="shared" si="36"/>
        <v>188297.3511287258</v>
      </c>
      <c r="J141" s="113">
        <f t="shared" si="36"/>
        <v>202238.60394564515</v>
      </c>
      <c r="K141" s="113">
        <f t="shared" si="36"/>
        <v>216546.73682064365</v>
      </c>
      <c r="L141" s="113">
        <f t="shared" si="36"/>
        <v>231211.01588424807</v>
      </c>
      <c r="M141" s="113">
        <f t="shared" si="36"/>
        <v>249717.17843353469</v>
      </c>
      <c r="N141" s="113">
        <f t="shared" si="36"/>
        <v>263676.06746444653</v>
      </c>
      <c r="O141" s="113">
        <f t="shared" si="36"/>
        <v>237621.8718690048</v>
      </c>
      <c r="P141" s="113">
        <f t="shared" si="36"/>
        <v>211486.69218968682</v>
      </c>
      <c r="Q141" s="113">
        <f t="shared" si="36"/>
        <v>195781.92811984499</v>
      </c>
      <c r="R141" s="113">
        <f t="shared" si="36"/>
        <v>179097.33453266392</v>
      </c>
      <c r="S141" s="113">
        <f t="shared" si="36"/>
        <v>164120.29216654098</v>
      </c>
      <c r="T141" s="113">
        <f t="shared" si="36"/>
        <v>149517.5296034069</v>
      </c>
      <c r="U141" s="113">
        <f t="shared" si="36"/>
        <v>135207.05334563588</v>
      </c>
      <c r="V141" s="113">
        <f t="shared" si="36"/>
        <v>121185.18557828816</v>
      </c>
      <c r="W141" s="113">
        <f t="shared" si="36"/>
        <v>107445.2478815373</v>
      </c>
      <c r="X141" s="113">
        <f t="shared" si="36"/>
        <v>93981.972177870339</v>
      </c>
      <c r="Y141" s="113">
        <f t="shared" si="36"/>
        <v>80789.996812802972</v>
      </c>
      <c r="Z141" s="113">
        <f t="shared" si="36"/>
        <v>67864.196856139693</v>
      </c>
      <c r="AA141" s="113">
        <f t="shared" si="36"/>
        <v>55198.652826616191</v>
      </c>
      <c r="AB141" s="113">
        <f t="shared" si="36"/>
        <v>42788.822133341222</v>
      </c>
      <c r="AC141" s="113">
        <f t="shared" si="36"/>
        <v>0</v>
      </c>
      <c r="AD141" s="113">
        <f t="shared" si="36"/>
        <v>0</v>
      </c>
      <c r="AE141" s="113">
        <f t="shared" si="36"/>
        <v>0</v>
      </c>
      <c r="AF141" s="113">
        <f t="shared" si="36"/>
        <v>0</v>
      </c>
      <c r="AG141" s="113">
        <f t="shared" si="36"/>
        <v>0</v>
      </c>
      <c r="AH141" s="113">
        <f t="shared" si="36"/>
        <v>0</v>
      </c>
      <c r="AI141" s="113">
        <f t="shared" si="36"/>
        <v>0</v>
      </c>
      <c r="AJ141" s="113">
        <f t="shared" si="36"/>
        <v>0</v>
      </c>
      <c r="AK141" s="113">
        <f t="shared" si="36"/>
        <v>0</v>
      </c>
      <c r="AL141" s="113">
        <f t="shared" si="36"/>
        <v>0</v>
      </c>
      <c r="AM141" s="113">
        <f t="shared" si="36"/>
        <v>0</v>
      </c>
      <c r="AN141" s="113">
        <f t="shared" si="36"/>
        <v>0</v>
      </c>
      <c r="AO141" s="113">
        <f t="shared" si="36"/>
        <v>0</v>
      </c>
      <c r="AP141" s="113">
        <f t="shared" si="36"/>
        <v>0</v>
      </c>
      <c r="AQ141" s="113">
        <f t="shared" si="36"/>
        <v>0</v>
      </c>
      <c r="AR141" s="113">
        <f t="shared" si="36"/>
        <v>0</v>
      </c>
      <c r="AS141" s="113">
        <f t="shared" si="36"/>
        <v>0</v>
      </c>
      <c r="AT141" s="113">
        <f t="shared" si="36"/>
        <v>0</v>
      </c>
      <c r="AU141" s="113">
        <f t="shared" si="36"/>
        <v>0</v>
      </c>
      <c r="AV141" s="113">
        <f t="shared" si="36"/>
        <v>0</v>
      </c>
      <c r="AW141" s="113">
        <f t="shared" si="36"/>
        <v>0</v>
      </c>
      <c r="AX141" s="113">
        <f t="shared" si="36"/>
        <v>0</v>
      </c>
      <c r="AY141" s="113">
        <f t="shared" si="36"/>
        <v>0</v>
      </c>
    </row>
    <row r="142" spans="1:51" x14ac:dyDescent="0.25">
      <c r="A142" s="4"/>
      <c r="B142" s="4"/>
      <c r="C142" s="4"/>
      <c r="D142" s="4"/>
      <c r="E142" s="4"/>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row>
    <row r="143" spans="1:51" x14ac:dyDescent="0.25">
      <c r="A143" s="50" t="s">
        <v>61</v>
      </c>
      <c r="B143" s="50"/>
      <c r="C143" s="54"/>
      <c r="D143" s="54"/>
      <c r="E143" s="54"/>
      <c r="F143" s="54"/>
      <c r="G143" s="49">
        <f>Start_Yr</f>
        <v>2026</v>
      </c>
      <c r="H143" s="49">
        <f t="shared" ref="H143:AY143" si="37">G143+1</f>
        <v>2027</v>
      </c>
      <c r="I143" s="49">
        <f t="shared" si="37"/>
        <v>2028</v>
      </c>
      <c r="J143" s="49">
        <f t="shared" si="37"/>
        <v>2029</v>
      </c>
      <c r="K143" s="49">
        <f t="shared" si="37"/>
        <v>2030</v>
      </c>
      <c r="L143" s="49">
        <f t="shared" si="37"/>
        <v>2031</v>
      </c>
      <c r="M143" s="49">
        <f t="shared" si="37"/>
        <v>2032</v>
      </c>
      <c r="N143" s="49">
        <f t="shared" si="37"/>
        <v>2033</v>
      </c>
      <c r="O143" s="49">
        <f t="shared" si="37"/>
        <v>2034</v>
      </c>
      <c r="P143" s="49">
        <f t="shared" si="37"/>
        <v>2035</v>
      </c>
      <c r="Q143" s="49">
        <f t="shared" si="37"/>
        <v>2036</v>
      </c>
      <c r="R143" s="49">
        <f t="shared" si="37"/>
        <v>2037</v>
      </c>
      <c r="S143" s="49">
        <f t="shared" si="37"/>
        <v>2038</v>
      </c>
      <c r="T143" s="49">
        <f t="shared" si="37"/>
        <v>2039</v>
      </c>
      <c r="U143" s="49">
        <f t="shared" si="37"/>
        <v>2040</v>
      </c>
      <c r="V143" s="49">
        <f t="shared" si="37"/>
        <v>2041</v>
      </c>
      <c r="W143" s="49">
        <f t="shared" si="37"/>
        <v>2042</v>
      </c>
      <c r="X143" s="49">
        <f t="shared" si="37"/>
        <v>2043</v>
      </c>
      <c r="Y143" s="49">
        <f t="shared" si="37"/>
        <v>2044</v>
      </c>
      <c r="Z143" s="49">
        <f t="shared" si="37"/>
        <v>2045</v>
      </c>
      <c r="AA143" s="49">
        <f t="shared" si="37"/>
        <v>2046</v>
      </c>
      <c r="AB143" s="49">
        <f t="shared" si="37"/>
        <v>2047</v>
      </c>
      <c r="AC143" s="49">
        <f t="shared" si="37"/>
        <v>2048</v>
      </c>
      <c r="AD143" s="49">
        <f t="shared" si="37"/>
        <v>2049</v>
      </c>
      <c r="AE143" s="49">
        <f t="shared" si="37"/>
        <v>2050</v>
      </c>
      <c r="AF143" s="49">
        <f t="shared" si="37"/>
        <v>2051</v>
      </c>
      <c r="AG143" s="49">
        <f t="shared" si="37"/>
        <v>2052</v>
      </c>
      <c r="AH143" s="49">
        <f t="shared" si="37"/>
        <v>2053</v>
      </c>
      <c r="AI143" s="49">
        <f t="shared" si="37"/>
        <v>2054</v>
      </c>
      <c r="AJ143" s="49">
        <f t="shared" si="37"/>
        <v>2055</v>
      </c>
      <c r="AK143" s="49">
        <f t="shared" si="37"/>
        <v>2056</v>
      </c>
      <c r="AL143" s="49">
        <f t="shared" si="37"/>
        <v>2057</v>
      </c>
      <c r="AM143" s="49">
        <f t="shared" si="37"/>
        <v>2058</v>
      </c>
      <c r="AN143" s="49">
        <f t="shared" si="37"/>
        <v>2059</v>
      </c>
      <c r="AO143" s="49">
        <f t="shared" si="37"/>
        <v>2060</v>
      </c>
      <c r="AP143" s="49">
        <f t="shared" si="37"/>
        <v>2061</v>
      </c>
      <c r="AQ143" s="49">
        <f t="shared" si="37"/>
        <v>2062</v>
      </c>
      <c r="AR143" s="49">
        <f t="shared" si="37"/>
        <v>2063</v>
      </c>
      <c r="AS143" s="49">
        <f t="shared" si="37"/>
        <v>2064</v>
      </c>
      <c r="AT143" s="49">
        <f t="shared" si="37"/>
        <v>2065</v>
      </c>
      <c r="AU143" s="49">
        <f t="shared" si="37"/>
        <v>2066</v>
      </c>
      <c r="AV143" s="49">
        <f t="shared" si="37"/>
        <v>2067</v>
      </c>
      <c r="AW143" s="49">
        <f t="shared" si="37"/>
        <v>2068</v>
      </c>
      <c r="AX143" s="49">
        <f t="shared" si="37"/>
        <v>2069</v>
      </c>
      <c r="AY143" s="49">
        <f t="shared" si="37"/>
        <v>2070</v>
      </c>
    </row>
    <row r="144" spans="1:51" x14ac:dyDescent="0.25">
      <c r="A144" s="201" t="s">
        <v>213</v>
      </c>
      <c r="B144" s="26"/>
      <c r="C144" s="9"/>
      <c r="D144" s="9"/>
      <c r="E144" s="9"/>
      <c r="F144" s="9" t="s">
        <v>124</v>
      </c>
      <c r="G144" s="116">
        <f>G146-G145</f>
        <v>0</v>
      </c>
      <c r="H144" s="116">
        <f t="shared" ref="H144:AY144" si="38">H146-H145</f>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0</v>
      </c>
      <c r="AE144" s="116">
        <f t="shared" si="38"/>
        <v>0</v>
      </c>
      <c r="AF144" s="116">
        <f t="shared" si="38"/>
        <v>0</v>
      </c>
      <c r="AG144" s="116">
        <f t="shared" si="38"/>
        <v>0</v>
      </c>
      <c r="AH144" s="116">
        <f t="shared" si="38"/>
        <v>0</v>
      </c>
      <c r="AI144" s="116">
        <f t="shared" si="38"/>
        <v>0</v>
      </c>
      <c r="AJ144" s="116">
        <f t="shared" si="38"/>
        <v>0</v>
      </c>
      <c r="AK144" s="116">
        <f t="shared" si="38"/>
        <v>0</v>
      </c>
      <c r="AL144" s="116">
        <f t="shared" si="38"/>
        <v>0</v>
      </c>
      <c r="AM144" s="116">
        <f t="shared" si="38"/>
        <v>0</v>
      </c>
      <c r="AN144" s="116">
        <f t="shared" si="38"/>
        <v>0</v>
      </c>
      <c r="AO144" s="116">
        <f t="shared" si="38"/>
        <v>0</v>
      </c>
      <c r="AP144" s="116">
        <f t="shared" si="38"/>
        <v>0</v>
      </c>
      <c r="AQ144" s="116">
        <f t="shared" si="38"/>
        <v>0</v>
      </c>
      <c r="AR144" s="116">
        <f t="shared" si="38"/>
        <v>0</v>
      </c>
      <c r="AS144" s="116">
        <f t="shared" si="38"/>
        <v>0</v>
      </c>
      <c r="AT144" s="116">
        <f t="shared" si="38"/>
        <v>0</v>
      </c>
      <c r="AU144" s="116">
        <f t="shared" si="38"/>
        <v>0</v>
      </c>
      <c r="AV144" s="116">
        <f t="shared" si="38"/>
        <v>0</v>
      </c>
      <c r="AW144" s="116">
        <f t="shared" si="38"/>
        <v>0</v>
      </c>
      <c r="AX144" s="116">
        <f t="shared" si="38"/>
        <v>0</v>
      </c>
      <c r="AY144" s="116">
        <f t="shared" si="38"/>
        <v>0</v>
      </c>
    </row>
    <row r="145" spans="1:51" x14ac:dyDescent="0.25">
      <c r="A145" s="201" t="s">
        <v>214</v>
      </c>
      <c r="B145" s="26"/>
      <c r="C145" s="9"/>
      <c r="D145" s="9"/>
      <c r="E145" s="9"/>
      <c r="F145" s="9" t="s">
        <v>124</v>
      </c>
      <c r="G145" s="116">
        <f>'Real values'!H147</f>
        <v>0</v>
      </c>
      <c r="H145" s="116">
        <f>'Real values'!I147</f>
        <v>0</v>
      </c>
      <c r="I145" s="116">
        <f>'Real values'!J147</f>
        <v>0</v>
      </c>
      <c r="J145" s="116">
        <f>'Real values'!K147</f>
        <v>0</v>
      </c>
      <c r="K145" s="116">
        <f>'Real values'!L147</f>
        <v>0</v>
      </c>
      <c r="L145" s="116">
        <f>'Real values'!M147</f>
        <v>0</v>
      </c>
      <c r="M145" s="116">
        <f>'Real values'!N147</f>
        <v>0</v>
      </c>
      <c r="N145" s="116">
        <f>'Real values'!O147</f>
        <v>0</v>
      </c>
      <c r="O145" s="116">
        <f>'Real values'!P147</f>
        <v>0</v>
      </c>
      <c r="P145" s="116">
        <f>'Real values'!Q147</f>
        <v>0</v>
      </c>
      <c r="Q145" s="116">
        <f>'Real values'!R147</f>
        <v>0</v>
      </c>
      <c r="R145" s="116">
        <f>'Real values'!S147</f>
        <v>0</v>
      </c>
      <c r="S145" s="116">
        <f>'Real values'!T147</f>
        <v>0</v>
      </c>
      <c r="T145" s="116">
        <f>'Real values'!U147</f>
        <v>0</v>
      </c>
      <c r="U145" s="116">
        <f>'Real values'!V147</f>
        <v>0</v>
      </c>
      <c r="V145" s="116">
        <f>'Real values'!W147</f>
        <v>0</v>
      </c>
      <c r="W145" s="116">
        <f>'Real values'!X147</f>
        <v>0</v>
      </c>
      <c r="X145" s="116">
        <f>'Real values'!Y147</f>
        <v>0</v>
      </c>
      <c r="Y145" s="116">
        <f>'Real values'!Z147</f>
        <v>0</v>
      </c>
      <c r="Z145" s="116">
        <f>'Real values'!AA147</f>
        <v>0</v>
      </c>
      <c r="AA145" s="116">
        <f>'Real values'!AB147</f>
        <v>0</v>
      </c>
      <c r="AB145" s="116">
        <f>'Real values'!AC147</f>
        <v>0</v>
      </c>
      <c r="AC145" s="116">
        <f>'Real values'!AD147</f>
        <v>0</v>
      </c>
      <c r="AD145" s="116">
        <f>'Real values'!AE147</f>
        <v>0</v>
      </c>
      <c r="AE145" s="116">
        <f>'Real values'!AF147</f>
        <v>0</v>
      </c>
      <c r="AF145" s="116">
        <f>'Real values'!AG147</f>
        <v>0</v>
      </c>
      <c r="AG145" s="116">
        <f>'Real values'!AH147</f>
        <v>0</v>
      </c>
      <c r="AH145" s="116">
        <f>'Real values'!AI147</f>
        <v>0</v>
      </c>
      <c r="AI145" s="116">
        <f>'Real values'!AJ147</f>
        <v>0</v>
      </c>
      <c r="AJ145" s="116">
        <f>'Real values'!AK147</f>
        <v>0</v>
      </c>
      <c r="AK145" s="116">
        <f>'Real values'!AL147</f>
        <v>0</v>
      </c>
      <c r="AL145" s="116">
        <f>'Real values'!AM147</f>
        <v>0</v>
      </c>
      <c r="AM145" s="116">
        <f>'Real values'!AN147</f>
        <v>0</v>
      </c>
      <c r="AN145" s="116">
        <f>'Real values'!AO147</f>
        <v>0</v>
      </c>
      <c r="AO145" s="116">
        <f>'Real values'!AP147</f>
        <v>0</v>
      </c>
      <c r="AP145" s="116">
        <f>'Real values'!AQ147</f>
        <v>0</v>
      </c>
      <c r="AQ145" s="116">
        <f>'Real values'!AR147</f>
        <v>0</v>
      </c>
      <c r="AR145" s="116">
        <f>'Real values'!AS147</f>
        <v>0</v>
      </c>
      <c r="AS145" s="116">
        <f>'Real values'!AT147</f>
        <v>0</v>
      </c>
      <c r="AT145" s="116">
        <f>'Real values'!AU147</f>
        <v>0</v>
      </c>
      <c r="AU145" s="116">
        <f>'Real values'!AV147</f>
        <v>0</v>
      </c>
      <c r="AV145" s="116">
        <f>'Real values'!AW147</f>
        <v>0</v>
      </c>
      <c r="AW145" s="116">
        <f>'Real values'!AX147</f>
        <v>0</v>
      </c>
      <c r="AX145" s="116">
        <f>'Real values'!AY147</f>
        <v>0</v>
      </c>
      <c r="AY145" s="116">
        <f>'Real values'!AZ147</f>
        <v>0</v>
      </c>
    </row>
    <row r="146" spans="1:51" x14ac:dyDescent="0.25">
      <c r="A146" s="6" t="s">
        <v>215</v>
      </c>
      <c r="B146" s="26"/>
      <c r="C146" s="9"/>
      <c r="D146" s="9"/>
      <c r="E146" s="9"/>
      <c r="F146" s="9" t="s">
        <v>124</v>
      </c>
      <c r="G146" s="116">
        <f>C59</f>
        <v>0</v>
      </c>
      <c r="H146" s="116">
        <f t="shared" ref="H146:AY146" si="39">D59</f>
        <v>0</v>
      </c>
      <c r="I146" s="116">
        <f t="shared" si="39"/>
        <v>0</v>
      </c>
      <c r="J146" s="116">
        <f t="shared" si="39"/>
        <v>0</v>
      </c>
      <c r="K146" s="116">
        <f t="shared" si="39"/>
        <v>0</v>
      </c>
      <c r="L146" s="116">
        <f t="shared" si="39"/>
        <v>0</v>
      </c>
      <c r="M146" s="116">
        <f t="shared" si="39"/>
        <v>0</v>
      </c>
      <c r="N146" s="116">
        <f t="shared" si="39"/>
        <v>0</v>
      </c>
      <c r="O146" s="116">
        <f t="shared" si="39"/>
        <v>0</v>
      </c>
      <c r="P146" s="116">
        <f t="shared" si="39"/>
        <v>0</v>
      </c>
      <c r="Q146" s="116">
        <f t="shared" si="39"/>
        <v>0</v>
      </c>
      <c r="R146" s="116">
        <f t="shared" si="39"/>
        <v>0</v>
      </c>
      <c r="S146" s="116">
        <f t="shared" si="39"/>
        <v>0</v>
      </c>
      <c r="T146" s="116">
        <f t="shared" si="39"/>
        <v>0</v>
      </c>
      <c r="U146" s="116">
        <f t="shared" si="39"/>
        <v>0</v>
      </c>
      <c r="V146" s="116">
        <f t="shared" si="39"/>
        <v>0</v>
      </c>
      <c r="W146" s="116">
        <f t="shared" si="39"/>
        <v>0</v>
      </c>
      <c r="X146" s="116">
        <f t="shared" si="39"/>
        <v>0</v>
      </c>
      <c r="Y146" s="116">
        <f t="shared" si="39"/>
        <v>0</v>
      </c>
      <c r="Z146" s="116">
        <f t="shared" si="39"/>
        <v>0</v>
      </c>
      <c r="AA146" s="116">
        <f t="shared" si="39"/>
        <v>0</v>
      </c>
      <c r="AB146" s="116">
        <f t="shared" si="39"/>
        <v>0</v>
      </c>
      <c r="AC146" s="116">
        <f t="shared" si="39"/>
        <v>0</v>
      </c>
      <c r="AD146" s="116">
        <f t="shared" si="39"/>
        <v>0</v>
      </c>
      <c r="AE146" s="116">
        <f t="shared" si="39"/>
        <v>0</v>
      </c>
      <c r="AF146" s="116">
        <f t="shared" si="39"/>
        <v>0</v>
      </c>
      <c r="AG146" s="116">
        <f t="shared" si="39"/>
        <v>0</v>
      </c>
      <c r="AH146" s="116">
        <f t="shared" si="39"/>
        <v>0</v>
      </c>
      <c r="AI146" s="116">
        <f t="shared" si="39"/>
        <v>0</v>
      </c>
      <c r="AJ146" s="116">
        <f t="shared" si="39"/>
        <v>0</v>
      </c>
      <c r="AK146" s="116">
        <f t="shared" si="39"/>
        <v>0</v>
      </c>
      <c r="AL146" s="116">
        <f t="shared" si="39"/>
        <v>0</v>
      </c>
      <c r="AM146" s="116">
        <f t="shared" si="39"/>
        <v>0</v>
      </c>
      <c r="AN146" s="116">
        <f t="shared" si="39"/>
        <v>0</v>
      </c>
      <c r="AO146" s="116">
        <f t="shared" si="39"/>
        <v>0</v>
      </c>
      <c r="AP146" s="116">
        <f t="shared" si="39"/>
        <v>0</v>
      </c>
      <c r="AQ146" s="116">
        <f t="shared" si="39"/>
        <v>0</v>
      </c>
      <c r="AR146" s="116">
        <f t="shared" si="39"/>
        <v>0</v>
      </c>
      <c r="AS146" s="116">
        <f t="shared" si="39"/>
        <v>0</v>
      </c>
      <c r="AT146" s="116">
        <f t="shared" si="39"/>
        <v>0</v>
      </c>
      <c r="AU146" s="116">
        <f t="shared" si="39"/>
        <v>0</v>
      </c>
      <c r="AV146" s="116">
        <f t="shared" si="39"/>
        <v>0</v>
      </c>
      <c r="AW146" s="116">
        <f t="shared" si="39"/>
        <v>0</v>
      </c>
      <c r="AX146" s="116">
        <f t="shared" si="39"/>
        <v>0</v>
      </c>
      <c r="AY146" s="116">
        <f t="shared" si="39"/>
        <v>0</v>
      </c>
    </row>
    <row r="147" spans="1:51" x14ac:dyDescent="0.25">
      <c r="A147" s="4" t="s">
        <v>148</v>
      </c>
      <c r="B147" s="4"/>
      <c r="C147" s="4"/>
      <c r="D147" s="4"/>
      <c r="E147" s="4"/>
      <c r="F147" s="9" t="s">
        <v>124</v>
      </c>
      <c r="G147" s="116">
        <f>'Real values'!H49</f>
        <v>186072.0196648745</v>
      </c>
      <c r="H147" s="116">
        <f>'Real values'!I49</f>
        <v>182405.66578264337</v>
      </c>
      <c r="I147" s="116">
        <f>'Real values'!J49</f>
        <v>178811.55355616449</v>
      </c>
      <c r="J147" s="116">
        <f>'Real values'!K49</f>
        <v>175288.25953942208</v>
      </c>
      <c r="K147" s="116">
        <f>'Real values'!L49</f>
        <v>171834.38833391047</v>
      </c>
      <c r="L147" s="116">
        <f>'Real values'!M49</f>
        <v>168448.57203598713</v>
      </c>
      <c r="M147" s="116">
        <f>'Real values'!N49</f>
        <v>165129.46969511535</v>
      </c>
      <c r="N147" s="116">
        <f>'Real values'!O49</f>
        <v>161875.7667827814</v>
      </c>
      <c r="O147" s="116">
        <f>'Real values'!P49</f>
        <v>158686.17467187668</v>
      </c>
      <c r="P147" s="116">
        <f>'Real values'!Q49</f>
        <v>155559.43012633731</v>
      </c>
      <c r="Q147" s="116">
        <f>'Real values'!R49</f>
        <v>152494.29480084041</v>
      </c>
      <c r="R147" s="116">
        <f>'Real values'!S49</f>
        <v>149489.55475035822</v>
      </c>
      <c r="S147" s="116">
        <f>'Real values'!T49</f>
        <v>146544.01994937577</v>
      </c>
      <c r="T147" s="116">
        <f>'Real values'!U49</f>
        <v>143656.52382058205</v>
      </c>
      <c r="U147" s="116">
        <f>'Real values'!V49</f>
        <v>140825.92277284781</v>
      </c>
      <c r="V147" s="116">
        <f>'Real values'!W49</f>
        <v>138051.09574830683</v>
      </c>
      <c r="W147" s="116">
        <f>'Real values'!X49</f>
        <v>135330.94377836181</v>
      </c>
      <c r="X147" s="116">
        <f>'Real values'!Y49</f>
        <v>132664.38954843819</v>
      </c>
      <c r="Y147" s="116">
        <f>'Real values'!Z49</f>
        <v>130050.37697131476</v>
      </c>
      <c r="Z147" s="116">
        <f>'Real values'!AA49</f>
        <v>127487.87076886067</v>
      </c>
      <c r="AA147" s="116">
        <f>'Real values'!AB49</f>
        <v>124975.85606201418</v>
      </c>
      <c r="AB147" s="116">
        <f>'Real values'!AC49</f>
        <v>122513.33796884048</v>
      </c>
      <c r="AC147" s="116">
        <f>'Real values'!AD49</f>
        <v>0</v>
      </c>
      <c r="AD147" s="116">
        <f>'Real values'!AE49</f>
        <v>0</v>
      </c>
      <c r="AE147" s="116">
        <f>'Real values'!AF49</f>
        <v>0</v>
      </c>
      <c r="AF147" s="116">
        <f>'Real values'!AG49</f>
        <v>0</v>
      </c>
      <c r="AG147" s="116">
        <f>'Real values'!AH49</f>
        <v>0</v>
      </c>
      <c r="AH147" s="116">
        <f>'Real values'!AI49</f>
        <v>0</v>
      </c>
      <c r="AI147" s="116">
        <f>'Real values'!AJ49</f>
        <v>0</v>
      </c>
      <c r="AJ147" s="116">
        <f>'Real values'!AK49</f>
        <v>0</v>
      </c>
      <c r="AK147" s="116">
        <f>'Real values'!AL49</f>
        <v>0</v>
      </c>
      <c r="AL147" s="116">
        <f>'Real values'!AM49</f>
        <v>0</v>
      </c>
      <c r="AM147" s="116">
        <f>'Real values'!AN49</f>
        <v>0</v>
      </c>
      <c r="AN147" s="116">
        <f>'Real values'!AO49</f>
        <v>0</v>
      </c>
      <c r="AO147" s="116">
        <f>'Real values'!AP49</f>
        <v>0</v>
      </c>
      <c r="AP147" s="116">
        <f>'Real values'!AQ49</f>
        <v>0</v>
      </c>
      <c r="AQ147" s="116">
        <f>'Real values'!AR49</f>
        <v>0</v>
      </c>
      <c r="AR147" s="116">
        <f>'Real values'!AS49</f>
        <v>0</v>
      </c>
      <c r="AS147" s="116">
        <f>'Real values'!AT49</f>
        <v>0</v>
      </c>
      <c r="AT147" s="116">
        <f>'Real values'!AU49</f>
        <v>0</v>
      </c>
      <c r="AU147" s="116">
        <f>'Real values'!AV49</f>
        <v>0</v>
      </c>
      <c r="AV147" s="116">
        <f>'Real values'!AW49</f>
        <v>0</v>
      </c>
      <c r="AW147" s="116">
        <f>'Real values'!AX49</f>
        <v>0</v>
      </c>
      <c r="AX147" s="116">
        <f>'Real values'!AY49</f>
        <v>0</v>
      </c>
      <c r="AY147" s="116">
        <f>'Real values'!AZ49</f>
        <v>0</v>
      </c>
    </row>
    <row r="148" spans="1:51" x14ac:dyDescent="0.25">
      <c r="A148" s="4" t="s">
        <v>149</v>
      </c>
      <c r="B148" s="4"/>
      <c r="C148" s="4"/>
      <c r="D148" s="4"/>
      <c r="E148" s="4"/>
      <c r="F148" s="9" t="s">
        <v>124</v>
      </c>
      <c r="G148" s="116">
        <f>'Real values'!H132</f>
        <v>719617.39956013835</v>
      </c>
      <c r="H148" s="116">
        <f>'Real values'!I132</f>
        <v>718751.27360999922</v>
      </c>
      <c r="I148" s="116">
        <f>'Real values'!J132</f>
        <v>717584.57645198971</v>
      </c>
      <c r="J148" s="116">
        <f>'Real values'!K132</f>
        <v>716815.20804029866</v>
      </c>
      <c r="K148" s="116">
        <f>'Real values'!L132</f>
        <v>716045.62869563466</v>
      </c>
      <c r="L148" s="116">
        <f>'Real values'!M132</f>
        <v>715275.92654205905</v>
      </c>
      <c r="M148" s="116">
        <f>'Real values'!N132</f>
        <v>714422.42670965753</v>
      </c>
      <c r="N148" s="116">
        <f>'Real values'!O132</f>
        <v>713685.94907154108</v>
      </c>
      <c r="O148" s="116">
        <f>'Real values'!P132</f>
        <v>713916.0026730221</v>
      </c>
      <c r="P148" s="116">
        <f>'Real values'!Q132</f>
        <v>714155.76249645685</v>
      </c>
      <c r="Q148" s="116">
        <f>'Real values'!R132</f>
        <v>714153.24981437472</v>
      </c>
      <c r="R148" s="116">
        <f>'Real values'!S132</f>
        <v>714181.67431637773</v>
      </c>
      <c r="S148" s="116">
        <f>'Real values'!T132</f>
        <v>714176.50632202055</v>
      </c>
      <c r="T148" s="116">
        <f>'Real values'!U132</f>
        <v>714169.5433814947</v>
      </c>
      <c r="U148" s="116">
        <f>'Real values'!V132</f>
        <v>714162.60853181849</v>
      </c>
      <c r="V148" s="116">
        <f>'Real values'!W132</f>
        <v>714155.65135505854</v>
      </c>
      <c r="W148" s="116">
        <f>'Real values'!X132</f>
        <v>714148.69604950817</v>
      </c>
      <c r="X148" s="116">
        <f>'Real values'!Y132</f>
        <v>714141.73570112081</v>
      </c>
      <c r="Y148" s="116">
        <f>'Real values'!Z132</f>
        <v>714134.7682607671</v>
      </c>
      <c r="Z148" s="116">
        <f>'Real values'!AA132</f>
        <v>714127.78857939481</v>
      </c>
      <c r="AA148" s="116">
        <f>'Real values'!AB132</f>
        <v>714120.81306402839</v>
      </c>
      <c r="AB148" s="116">
        <f>'Real values'!AC132</f>
        <v>714113.82760603144</v>
      </c>
      <c r="AC148" s="116">
        <f>'Real values'!AD132</f>
        <v>0</v>
      </c>
      <c r="AD148" s="116">
        <f>'Real values'!AE132</f>
        <v>0</v>
      </c>
      <c r="AE148" s="116">
        <f>'Real values'!AF132</f>
        <v>0</v>
      </c>
      <c r="AF148" s="116">
        <f>'Real values'!AG132</f>
        <v>0</v>
      </c>
      <c r="AG148" s="116">
        <f>'Real values'!AH132</f>
        <v>0</v>
      </c>
      <c r="AH148" s="116">
        <f>'Real values'!AI132</f>
        <v>0</v>
      </c>
      <c r="AI148" s="116">
        <f>'Real values'!AJ132</f>
        <v>0</v>
      </c>
      <c r="AJ148" s="116">
        <f>'Real values'!AK132</f>
        <v>0</v>
      </c>
      <c r="AK148" s="116">
        <f>'Real values'!AL132</f>
        <v>0</v>
      </c>
      <c r="AL148" s="116">
        <f>'Real values'!AM132</f>
        <v>0</v>
      </c>
      <c r="AM148" s="116">
        <f>'Real values'!AN132</f>
        <v>0</v>
      </c>
      <c r="AN148" s="116">
        <f>'Real values'!AO132</f>
        <v>0</v>
      </c>
      <c r="AO148" s="116">
        <f>'Real values'!AP132</f>
        <v>0</v>
      </c>
      <c r="AP148" s="116">
        <f>'Real values'!AQ132</f>
        <v>0</v>
      </c>
      <c r="AQ148" s="116">
        <f>'Real values'!AR132</f>
        <v>0</v>
      </c>
      <c r="AR148" s="116">
        <f>'Real values'!AS132</f>
        <v>0</v>
      </c>
      <c r="AS148" s="116">
        <f>'Real values'!AT132</f>
        <v>0</v>
      </c>
      <c r="AT148" s="116">
        <f>'Real values'!AU132</f>
        <v>0</v>
      </c>
      <c r="AU148" s="116">
        <f>'Real values'!AV132</f>
        <v>0</v>
      </c>
      <c r="AV148" s="116">
        <f>'Real values'!AW132</f>
        <v>0</v>
      </c>
      <c r="AW148" s="116">
        <f>'Real values'!AX132</f>
        <v>0</v>
      </c>
      <c r="AX148" s="116">
        <f>'Real values'!AY132</f>
        <v>0</v>
      </c>
      <c r="AY148" s="116">
        <f>'Real values'!AZ132</f>
        <v>0</v>
      </c>
    </row>
    <row r="149" spans="1:51" x14ac:dyDescent="0.25">
      <c r="A149" s="4" t="s">
        <v>150</v>
      </c>
      <c r="B149" s="4"/>
      <c r="C149" s="4"/>
      <c r="D149" s="4"/>
      <c r="E149" s="4"/>
      <c r="F149" s="9" t="s">
        <v>124</v>
      </c>
      <c r="G149" s="116">
        <f>'Real values'!H153</f>
        <v>0</v>
      </c>
      <c r="H149" s="116">
        <f>'Real values'!I153</f>
        <v>0</v>
      </c>
      <c r="I149" s="116">
        <f>'Real values'!J153</f>
        <v>0</v>
      </c>
      <c r="J149" s="116">
        <f>'Real values'!K153</f>
        <v>0</v>
      </c>
      <c r="K149" s="116">
        <f>'Real values'!L153</f>
        <v>0</v>
      </c>
      <c r="L149" s="116">
        <f>'Real values'!M153</f>
        <v>0</v>
      </c>
      <c r="M149" s="116">
        <f>'Real values'!N153</f>
        <v>0</v>
      </c>
      <c r="N149" s="116">
        <f>'Real values'!O153</f>
        <v>0</v>
      </c>
      <c r="O149" s="116">
        <f>'Real values'!P153</f>
        <v>0</v>
      </c>
      <c r="P149" s="116">
        <f>'Real values'!Q153</f>
        <v>0</v>
      </c>
      <c r="Q149" s="116">
        <f>'Real values'!R153</f>
        <v>0</v>
      </c>
      <c r="R149" s="116">
        <f>'Real values'!S153</f>
        <v>0</v>
      </c>
      <c r="S149" s="116">
        <f>'Real values'!T153</f>
        <v>0</v>
      </c>
      <c r="T149" s="116">
        <f>'Real values'!U153</f>
        <v>0</v>
      </c>
      <c r="U149" s="116">
        <f>'Real values'!V153</f>
        <v>0</v>
      </c>
      <c r="V149" s="116">
        <f>'Real values'!W153</f>
        <v>0</v>
      </c>
      <c r="W149" s="116">
        <f>'Real values'!X153</f>
        <v>0</v>
      </c>
      <c r="X149" s="116">
        <f>'Real values'!Y153</f>
        <v>0</v>
      </c>
      <c r="Y149" s="116">
        <f>'Real values'!Z153</f>
        <v>0</v>
      </c>
      <c r="Z149" s="116">
        <f>'Real values'!AA153</f>
        <v>0</v>
      </c>
      <c r="AA149" s="116">
        <f>'Real values'!AB153</f>
        <v>0</v>
      </c>
      <c r="AB149" s="116">
        <f>'Real values'!AC153</f>
        <v>0</v>
      </c>
      <c r="AC149" s="116">
        <f>'Real values'!AD153</f>
        <v>0</v>
      </c>
      <c r="AD149" s="116">
        <f>'Real values'!AE153</f>
        <v>0</v>
      </c>
      <c r="AE149" s="116">
        <f>'Real values'!AF153</f>
        <v>0</v>
      </c>
      <c r="AF149" s="116">
        <f>'Real values'!AG153</f>
        <v>0</v>
      </c>
      <c r="AG149" s="116">
        <f>'Real values'!AH153</f>
        <v>0</v>
      </c>
      <c r="AH149" s="116">
        <f>'Real values'!AI153</f>
        <v>0</v>
      </c>
      <c r="AI149" s="116">
        <f>'Real values'!AJ153</f>
        <v>0</v>
      </c>
      <c r="AJ149" s="116">
        <f>'Real values'!AK153</f>
        <v>0</v>
      </c>
      <c r="AK149" s="116">
        <f>'Real values'!AL153</f>
        <v>0</v>
      </c>
      <c r="AL149" s="116">
        <f>'Real values'!AM153</f>
        <v>0</v>
      </c>
      <c r="AM149" s="116">
        <f>'Real values'!AN153</f>
        <v>0</v>
      </c>
      <c r="AN149" s="116">
        <f>'Real values'!AO153</f>
        <v>0</v>
      </c>
      <c r="AO149" s="116">
        <f>'Real values'!AP153</f>
        <v>0</v>
      </c>
      <c r="AP149" s="116">
        <f>'Real values'!AQ153</f>
        <v>0</v>
      </c>
      <c r="AQ149" s="116">
        <f>'Real values'!AR153</f>
        <v>0</v>
      </c>
      <c r="AR149" s="116">
        <f>'Real values'!AS153</f>
        <v>0</v>
      </c>
      <c r="AS149" s="116">
        <f>'Real values'!AT153</f>
        <v>0</v>
      </c>
      <c r="AT149" s="116">
        <f>'Real values'!AU153</f>
        <v>0</v>
      </c>
      <c r="AU149" s="116">
        <f>'Real values'!AV153</f>
        <v>0</v>
      </c>
      <c r="AV149" s="116">
        <f>'Real values'!AW153</f>
        <v>0</v>
      </c>
      <c r="AW149" s="116">
        <f>'Real values'!AX153</f>
        <v>0</v>
      </c>
      <c r="AX149" s="116">
        <f>'Real values'!AY153</f>
        <v>0</v>
      </c>
      <c r="AY149" s="116">
        <f>'Real values'!AZ153</f>
        <v>0</v>
      </c>
    </row>
    <row r="150" spans="1:51" x14ac:dyDescent="0.25">
      <c r="A150" s="4" t="s">
        <v>216</v>
      </c>
      <c r="B150" s="4"/>
      <c r="C150" s="4"/>
      <c r="D150" s="4"/>
      <c r="E150" s="4"/>
      <c r="F150" s="9" t="s">
        <v>124</v>
      </c>
      <c r="G150" s="116">
        <f>G144+SUM(G147:G149)</f>
        <v>905689.41922501288</v>
      </c>
      <c r="H150" s="116">
        <f t="shared" ref="H150:AY150" si="40">H144+SUM(H147:H149)</f>
        <v>901156.93939264258</v>
      </c>
      <c r="I150" s="116">
        <f t="shared" si="40"/>
        <v>896396.1300081542</v>
      </c>
      <c r="J150" s="116">
        <f t="shared" si="40"/>
        <v>892103.46757972077</v>
      </c>
      <c r="K150" s="116">
        <f t="shared" si="40"/>
        <v>887880.01702954515</v>
      </c>
      <c r="L150" s="116">
        <f t="shared" si="40"/>
        <v>883724.49857804622</v>
      </c>
      <c r="M150" s="116">
        <f t="shared" si="40"/>
        <v>879551.89640477288</v>
      </c>
      <c r="N150" s="116">
        <f t="shared" si="40"/>
        <v>875561.71585432254</v>
      </c>
      <c r="O150" s="116">
        <f t="shared" si="40"/>
        <v>872602.17734489881</v>
      </c>
      <c r="P150" s="116">
        <f t="shared" si="40"/>
        <v>869715.19262279419</v>
      </c>
      <c r="Q150" s="116">
        <f t="shared" si="40"/>
        <v>866647.54461521516</v>
      </c>
      <c r="R150" s="116">
        <f t="shared" si="40"/>
        <v>863671.22906673595</v>
      </c>
      <c r="S150" s="116">
        <f t="shared" si="40"/>
        <v>860720.52627139632</v>
      </c>
      <c r="T150" s="116">
        <f t="shared" si="40"/>
        <v>857826.06720207678</v>
      </c>
      <c r="U150" s="116">
        <f t="shared" si="40"/>
        <v>854988.53130466631</v>
      </c>
      <c r="V150" s="116">
        <f t="shared" si="40"/>
        <v>852206.74710336537</v>
      </c>
      <c r="W150" s="116">
        <f t="shared" si="40"/>
        <v>849479.63982786995</v>
      </c>
      <c r="X150" s="116">
        <f t="shared" si="40"/>
        <v>846806.12524955906</v>
      </c>
      <c r="Y150" s="116">
        <f t="shared" si="40"/>
        <v>844185.14523208188</v>
      </c>
      <c r="Z150" s="116">
        <f t="shared" si="40"/>
        <v>841615.65934825549</v>
      </c>
      <c r="AA150" s="116">
        <f t="shared" si="40"/>
        <v>839096.66912604263</v>
      </c>
      <c r="AB150" s="116">
        <f t="shared" si="40"/>
        <v>836627.16557487193</v>
      </c>
      <c r="AC150" s="116">
        <f t="shared" si="40"/>
        <v>0</v>
      </c>
      <c r="AD150" s="116">
        <f t="shared" si="40"/>
        <v>0</v>
      </c>
      <c r="AE150" s="116">
        <f t="shared" si="40"/>
        <v>0</v>
      </c>
      <c r="AF150" s="116">
        <f t="shared" si="40"/>
        <v>0</v>
      </c>
      <c r="AG150" s="116">
        <f t="shared" si="40"/>
        <v>0</v>
      </c>
      <c r="AH150" s="116">
        <f t="shared" si="40"/>
        <v>0</v>
      </c>
      <c r="AI150" s="116">
        <f t="shared" si="40"/>
        <v>0</v>
      </c>
      <c r="AJ150" s="116">
        <f t="shared" si="40"/>
        <v>0</v>
      </c>
      <c r="AK150" s="116">
        <f t="shared" si="40"/>
        <v>0</v>
      </c>
      <c r="AL150" s="116">
        <f t="shared" si="40"/>
        <v>0</v>
      </c>
      <c r="AM150" s="116">
        <f t="shared" si="40"/>
        <v>0</v>
      </c>
      <c r="AN150" s="116">
        <f t="shared" si="40"/>
        <v>0</v>
      </c>
      <c r="AO150" s="116">
        <f t="shared" si="40"/>
        <v>0</v>
      </c>
      <c r="AP150" s="116">
        <f t="shared" si="40"/>
        <v>0</v>
      </c>
      <c r="AQ150" s="116">
        <f t="shared" si="40"/>
        <v>0</v>
      </c>
      <c r="AR150" s="116">
        <f t="shared" si="40"/>
        <v>0</v>
      </c>
      <c r="AS150" s="116">
        <f t="shared" si="40"/>
        <v>0</v>
      </c>
      <c r="AT150" s="116">
        <f t="shared" si="40"/>
        <v>0</v>
      </c>
      <c r="AU150" s="116">
        <f t="shared" si="40"/>
        <v>0</v>
      </c>
      <c r="AV150" s="116">
        <f t="shared" si="40"/>
        <v>0</v>
      </c>
      <c r="AW150" s="116">
        <f t="shared" si="40"/>
        <v>0</v>
      </c>
      <c r="AX150" s="116">
        <f t="shared" si="40"/>
        <v>0</v>
      </c>
      <c r="AY150" s="116">
        <f t="shared" si="40"/>
        <v>0</v>
      </c>
    </row>
    <row r="151" spans="1:51" x14ac:dyDescent="0.25">
      <c r="A151" s="4" t="s">
        <v>217</v>
      </c>
      <c r="B151" s="4"/>
      <c r="C151" s="4"/>
      <c r="D151" s="4"/>
      <c r="E151" s="4"/>
      <c r="F151" s="9" t="s">
        <v>124</v>
      </c>
      <c r="G151" s="116">
        <f>SUM(G146:G148)</f>
        <v>905689.41922501288</v>
      </c>
      <c r="H151" s="116">
        <f t="shared" ref="H151:AY151" si="41">SUM(H146:H148)</f>
        <v>901156.93939264258</v>
      </c>
      <c r="I151" s="116">
        <f t="shared" si="41"/>
        <v>896396.1300081542</v>
      </c>
      <c r="J151" s="116">
        <f t="shared" si="41"/>
        <v>892103.46757972077</v>
      </c>
      <c r="K151" s="116">
        <f t="shared" si="41"/>
        <v>887880.01702954515</v>
      </c>
      <c r="L151" s="116">
        <f t="shared" si="41"/>
        <v>883724.49857804622</v>
      </c>
      <c r="M151" s="116">
        <f t="shared" si="41"/>
        <v>879551.89640477288</v>
      </c>
      <c r="N151" s="116">
        <f t="shared" si="41"/>
        <v>875561.71585432254</v>
      </c>
      <c r="O151" s="116">
        <f t="shared" si="41"/>
        <v>872602.17734489881</v>
      </c>
      <c r="P151" s="116">
        <f t="shared" si="41"/>
        <v>869715.19262279419</v>
      </c>
      <c r="Q151" s="116">
        <f t="shared" si="41"/>
        <v>866647.54461521516</v>
      </c>
      <c r="R151" s="116">
        <f t="shared" si="41"/>
        <v>863671.22906673595</v>
      </c>
      <c r="S151" s="116">
        <f t="shared" si="41"/>
        <v>860720.52627139632</v>
      </c>
      <c r="T151" s="116">
        <f t="shared" si="41"/>
        <v>857826.06720207678</v>
      </c>
      <c r="U151" s="116">
        <f t="shared" si="41"/>
        <v>854988.53130466631</v>
      </c>
      <c r="V151" s="116">
        <f t="shared" si="41"/>
        <v>852206.74710336537</v>
      </c>
      <c r="W151" s="116">
        <f t="shared" si="41"/>
        <v>849479.63982786995</v>
      </c>
      <c r="X151" s="116">
        <f t="shared" si="41"/>
        <v>846806.12524955906</v>
      </c>
      <c r="Y151" s="116">
        <f t="shared" si="41"/>
        <v>844185.14523208188</v>
      </c>
      <c r="Z151" s="116">
        <f t="shared" si="41"/>
        <v>841615.65934825549</v>
      </c>
      <c r="AA151" s="116">
        <f t="shared" si="41"/>
        <v>839096.66912604263</v>
      </c>
      <c r="AB151" s="116">
        <f t="shared" si="41"/>
        <v>836627.16557487193</v>
      </c>
      <c r="AC151" s="116">
        <f t="shared" si="41"/>
        <v>0</v>
      </c>
      <c r="AD151" s="116">
        <f t="shared" si="41"/>
        <v>0</v>
      </c>
      <c r="AE151" s="116">
        <f t="shared" si="41"/>
        <v>0</v>
      </c>
      <c r="AF151" s="116">
        <f t="shared" si="41"/>
        <v>0</v>
      </c>
      <c r="AG151" s="116">
        <f t="shared" si="41"/>
        <v>0</v>
      </c>
      <c r="AH151" s="116">
        <f t="shared" si="41"/>
        <v>0</v>
      </c>
      <c r="AI151" s="116">
        <f t="shared" si="41"/>
        <v>0</v>
      </c>
      <c r="AJ151" s="116">
        <f t="shared" si="41"/>
        <v>0</v>
      </c>
      <c r="AK151" s="116">
        <f t="shared" si="41"/>
        <v>0</v>
      </c>
      <c r="AL151" s="116">
        <f t="shared" si="41"/>
        <v>0</v>
      </c>
      <c r="AM151" s="116">
        <f t="shared" si="41"/>
        <v>0</v>
      </c>
      <c r="AN151" s="116">
        <f t="shared" si="41"/>
        <v>0</v>
      </c>
      <c r="AO151" s="116">
        <f t="shared" si="41"/>
        <v>0</v>
      </c>
      <c r="AP151" s="116">
        <f t="shared" si="41"/>
        <v>0</v>
      </c>
      <c r="AQ151" s="116">
        <f t="shared" si="41"/>
        <v>0</v>
      </c>
      <c r="AR151" s="116">
        <f t="shared" si="41"/>
        <v>0</v>
      </c>
      <c r="AS151" s="116">
        <f t="shared" si="41"/>
        <v>0</v>
      </c>
      <c r="AT151" s="116">
        <f t="shared" si="41"/>
        <v>0</v>
      </c>
      <c r="AU151" s="116">
        <f t="shared" si="41"/>
        <v>0</v>
      </c>
      <c r="AV151" s="116">
        <f t="shared" si="41"/>
        <v>0</v>
      </c>
      <c r="AW151" s="116">
        <f t="shared" si="41"/>
        <v>0</v>
      </c>
      <c r="AX151" s="116">
        <f t="shared" si="41"/>
        <v>0</v>
      </c>
      <c r="AY151" s="116">
        <f t="shared" si="41"/>
        <v>0</v>
      </c>
    </row>
    <row r="152" spans="1:51" x14ac:dyDescent="0.25">
      <c r="A152" s="4" t="s">
        <v>142</v>
      </c>
      <c r="B152" s="4"/>
      <c r="C152" s="4"/>
      <c r="D152" s="4"/>
      <c r="E152" s="4"/>
      <c r="F152" s="9" t="s">
        <v>124</v>
      </c>
      <c r="G152" s="116">
        <f>'Real values'!H164</f>
        <v>979326.41928881314</v>
      </c>
      <c r="H152" s="116">
        <f>'Real values'!I164</f>
        <v>960029.81990864931</v>
      </c>
      <c r="I152" s="116">
        <f>'Real values'!J164</f>
        <v>941113.43976928678</v>
      </c>
      <c r="J152" s="116">
        <f>'Real values'!K164</f>
        <v>922569.78704958991</v>
      </c>
      <c r="K152" s="116">
        <f>'Real values'!L164</f>
        <v>904391.51754689717</v>
      </c>
      <c r="L152" s="116">
        <f>'Real values'!M164</f>
        <v>886571.43176835333</v>
      </c>
      <c r="M152" s="116">
        <f>'Real values'!N164</f>
        <v>869102.47207955434</v>
      </c>
      <c r="N152" s="116">
        <f>'Real values'!O164</f>
        <v>851977.71990937588</v>
      </c>
      <c r="O152" s="116">
        <f>'Real values'!P164</f>
        <v>835190.3930098773</v>
      </c>
      <c r="P152" s="116">
        <f>'Real values'!Q164</f>
        <v>818733.84277019638</v>
      </c>
      <c r="Q152" s="116">
        <f>'Real values'!R164</f>
        <v>802601.55158337054</v>
      </c>
      <c r="R152" s="116">
        <f>'Real values'!S164</f>
        <v>786787.13026504323</v>
      </c>
      <c r="S152" s="116">
        <f>'Real values'!T164</f>
        <v>771284.31552303035</v>
      </c>
      <c r="T152" s="116">
        <f>'Real values'!U164</f>
        <v>756086.9674767477</v>
      </c>
      <c r="U152" s="116">
        <f>'Real values'!V164</f>
        <v>741189.06722551479</v>
      </c>
      <c r="V152" s="116">
        <f>'Real values'!W164</f>
        <v>726584.71446477296</v>
      </c>
      <c r="W152" s="116">
        <f>'Real values'!X164</f>
        <v>712268.12514927262</v>
      </c>
      <c r="X152" s="116">
        <f>'Real values'!Y164</f>
        <v>698233.62920230627</v>
      </c>
      <c r="Y152" s="116">
        <f>'Real values'!Z164</f>
        <v>684475.66827007767</v>
      </c>
      <c r="Z152" s="116">
        <f>'Real values'!AA164</f>
        <v>670988.79352031928</v>
      </c>
      <c r="AA152" s="116">
        <f>'Real values'!AB164</f>
        <v>657767.66348428512</v>
      </c>
      <c r="AB152" s="116">
        <f>'Real values'!AC164</f>
        <v>644807.04194126569</v>
      </c>
      <c r="AC152" s="116">
        <f>'Real values'!AD164</f>
        <v>0</v>
      </c>
      <c r="AD152" s="116">
        <f>'Real values'!AE164</f>
        <v>0</v>
      </c>
      <c r="AE152" s="116">
        <f>'Real values'!AF164</f>
        <v>0</v>
      </c>
      <c r="AF152" s="116">
        <f>'Real values'!AG164</f>
        <v>0</v>
      </c>
      <c r="AG152" s="116">
        <f>'Real values'!AH164</f>
        <v>0</v>
      </c>
      <c r="AH152" s="116">
        <f>'Real values'!AI164</f>
        <v>0</v>
      </c>
      <c r="AI152" s="116">
        <f>'Real values'!AJ164</f>
        <v>0</v>
      </c>
      <c r="AJ152" s="116">
        <f>'Real values'!AK164</f>
        <v>0</v>
      </c>
      <c r="AK152" s="116">
        <f>'Real values'!AL164</f>
        <v>0</v>
      </c>
      <c r="AL152" s="116">
        <f>'Real values'!AM164</f>
        <v>0</v>
      </c>
      <c r="AM152" s="116">
        <f>'Real values'!AN164</f>
        <v>0</v>
      </c>
      <c r="AN152" s="116">
        <f>'Real values'!AO164</f>
        <v>0</v>
      </c>
      <c r="AO152" s="116">
        <f>'Real values'!AP164</f>
        <v>0</v>
      </c>
      <c r="AP152" s="116">
        <f>'Real values'!AQ164</f>
        <v>0</v>
      </c>
      <c r="AQ152" s="116">
        <f>'Real values'!AR164</f>
        <v>0</v>
      </c>
      <c r="AR152" s="116">
        <f>'Real values'!AS164</f>
        <v>0</v>
      </c>
      <c r="AS152" s="116">
        <f>'Real values'!AT164</f>
        <v>0</v>
      </c>
      <c r="AT152" s="116">
        <f>'Real values'!AU164</f>
        <v>0</v>
      </c>
      <c r="AU152" s="116">
        <f>'Real values'!AV164</f>
        <v>0</v>
      </c>
      <c r="AV152" s="116">
        <f>'Real values'!AW164</f>
        <v>0</v>
      </c>
      <c r="AW152" s="116">
        <f>'Real values'!AX164</f>
        <v>0</v>
      </c>
      <c r="AX152" s="116">
        <f>'Real values'!AY164</f>
        <v>0</v>
      </c>
      <c r="AY152" s="116">
        <f>'Real values'!AZ164</f>
        <v>0</v>
      </c>
    </row>
    <row r="153" spans="1:51" x14ac:dyDescent="0.25">
      <c r="A153" s="4" t="s">
        <v>218</v>
      </c>
      <c r="B153" s="4"/>
      <c r="C153" s="4"/>
      <c r="D153" s="4"/>
      <c r="E153" s="4"/>
      <c r="F153" s="9" t="s">
        <v>124</v>
      </c>
      <c r="G153" s="116">
        <f>G152-G150</f>
        <v>73637.000063800253</v>
      </c>
      <c r="H153" s="116">
        <f t="shared" ref="H153:AY153" si="42">H152-H150</f>
        <v>58872.880516006728</v>
      </c>
      <c r="I153" s="116">
        <f t="shared" si="42"/>
        <v>44717.309761132579</v>
      </c>
      <c r="J153" s="116">
        <f t="shared" si="42"/>
        <v>30466.319469869137</v>
      </c>
      <c r="K153" s="116">
        <f t="shared" si="42"/>
        <v>16511.500517352019</v>
      </c>
      <c r="L153" s="116">
        <f t="shared" si="42"/>
        <v>2846.9331903071143</v>
      </c>
      <c r="M153" s="116">
        <f t="shared" si="42"/>
        <v>-10449.424325218541</v>
      </c>
      <c r="N153" s="116">
        <f t="shared" si="42"/>
        <v>-23583.995944946655</v>
      </c>
      <c r="O153" s="116">
        <f t="shared" si="42"/>
        <v>-37411.784335021512</v>
      </c>
      <c r="P153" s="116">
        <f t="shared" si="42"/>
        <v>-50981.349852597807</v>
      </c>
      <c r="Q153" s="116">
        <f t="shared" si="42"/>
        <v>-64045.993031844613</v>
      </c>
      <c r="R153" s="116">
        <f t="shared" si="42"/>
        <v>-76884.098801692715</v>
      </c>
      <c r="S153" s="116">
        <f t="shared" si="42"/>
        <v>-89436.210748365964</v>
      </c>
      <c r="T153" s="116">
        <f t="shared" si="42"/>
        <v>-101739.09972532908</v>
      </c>
      <c r="U153" s="116">
        <f t="shared" si="42"/>
        <v>-113799.46407915151</v>
      </c>
      <c r="V153" s="116">
        <f t="shared" si="42"/>
        <v>-125622.03263859241</v>
      </c>
      <c r="W153" s="116">
        <f t="shared" si="42"/>
        <v>-137211.51467859733</v>
      </c>
      <c r="X153" s="116">
        <f t="shared" si="42"/>
        <v>-148572.49604725279</v>
      </c>
      <c r="Y153" s="116">
        <f t="shared" si="42"/>
        <v>-159709.47696200421</v>
      </c>
      <c r="Z153" s="116">
        <f t="shared" si="42"/>
        <v>-170626.86582793621</v>
      </c>
      <c r="AA153" s="116">
        <f t="shared" si="42"/>
        <v>-181329.00564175751</v>
      </c>
      <c r="AB153" s="116">
        <f t="shared" si="42"/>
        <v>-191820.12363360624</v>
      </c>
      <c r="AC153" s="116">
        <f t="shared" si="42"/>
        <v>0</v>
      </c>
      <c r="AD153" s="116">
        <f t="shared" si="42"/>
        <v>0</v>
      </c>
      <c r="AE153" s="116">
        <f t="shared" si="42"/>
        <v>0</v>
      </c>
      <c r="AF153" s="116">
        <f t="shared" si="42"/>
        <v>0</v>
      </c>
      <c r="AG153" s="116">
        <f t="shared" si="42"/>
        <v>0</v>
      </c>
      <c r="AH153" s="116">
        <f t="shared" si="42"/>
        <v>0</v>
      </c>
      <c r="AI153" s="116">
        <f t="shared" si="42"/>
        <v>0</v>
      </c>
      <c r="AJ153" s="116">
        <f t="shared" si="42"/>
        <v>0</v>
      </c>
      <c r="AK153" s="116">
        <f t="shared" si="42"/>
        <v>0</v>
      </c>
      <c r="AL153" s="116">
        <f t="shared" si="42"/>
        <v>0</v>
      </c>
      <c r="AM153" s="116">
        <f t="shared" si="42"/>
        <v>0</v>
      </c>
      <c r="AN153" s="116">
        <f t="shared" si="42"/>
        <v>0</v>
      </c>
      <c r="AO153" s="116">
        <f t="shared" si="42"/>
        <v>0</v>
      </c>
      <c r="AP153" s="116">
        <f t="shared" si="42"/>
        <v>0</v>
      </c>
      <c r="AQ153" s="116">
        <f t="shared" si="42"/>
        <v>0</v>
      </c>
      <c r="AR153" s="116">
        <f t="shared" si="42"/>
        <v>0</v>
      </c>
      <c r="AS153" s="116">
        <f t="shared" si="42"/>
        <v>0</v>
      </c>
      <c r="AT153" s="116">
        <f t="shared" si="42"/>
        <v>0</v>
      </c>
      <c r="AU153" s="116">
        <f t="shared" si="42"/>
        <v>0</v>
      </c>
      <c r="AV153" s="116">
        <f t="shared" si="42"/>
        <v>0</v>
      </c>
      <c r="AW153" s="116">
        <f t="shared" si="42"/>
        <v>0</v>
      </c>
      <c r="AX153" s="116">
        <f t="shared" si="42"/>
        <v>0</v>
      </c>
      <c r="AY153" s="116">
        <f t="shared" si="42"/>
        <v>0</v>
      </c>
    </row>
    <row r="154" spans="1:51" x14ac:dyDescent="0.25">
      <c r="A154" s="4" t="s">
        <v>219</v>
      </c>
      <c r="B154" s="4"/>
      <c r="C154" s="4"/>
      <c r="D154" s="4"/>
      <c r="E154" s="4"/>
      <c r="F154" s="9" t="s">
        <v>124</v>
      </c>
      <c r="G154" s="116">
        <f>G152-G151</f>
        <v>73637.000063800253</v>
      </c>
      <c r="H154" s="116">
        <f t="shared" ref="H154:AY154" si="43">H152-H151</f>
        <v>58872.880516006728</v>
      </c>
      <c r="I154" s="116">
        <f t="shared" si="43"/>
        <v>44717.309761132579</v>
      </c>
      <c r="J154" s="116">
        <f t="shared" si="43"/>
        <v>30466.319469869137</v>
      </c>
      <c r="K154" s="116">
        <f t="shared" si="43"/>
        <v>16511.500517352019</v>
      </c>
      <c r="L154" s="116">
        <f t="shared" si="43"/>
        <v>2846.9331903071143</v>
      </c>
      <c r="M154" s="116">
        <f t="shared" si="43"/>
        <v>-10449.424325218541</v>
      </c>
      <c r="N154" s="116">
        <f t="shared" si="43"/>
        <v>-23583.995944946655</v>
      </c>
      <c r="O154" s="116">
        <f t="shared" si="43"/>
        <v>-37411.784335021512</v>
      </c>
      <c r="P154" s="116">
        <f t="shared" si="43"/>
        <v>-50981.349852597807</v>
      </c>
      <c r="Q154" s="116">
        <f t="shared" si="43"/>
        <v>-64045.993031844613</v>
      </c>
      <c r="R154" s="116">
        <f t="shared" si="43"/>
        <v>-76884.098801692715</v>
      </c>
      <c r="S154" s="116">
        <f t="shared" si="43"/>
        <v>-89436.210748365964</v>
      </c>
      <c r="T154" s="116">
        <f t="shared" si="43"/>
        <v>-101739.09972532908</v>
      </c>
      <c r="U154" s="116">
        <f t="shared" si="43"/>
        <v>-113799.46407915151</v>
      </c>
      <c r="V154" s="116">
        <f t="shared" si="43"/>
        <v>-125622.03263859241</v>
      </c>
      <c r="W154" s="116">
        <f t="shared" si="43"/>
        <v>-137211.51467859733</v>
      </c>
      <c r="X154" s="116">
        <f t="shared" si="43"/>
        <v>-148572.49604725279</v>
      </c>
      <c r="Y154" s="116">
        <f t="shared" si="43"/>
        <v>-159709.47696200421</v>
      </c>
      <c r="Z154" s="116">
        <f t="shared" si="43"/>
        <v>-170626.86582793621</v>
      </c>
      <c r="AA154" s="116">
        <f t="shared" si="43"/>
        <v>-181329.00564175751</v>
      </c>
      <c r="AB154" s="116">
        <f t="shared" si="43"/>
        <v>-191820.12363360624</v>
      </c>
      <c r="AC154" s="116">
        <f t="shared" si="43"/>
        <v>0</v>
      </c>
      <c r="AD154" s="116">
        <f t="shared" si="43"/>
        <v>0</v>
      </c>
      <c r="AE154" s="116">
        <f t="shared" si="43"/>
        <v>0</v>
      </c>
      <c r="AF154" s="116">
        <f t="shared" si="43"/>
        <v>0</v>
      </c>
      <c r="AG154" s="116">
        <f t="shared" si="43"/>
        <v>0</v>
      </c>
      <c r="AH154" s="116">
        <f t="shared" si="43"/>
        <v>0</v>
      </c>
      <c r="AI154" s="116">
        <f t="shared" si="43"/>
        <v>0</v>
      </c>
      <c r="AJ154" s="116">
        <f t="shared" si="43"/>
        <v>0</v>
      </c>
      <c r="AK154" s="116">
        <f t="shared" si="43"/>
        <v>0</v>
      </c>
      <c r="AL154" s="116">
        <f t="shared" si="43"/>
        <v>0</v>
      </c>
      <c r="AM154" s="116">
        <f t="shared" si="43"/>
        <v>0</v>
      </c>
      <c r="AN154" s="116">
        <f t="shared" si="43"/>
        <v>0</v>
      </c>
      <c r="AO154" s="116">
        <f t="shared" si="43"/>
        <v>0</v>
      </c>
      <c r="AP154" s="116">
        <f t="shared" si="43"/>
        <v>0</v>
      </c>
      <c r="AQ154" s="116">
        <f t="shared" si="43"/>
        <v>0</v>
      </c>
      <c r="AR154" s="116">
        <f t="shared" si="43"/>
        <v>0</v>
      </c>
      <c r="AS154" s="116">
        <f t="shared" si="43"/>
        <v>0</v>
      </c>
      <c r="AT154" s="116">
        <f t="shared" si="43"/>
        <v>0</v>
      </c>
      <c r="AU154" s="116">
        <f t="shared" si="43"/>
        <v>0</v>
      </c>
      <c r="AV154" s="116">
        <f t="shared" si="43"/>
        <v>0</v>
      </c>
      <c r="AW154" s="116">
        <f t="shared" si="43"/>
        <v>0</v>
      </c>
      <c r="AX154" s="116">
        <f t="shared" si="43"/>
        <v>0</v>
      </c>
      <c r="AY154" s="116">
        <f t="shared" si="43"/>
        <v>0</v>
      </c>
    </row>
    <row r="155" spans="1:51" x14ac:dyDescent="0.25">
      <c r="A155" s="4" t="s">
        <v>172</v>
      </c>
      <c r="B155" s="4"/>
      <c r="C155" s="4"/>
      <c r="D155" s="4"/>
      <c r="E155" s="4"/>
      <c r="F155" s="9" t="s">
        <v>124</v>
      </c>
      <c r="G155" s="116">
        <f>'Real values'!H171</f>
        <v>0</v>
      </c>
      <c r="H155" s="116">
        <f>'Real values'!I171</f>
        <v>0</v>
      </c>
      <c r="I155" s="116">
        <f>'Real values'!J171</f>
        <v>0</v>
      </c>
      <c r="J155" s="116">
        <f>'Real values'!K171</f>
        <v>0</v>
      </c>
      <c r="K155" s="116">
        <f>'Real values'!L171</f>
        <v>0</v>
      </c>
      <c r="L155" s="116">
        <f>'Real values'!M171</f>
        <v>0</v>
      </c>
      <c r="M155" s="116">
        <f>'Real values'!N171</f>
        <v>0</v>
      </c>
      <c r="N155" s="116">
        <f>'Real values'!O171</f>
        <v>0</v>
      </c>
      <c r="O155" s="116">
        <f>'Real values'!P171</f>
        <v>0</v>
      </c>
      <c r="P155" s="116">
        <f>'Real values'!Q171</f>
        <v>0</v>
      </c>
      <c r="Q155" s="116">
        <f>'Real values'!R171</f>
        <v>0</v>
      </c>
      <c r="R155" s="116">
        <f>'Real values'!S171</f>
        <v>0</v>
      </c>
      <c r="S155" s="116">
        <f>'Real values'!T171</f>
        <v>0</v>
      </c>
      <c r="T155" s="116">
        <f>'Real values'!U171</f>
        <v>0</v>
      </c>
      <c r="U155" s="116">
        <f>'Real values'!V171</f>
        <v>0</v>
      </c>
      <c r="V155" s="116">
        <f>'Real values'!W171</f>
        <v>0</v>
      </c>
      <c r="W155" s="116">
        <f>'Real values'!X171</f>
        <v>0</v>
      </c>
      <c r="X155" s="116">
        <f>'Real values'!Y171</f>
        <v>0</v>
      </c>
      <c r="Y155" s="116">
        <f>'Real values'!Z171</f>
        <v>0</v>
      </c>
      <c r="Z155" s="116">
        <f>'Real values'!AA171</f>
        <v>0</v>
      </c>
      <c r="AA155" s="116">
        <f>'Real values'!AB171</f>
        <v>0</v>
      </c>
      <c r="AB155" s="116">
        <f>'Real values'!AC171</f>
        <v>0</v>
      </c>
      <c r="AC155" s="116">
        <f>'Real values'!AD171</f>
        <v>0</v>
      </c>
      <c r="AD155" s="116">
        <f>'Real values'!AE171</f>
        <v>0</v>
      </c>
      <c r="AE155" s="116">
        <f>'Real values'!AF171</f>
        <v>0</v>
      </c>
      <c r="AF155" s="116">
        <f>'Real values'!AG171</f>
        <v>0</v>
      </c>
      <c r="AG155" s="116">
        <f>'Real values'!AH171</f>
        <v>0</v>
      </c>
      <c r="AH155" s="116">
        <f>'Real values'!AI171</f>
        <v>0</v>
      </c>
      <c r="AI155" s="116">
        <f>'Real values'!AJ171</f>
        <v>0</v>
      </c>
      <c r="AJ155" s="116">
        <f>'Real values'!AK171</f>
        <v>0</v>
      </c>
      <c r="AK155" s="116">
        <f>'Real values'!AL171</f>
        <v>0</v>
      </c>
      <c r="AL155" s="116">
        <f>'Real values'!AM171</f>
        <v>0</v>
      </c>
      <c r="AM155" s="116">
        <f>'Real values'!AN171</f>
        <v>0</v>
      </c>
      <c r="AN155" s="116">
        <f>'Real values'!AO171</f>
        <v>0</v>
      </c>
      <c r="AO155" s="116">
        <f>'Real values'!AP171</f>
        <v>0</v>
      </c>
      <c r="AP155" s="116">
        <f>'Real values'!AQ171</f>
        <v>0</v>
      </c>
      <c r="AQ155" s="116">
        <f>'Real values'!AR171</f>
        <v>0</v>
      </c>
      <c r="AR155" s="116">
        <f>'Real values'!AS171</f>
        <v>0</v>
      </c>
      <c r="AS155" s="116">
        <f>'Real values'!AT171</f>
        <v>0</v>
      </c>
      <c r="AT155" s="116">
        <f>'Real values'!AU171</f>
        <v>0</v>
      </c>
      <c r="AU155" s="116">
        <f>'Real values'!AV171</f>
        <v>0</v>
      </c>
      <c r="AV155" s="116">
        <f>'Real values'!AW171</f>
        <v>0</v>
      </c>
      <c r="AW155" s="116">
        <f>'Real values'!AX171</f>
        <v>0</v>
      </c>
      <c r="AX155" s="116">
        <f>'Real values'!AY171</f>
        <v>0</v>
      </c>
      <c r="AY155" s="116">
        <f>'Real values'!AZ171</f>
        <v>0</v>
      </c>
    </row>
    <row r="156" spans="1:51" x14ac:dyDescent="0.25">
      <c r="A156" s="4" t="s">
        <v>220</v>
      </c>
      <c r="B156" s="4"/>
      <c r="C156" s="4"/>
      <c r="D156" s="4"/>
      <c r="E156" s="4"/>
      <c r="F156" s="9" t="s">
        <v>124</v>
      </c>
      <c r="G156" s="116">
        <f>G153-G155</f>
        <v>73637.000063800253</v>
      </c>
      <c r="H156" s="116">
        <f t="shared" ref="H156:AY156" si="44">H153-H155</f>
        <v>58872.880516006728</v>
      </c>
      <c r="I156" s="116">
        <f t="shared" si="44"/>
        <v>44717.309761132579</v>
      </c>
      <c r="J156" s="116">
        <f t="shared" si="44"/>
        <v>30466.319469869137</v>
      </c>
      <c r="K156" s="116">
        <f t="shared" si="44"/>
        <v>16511.500517352019</v>
      </c>
      <c r="L156" s="116">
        <f t="shared" si="44"/>
        <v>2846.9331903071143</v>
      </c>
      <c r="M156" s="116">
        <f t="shared" si="44"/>
        <v>-10449.424325218541</v>
      </c>
      <c r="N156" s="116">
        <f t="shared" si="44"/>
        <v>-23583.995944946655</v>
      </c>
      <c r="O156" s="116">
        <f t="shared" si="44"/>
        <v>-37411.784335021512</v>
      </c>
      <c r="P156" s="116">
        <f t="shared" si="44"/>
        <v>-50981.349852597807</v>
      </c>
      <c r="Q156" s="116">
        <f t="shared" si="44"/>
        <v>-64045.993031844613</v>
      </c>
      <c r="R156" s="116">
        <f t="shared" si="44"/>
        <v>-76884.098801692715</v>
      </c>
      <c r="S156" s="116">
        <f t="shared" si="44"/>
        <v>-89436.210748365964</v>
      </c>
      <c r="T156" s="116">
        <f t="shared" si="44"/>
        <v>-101739.09972532908</v>
      </c>
      <c r="U156" s="116">
        <f t="shared" si="44"/>
        <v>-113799.46407915151</v>
      </c>
      <c r="V156" s="116">
        <f t="shared" si="44"/>
        <v>-125622.03263859241</v>
      </c>
      <c r="W156" s="116">
        <f t="shared" si="44"/>
        <v>-137211.51467859733</v>
      </c>
      <c r="X156" s="116">
        <f t="shared" si="44"/>
        <v>-148572.49604725279</v>
      </c>
      <c r="Y156" s="116">
        <f t="shared" si="44"/>
        <v>-159709.47696200421</v>
      </c>
      <c r="Z156" s="116">
        <f t="shared" si="44"/>
        <v>-170626.86582793621</v>
      </c>
      <c r="AA156" s="116">
        <f t="shared" si="44"/>
        <v>-181329.00564175751</v>
      </c>
      <c r="AB156" s="116">
        <f t="shared" si="44"/>
        <v>-191820.12363360624</v>
      </c>
      <c r="AC156" s="116">
        <f t="shared" si="44"/>
        <v>0</v>
      </c>
      <c r="AD156" s="116">
        <f t="shared" si="44"/>
        <v>0</v>
      </c>
      <c r="AE156" s="116">
        <f t="shared" si="44"/>
        <v>0</v>
      </c>
      <c r="AF156" s="116">
        <f t="shared" si="44"/>
        <v>0</v>
      </c>
      <c r="AG156" s="116">
        <f t="shared" si="44"/>
        <v>0</v>
      </c>
      <c r="AH156" s="116">
        <f t="shared" si="44"/>
        <v>0</v>
      </c>
      <c r="AI156" s="116">
        <f t="shared" si="44"/>
        <v>0</v>
      </c>
      <c r="AJ156" s="116">
        <f t="shared" si="44"/>
        <v>0</v>
      </c>
      <c r="AK156" s="116">
        <f t="shared" si="44"/>
        <v>0</v>
      </c>
      <c r="AL156" s="116">
        <f t="shared" si="44"/>
        <v>0</v>
      </c>
      <c r="AM156" s="116">
        <f t="shared" si="44"/>
        <v>0</v>
      </c>
      <c r="AN156" s="116">
        <f t="shared" si="44"/>
        <v>0</v>
      </c>
      <c r="AO156" s="116">
        <f t="shared" si="44"/>
        <v>0</v>
      </c>
      <c r="AP156" s="116">
        <f t="shared" si="44"/>
        <v>0</v>
      </c>
      <c r="AQ156" s="116">
        <f t="shared" si="44"/>
        <v>0</v>
      </c>
      <c r="AR156" s="116">
        <f t="shared" si="44"/>
        <v>0</v>
      </c>
      <c r="AS156" s="116">
        <f t="shared" si="44"/>
        <v>0</v>
      </c>
      <c r="AT156" s="116">
        <f t="shared" si="44"/>
        <v>0</v>
      </c>
      <c r="AU156" s="116">
        <f t="shared" si="44"/>
        <v>0</v>
      </c>
      <c r="AV156" s="116">
        <f t="shared" si="44"/>
        <v>0</v>
      </c>
      <c r="AW156" s="116">
        <f t="shared" si="44"/>
        <v>0</v>
      </c>
      <c r="AX156" s="116">
        <f t="shared" si="44"/>
        <v>0</v>
      </c>
      <c r="AY156" s="116">
        <f t="shared" si="44"/>
        <v>0</v>
      </c>
    </row>
    <row r="157" spans="1:51" x14ac:dyDescent="0.25">
      <c r="A157" s="49" t="s">
        <v>221</v>
      </c>
      <c r="B157" s="49"/>
      <c r="C157" s="49"/>
      <c r="D157" s="49"/>
      <c r="E157" s="49"/>
      <c r="F157" s="54" t="s">
        <v>124</v>
      </c>
      <c r="G157" s="209">
        <f>G154-G155</f>
        <v>73637.000063800253</v>
      </c>
      <c r="H157" s="209">
        <f t="shared" ref="H157:AY157" si="45">H154-H155</f>
        <v>58872.880516006728</v>
      </c>
      <c r="I157" s="209">
        <f t="shared" si="45"/>
        <v>44717.309761132579</v>
      </c>
      <c r="J157" s="209">
        <f t="shared" si="45"/>
        <v>30466.319469869137</v>
      </c>
      <c r="K157" s="209">
        <f t="shared" si="45"/>
        <v>16511.500517352019</v>
      </c>
      <c r="L157" s="209">
        <f t="shared" si="45"/>
        <v>2846.9331903071143</v>
      </c>
      <c r="M157" s="209">
        <f t="shared" si="45"/>
        <v>-10449.424325218541</v>
      </c>
      <c r="N157" s="209">
        <f t="shared" si="45"/>
        <v>-23583.995944946655</v>
      </c>
      <c r="O157" s="209">
        <f t="shared" si="45"/>
        <v>-37411.784335021512</v>
      </c>
      <c r="P157" s="209">
        <f t="shared" si="45"/>
        <v>-50981.349852597807</v>
      </c>
      <c r="Q157" s="209">
        <f t="shared" si="45"/>
        <v>-64045.993031844613</v>
      </c>
      <c r="R157" s="209">
        <f t="shared" si="45"/>
        <v>-76884.098801692715</v>
      </c>
      <c r="S157" s="209">
        <f t="shared" si="45"/>
        <v>-89436.210748365964</v>
      </c>
      <c r="T157" s="209">
        <f t="shared" si="45"/>
        <v>-101739.09972532908</v>
      </c>
      <c r="U157" s="209">
        <f t="shared" si="45"/>
        <v>-113799.46407915151</v>
      </c>
      <c r="V157" s="209">
        <f t="shared" si="45"/>
        <v>-125622.03263859241</v>
      </c>
      <c r="W157" s="209">
        <f t="shared" si="45"/>
        <v>-137211.51467859733</v>
      </c>
      <c r="X157" s="209">
        <f t="shared" si="45"/>
        <v>-148572.49604725279</v>
      </c>
      <c r="Y157" s="209">
        <f t="shared" si="45"/>
        <v>-159709.47696200421</v>
      </c>
      <c r="Z157" s="209">
        <f t="shared" si="45"/>
        <v>-170626.86582793621</v>
      </c>
      <c r="AA157" s="209">
        <f t="shared" si="45"/>
        <v>-181329.00564175751</v>
      </c>
      <c r="AB157" s="209">
        <f t="shared" si="45"/>
        <v>-191820.12363360624</v>
      </c>
      <c r="AC157" s="209">
        <f t="shared" si="45"/>
        <v>0</v>
      </c>
      <c r="AD157" s="209">
        <f t="shared" si="45"/>
        <v>0</v>
      </c>
      <c r="AE157" s="209">
        <f t="shared" si="45"/>
        <v>0</v>
      </c>
      <c r="AF157" s="209">
        <f t="shared" si="45"/>
        <v>0</v>
      </c>
      <c r="AG157" s="209">
        <f t="shared" si="45"/>
        <v>0</v>
      </c>
      <c r="AH157" s="209">
        <f t="shared" si="45"/>
        <v>0</v>
      </c>
      <c r="AI157" s="209">
        <f t="shared" si="45"/>
        <v>0</v>
      </c>
      <c r="AJ157" s="209">
        <f t="shared" si="45"/>
        <v>0</v>
      </c>
      <c r="AK157" s="209">
        <f t="shared" si="45"/>
        <v>0</v>
      </c>
      <c r="AL157" s="209">
        <f t="shared" si="45"/>
        <v>0</v>
      </c>
      <c r="AM157" s="209">
        <f t="shared" si="45"/>
        <v>0</v>
      </c>
      <c r="AN157" s="209">
        <f t="shared" si="45"/>
        <v>0</v>
      </c>
      <c r="AO157" s="209">
        <f t="shared" si="45"/>
        <v>0</v>
      </c>
      <c r="AP157" s="209">
        <f t="shared" si="45"/>
        <v>0</v>
      </c>
      <c r="AQ157" s="209">
        <f t="shared" si="45"/>
        <v>0</v>
      </c>
      <c r="AR157" s="209">
        <f t="shared" si="45"/>
        <v>0</v>
      </c>
      <c r="AS157" s="209">
        <f t="shared" si="45"/>
        <v>0</v>
      </c>
      <c r="AT157" s="209">
        <f t="shared" si="45"/>
        <v>0</v>
      </c>
      <c r="AU157" s="209">
        <f t="shared" si="45"/>
        <v>0</v>
      </c>
      <c r="AV157" s="209">
        <f t="shared" si="45"/>
        <v>0</v>
      </c>
      <c r="AW157" s="209">
        <f t="shared" si="45"/>
        <v>0</v>
      </c>
      <c r="AX157" s="209">
        <f t="shared" si="45"/>
        <v>0</v>
      </c>
      <c r="AY157" s="209">
        <f t="shared" si="45"/>
        <v>0</v>
      </c>
    </row>
  </sheetData>
  <phoneticPr fontId="2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B909-7939-4024-AC91-656A76886714}">
  <dimension ref="A1:C13"/>
  <sheetViews>
    <sheetView zoomScale="90" zoomScaleNormal="90" workbookViewId="0">
      <selection activeCell="E22" sqref="E22"/>
    </sheetView>
  </sheetViews>
  <sheetFormatPr defaultRowHeight="15" x14ac:dyDescent="0.25"/>
  <cols>
    <col min="1" max="1" width="17.5703125" bestFit="1" customWidth="1"/>
    <col min="2" max="2" width="16.7109375" customWidth="1"/>
    <col min="3" max="3" width="16.85546875" bestFit="1" customWidth="1"/>
    <col min="4" max="4" width="13.42578125" bestFit="1" customWidth="1"/>
  </cols>
  <sheetData>
    <row r="1" spans="1:3" x14ac:dyDescent="0.25">
      <c r="A1" s="30" t="s">
        <v>222</v>
      </c>
      <c r="B1" s="4"/>
      <c r="C1" s="4"/>
    </row>
    <row r="2" spans="1:3" x14ac:dyDescent="0.25">
      <c r="A2" s="49" t="s">
        <v>204</v>
      </c>
      <c r="B2" s="74" t="s">
        <v>322</v>
      </c>
      <c r="C2" s="74" t="s">
        <v>323</v>
      </c>
    </row>
    <row r="3" spans="1:3" x14ac:dyDescent="0.25">
      <c r="A3" s="76" t="s">
        <v>205</v>
      </c>
      <c r="B3" s="214">
        <f ca="1">Calculations!C75</f>
        <v>-467103.28044232418</v>
      </c>
      <c r="C3" s="214">
        <f ca="1">Calculations!D75</f>
        <v>-999211.31401907071</v>
      </c>
    </row>
    <row r="4" spans="1:3" x14ac:dyDescent="0.25">
      <c r="A4" s="76" t="s">
        <v>188</v>
      </c>
      <c r="B4" s="214">
        <f ca="1">Calculations!C76</f>
        <v>-15905411.704839101</v>
      </c>
      <c r="C4" s="214">
        <f ca="1">Calculations!D76</f>
        <v>-8270002.3987494931</v>
      </c>
    </row>
    <row r="5" spans="1:3" x14ac:dyDescent="0.25">
      <c r="A5" s="230" t="s">
        <v>206</v>
      </c>
      <c r="B5" s="231" t="str">
        <f ca="1">IF(B3&gt;B4,$A3,$A4)</f>
        <v xml:space="preserve">PP </v>
      </c>
      <c r="C5" s="231" t="str">
        <f ca="1">IF(C3&gt;C4,$A3,$A4)</f>
        <v xml:space="preserve">PP </v>
      </c>
    </row>
    <row r="8" spans="1:3" x14ac:dyDescent="0.25">
      <c r="A8" s="30" t="s">
        <v>223</v>
      </c>
      <c r="B8" s="4"/>
      <c r="C8" s="4"/>
    </row>
    <row r="9" spans="1:3" x14ac:dyDescent="0.25">
      <c r="A9" s="30" t="s">
        <v>210</v>
      </c>
      <c r="B9" s="30" t="s">
        <v>35</v>
      </c>
      <c r="C9" s="4" t="s">
        <v>324</v>
      </c>
    </row>
    <row r="10" spans="1:3" x14ac:dyDescent="0.25">
      <c r="A10" s="32"/>
      <c r="B10" s="32" t="str">
        <f>ReturnType</f>
        <v>Return on Equity</v>
      </c>
      <c r="C10" s="216" t="s">
        <v>224</v>
      </c>
    </row>
    <row r="11" spans="1:3" x14ac:dyDescent="0.25">
      <c r="A11" s="212" t="s">
        <v>205</v>
      </c>
      <c r="B11" s="214">
        <f ca="1">Calculations!B86</f>
        <v>-623430.52197756409</v>
      </c>
      <c r="C11" s="215">
        <f ca="1">Calculations!C86</f>
        <v>9.812593167808803E-2</v>
      </c>
    </row>
    <row r="12" spans="1:3" x14ac:dyDescent="0.25">
      <c r="A12" s="76" t="s">
        <v>188</v>
      </c>
      <c r="B12" s="214">
        <f ca="1">Calculations!B87</f>
        <v>24222.318715595073</v>
      </c>
      <c r="C12" s="215">
        <f ca="1">Calculations!C87</f>
        <v>0.18369181224577535</v>
      </c>
    </row>
    <row r="13" spans="1:3" x14ac:dyDescent="0.25">
      <c r="A13" s="230" t="s">
        <v>206</v>
      </c>
      <c r="B13" s="231" t="str">
        <f ca="1">IF(B11&gt;B12,$A11,$A12)</f>
        <v>BC</v>
      </c>
      <c r="C13" s="231" t="str">
        <f ca="1">IF(C11&gt;C12,$A11,$A12)</f>
        <v>BC</v>
      </c>
    </row>
  </sheetData>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F13A-3187-4E50-944A-75C528744A4A}">
  <sheetPr codeName="Sheet4"/>
  <dimension ref="A1:BK40"/>
  <sheetViews>
    <sheetView zoomScale="80" zoomScaleNormal="80" workbookViewId="0">
      <selection activeCell="K16" sqref="K16"/>
    </sheetView>
  </sheetViews>
  <sheetFormatPr defaultRowHeight="15" x14ac:dyDescent="0.25"/>
  <cols>
    <col min="1" max="1" width="29.5703125" customWidth="1"/>
    <col min="2" max="2" width="19.140625" bestFit="1" customWidth="1"/>
    <col min="3" max="3" width="4.42578125" customWidth="1"/>
    <col min="4" max="4" width="17.85546875" customWidth="1"/>
    <col min="5" max="5" width="10.42578125" customWidth="1"/>
    <col min="6" max="6" width="11" customWidth="1"/>
    <col min="8" max="8" width="13.5703125" customWidth="1"/>
    <col min="9" max="9" width="16.85546875" customWidth="1"/>
    <col min="10" max="10" width="10.140625" customWidth="1"/>
    <col min="11" max="11" width="38.5703125" bestFit="1" customWidth="1"/>
    <col min="12" max="12" width="11.42578125" customWidth="1"/>
  </cols>
  <sheetData>
    <row r="1" spans="1:63" ht="64.5" x14ac:dyDescent="0.35">
      <c r="A1" s="32" t="s">
        <v>225</v>
      </c>
      <c r="B1" s="32" t="s">
        <v>226</v>
      </c>
      <c r="D1" s="32" t="s">
        <v>227</v>
      </c>
      <c r="E1" s="31" t="s">
        <v>228</v>
      </c>
      <c r="F1" s="31" t="s">
        <v>229</v>
      </c>
      <c r="G1" s="31" t="s">
        <v>230</v>
      </c>
      <c r="H1" s="65" t="s">
        <v>231</v>
      </c>
      <c r="I1" s="65" t="s">
        <v>232</v>
      </c>
      <c r="J1" s="33"/>
      <c r="K1" s="66" t="s">
        <v>233</v>
      </c>
      <c r="L1" s="118">
        <v>2025</v>
      </c>
      <c r="M1" s="118">
        <v>2026</v>
      </c>
      <c r="N1" s="118">
        <v>2027</v>
      </c>
      <c r="O1" s="118">
        <v>2028</v>
      </c>
      <c r="P1" s="118">
        <v>2029</v>
      </c>
      <c r="Q1" s="118">
        <v>2030</v>
      </c>
      <c r="R1" s="118">
        <v>2031</v>
      </c>
      <c r="S1" s="118">
        <v>2032</v>
      </c>
      <c r="T1" s="118">
        <v>2033</v>
      </c>
      <c r="U1" s="118">
        <v>2034</v>
      </c>
      <c r="V1" s="118">
        <v>2035</v>
      </c>
      <c r="W1" s="118">
        <v>2036</v>
      </c>
      <c r="X1" s="118">
        <v>2037</v>
      </c>
      <c r="Y1" s="118">
        <v>2038</v>
      </c>
      <c r="Z1" s="118">
        <v>2039</v>
      </c>
      <c r="AA1" s="118">
        <v>2040</v>
      </c>
      <c r="AB1" s="118">
        <v>2041</v>
      </c>
      <c r="AC1" s="118">
        <v>2042</v>
      </c>
      <c r="AD1" s="118">
        <v>2043</v>
      </c>
      <c r="AE1" s="118">
        <v>2044</v>
      </c>
      <c r="AF1" s="118">
        <v>2045</v>
      </c>
      <c r="AG1" s="118">
        <v>2046</v>
      </c>
      <c r="AH1" s="118">
        <v>2047</v>
      </c>
      <c r="AI1" s="118">
        <v>2048</v>
      </c>
      <c r="AJ1" s="118">
        <v>2049</v>
      </c>
      <c r="AK1" s="118">
        <v>2050</v>
      </c>
      <c r="AL1" s="118">
        <v>2051</v>
      </c>
      <c r="AM1" s="118">
        <v>2052</v>
      </c>
      <c r="AN1" s="118">
        <v>2053</v>
      </c>
      <c r="AO1" s="118">
        <v>2054</v>
      </c>
      <c r="AP1" s="118">
        <v>2055</v>
      </c>
      <c r="AQ1" s="118">
        <v>2056</v>
      </c>
      <c r="AR1" s="118">
        <v>2057</v>
      </c>
      <c r="AS1" s="118">
        <v>2058</v>
      </c>
      <c r="AT1" s="118">
        <v>2059</v>
      </c>
      <c r="AU1" s="118">
        <v>2060</v>
      </c>
      <c r="AV1" s="118">
        <v>2061</v>
      </c>
      <c r="AW1" s="118">
        <v>2062</v>
      </c>
      <c r="AX1" s="118">
        <v>2063</v>
      </c>
      <c r="AY1" s="118">
        <v>2064</v>
      </c>
      <c r="AZ1" s="118">
        <v>2065</v>
      </c>
      <c r="BA1" s="118">
        <v>2066</v>
      </c>
      <c r="BB1" s="118">
        <v>2067</v>
      </c>
      <c r="BC1" s="118">
        <v>2068</v>
      </c>
      <c r="BD1" s="118">
        <v>2069</v>
      </c>
      <c r="BE1" s="118">
        <v>2070</v>
      </c>
    </row>
    <row r="2" spans="1:63" ht="14.45" customHeight="1" x14ac:dyDescent="0.25">
      <c r="A2" t="s">
        <v>234</v>
      </c>
      <c r="B2" t="s">
        <v>234</v>
      </c>
      <c r="D2" t="s">
        <v>234</v>
      </c>
      <c r="I2" s="33"/>
      <c r="K2" s="33" t="str">
        <f t="shared" ref="K2:K12" si="0">D3</f>
        <v>Electricity</v>
      </c>
      <c r="L2" s="33">
        <f t="shared" ref="L2:AK2" si="1">L18</f>
        <v>6.697875405113432E-2</v>
      </c>
      <c r="M2" s="33">
        <f t="shared" si="1"/>
        <v>6.7432426057832909E-2</v>
      </c>
      <c r="N2" s="33">
        <f t="shared" si="1"/>
        <v>6.7544020542920039E-2</v>
      </c>
      <c r="O2" s="33">
        <f t="shared" si="1"/>
        <v>6.5221803748223992E-2</v>
      </c>
      <c r="P2" s="33">
        <f t="shared" si="1"/>
        <v>6.1132009063111808E-2</v>
      </c>
      <c r="Q2" s="33">
        <f t="shared" si="1"/>
        <v>5.4806089084255438E-2</v>
      </c>
      <c r="R2" s="33">
        <f t="shared" si="1"/>
        <v>5.3734391286774867E-2</v>
      </c>
      <c r="S2" s="33">
        <f t="shared" si="1"/>
        <v>5.4925984778790661E-2</v>
      </c>
      <c r="T2" s="33">
        <f t="shared" si="1"/>
        <v>5.4936469427196849E-2</v>
      </c>
      <c r="U2" s="33">
        <f t="shared" si="1"/>
        <v>5.4465043014661332E-2</v>
      </c>
      <c r="V2" s="33">
        <f t="shared" si="1"/>
        <v>5.4689820406708514E-2</v>
      </c>
      <c r="W2" s="33">
        <f t="shared" si="1"/>
        <v>5.413425916946292E-2</v>
      </c>
      <c r="X2" s="33">
        <f t="shared" si="1"/>
        <v>3.9401193054447357E-2</v>
      </c>
      <c r="Y2" s="33">
        <f t="shared" si="1"/>
        <v>3.8607524280876715E-2</v>
      </c>
      <c r="Z2" s="33">
        <f t="shared" si="1"/>
        <v>3.8397024504084012E-2</v>
      </c>
      <c r="AA2" s="33">
        <f t="shared" si="1"/>
        <v>3.8662374821173101E-2</v>
      </c>
      <c r="AB2" s="33">
        <f t="shared" si="1"/>
        <v>3.8547358434211219E-2</v>
      </c>
      <c r="AC2" s="33">
        <f t="shared" si="1"/>
        <v>3.9380982880091397E-2</v>
      </c>
      <c r="AD2" s="33">
        <f t="shared" si="1"/>
        <v>4.0377287562155049E-2</v>
      </c>
      <c r="AE2" s="33">
        <f t="shared" si="1"/>
        <v>4.0909475107767726E-2</v>
      </c>
      <c r="AF2" s="33">
        <f t="shared" si="1"/>
        <v>4.0725118007431955E-2</v>
      </c>
      <c r="AG2" s="33">
        <f t="shared" si="1"/>
        <v>4.05712484864569E-2</v>
      </c>
      <c r="AH2" s="33">
        <f t="shared" si="1"/>
        <v>4.0806592213687723E-2</v>
      </c>
      <c r="AI2" s="33">
        <f t="shared" si="1"/>
        <v>4.072376042159534E-2</v>
      </c>
      <c r="AJ2" s="33">
        <f t="shared" si="1"/>
        <v>4.0516877979182207E-2</v>
      </c>
      <c r="AK2" s="33">
        <f t="shared" si="1"/>
        <v>4.070516952430063E-2</v>
      </c>
      <c r="AL2" s="33">
        <f>AK2</f>
        <v>4.070516952430063E-2</v>
      </c>
      <c r="AM2" s="33">
        <f t="shared" ref="AM2:BE2" si="2">AL2</f>
        <v>4.070516952430063E-2</v>
      </c>
      <c r="AN2" s="33">
        <f t="shared" si="2"/>
        <v>4.070516952430063E-2</v>
      </c>
      <c r="AO2" s="33">
        <f t="shared" si="2"/>
        <v>4.070516952430063E-2</v>
      </c>
      <c r="AP2" s="33">
        <f t="shared" si="2"/>
        <v>4.070516952430063E-2</v>
      </c>
      <c r="AQ2" s="33">
        <f t="shared" si="2"/>
        <v>4.070516952430063E-2</v>
      </c>
      <c r="AR2" s="33">
        <f t="shared" si="2"/>
        <v>4.070516952430063E-2</v>
      </c>
      <c r="AS2" s="33">
        <f t="shared" si="2"/>
        <v>4.070516952430063E-2</v>
      </c>
      <c r="AT2" s="33">
        <f t="shared" si="2"/>
        <v>4.070516952430063E-2</v>
      </c>
      <c r="AU2" s="33">
        <f t="shared" si="2"/>
        <v>4.070516952430063E-2</v>
      </c>
      <c r="AV2" s="33">
        <f t="shared" si="2"/>
        <v>4.070516952430063E-2</v>
      </c>
      <c r="AW2" s="33">
        <f t="shared" si="2"/>
        <v>4.070516952430063E-2</v>
      </c>
      <c r="AX2" s="33">
        <f t="shared" si="2"/>
        <v>4.070516952430063E-2</v>
      </c>
      <c r="AY2" s="33">
        <f t="shared" si="2"/>
        <v>4.070516952430063E-2</v>
      </c>
      <c r="AZ2" s="33">
        <f t="shared" si="2"/>
        <v>4.070516952430063E-2</v>
      </c>
      <c r="BA2" s="33">
        <f t="shared" si="2"/>
        <v>4.070516952430063E-2</v>
      </c>
      <c r="BB2" s="33">
        <f t="shared" si="2"/>
        <v>4.070516952430063E-2</v>
      </c>
      <c r="BC2" s="33">
        <f t="shared" si="2"/>
        <v>4.070516952430063E-2</v>
      </c>
      <c r="BD2" s="33">
        <f t="shared" si="2"/>
        <v>4.070516952430063E-2</v>
      </c>
      <c r="BE2" s="33">
        <f t="shared" si="2"/>
        <v>4.070516952430063E-2</v>
      </c>
      <c r="BG2" s="91"/>
      <c r="BH2" s="91"/>
      <c r="BI2" s="91"/>
      <c r="BJ2" s="91"/>
      <c r="BK2" s="91"/>
    </row>
    <row r="3" spans="1:63" ht="14.45" customHeight="1" x14ac:dyDescent="0.25">
      <c r="A3" t="s">
        <v>235</v>
      </c>
      <c r="B3" t="s">
        <v>236</v>
      </c>
      <c r="D3" s="17" t="s">
        <v>177</v>
      </c>
      <c r="E3" s="17" t="s">
        <v>237</v>
      </c>
      <c r="F3">
        <v>3.6</v>
      </c>
      <c r="G3" t="s">
        <v>238</v>
      </c>
      <c r="H3" s="35"/>
      <c r="I3" s="33"/>
      <c r="K3" s="33" t="str">
        <f t="shared" si="0"/>
        <v>Natural Gas</v>
      </c>
      <c r="L3" s="33">
        <f t="shared" ref="L3:L12" si="3">I4</f>
        <v>5.7212000000000006E-2</v>
      </c>
      <c r="M3" s="33">
        <f t="shared" ref="M3:AB12" si="4">L3</f>
        <v>5.7212000000000006E-2</v>
      </c>
      <c r="N3" s="33">
        <f t="shared" si="4"/>
        <v>5.7212000000000006E-2</v>
      </c>
      <c r="O3" s="33">
        <f t="shared" si="4"/>
        <v>5.7212000000000006E-2</v>
      </c>
      <c r="P3" s="33">
        <f t="shared" si="4"/>
        <v>5.7212000000000006E-2</v>
      </c>
      <c r="Q3" s="33">
        <f t="shared" si="4"/>
        <v>5.7212000000000006E-2</v>
      </c>
      <c r="R3" s="33">
        <f t="shared" si="4"/>
        <v>5.7212000000000006E-2</v>
      </c>
      <c r="S3" s="33">
        <f t="shared" si="4"/>
        <v>5.7212000000000006E-2</v>
      </c>
      <c r="T3" s="33">
        <f t="shared" si="4"/>
        <v>5.7212000000000006E-2</v>
      </c>
      <c r="U3" s="33">
        <f t="shared" si="4"/>
        <v>5.7212000000000006E-2</v>
      </c>
      <c r="V3" s="33">
        <f t="shared" si="4"/>
        <v>5.7212000000000006E-2</v>
      </c>
      <c r="W3" s="33">
        <f t="shared" si="4"/>
        <v>5.7212000000000006E-2</v>
      </c>
      <c r="X3" s="33">
        <f t="shared" si="4"/>
        <v>5.7212000000000006E-2</v>
      </c>
      <c r="Y3" s="33">
        <f t="shared" si="4"/>
        <v>5.7212000000000006E-2</v>
      </c>
      <c r="Z3" s="33">
        <f t="shared" si="4"/>
        <v>5.7212000000000006E-2</v>
      </c>
      <c r="AA3" s="33">
        <f t="shared" si="4"/>
        <v>5.7212000000000006E-2</v>
      </c>
      <c r="AB3" s="33">
        <f t="shared" si="4"/>
        <v>5.7212000000000006E-2</v>
      </c>
      <c r="AC3" s="33">
        <f t="shared" ref="N3:BE8" si="5">AB3</f>
        <v>5.7212000000000006E-2</v>
      </c>
      <c r="AD3" s="33">
        <f t="shared" si="5"/>
        <v>5.7212000000000006E-2</v>
      </c>
      <c r="AE3" s="33">
        <f t="shared" si="5"/>
        <v>5.7212000000000006E-2</v>
      </c>
      <c r="AF3" s="33">
        <f t="shared" si="5"/>
        <v>5.7212000000000006E-2</v>
      </c>
      <c r="AG3" s="33">
        <f t="shared" si="5"/>
        <v>5.7212000000000006E-2</v>
      </c>
      <c r="AH3" s="33">
        <f t="shared" si="5"/>
        <v>5.7212000000000006E-2</v>
      </c>
      <c r="AI3" s="33">
        <f t="shared" si="5"/>
        <v>5.7212000000000006E-2</v>
      </c>
      <c r="AJ3" s="33">
        <f t="shared" si="5"/>
        <v>5.7212000000000006E-2</v>
      </c>
      <c r="AK3" s="33">
        <f t="shared" si="5"/>
        <v>5.7212000000000006E-2</v>
      </c>
      <c r="AL3" s="33">
        <f t="shared" si="5"/>
        <v>5.7212000000000006E-2</v>
      </c>
      <c r="AM3" s="33">
        <f t="shared" si="5"/>
        <v>5.7212000000000006E-2</v>
      </c>
      <c r="AN3" s="33">
        <f t="shared" si="5"/>
        <v>5.7212000000000006E-2</v>
      </c>
      <c r="AO3" s="33">
        <f t="shared" si="5"/>
        <v>5.7212000000000006E-2</v>
      </c>
      <c r="AP3" s="33">
        <f t="shared" si="5"/>
        <v>5.7212000000000006E-2</v>
      </c>
      <c r="AQ3" s="33">
        <f t="shared" si="5"/>
        <v>5.7212000000000006E-2</v>
      </c>
      <c r="AR3" s="33">
        <f t="shared" si="5"/>
        <v>5.7212000000000006E-2</v>
      </c>
      <c r="AS3" s="33">
        <f t="shared" si="5"/>
        <v>5.7212000000000006E-2</v>
      </c>
      <c r="AT3" s="33">
        <f t="shared" si="5"/>
        <v>5.7212000000000006E-2</v>
      </c>
      <c r="AU3" s="33">
        <f t="shared" si="5"/>
        <v>5.7212000000000006E-2</v>
      </c>
      <c r="AV3" s="33">
        <f t="shared" si="5"/>
        <v>5.7212000000000006E-2</v>
      </c>
      <c r="AW3" s="33">
        <f t="shared" si="5"/>
        <v>5.7212000000000006E-2</v>
      </c>
      <c r="AX3" s="33">
        <f t="shared" si="5"/>
        <v>5.7212000000000006E-2</v>
      </c>
      <c r="AY3" s="33">
        <f t="shared" si="5"/>
        <v>5.7212000000000006E-2</v>
      </c>
      <c r="AZ3" s="33">
        <f t="shared" si="5"/>
        <v>5.7212000000000006E-2</v>
      </c>
      <c r="BA3" s="33">
        <f t="shared" si="5"/>
        <v>5.7212000000000006E-2</v>
      </c>
      <c r="BB3" s="33">
        <f t="shared" si="5"/>
        <v>5.7212000000000006E-2</v>
      </c>
      <c r="BC3" s="33">
        <f t="shared" si="5"/>
        <v>5.7212000000000006E-2</v>
      </c>
      <c r="BD3" s="33">
        <f t="shared" si="5"/>
        <v>5.7212000000000006E-2</v>
      </c>
      <c r="BE3" s="33">
        <f t="shared" si="5"/>
        <v>5.7212000000000006E-2</v>
      </c>
      <c r="BG3" s="37"/>
      <c r="BH3" s="37"/>
      <c r="BI3" s="37"/>
      <c r="BJ3" s="37"/>
      <c r="BK3" s="37"/>
    </row>
    <row r="4" spans="1:63" ht="14.45" customHeight="1" x14ac:dyDescent="0.25">
      <c r="A4" t="s">
        <v>239</v>
      </c>
      <c r="B4" t="s">
        <v>240</v>
      </c>
      <c r="D4" s="17" t="s">
        <v>178</v>
      </c>
      <c r="E4" s="17" t="s">
        <v>169</v>
      </c>
      <c r="F4">
        <v>1</v>
      </c>
      <c r="G4" t="s">
        <v>169</v>
      </c>
      <c r="H4" s="35">
        <v>57.212000000000003</v>
      </c>
      <c r="I4" s="33" cm="1">
        <f t="array" ref="I4">IF(E4=G4,H4/1000,(H4/$H$20)*INDEX($H$18:$H$23,MATCH(1,(G4=$E$18:$E$23)*(E4=$G$18:$G$23),0)))</f>
        <v>5.7212000000000006E-2</v>
      </c>
      <c r="K4" s="33" t="str">
        <f t="shared" si="0"/>
        <v>Coal - sub bituminous</v>
      </c>
      <c r="L4" s="33">
        <f t="shared" si="3"/>
        <v>2.0125535999999999</v>
      </c>
      <c r="M4" s="33">
        <f t="shared" si="4"/>
        <v>2.0125535999999999</v>
      </c>
      <c r="N4" s="33">
        <f t="shared" si="5"/>
        <v>2.0125535999999999</v>
      </c>
      <c r="O4" s="33">
        <f t="shared" si="5"/>
        <v>2.0125535999999999</v>
      </c>
      <c r="P4" s="33">
        <f t="shared" si="5"/>
        <v>2.0125535999999999</v>
      </c>
      <c r="Q4" s="33">
        <f t="shared" si="5"/>
        <v>2.0125535999999999</v>
      </c>
      <c r="R4" s="33">
        <f t="shared" si="5"/>
        <v>2.0125535999999999</v>
      </c>
      <c r="S4" s="33">
        <f t="shared" si="5"/>
        <v>2.0125535999999999</v>
      </c>
      <c r="T4" s="33">
        <f t="shared" si="5"/>
        <v>2.0125535999999999</v>
      </c>
      <c r="U4" s="33">
        <f t="shared" si="5"/>
        <v>2.0125535999999999</v>
      </c>
      <c r="V4" s="33">
        <f t="shared" si="5"/>
        <v>2.0125535999999999</v>
      </c>
      <c r="W4" s="33">
        <f t="shared" si="5"/>
        <v>2.0125535999999999</v>
      </c>
      <c r="X4" s="33">
        <f t="shared" si="5"/>
        <v>2.0125535999999999</v>
      </c>
      <c r="Y4" s="33">
        <f t="shared" si="5"/>
        <v>2.0125535999999999</v>
      </c>
      <c r="Z4" s="33">
        <f t="shared" si="5"/>
        <v>2.0125535999999999</v>
      </c>
      <c r="AA4" s="33">
        <f t="shared" si="5"/>
        <v>2.0125535999999999</v>
      </c>
      <c r="AB4" s="33">
        <f t="shared" si="5"/>
        <v>2.0125535999999999</v>
      </c>
      <c r="AC4" s="33">
        <f t="shared" si="5"/>
        <v>2.0125535999999999</v>
      </c>
      <c r="AD4" s="33">
        <f t="shared" si="5"/>
        <v>2.0125535999999999</v>
      </c>
      <c r="AE4" s="33">
        <f t="shared" si="5"/>
        <v>2.0125535999999999</v>
      </c>
      <c r="AF4" s="33">
        <f t="shared" si="5"/>
        <v>2.0125535999999999</v>
      </c>
      <c r="AG4" s="33">
        <f t="shared" si="5"/>
        <v>2.0125535999999999</v>
      </c>
      <c r="AH4" s="33">
        <f t="shared" si="5"/>
        <v>2.0125535999999999</v>
      </c>
      <c r="AI4" s="33">
        <f t="shared" si="5"/>
        <v>2.0125535999999999</v>
      </c>
      <c r="AJ4" s="33">
        <f t="shared" si="5"/>
        <v>2.0125535999999999</v>
      </c>
      <c r="AK4" s="33">
        <f t="shared" si="5"/>
        <v>2.0125535999999999</v>
      </c>
      <c r="AL4" s="33">
        <f t="shared" si="5"/>
        <v>2.0125535999999999</v>
      </c>
      <c r="AM4" s="33">
        <f t="shared" si="5"/>
        <v>2.0125535999999999</v>
      </c>
      <c r="AN4" s="33">
        <f t="shared" si="5"/>
        <v>2.0125535999999999</v>
      </c>
      <c r="AO4" s="33">
        <f t="shared" si="5"/>
        <v>2.0125535999999999</v>
      </c>
      <c r="AP4" s="33">
        <f t="shared" si="5"/>
        <v>2.0125535999999999</v>
      </c>
      <c r="AQ4" s="33">
        <f t="shared" si="5"/>
        <v>2.0125535999999999</v>
      </c>
      <c r="AR4" s="33">
        <f t="shared" si="5"/>
        <v>2.0125535999999999</v>
      </c>
      <c r="AS4" s="33">
        <f t="shared" si="5"/>
        <v>2.0125535999999999</v>
      </c>
      <c r="AT4" s="33">
        <f t="shared" si="5"/>
        <v>2.0125535999999999</v>
      </c>
      <c r="AU4" s="33">
        <f t="shared" si="5"/>
        <v>2.0125535999999999</v>
      </c>
      <c r="AV4" s="33">
        <f t="shared" si="5"/>
        <v>2.0125535999999999</v>
      </c>
      <c r="AW4" s="33">
        <f t="shared" si="5"/>
        <v>2.0125535999999999</v>
      </c>
      <c r="AX4" s="33">
        <f t="shared" si="5"/>
        <v>2.0125535999999999</v>
      </c>
      <c r="AY4" s="33">
        <f t="shared" si="5"/>
        <v>2.0125535999999999</v>
      </c>
      <c r="AZ4" s="33">
        <f t="shared" si="5"/>
        <v>2.0125535999999999</v>
      </c>
      <c r="BA4" s="33">
        <f t="shared" si="5"/>
        <v>2.0125535999999999</v>
      </c>
      <c r="BB4" s="33">
        <f t="shared" si="5"/>
        <v>2.0125535999999999</v>
      </c>
      <c r="BC4" s="33">
        <f t="shared" si="5"/>
        <v>2.0125535999999999</v>
      </c>
      <c r="BD4" s="33">
        <f t="shared" si="5"/>
        <v>2.0125535999999999</v>
      </c>
      <c r="BE4" s="33">
        <f t="shared" si="5"/>
        <v>2.0125535999999999</v>
      </c>
      <c r="BG4" s="38"/>
      <c r="BH4" s="38"/>
      <c r="BI4" s="38"/>
      <c r="BJ4" s="38"/>
      <c r="BK4" s="38"/>
    </row>
    <row r="5" spans="1:63" ht="14.45" customHeight="1" x14ac:dyDescent="0.25">
      <c r="A5" t="s">
        <v>13</v>
      </c>
      <c r="B5" t="s">
        <v>241</v>
      </c>
      <c r="D5" s="17" t="s">
        <v>179</v>
      </c>
      <c r="E5" s="17" t="s">
        <v>242</v>
      </c>
      <c r="F5">
        <v>22</v>
      </c>
      <c r="G5" t="s">
        <v>243</v>
      </c>
      <c r="H5" s="35">
        <v>2.0125535999999999</v>
      </c>
      <c r="I5" s="33" cm="1">
        <f t="array" ref="I5">IF(E5=G5,H5/1000,(H5/$H$20)*INDEX($H$18:$H$23,MATCH(1,(G5=$E$18:$E$23)*(E5=$G$18:$G$23),0)))</f>
        <v>2.0125535999999999</v>
      </c>
      <c r="K5" s="33" t="str">
        <f t="shared" si="0"/>
        <v>Coal - bituminous</v>
      </c>
      <c r="L5" s="33">
        <f t="shared" si="3"/>
        <v>2.6225536000000003</v>
      </c>
      <c r="M5" s="33">
        <f t="shared" si="4"/>
        <v>2.6225536000000003</v>
      </c>
      <c r="N5" s="33">
        <f t="shared" si="5"/>
        <v>2.6225536000000003</v>
      </c>
      <c r="O5" s="33">
        <f t="shared" si="5"/>
        <v>2.6225536000000003</v>
      </c>
      <c r="P5" s="33">
        <f t="shared" si="5"/>
        <v>2.6225536000000003</v>
      </c>
      <c r="Q5" s="33">
        <f t="shared" si="5"/>
        <v>2.6225536000000003</v>
      </c>
      <c r="R5" s="33">
        <f t="shared" si="5"/>
        <v>2.6225536000000003</v>
      </c>
      <c r="S5" s="33">
        <f t="shared" si="5"/>
        <v>2.6225536000000003</v>
      </c>
      <c r="T5" s="33">
        <f t="shared" si="5"/>
        <v>2.6225536000000003</v>
      </c>
      <c r="U5" s="33">
        <f t="shared" si="5"/>
        <v>2.6225536000000003</v>
      </c>
      <c r="V5" s="33">
        <f t="shared" si="5"/>
        <v>2.6225536000000003</v>
      </c>
      <c r="W5" s="33">
        <f t="shared" si="5"/>
        <v>2.6225536000000003</v>
      </c>
      <c r="X5" s="33">
        <f t="shared" si="5"/>
        <v>2.6225536000000003</v>
      </c>
      <c r="Y5" s="33">
        <f t="shared" si="5"/>
        <v>2.6225536000000003</v>
      </c>
      <c r="Z5" s="33">
        <f t="shared" si="5"/>
        <v>2.6225536000000003</v>
      </c>
      <c r="AA5" s="33">
        <f t="shared" si="5"/>
        <v>2.6225536000000003</v>
      </c>
      <c r="AB5" s="33">
        <f t="shared" si="5"/>
        <v>2.6225536000000003</v>
      </c>
      <c r="AC5" s="33">
        <f t="shared" si="5"/>
        <v>2.6225536000000003</v>
      </c>
      <c r="AD5" s="33">
        <f t="shared" si="5"/>
        <v>2.6225536000000003</v>
      </c>
      <c r="AE5" s="33">
        <f t="shared" si="5"/>
        <v>2.6225536000000003</v>
      </c>
      <c r="AF5" s="33">
        <f t="shared" si="5"/>
        <v>2.6225536000000003</v>
      </c>
      <c r="AG5" s="33">
        <f t="shared" si="5"/>
        <v>2.6225536000000003</v>
      </c>
      <c r="AH5" s="33">
        <f t="shared" si="5"/>
        <v>2.6225536000000003</v>
      </c>
      <c r="AI5" s="33">
        <f t="shared" si="5"/>
        <v>2.6225536000000003</v>
      </c>
      <c r="AJ5" s="33">
        <f t="shared" si="5"/>
        <v>2.6225536000000003</v>
      </c>
      <c r="AK5" s="33">
        <f t="shared" si="5"/>
        <v>2.6225536000000003</v>
      </c>
      <c r="AL5" s="33">
        <f t="shared" si="5"/>
        <v>2.6225536000000003</v>
      </c>
      <c r="AM5" s="33">
        <f t="shared" si="5"/>
        <v>2.6225536000000003</v>
      </c>
      <c r="AN5" s="33">
        <f t="shared" si="5"/>
        <v>2.6225536000000003</v>
      </c>
      <c r="AO5" s="33">
        <f t="shared" si="5"/>
        <v>2.6225536000000003</v>
      </c>
      <c r="AP5" s="33">
        <f t="shared" si="5"/>
        <v>2.6225536000000003</v>
      </c>
      <c r="AQ5" s="33">
        <f t="shared" si="5"/>
        <v>2.6225536000000003</v>
      </c>
      <c r="AR5" s="33">
        <f t="shared" si="5"/>
        <v>2.6225536000000003</v>
      </c>
      <c r="AS5" s="33">
        <f t="shared" si="5"/>
        <v>2.6225536000000003</v>
      </c>
      <c r="AT5" s="33">
        <f t="shared" si="5"/>
        <v>2.6225536000000003</v>
      </c>
      <c r="AU5" s="33">
        <f t="shared" si="5"/>
        <v>2.6225536000000003</v>
      </c>
      <c r="AV5" s="33">
        <f t="shared" si="5"/>
        <v>2.6225536000000003</v>
      </c>
      <c r="AW5" s="33">
        <f t="shared" si="5"/>
        <v>2.6225536000000003</v>
      </c>
      <c r="AX5" s="33">
        <f t="shared" si="5"/>
        <v>2.6225536000000003</v>
      </c>
      <c r="AY5" s="33">
        <f t="shared" si="5"/>
        <v>2.6225536000000003</v>
      </c>
      <c r="AZ5" s="33">
        <f t="shared" si="5"/>
        <v>2.6225536000000003</v>
      </c>
      <c r="BA5" s="33">
        <f t="shared" si="5"/>
        <v>2.6225536000000003</v>
      </c>
      <c r="BB5" s="33">
        <f t="shared" si="5"/>
        <v>2.6225536000000003</v>
      </c>
      <c r="BC5" s="33">
        <f t="shared" si="5"/>
        <v>2.6225536000000003</v>
      </c>
      <c r="BD5" s="33">
        <f t="shared" si="5"/>
        <v>2.6225536000000003</v>
      </c>
      <c r="BE5" s="33">
        <f t="shared" si="5"/>
        <v>2.6225536000000003</v>
      </c>
      <c r="BG5" s="39"/>
      <c r="BH5" s="39"/>
      <c r="BI5" s="39"/>
      <c r="BJ5" s="39"/>
      <c r="BK5" s="39"/>
    </row>
    <row r="6" spans="1:63" ht="14.45" customHeight="1" x14ac:dyDescent="0.25">
      <c r="A6" t="s">
        <v>244</v>
      </c>
      <c r="B6" t="s">
        <v>245</v>
      </c>
      <c r="D6" s="17" t="s">
        <v>180</v>
      </c>
      <c r="E6" s="17" t="s">
        <v>242</v>
      </c>
      <c r="F6">
        <v>27</v>
      </c>
      <c r="G6" t="s">
        <v>243</v>
      </c>
      <c r="H6" s="35">
        <v>2.6225536000000003</v>
      </c>
      <c r="I6" s="33" cm="1">
        <f t="array" ref="I6">IF(E6=G6,H6/1000,(H6/$H$20)*INDEX($H$18:$H$23,MATCH(1,(G6=$E$18:$E$23)*(E6=$G$18:$G$23),0)))</f>
        <v>2.6225536000000003</v>
      </c>
      <c r="K6" s="33" t="str">
        <f t="shared" si="0"/>
        <v>Coal - lignite</v>
      </c>
      <c r="L6" s="33">
        <f t="shared" si="3"/>
        <v>1.4325535999999999</v>
      </c>
      <c r="M6" s="33">
        <f t="shared" si="4"/>
        <v>1.4325535999999999</v>
      </c>
      <c r="N6" s="33">
        <f t="shared" si="5"/>
        <v>1.4325535999999999</v>
      </c>
      <c r="O6" s="33">
        <f t="shared" si="5"/>
        <v>1.4325535999999999</v>
      </c>
      <c r="P6" s="33">
        <f t="shared" si="5"/>
        <v>1.4325535999999999</v>
      </c>
      <c r="Q6" s="33">
        <f t="shared" si="5"/>
        <v>1.4325535999999999</v>
      </c>
      <c r="R6" s="33">
        <f t="shared" si="5"/>
        <v>1.4325535999999999</v>
      </c>
      <c r="S6" s="33">
        <f t="shared" si="5"/>
        <v>1.4325535999999999</v>
      </c>
      <c r="T6" s="33">
        <f t="shared" si="5"/>
        <v>1.4325535999999999</v>
      </c>
      <c r="U6" s="33">
        <f t="shared" si="5"/>
        <v>1.4325535999999999</v>
      </c>
      <c r="V6" s="33">
        <f t="shared" si="5"/>
        <v>1.4325535999999999</v>
      </c>
      <c r="W6" s="33">
        <f t="shared" si="5"/>
        <v>1.4325535999999999</v>
      </c>
      <c r="X6" s="33">
        <f t="shared" si="5"/>
        <v>1.4325535999999999</v>
      </c>
      <c r="Y6" s="33">
        <f t="shared" si="5"/>
        <v>1.4325535999999999</v>
      </c>
      <c r="Z6" s="33">
        <f t="shared" si="5"/>
        <v>1.4325535999999999</v>
      </c>
      <c r="AA6" s="33">
        <f t="shared" si="5"/>
        <v>1.4325535999999999</v>
      </c>
      <c r="AB6" s="33">
        <f t="shared" si="5"/>
        <v>1.4325535999999999</v>
      </c>
      <c r="AC6" s="33">
        <f t="shared" si="5"/>
        <v>1.4325535999999999</v>
      </c>
      <c r="AD6" s="33">
        <f t="shared" si="5"/>
        <v>1.4325535999999999</v>
      </c>
      <c r="AE6" s="33">
        <f t="shared" si="5"/>
        <v>1.4325535999999999</v>
      </c>
      <c r="AF6" s="33">
        <f t="shared" si="5"/>
        <v>1.4325535999999999</v>
      </c>
      <c r="AG6" s="33">
        <f t="shared" si="5"/>
        <v>1.4325535999999999</v>
      </c>
      <c r="AH6" s="33">
        <f t="shared" si="5"/>
        <v>1.4325535999999999</v>
      </c>
      <c r="AI6" s="33">
        <f t="shared" si="5"/>
        <v>1.4325535999999999</v>
      </c>
      <c r="AJ6" s="33">
        <f t="shared" si="5"/>
        <v>1.4325535999999999</v>
      </c>
      <c r="AK6" s="33">
        <f t="shared" si="5"/>
        <v>1.4325535999999999</v>
      </c>
      <c r="AL6" s="33">
        <f t="shared" si="5"/>
        <v>1.4325535999999999</v>
      </c>
      <c r="AM6" s="33">
        <f t="shared" si="5"/>
        <v>1.4325535999999999</v>
      </c>
      <c r="AN6" s="33">
        <f t="shared" si="5"/>
        <v>1.4325535999999999</v>
      </c>
      <c r="AO6" s="33">
        <f t="shared" si="5"/>
        <v>1.4325535999999999</v>
      </c>
      <c r="AP6" s="33">
        <f t="shared" si="5"/>
        <v>1.4325535999999999</v>
      </c>
      <c r="AQ6" s="33">
        <f t="shared" si="5"/>
        <v>1.4325535999999999</v>
      </c>
      <c r="AR6" s="33">
        <f t="shared" si="5"/>
        <v>1.4325535999999999</v>
      </c>
      <c r="AS6" s="33">
        <f t="shared" si="5"/>
        <v>1.4325535999999999</v>
      </c>
      <c r="AT6" s="33">
        <f t="shared" si="5"/>
        <v>1.4325535999999999</v>
      </c>
      <c r="AU6" s="33">
        <f t="shared" si="5"/>
        <v>1.4325535999999999</v>
      </c>
      <c r="AV6" s="33">
        <f t="shared" si="5"/>
        <v>1.4325535999999999</v>
      </c>
      <c r="AW6" s="33">
        <f t="shared" si="5"/>
        <v>1.4325535999999999</v>
      </c>
      <c r="AX6" s="33">
        <f t="shared" si="5"/>
        <v>1.4325535999999999</v>
      </c>
      <c r="AY6" s="33">
        <f t="shared" si="5"/>
        <v>1.4325535999999999</v>
      </c>
      <c r="AZ6" s="33">
        <f t="shared" si="5"/>
        <v>1.4325535999999999</v>
      </c>
      <c r="BA6" s="33">
        <f t="shared" si="5"/>
        <v>1.4325535999999999</v>
      </c>
      <c r="BB6" s="33">
        <f t="shared" si="5"/>
        <v>1.4325535999999999</v>
      </c>
      <c r="BC6" s="33">
        <f t="shared" si="5"/>
        <v>1.4325535999999999</v>
      </c>
      <c r="BD6" s="33">
        <f t="shared" si="5"/>
        <v>1.4325535999999999</v>
      </c>
      <c r="BE6" s="33">
        <f t="shared" si="5"/>
        <v>1.4325535999999999</v>
      </c>
      <c r="BG6" s="34"/>
      <c r="BH6" s="34"/>
      <c r="BI6" s="34"/>
      <c r="BJ6" s="34"/>
      <c r="BK6" s="34"/>
    </row>
    <row r="7" spans="1:63" ht="14.45" customHeight="1" x14ac:dyDescent="0.25">
      <c r="A7" t="s">
        <v>246</v>
      </c>
      <c r="B7" t="s">
        <v>15</v>
      </c>
      <c r="D7" s="17" t="s">
        <v>181</v>
      </c>
      <c r="E7" s="17" t="s">
        <v>242</v>
      </c>
      <c r="F7">
        <v>19</v>
      </c>
      <c r="G7" t="s">
        <v>243</v>
      </c>
      <c r="H7" s="35">
        <v>1.4325535999999999</v>
      </c>
      <c r="I7" s="33" cm="1">
        <f t="array" ref="I7">IF(E7=G7,H7/1000,(H7/$H$20)*INDEX($H$18:$H$23,MATCH(1,(G7=$E$18:$E$23)*(E7=$G$18:$G$23),0)))</f>
        <v>1.4325535999999999</v>
      </c>
      <c r="K7" s="33" t="str">
        <f t="shared" si="0"/>
        <v>Diesel</v>
      </c>
      <c r="L7" s="33">
        <f t="shared" si="3"/>
        <v>2.66E-3</v>
      </c>
      <c r="M7" s="33">
        <f t="shared" si="4"/>
        <v>2.66E-3</v>
      </c>
      <c r="N7" s="33">
        <f t="shared" si="5"/>
        <v>2.66E-3</v>
      </c>
      <c r="O7" s="33">
        <f t="shared" si="5"/>
        <v>2.66E-3</v>
      </c>
      <c r="P7" s="33">
        <f t="shared" si="5"/>
        <v>2.66E-3</v>
      </c>
      <c r="Q7" s="33">
        <f t="shared" si="5"/>
        <v>2.66E-3</v>
      </c>
      <c r="R7" s="33">
        <f t="shared" si="5"/>
        <v>2.66E-3</v>
      </c>
      <c r="S7" s="33">
        <f t="shared" si="5"/>
        <v>2.66E-3</v>
      </c>
      <c r="T7" s="33">
        <f t="shared" si="5"/>
        <v>2.66E-3</v>
      </c>
      <c r="U7" s="33">
        <f t="shared" si="5"/>
        <v>2.66E-3</v>
      </c>
      <c r="V7" s="33">
        <f t="shared" si="5"/>
        <v>2.66E-3</v>
      </c>
      <c r="W7" s="33">
        <f t="shared" si="5"/>
        <v>2.66E-3</v>
      </c>
      <c r="X7" s="33">
        <f t="shared" si="5"/>
        <v>2.66E-3</v>
      </c>
      <c r="Y7" s="33">
        <f t="shared" si="5"/>
        <v>2.66E-3</v>
      </c>
      <c r="Z7" s="33">
        <f t="shared" si="5"/>
        <v>2.66E-3</v>
      </c>
      <c r="AA7" s="33">
        <f t="shared" si="5"/>
        <v>2.66E-3</v>
      </c>
      <c r="AB7" s="33">
        <f t="shared" si="5"/>
        <v>2.66E-3</v>
      </c>
      <c r="AC7" s="33">
        <f t="shared" si="5"/>
        <v>2.66E-3</v>
      </c>
      <c r="AD7" s="33">
        <f t="shared" si="5"/>
        <v>2.66E-3</v>
      </c>
      <c r="AE7" s="33">
        <f t="shared" si="5"/>
        <v>2.66E-3</v>
      </c>
      <c r="AF7" s="33">
        <f t="shared" si="5"/>
        <v>2.66E-3</v>
      </c>
      <c r="AG7" s="33">
        <f t="shared" si="5"/>
        <v>2.66E-3</v>
      </c>
      <c r="AH7" s="33">
        <f t="shared" si="5"/>
        <v>2.66E-3</v>
      </c>
      <c r="AI7" s="33">
        <f t="shared" si="5"/>
        <v>2.66E-3</v>
      </c>
      <c r="AJ7" s="33">
        <f t="shared" si="5"/>
        <v>2.66E-3</v>
      </c>
      <c r="AK7" s="33">
        <f t="shared" si="5"/>
        <v>2.66E-3</v>
      </c>
      <c r="AL7" s="33">
        <f t="shared" si="5"/>
        <v>2.66E-3</v>
      </c>
      <c r="AM7" s="33">
        <f t="shared" si="5"/>
        <v>2.66E-3</v>
      </c>
      <c r="AN7" s="33">
        <f t="shared" si="5"/>
        <v>2.66E-3</v>
      </c>
      <c r="AO7" s="33">
        <f t="shared" si="5"/>
        <v>2.66E-3</v>
      </c>
      <c r="AP7" s="33">
        <f t="shared" si="5"/>
        <v>2.66E-3</v>
      </c>
      <c r="AQ7" s="33">
        <f t="shared" si="5"/>
        <v>2.66E-3</v>
      </c>
      <c r="AR7" s="33">
        <f t="shared" si="5"/>
        <v>2.66E-3</v>
      </c>
      <c r="AS7" s="33">
        <f t="shared" si="5"/>
        <v>2.66E-3</v>
      </c>
      <c r="AT7" s="33">
        <f t="shared" si="5"/>
        <v>2.66E-3</v>
      </c>
      <c r="AU7" s="33">
        <f t="shared" si="5"/>
        <v>2.66E-3</v>
      </c>
      <c r="AV7" s="33">
        <f t="shared" si="5"/>
        <v>2.66E-3</v>
      </c>
      <c r="AW7" s="33">
        <f t="shared" si="5"/>
        <v>2.66E-3</v>
      </c>
      <c r="AX7" s="33">
        <f t="shared" si="5"/>
        <v>2.66E-3</v>
      </c>
      <c r="AY7" s="33">
        <f t="shared" si="5"/>
        <v>2.66E-3</v>
      </c>
      <c r="AZ7" s="33">
        <f t="shared" si="5"/>
        <v>2.66E-3</v>
      </c>
      <c r="BA7" s="33">
        <f t="shared" si="5"/>
        <v>2.66E-3</v>
      </c>
      <c r="BB7" s="33">
        <f t="shared" si="5"/>
        <v>2.66E-3</v>
      </c>
      <c r="BC7" s="33">
        <f t="shared" si="5"/>
        <v>2.66E-3</v>
      </c>
      <c r="BD7" s="33">
        <f t="shared" si="5"/>
        <v>2.66E-3</v>
      </c>
      <c r="BE7" s="33">
        <f t="shared" si="5"/>
        <v>2.66E-3</v>
      </c>
      <c r="BG7" s="34"/>
      <c r="BH7" s="34"/>
      <c r="BI7" s="34"/>
      <c r="BJ7" s="34"/>
      <c r="BK7" s="34"/>
    </row>
    <row r="8" spans="1:63" ht="14.45" customHeight="1" x14ac:dyDescent="0.25">
      <c r="A8" t="s">
        <v>247</v>
      </c>
      <c r="B8" t="s">
        <v>248</v>
      </c>
      <c r="D8" s="17" t="s">
        <v>182</v>
      </c>
      <c r="E8" s="17" t="s">
        <v>249</v>
      </c>
      <c r="F8">
        <v>35.700000000000003</v>
      </c>
      <c r="G8" t="s">
        <v>249</v>
      </c>
      <c r="H8" s="36">
        <v>2.66</v>
      </c>
      <c r="I8" s="33" cm="1">
        <f t="array" ref="I8">IF(E8=G8,H8/1000,(H8/$H$20)*INDEX($H$18:$H$23,MATCH(1,(G8=$E$18:$E$23)*(E8=$G$18:$G$23),0)))</f>
        <v>2.66E-3</v>
      </c>
      <c r="K8" s="33" t="str">
        <f t="shared" si="0"/>
        <v>LPG</v>
      </c>
      <c r="L8" s="33">
        <f t="shared" si="3"/>
        <v>1.6489200000000001E-3</v>
      </c>
      <c r="M8" s="33">
        <f t="shared" si="4"/>
        <v>1.6489200000000001E-3</v>
      </c>
      <c r="N8" s="33">
        <f t="shared" si="5"/>
        <v>1.6489200000000001E-3</v>
      </c>
      <c r="O8" s="33">
        <f t="shared" si="5"/>
        <v>1.6489200000000001E-3</v>
      </c>
      <c r="P8" s="33">
        <f t="shared" si="5"/>
        <v>1.6489200000000001E-3</v>
      </c>
      <c r="Q8" s="33">
        <f t="shared" si="5"/>
        <v>1.6489200000000001E-3</v>
      </c>
      <c r="R8" s="33">
        <f t="shared" si="5"/>
        <v>1.6489200000000001E-3</v>
      </c>
      <c r="S8" s="33">
        <f t="shared" si="5"/>
        <v>1.6489200000000001E-3</v>
      </c>
      <c r="T8" s="33">
        <f t="shared" ref="N8:BE12" si="6">S8</f>
        <v>1.6489200000000001E-3</v>
      </c>
      <c r="U8" s="33">
        <f t="shared" si="6"/>
        <v>1.6489200000000001E-3</v>
      </c>
      <c r="V8" s="33">
        <f t="shared" si="6"/>
        <v>1.6489200000000001E-3</v>
      </c>
      <c r="W8" s="33">
        <f t="shared" si="6"/>
        <v>1.6489200000000001E-3</v>
      </c>
      <c r="X8" s="33">
        <f t="shared" si="6"/>
        <v>1.6489200000000001E-3</v>
      </c>
      <c r="Y8" s="33">
        <f t="shared" si="6"/>
        <v>1.6489200000000001E-3</v>
      </c>
      <c r="Z8" s="33">
        <f t="shared" si="6"/>
        <v>1.6489200000000001E-3</v>
      </c>
      <c r="AA8" s="33">
        <f t="shared" si="6"/>
        <v>1.6489200000000001E-3</v>
      </c>
      <c r="AB8" s="33">
        <f t="shared" si="6"/>
        <v>1.6489200000000001E-3</v>
      </c>
      <c r="AC8" s="33">
        <f t="shared" si="6"/>
        <v>1.6489200000000001E-3</v>
      </c>
      <c r="AD8" s="33">
        <f t="shared" si="6"/>
        <v>1.6489200000000001E-3</v>
      </c>
      <c r="AE8" s="33">
        <f t="shared" si="6"/>
        <v>1.6489200000000001E-3</v>
      </c>
      <c r="AF8" s="33">
        <f t="shared" si="6"/>
        <v>1.6489200000000001E-3</v>
      </c>
      <c r="AG8" s="33">
        <f t="shared" si="6"/>
        <v>1.6489200000000001E-3</v>
      </c>
      <c r="AH8" s="33">
        <f t="shared" si="6"/>
        <v>1.6489200000000001E-3</v>
      </c>
      <c r="AI8" s="33">
        <f t="shared" si="6"/>
        <v>1.6489200000000001E-3</v>
      </c>
      <c r="AJ8" s="33">
        <f t="shared" si="6"/>
        <v>1.6489200000000001E-3</v>
      </c>
      <c r="AK8" s="33">
        <f t="shared" si="6"/>
        <v>1.6489200000000001E-3</v>
      </c>
      <c r="AL8" s="33">
        <f t="shared" si="6"/>
        <v>1.6489200000000001E-3</v>
      </c>
      <c r="AM8" s="33">
        <f t="shared" si="6"/>
        <v>1.6489200000000001E-3</v>
      </c>
      <c r="AN8" s="33">
        <f t="shared" si="6"/>
        <v>1.6489200000000001E-3</v>
      </c>
      <c r="AO8" s="33">
        <f t="shared" si="6"/>
        <v>1.6489200000000001E-3</v>
      </c>
      <c r="AP8" s="33">
        <f t="shared" si="6"/>
        <v>1.6489200000000001E-3</v>
      </c>
      <c r="AQ8" s="33">
        <f t="shared" si="6"/>
        <v>1.6489200000000001E-3</v>
      </c>
      <c r="AR8" s="33">
        <f t="shared" si="6"/>
        <v>1.6489200000000001E-3</v>
      </c>
      <c r="AS8" s="33">
        <f t="shared" si="6"/>
        <v>1.6489200000000001E-3</v>
      </c>
      <c r="AT8" s="33">
        <f t="shared" si="6"/>
        <v>1.6489200000000001E-3</v>
      </c>
      <c r="AU8" s="33">
        <f t="shared" si="6"/>
        <v>1.6489200000000001E-3</v>
      </c>
      <c r="AV8" s="33">
        <f t="shared" si="6"/>
        <v>1.6489200000000001E-3</v>
      </c>
      <c r="AW8" s="33">
        <f t="shared" si="6"/>
        <v>1.6489200000000001E-3</v>
      </c>
      <c r="AX8" s="33">
        <f t="shared" si="6"/>
        <v>1.6489200000000001E-3</v>
      </c>
      <c r="AY8" s="33">
        <f t="shared" si="6"/>
        <v>1.6489200000000001E-3</v>
      </c>
      <c r="AZ8" s="33">
        <f t="shared" si="6"/>
        <v>1.6489200000000001E-3</v>
      </c>
      <c r="BA8" s="33">
        <f t="shared" si="6"/>
        <v>1.6489200000000001E-3</v>
      </c>
      <c r="BB8" s="33">
        <f t="shared" si="6"/>
        <v>1.6489200000000001E-3</v>
      </c>
      <c r="BC8" s="33">
        <f t="shared" si="6"/>
        <v>1.6489200000000001E-3</v>
      </c>
      <c r="BD8" s="33">
        <f t="shared" si="6"/>
        <v>1.6489200000000001E-3</v>
      </c>
      <c r="BE8" s="33">
        <f t="shared" si="6"/>
        <v>1.6489200000000001E-3</v>
      </c>
      <c r="BG8" s="64"/>
      <c r="BH8" s="64"/>
      <c r="BI8" s="64"/>
      <c r="BJ8" s="64"/>
      <c r="BK8" s="64"/>
    </row>
    <row r="9" spans="1:63" ht="14.45" customHeight="1" x14ac:dyDescent="0.25">
      <c r="A9" t="s">
        <v>250</v>
      </c>
      <c r="B9" t="s">
        <v>251</v>
      </c>
      <c r="D9" s="17" t="s">
        <v>183</v>
      </c>
      <c r="E9" s="17" t="s">
        <v>252</v>
      </c>
      <c r="F9" s="33">
        <f>0.025/0.546</f>
        <v>4.5787545787545784E-2</v>
      </c>
      <c r="G9" t="s">
        <v>243</v>
      </c>
      <c r="H9" s="36">
        <v>3.02</v>
      </c>
      <c r="I9" s="33" cm="1">
        <f t="array" ref="I9">IF(E9=G9,H9/1000,(H9/$H$20)*INDEX($H$18:$H$23,MATCH(1,(G9=$E$18:$E$23)*(E9=$G$18:$G$23),0)))</f>
        <v>1.6489200000000001E-3</v>
      </c>
      <c r="K9" s="33" t="str">
        <f t="shared" si="0"/>
        <v>Light fuel oil</v>
      </c>
      <c r="L9" s="33">
        <f t="shared" si="3"/>
        <v>2.9199999999999999E-3</v>
      </c>
      <c r="M9" s="33">
        <f t="shared" si="4"/>
        <v>2.9199999999999999E-3</v>
      </c>
      <c r="N9" s="33">
        <f t="shared" si="6"/>
        <v>2.9199999999999999E-3</v>
      </c>
      <c r="O9" s="33">
        <f t="shared" si="6"/>
        <v>2.9199999999999999E-3</v>
      </c>
      <c r="P9" s="33">
        <f t="shared" si="6"/>
        <v>2.9199999999999999E-3</v>
      </c>
      <c r="Q9" s="33">
        <f t="shared" si="6"/>
        <v>2.9199999999999999E-3</v>
      </c>
      <c r="R9" s="33">
        <f t="shared" si="6"/>
        <v>2.9199999999999999E-3</v>
      </c>
      <c r="S9" s="33">
        <f t="shared" si="6"/>
        <v>2.9199999999999999E-3</v>
      </c>
      <c r="T9" s="33">
        <f t="shared" si="6"/>
        <v>2.9199999999999999E-3</v>
      </c>
      <c r="U9" s="33">
        <f t="shared" si="6"/>
        <v>2.9199999999999999E-3</v>
      </c>
      <c r="V9" s="33">
        <f t="shared" si="6"/>
        <v>2.9199999999999999E-3</v>
      </c>
      <c r="W9" s="33">
        <f t="shared" si="6"/>
        <v>2.9199999999999999E-3</v>
      </c>
      <c r="X9" s="33">
        <f t="shared" si="6"/>
        <v>2.9199999999999999E-3</v>
      </c>
      <c r="Y9" s="33">
        <f t="shared" si="6"/>
        <v>2.9199999999999999E-3</v>
      </c>
      <c r="Z9" s="33">
        <f t="shared" si="6"/>
        <v>2.9199999999999999E-3</v>
      </c>
      <c r="AA9" s="33">
        <f t="shared" si="6"/>
        <v>2.9199999999999999E-3</v>
      </c>
      <c r="AB9" s="33">
        <f t="shared" si="6"/>
        <v>2.9199999999999999E-3</v>
      </c>
      <c r="AC9" s="33">
        <f t="shared" si="6"/>
        <v>2.9199999999999999E-3</v>
      </c>
      <c r="AD9" s="33">
        <f t="shared" si="6"/>
        <v>2.9199999999999999E-3</v>
      </c>
      <c r="AE9" s="33">
        <f t="shared" si="6"/>
        <v>2.9199999999999999E-3</v>
      </c>
      <c r="AF9" s="33">
        <f t="shared" si="6"/>
        <v>2.9199999999999999E-3</v>
      </c>
      <c r="AG9" s="33">
        <f t="shared" si="6"/>
        <v>2.9199999999999999E-3</v>
      </c>
      <c r="AH9" s="33">
        <f t="shared" si="6"/>
        <v>2.9199999999999999E-3</v>
      </c>
      <c r="AI9" s="33">
        <f t="shared" si="6"/>
        <v>2.9199999999999999E-3</v>
      </c>
      <c r="AJ9" s="33">
        <f t="shared" si="6"/>
        <v>2.9199999999999999E-3</v>
      </c>
      <c r="AK9" s="33">
        <f t="shared" si="6"/>
        <v>2.9199999999999999E-3</v>
      </c>
      <c r="AL9" s="33">
        <f t="shared" si="6"/>
        <v>2.9199999999999999E-3</v>
      </c>
      <c r="AM9" s="33">
        <f t="shared" si="6"/>
        <v>2.9199999999999999E-3</v>
      </c>
      <c r="AN9" s="33">
        <f t="shared" si="6"/>
        <v>2.9199999999999999E-3</v>
      </c>
      <c r="AO9" s="33">
        <f t="shared" si="6"/>
        <v>2.9199999999999999E-3</v>
      </c>
      <c r="AP9" s="33">
        <f t="shared" si="6"/>
        <v>2.9199999999999999E-3</v>
      </c>
      <c r="AQ9" s="33">
        <f t="shared" si="6"/>
        <v>2.9199999999999999E-3</v>
      </c>
      <c r="AR9" s="33">
        <f t="shared" si="6"/>
        <v>2.9199999999999999E-3</v>
      </c>
      <c r="AS9" s="33">
        <f t="shared" si="6"/>
        <v>2.9199999999999999E-3</v>
      </c>
      <c r="AT9" s="33">
        <f t="shared" si="6"/>
        <v>2.9199999999999999E-3</v>
      </c>
      <c r="AU9" s="33">
        <f t="shared" si="6"/>
        <v>2.9199999999999999E-3</v>
      </c>
      <c r="AV9" s="33">
        <f t="shared" si="6"/>
        <v>2.9199999999999999E-3</v>
      </c>
      <c r="AW9" s="33">
        <f t="shared" si="6"/>
        <v>2.9199999999999999E-3</v>
      </c>
      <c r="AX9" s="33">
        <f t="shared" si="6"/>
        <v>2.9199999999999999E-3</v>
      </c>
      <c r="AY9" s="33">
        <f t="shared" si="6"/>
        <v>2.9199999999999999E-3</v>
      </c>
      <c r="AZ9" s="33">
        <f t="shared" si="6"/>
        <v>2.9199999999999999E-3</v>
      </c>
      <c r="BA9" s="33">
        <f t="shared" si="6"/>
        <v>2.9199999999999999E-3</v>
      </c>
      <c r="BB9" s="33">
        <f t="shared" si="6"/>
        <v>2.9199999999999999E-3</v>
      </c>
      <c r="BC9" s="33">
        <f t="shared" si="6"/>
        <v>2.9199999999999999E-3</v>
      </c>
      <c r="BD9" s="33">
        <f t="shared" si="6"/>
        <v>2.9199999999999999E-3</v>
      </c>
      <c r="BE9" s="33">
        <f t="shared" si="6"/>
        <v>2.9199999999999999E-3</v>
      </c>
    </row>
    <row r="10" spans="1:63" ht="14.45" customHeight="1" x14ac:dyDescent="0.25">
      <c r="A10" t="s">
        <v>253</v>
      </c>
      <c r="B10" t="s">
        <v>254</v>
      </c>
      <c r="D10" s="17" t="s">
        <v>184</v>
      </c>
      <c r="E10" s="17" t="s">
        <v>249</v>
      </c>
      <c r="F10">
        <v>37.299999999999997</v>
      </c>
      <c r="G10" t="s">
        <v>249</v>
      </c>
      <c r="H10" s="36">
        <v>2.92</v>
      </c>
      <c r="I10" s="33" cm="1">
        <f t="array" ref="I10">IF(E10=G10,H10/1000,(H10/$H$20)*INDEX($H$18:$H$23,MATCH(1,(G10=$E$18:$E$23)*(E10=$G$18:$G$23),0)))</f>
        <v>2.9199999999999999E-3</v>
      </c>
      <c r="K10" s="33" t="str">
        <f t="shared" si="0"/>
        <v>Heavy fuel oil</v>
      </c>
      <c r="L10" s="33">
        <f t="shared" si="3"/>
        <v>3.0200000000000001E-3</v>
      </c>
      <c r="M10" s="33">
        <f t="shared" si="4"/>
        <v>3.0200000000000001E-3</v>
      </c>
      <c r="N10" s="33">
        <f t="shared" si="6"/>
        <v>3.0200000000000001E-3</v>
      </c>
      <c r="O10" s="33">
        <f t="shared" si="6"/>
        <v>3.0200000000000001E-3</v>
      </c>
      <c r="P10" s="33">
        <f t="shared" si="6"/>
        <v>3.0200000000000001E-3</v>
      </c>
      <c r="Q10" s="33">
        <f t="shared" si="6"/>
        <v>3.0200000000000001E-3</v>
      </c>
      <c r="R10" s="33">
        <f t="shared" si="6"/>
        <v>3.0200000000000001E-3</v>
      </c>
      <c r="S10" s="33">
        <f t="shared" si="6"/>
        <v>3.0200000000000001E-3</v>
      </c>
      <c r="T10" s="33">
        <f t="shared" si="6"/>
        <v>3.0200000000000001E-3</v>
      </c>
      <c r="U10" s="33">
        <f t="shared" si="6"/>
        <v>3.0200000000000001E-3</v>
      </c>
      <c r="V10" s="33">
        <f t="shared" si="6"/>
        <v>3.0200000000000001E-3</v>
      </c>
      <c r="W10" s="33">
        <f t="shared" si="6"/>
        <v>3.0200000000000001E-3</v>
      </c>
      <c r="X10" s="33">
        <f t="shared" si="6"/>
        <v>3.0200000000000001E-3</v>
      </c>
      <c r="Y10" s="33">
        <f t="shared" si="6"/>
        <v>3.0200000000000001E-3</v>
      </c>
      <c r="Z10" s="33">
        <f t="shared" si="6"/>
        <v>3.0200000000000001E-3</v>
      </c>
      <c r="AA10" s="33">
        <f t="shared" si="6"/>
        <v>3.0200000000000001E-3</v>
      </c>
      <c r="AB10" s="33">
        <f t="shared" si="6"/>
        <v>3.0200000000000001E-3</v>
      </c>
      <c r="AC10" s="33">
        <f t="shared" si="6"/>
        <v>3.0200000000000001E-3</v>
      </c>
      <c r="AD10" s="33">
        <f t="shared" si="6"/>
        <v>3.0200000000000001E-3</v>
      </c>
      <c r="AE10" s="33">
        <f t="shared" si="6"/>
        <v>3.0200000000000001E-3</v>
      </c>
      <c r="AF10" s="33">
        <f t="shared" si="6"/>
        <v>3.0200000000000001E-3</v>
      </c>
      <c r="AG10" s="33">
        <f t="shared" si="6"/>
        <v>3.0200000000000001E-3</v>
      </c>
      <c r="AH10" s="33">
        <f t="shared" si="6"/>
        <v>3.0200000000000001E-3</v>
      </c>
      <c r="AI10" s="33">
        <f t="shared" si="6"/>
        <v>3.0200000000000001E-3</v>
      </c>
      <c r="AJ10" s="33">
        <f t="shared" si="6"/>
        <v>3.0200000000000001E-3</v>
      </c>
      <c r="AK10" s="33">
        <f t="shared" si="6"/>
        <v>3.0200000000000001E-3</v>
      </c>
      <c r="AL10" s="33">
        <f t="shared" si="6"/>
        <v>3.0200000000000001E-3</v>
      </c>
      <c r="AM10" s="33">
        <f t="shared" si="6"/>
        <v>3.0200000000000001E-3</v>
      </c>
      <c r="AN10" s="33">
        <f t="shared" si="6"/>
        <v>3.0200000000000001E-3</v>
      </c>
      <c r="AO10" s="33">
        <f t="shared" si="6"/>
        <v>3.0200000000000001E-3</v>
      </c>
      <c r="AP10" s="33">
        <f t="shared" si="6"/>
        <v>3.0200000000000001E-3</v>
      </c>
      <c r="AQ10" s="33">
        <f t="shared" si="6"/>
        <v>3.0200000000000001E-3</v>
      </c>
      <c r="AR10" s="33">
        <f t="shared" si="6"/>
        <v>3.0200000000000001E-3</v>
      </c>
      <c r="AS10" s="33">
        <f t="shared" si="6"/>
        <v>3.0200000000000001E-3</v>
      </c>
      <c r="AT10" s="33">
        <f t="shared" si="6"/>
        <v>3.0200000000000001E-3</v>
      </c>
      <c r="AU10" s="33">
        <f t="shared" si="6"/>
        <v>3.0200000000000001E-3</v>
      </c>
      <c r="AV10" s="33">
        <f t="shared" si="6"/>
        <v>3.0200000000000001E-3</v>
      </c>
      <c r="AW10" s="33">
        <f t="shared" si="6"/>
        <v>3.0200000000000001E-3</v>
      </c>
      <c r="AX10" s="33">
        <f t="shared" si="6"/>
        <v>3.0200000000000001E-3</v>
      </c>
      <c r="AY10" s="33">
        <f t="shared" si="6"/>
        <v>3.0200000000000001E-3</v>
      </c>
      <c r="AZ10" s="33">
        <f t="shared" si="6"/>
        <v>3.0200000000000001E-3</v>
      </c>
      <c r="BA10" s="33">
        <f t="shared" si="6"/>
        <v>3.0200000000000001E-3</v>
      </c>
      <c r="BB10" s="33">
        <f t="shared" si="6"/>
        <v>3.0200000000000001E-3</v>
      </c>
      <c r="BC10" s="33">
        <f t="shared" si="6"/>
        <v>3.0200000000000001E-3</v>
      </c>
      <c r="BD10" s="33">
        <f t="shared" si="6"/>
        <v>3.0200000000000001E-3</v>
      </c>
      <c r="BE10" s="33">
        <f t="shared" si="6"/>
        <v>3.0200000000000001E-3</v>
      </c>
    </row>
    <row r="11" spans="1:63" ht="14.45" customHeight="1" x14ac:dyDescent="0.25">
      <c r="A11" t="s">
        <v>255</v>
      </c>
      <c r="B11" t="s">
        <v>256</v>
      </c>
      <c r="D11" s="17" t="s">
        <v>185</v>
      </c>
      <c r="E11" s="17" t="s">
        <v>249</v>
      </c>
      <c r="F11">
        <v>38.4</v>
      </c>
      <c r="G11" t="s">
        <v>249</v>
      </c>
      <c r="H11" s="36">
        <v>3.02</v>
      </c>
      <c r="I11" s="33" cm="1">
        <f t="array" ref="I11">IF(E11=G11,H11/1000,(H11/$H$20)*INDEX($H$18:$H$23,MATCH(1,(G11=$E$18:$E$23)*(E11=$G$18:$G$23),0)))</f>
        <v>3.0200000000000001E-3</v>
      </c>
      <c r="K11" s="33" t="str">
        <f t="shared" si="0"/>
        <v>Geothermal</v>
      </c>
      <c r="L11" s="33">
        <f t="shared" si="3"/>
        <v>6.2000000000000003E-5</v>
      </c>
      <c r="M11" s="33">
        <f t="shared" si="4"/>
        <v>6.2000000000000003E-5</v>
      </c>
      <c r="N11" s="33">
        <f t="shared" si="6"/>
        <v>6.2000000000000003E-5</v>
      </c>
      <c r="O11" s="33">
        <f t="shared" si="6"/>
        <v>6.2000000000000003E-5</v>
      </c>
      <c r="P11" s="33">
        <f t="shared" si="6"/>
        <v>6.2000000000000003E-5</v>
      </c>
      <c r="Q11" s="33">
        <f t="shared" si="6"/>
        <v>6.2000000000000003E-5</v>
      </c>
      <c r="R11" s="33">
        <f t="shared" si="6"/>
        <v>6.2000000000000003E-5</v>
      </c>
      <c r="S11" s="33">
        <f t="shared" si="6"/>
        <v>6.2000000000000003E-5</v>
      </c>
      <c r="T11" s="33">
        <f t="shared" si="6"/>
        <v>6.2000000000000003E-5</v>
      </c>
      <c r="U11" s="33">
        <f t="shared" si="6"/>
        <v>6.2000000000000003E-5</v>
      </c>
      <c r="V11" s="33">
        <f t="shared" si="6"/>
        <v>6.2000000000000003E-5</v>
      </c>
      <c r="W11" s="33">
        <f t="shared" si="6"/>
        <v>6.2000000000000003E-5</v>
      </c>
      <c r="X11" s="33">
        <f t="shared" si="6"/>
        <v>6.2000000000000003E-5</v>
      </c>
      <c r="Y11" s="33">
        <f t="shared" si="6"/>
        <v>6.2000000000000003E-5</v>
      </c>
      <c r="Z11" s="33">
        <f t="shared" si="6"/>
        <v>6.2000000000000003E-5</v>
      </c>
      <c r="AA11" s="33">
        <f t="shared" si="6"/>
        <v>6.2000000000000003E-5</v>
      </c>
      <c r="AB11" s="33">
        <f t="shared" si="6"/>
        <v>6.2000000000000003E-5</v>
      </c>
      <c r="AC11" s="33">
        <f t="shared" si="6"/>
        <v>6.2000000000000003E-5</v>
      </c>
      <c r="AD11" s="33">
        <f t="shared" si="6"/>
        <v>6.2000000000000003E-5</v>
      </c>
      <c r="AE11" s="33">
        <f t="shared" si="6"/>
        <v>6.2000000000000003E-5</v>
      </c>
      <c r="AF11" s="33">
        <f t="shared" si="6"/>
        <v>6.2000000000000003E-5</v>
      </c>
      <c r="AG11" s="33">
        <f t="shared" si="6"/>
        <v>6.2000000000000003E-5</v>
      </c>
      <c r="AH11" s="33">
        <f t="shared" si="6"/>
        <v>6.2000000000000003E-5</v>
      </c>
      <c r="AI11" s="33">
        <f t="shared" si="6"/>
        <v>6.2000000000000003E-5</v>
      </c>
      <c r="AJ11" s="33">
        <f t="shared" si="6"/>
        <v>6.2000000000000003E-5</v>
      </c>
      <c r="AK11" s="33">
        <f t="shared" si="6"/>
        <v>6.2000000000000003E-5</v>
      </c>
      <c r="AL11" s="33">
        <f t="shared" si="6"/>
        <v>6.2000000000000003E-5</v>
      </c>
      <c r="AM11" s="33">
        <f t="shared" si="6"/>
        <v>6.2000000000000003E-5</v>
      </c>
      <c r="AN11" s="33">
        <f t="shared" si="6"/>
        <v>6.2000000000000003E-5</v>
      </c>
      <c r="AO11" s="33">
        <f t="shared" si="6"/>
        <v>6.2000000000000003E-5</v>
      </c>
      <c r="AP11" s="33">
        <f t="shared" si="6"/>
        <v>6.2000000000000003E-5</v>
      </c>
      <c r="AQ11" s="33">
        <f t="shared" si="6"/>
        <v>6.2000000000000003E-5</v>
      </c>
      <c r="AR11" s="33">
        <f t="shared" si="6"/>
        <v>6.2000000000000003E-5</v>
      </c>
      <c r="AS11" s="33">
        <f t="shared" si="6"/>
        <v>6.2000000000000003E-5</v>
      </c>
      <c r="AT11" s="33">
        <f t="shared" si="6"/>
        <v>6.2000000000000003E-5</v>
      </c>
      <c r="AU11" s="33">
        <f t="shared" si="6"/>
        <v>6.2000000000000003E-5</v>
      </c>
      <c r="AV11" s="33">
        <f t="shared" si="6"/>
        <v>6.2000000000000003E-5</v>
      </c>
      <c r="AW11" s="33">
        <f t="shared" si="6"/>
        <v>6.2000000000000003E-5</v>
      </c>
      <c r="AX11" s="33">
        <f t="shared" si="6"/>
        <v>6.2000000000000003E-5</v>
      </c>
      <c r="AY11" s="33">
        <f t="shared" si="6"/>
        <v>6.2000000000000003E-5</v>
      </c>
      <c r="AZ11" s="33">
        <f t="shared" si="6"/>
        <v>6.2000000000000003E-5</v>
      </c>
      <c r="BA11" s="33">
        <f t="shared" si="6"/>
        <v>6.2000000000000003E-5</v>
      </c>
      <c r="BB11" s="33">
        <f t="shared" si="6"/>
        <v>6.2000000000000003E-5</v>
      </c>
      <c r="BC11" s="33">
        <f t="shared" si="6"/>
        <v>6.2000000000000003E-5</v>
      </c>
      <c r="BD11" s="33">
        <f t="shared" si="6"/>
        <v>6.2000000000000003E-5</v>
      </c>
      <c r="BE11" s="33">
        <f t="shared" si="6"/>
        <v>6.2000000000000003E-5</v>
      </c>
    </row>
    <row r="12" spans="1:63" ht="14.45" customHeight="1" x14ac:dyDescent="0.25">
      <c r="A12" t="s">
        <v>257</v>
      </c>
      <c r="B12" t="s">
        <v>258</v>
      </c>
      <c r="D12" s="17" t="s">
        <v>186</v>
      </c>
      <c r="E12" s="17" t="s">
        <v>238</v>
      </c>
      <c r="F12">
        <f>3.6/1000</f>
        <v>3.5999999999999999E-3</v>
      </c>
      <c r="G12" t="s">
        <v>238</v>
      </c>
      <c r="H12" s="35">
        <v>6.2E-2</v>
      </c>
      <c r="I12" s="33" cm="1">
        <f t="array" ref="I12">IF(E12=G12,H12/1000,(H12/$H$20)*INDEX($H$18:$H$23,MATCH(1,(G12=$E$18:$E$23)*(E12=$G$18:$G$23),0)))</f>
        <v>6.2000000000000003E-5</v>
      </c>
      <c r="K12" s="218" t="str">
        <f t="shared" si="0"/>
        <v>Wood or wood chips</v>
      </c>
      <c r="L12" s="218">
        <f t="shared" si="3"/>
        <v>2.0107199999999999E-2</v>
      </c>
      <c r="M12" s="218">
        <f t="shared" si="4"/>
        <v>2.0107199999999999E-2</v>
      </c>
      <c r="N12" s="218">
        <f t="shared" si="6"/>
        <v>2.0107199999999999E-2</v>
      </c>
      <c r="O12" s="218">
        <f t="shared" si="6"/>
        <v>2.0107199999999999E-2</v>
      </c>
      <c r="P12" s="218">
        <f t="shared" si="6"/>
        <v>2.0107199999999999E-2</v>
      </c>
      <c r="Q12" s="218">
        <f t="shared" si="6"/>
        <v>2.0107199999999999E-2</v>
      </c>
      <c r="R12" s="218">
        <f t="shared" si="6"/>
        <v>2.0107199999999999E-2</v>
      </c>
      <c r="S12" s="218">
        <f t="shared" si="6"/>
        <v>2.0107199999999999E-2</v>
      </c>
      <c r="T12" s="218">
        <f t="shared" si="6"/>
        <v>2.0107199999999999E-2</v>
      </c>
      <c r="U12" s="218">
        <f t="shared" si="6"/>
        <v>2.0107199999999999E-2</v>
      </c>
      <c r="V12" s="218">
        <f t="shared" si="6"/>
        <v>2.0107199999999999E-2</v>
      </c>
      <c r="W12" s="218">
        <f t="shared" si="6"/>
        <v>2.0107199999999999E-2</v>
      </c>
      <c r="X12" s="218">
        <f t="shared" si="6"/>
        <v>2.0107199999999999E-2</v>
      </c>
      <c r="Y12" s="218">
        <f t="shared" si="6"/>
        <v>2.0107199999999999E-2</v>
      </c>
      <c r="Z12" s="218">
        <f t="shared" si="6"/>
        <v>2.0107199999999999E-2</v>
      </c>
      <c r="AA12" s="218">
        <f t="shared" si="6"/>
        <v>2.0107199999999999E-2</v>
      </c>
      <c r="AB12" s="218">
        <f t="shared" si="6"/>
        <v>2.0107199999999999E-2</v>
      </c>
      <c r="AC12" s="218">
        <f t="shared" si="6"/>
        <v>2.0107199999999999E-2</v>
      </c>
      <c r="AD12" s="218">
        <f t="shared" si="6"/>
        <v>2.0107199999999999E-2</v>
      </c>
      <c r="AE12" s="218">
        <f t="shared" si="6"/>
        <v>2.0107199999999999E-2</v>
      </c>
      <c r="AF12" s="218">
        <f t="shared" si="6"/>
        <v>2.0107199999999999E-2</v>
      </c>
      <c r="AG12" s="218">
        <f t="shared" si="6"/>
        <v>2.0107199999999999E-2</v>
      </c>
      <c r="AH12" s="218">
        <f t="shared" si="6"/>
        <v>2.0107199999999999E-2</v>
      </c>
      <c r="AI12" s="218">
        <f t="shared" si="6"/>
        <v>2.0107199999999999E-2</v>
      </c>
      <c r="AJ12" s="218">
        <f t="shared" si="6"/>
        <v>2.0107199999999999E-2</v>
      </c>
      <c r="AK12" s="218">
        <f t="shared" si="6"/>
        <v>2.0107199999999999E-2</v>
      </c>
      <c r="AL12" s="218">
        <f t="shared" si="6"/>
        <v>2.0107199999999999E-2</v>
      </c>
      <c r="AM12" s="218">
        <f t="shared" si="6"/>
        <v>2.0107199999999999E-2</v>
      </c>
      <c r="AN12" s="218">
        <f t="shared" si="6"/>
        <v>2.0107199999999999E-2</v>
      </c>
      <c r="AO12" s="218">
        <f t="shared" si="6"/>
        <v>2.0107199999999999E-2</v>
      </c>
      <c r="AP12" s="218">
        <f t="shared" si="6"/>
        <v>2.0107199999999999E-2</v>
      </c>
      <c r="AQ12" s="218">
        <f t="shared" si="6"/>
        <v>2.0107199999999999E-2</v>
      </c>
      <c r="AR12" s="218">
        <f t="shared" si="6"/>
        <v>2.0107199999999999E-2</v>
      </c>
      <c r="AS12" s="218">
        <f t="shared" si="6"/>
        <v>2.0107199999999999E-2</v>
      </c>
      <c r="AT12" s="218">
        <f t="shared" si="6"/>
        <v>2.0107199999999999E-2</v>
      </c>
      <c r="AU12" s="218">
        <f t="shared" si="6"/>
        <v>2.0107199999999999E-2</v>
      </c>
      <c r="AV12" s="218">
        <f t="shared" si="6"/>
        <v>2.0107199999999999E-2</v>
      </c>
      <c r="AW12" s="218">
        <f t="shared" si="6"/>
        <v>2.0107199999999999E-2</v>
      </c>
      <c r="AX12" s="218">
        <f t="shared" si="6"/>
        <v>2.0107199999999999E-2</v>
      </c>
      <c r="AY12" s="218">
        <f t="shared" si="6"/>
        <v>2.0107199999999999E-2</v>
      </c>
      <c r="AZ12" s="218">
        <f t="shared" si="6"/>
        <v>2.0107199999999999E-2</v>
      </c>
      <c r="BA12" s="218">
        <f t="shared" si="6"/>
        <v>2.0107199999999999E-2</v>
      </c>
      <c r="BB12" s="218">
        <f t="shared" si="6"/>
        <v>2.0107199999999999E-2</v>
      </c>
      <c r="BC12" s="218">
        <f t="shared" si="6"/>
        <v>2.0107199999999999E-2</v>
      </c>
      <c r="BD12" s="218">
        <f t="shared" si="6"/>
        <v>2.0107199999999999E-2</v>
      </c>
      <c r="BE12" s="218">
        <f t="shared" si="6"/>
        <v>2.0107199999999999E-2</v>
      </c>
    </row>
    <row r="13" spans="1:63" ht="14.45" customHeight="1" x14ac:dyDescent="0.25">
      <c r="A13" t="s">
        <v>259</v>
      </c>
      <c r="B13" t="s">
        <v>260</v>
      </c>
      <c r="D13" s="17" t="s">
        <v>187</v>
      </c>
      <c r="E13" s="17" t="s">
        <v>242</v>
      </c>
      <c r="F13">
        <v>10</v>
      </c>
      <c r="G13" t="s">
        <v>243</v>
      </c>
      <c r="H13" s="35">
        <v>2.0107199999999999E-2</v>
      </c>
      <c r="I13" s="33" cm="1">
        <f t="array" ref="I13">IF(E13=G13,H13/1000,(H13/$H$20)*INDEX($H$18:$H$23,MATCH(1,(G13=$E$18:$E$23)*(E13=$G$18:$G$23),0)))</f>
        <v>2.0107199999999999E-2</v>
      </c>
    </row>
    <row r="14" spans="1:63" ht="14.45" customHeight="1" x14ac:dyDescent="0.25">
      <c r="A14" t="s">
        <v>261</v>
      </c>
      <c r="B14" t="s">
        <v>262</v>
      </c>
      <c r="D14" s="17"/>
      <c r="E14" s="17"/>
      <c r="F14" s="17"/>
      <c r="H14" s="35"/>
      <c r="I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row>
    <row r="15" spans="1:63" x14ac:dyDescent="0.25">
      <c r="A15" t="s">
        <v>263</v>
      </c>
      <c r="B15" t="s">
        <v>264</v>
      </c>
      <c r="D15" s="17"/>
      <c r="E15" s="17"/>
      <c r="F15" s="17"/>
      <c r="H15" s="35"/>
      <c r="I15" s="33"/>
    </row>
    <row r="16" spans="1:63" x14ac:dyDescent="0.25">
      <c r="B16" t="s">
        <v>265</v>
      </c>
      <c r="K16" s="10" t="s">
        <v>266</v>
      </c>
    </row>
    <row r="17" spans="2:57" x14ac:dyDescent="0.25">
      <c r="B17" t="s">
        <v>267</v>
      </c>
      <c r="D17" s="31" t="s">
        <v>227</v>
      </c>
      <c r="E17" s="31" t="s">
        <v>268</v>
      </c>
      <c r="F17" s="31"/>
      <c r="G17" s="32" t="s">
        <v>269</v>
      </c>
      <c r="H17" s="32" t="s">
        <v>270</v>
      </c>
      <c r="K17" s="66" t="s">
        <v>271</v>
      </c>
      <c r="L17" s="118">
        <v>2025</v>
      </c>
      <c r="M17" s="118">
        <v>2026</v>
      </c>
      <c r="N17" s="118">
        <v>2027</v>
      </c>
      <c r="O17" s="118">
        <v>2028</v>
      </c>
      <c r="P17" s="118">
        <v>2029</v>
      </c>
      <c r="Q17" s="118">
        <v>2030</v>
      </c>
      <c r="R17" s="118">
        <v>2031</v>
      </c>
      <c r="S17" s="118">
        <v>2032</v>
      </c>
      <c r="T17" s="118">
        <v>2033</v>
      </c>
      <c r="U17" s="118">
        <v>2034</v>
      </c>
      <c r="V17" s="118">
        <v>2035</v>
      </c>
      <c r="W17" s="118">
        <v>2036</v>
      </c>
      <c r="X17" s="118">
        <v>2037</v>
      </c>
      <c r="Y17" s="118">
        <v>2038</v>
      </c>
      <c r="Z17" s="118">
        <v>2039</v>
      </c>
      <c r="AA17" s="118">
        <v>2040</v>
      </c>
      <c r="AB17" s="118">
        <v>2041</v>
      </c>
      <c r="AC17" s="118">
        <v>2042</v>
      </c>
      <c r="AD17" s="118">
        <v>2043</v>
      </c>
      <c r="AE17" s="118">
        <v>2044</v>
      </c>
      <c r="AF17" s="118">
        <v>2045</v>
      </c>
      <c r="AG17" s="118">
        <v>2046</v>
      </c>
      <c r="AH17" s="118">
        <v>2047</v>
      </c>
      <c r="AI17" s="118">
        <v>2048</v>
      </c>
      <c r="AJ17" s="118">
        <v>2049</v>
      </c>
      <c r="AK17" s="118">
        <v>2050</v>
      </c>
      <c r="AL17" s="118">
        <v>2051</v>
      </c>
      <c r="AM17" s="118">
        <v>2052</v>
      </c>
      <c r="AN17" s="118">
        <v>2053</v>
      </c>
      <c r="AO17" s="118">
        <v>2054</v>
      </c>
      <c r="AP17" s="118">
        <v>2055</v>
      </c>
      <c r="AQ17" s="118">
        <v>2056</v>
      </c>
      <c r="AR17" s="118">
        <v>2057</v>
      </c>
      <c r="AS17" s="118">
        <v>2058</v>
      </c>
      <c r="AT17" s="118">
        <v>2059</v>
      </c>
      <c r="AU17" s="118">
        <v>2060</v>
      </c>
      <c r="AV17" s="118">
        <v>2061</v>
      </c>
      <c r="AW17" s="118">
        <v>2062</v>
      </c>
      <c r="AX17" s="118">
        <v>2063</v>
      </c>
      <c r="AY17" s="118">
        <v>2064</v>
      </c>
      <c r="AZ17" s="118">
        <v>2065</v>
      </c>
      <c r="BA17" s="118">
        <v>2066</v>
      </c>
      <c r="BB17" s="118">
        <v>2067</v>
      </c>
      <c r="BC17" s="118">
        <v>2068</v>
      </c>
      <c r="BD17" s="118">
        <v>2069</v>
      </c>
      <c r="BE17" s="118">
        <v>2070</v>
      </c>
    </row>
    <row r="18" spans="2:57" x14ac:dyDescent="0.25">
      <c r="B18" t="s">
        <v>272</v>
      </c>
      <c r="D18" t="s">
        <v>273</v>
      </c>
      <c r="E18" t="s">
        <v>238</v>
      </c>
      <c r="G18" t="s">
        <v>237</v>
      </c>
      <c r="H18">
        <v>1000</v>
      </c>
      <c r="K18" t="s">
        <v>274</v>
      </c>
      <c r="L18" s="34">
        <v>6.697875405113432E-2</v>
      </c>
      <c r="M18" s="34">
        <v>6.7432426057832909E-2</v>
      </c>
      <c r="N18" s="34">
        <v>6.7544020542920039E-2</v>
      </c>
      <c r="O18" s="34">
        <v>6.5221803748223992E-2</v>
      </c>
      <c r="P18" s="34">
        <v>6.1132009063111808E-2</v>
      </c>
      <c r="Q18" s="34">
        <v>5.4806089084255438E-2</v>
      </c>
      <c r="R18" s="34">
        <v>5.3734391286774867E-2</v>
      </c>
      <c r="S18" s="34">
        <v>5.4925984778790661E-2</v>
      </c>
      <c r="T18" s="34">
        <v>5.4936469427196849E-2</v>
      </c>
      <c r="U18" s="34">
        <v>5.4465043014661332E-2</v>
      </c>
      <c r="V18" s="34">
        <v>5.4689820406708514E-2</v>
      </c>
      <c r="W18" s="34">
        <v>5.413425916946292E-2</v>
      </c>
      <c r="X18" s="34">
        <v>3.9401193054447357E-2</v>
      </c>
      <c r="Y18" s="34">
        <v>3.8607524280876715E-2</v>
      </c>
      <c r="Z18" s="34">
        <v>3.8397024504084012E-2</v>
      </c>
      <c r="AA18" s="34">
        <v>3.8662374821173101E-2</v>
      </c>
      <c r="AB18" s="34">
        <v>3.8547358434211219E-2</v>
      </c>
      <c r="AC18" s="34">
        <v>3.9380982880091397E-2</v>
      </c>
      <c r="AD18" s="34">
        <v>4.0377287562155049E-2</v>
      </c>
      <c r="AE18" s="34">
        <v>4.0909475107767726E-2</v>
      </c>
      <c r="AF18" s="34">
        <v>4.0725118007431955E-2</v>
      </c>
      <c r="AG18" s="34">
        <v>4.05712484864569E-2</v>
      </c>
      <c r="AH18" s="34">
        <v>4.0806592213687723E-2</v>
      </c>
      <c r="AI18" s="34">
        <v>4.072376042159534E-2</v>
      </c>
      <c r="AJ18" s="34">
        <v>4.0516877979182207E-2</v>
      </c>
      <c r="AK18" s="34">
        <v>4.070516952430063E-2</v>
      </c>
      <c r="AL18" s="34">
        <f>AK18</f>
        <v>4.070516952430063E-2</v>
      </c>
      <c r="AM18" s="34">
        <f t="shared" ref="AM18:BE18" si="7">AL18</f>
        <v>4.070516952430063E-2</v>
      </c>
      <c r="AN18" s="34">
        <f t="shared" si="7"/>
        <v>4.070516952430063E-2</v>
      </c>
      <c r="AO18" s="34">
        <f t="shared" si="7"/>
        <v>4.070516952430063E-2</v>
      </c>
      <c r="AP18" s="34">
        <f t="shared" si="7"/>
        <v>4.070516952430063E-2</v>
      </c>
      <c r="AQ18" s="34">
        <f t="shared" si="7"/>
        <v>4.070516952430063E-2</v>
      </c>
      <c r="AR18" s="34">
        <f t="shared" si="7"/>
        <v>4.070516952430063E-2</v>
      </c>
      <c r="AS18" s="34">
        <f t="shared" si="7"/>
        <v>4.070516952430063E-2</v>
      </c>
      <c r="AT18" s="34">
        <f t="shared" si="7"/>
        <v>4.070516952430063E-2</v>
      </c>
      <c r="AU18" s="34">
        <f t="shared" si="7"/>
        <v>4.070516952430063E-2</v>
      </c>
      <c r="AV18" s="34">
        <f t="shared" si="7"/>
        <v>4.070516952430063E-2</v>
      </c>
      <c r="AW18" s="34">
        <f t="shared" si="7"/>
        <v>4.070516952430063E-2</v>
      </c>
      <c r="AX18" s="34">
        <f t="shared" si="7"/>
        <v>4.070516952430063E-2</v>
      </c>
      <c r="AY18" s="34">
        <f t="shared" si="7"/>
        <v>4.070516952430063E-2</v>
      </c>
      <c r="AZ18" s="34">
        <f t="shared" si="7"/>
        <v>4.070516952430063E-2</v>
      </c>
      <c r="BA18" s="34">
        <f t="shared" si="7"/>
        <v>4.070516952430063E-2</v>
      </c>
      <c r="BB18" s="34">
        <f t="shared" si="7"/>
        <v>4.070516952430063E-2</v>
      </c>
      <c r="BC18" s="34">
        <f t="shared" si="7"/>
        <v>4.070516952430063E-2</v>
      </c>
      <c r="BD18" s="34">
        <f t="shared" si="7"/>
        <v>4.070516952430063E-2</v>
      </c>
      <c r="BE18" s="34">
        <f t="shared" si="7"/>
        <v>4.070516952430063E-2</v>
      </c>
    </row>
    <row r="19" spans="2:57" x14ac:dyDescent="0.25">
      <c r="D19" t="s">
        <v>273</v>
      </c>
      <c r="E19" t="s">
        <v>237</v>
      </c>
      <c r="G19" t="s">
        <v>238</v>
      </c>
      <c r="H19">
        <v>1E-3</v>
      </c>
      <c r="K19" t="s">
        <v>275</v>
      </c>
      <c r="L19" s="34">
        <v>0.55400000000000005</v>
      </c>
      <c r="M19" s="34">
        <f t="shared" ref="M19:AK19" si="8">L19</f>
        <v>0.55400000000000005</v>
      </c>
      <c r="N19" s="34">
        <f t="shared" si="8"/>
        <v>0.55400000000000005</v>
      </c>
      <c r="O19" s="34">
        <f t="shared" si="8"/>
        <v>0.55400000000000005</v>
      </c>
      <c r="P19" s="34">
        <f t="shared" si="8"/>
        <v>0.55400000000000005</v>
      </c>
      <c r="Q19" s="34">
        <f t="shared" si="8"/>
        <v>0.55400000000000005</v>
      </c>
      <c r="R19" s="34">
        <f t="shared" si="8"/>
        <v>0.55400000000000005</v>
      </c>
      <c r="S19" s="34">
        <f t="shared" si="8"/>
        <v>0.55400000000000005</v>
      </c>
      <c r="T19" s="34">
        <f t="shared" si="8"/>
        <v>0.55400000000000005</v>
      </c>
      <c r="U19" s="34">
        <f t="shared" si="8"/>
        <v>0.55400000000000005</v>
      </c>
      <c r="V19" s="34">
        <f t="shared" si="8"/>
        <v>0.55400000000000005</v>
      </c>
      <c r="W19" s="34">
        <f t="shared" si="8"/>
        <v>0.55400000000000005</v>
      </c>
      <c r="X19" s="34">
        <f t="shared" si="8"/>
        <v>0.55400000000000005</v>
      </c>
      <c r="Y19" s="34">
        <f t="shared" si="8"/>
        <v>0.55400000000000005</v>
      </c>
      <c r="Z19" s="34">
        <f t="shared" si="8"/>
        <v>0.55400000000000005</v>
      </c>
      <c r="AA19" s="34">
        <f t="shared" si="8"/>
        <v>0.55400000000000005</v>
      </c>
      <c r="AB19" s="34">
        <f t="shared" si="8"/>
        <v>0.55400000000000005</v>
      </c>
      <c r="AC19" s="34">
        <f t="shared" si="8"/>
        <v>0.55400000000000005</v>
      </c>
      <c r="AD19" s="34">
        <f t="shared" si="8"/>
        <v>0.55400000000000005</v>
      </c>
      <c r="AE19" s="34">
        <f t="shared" si="8"/>
        <v>0.55400000000000005</v>
      </c>
      <c r="AF19" s="34">
        <f t="shared" si="8"/>
        <v>0.55400000000000005</v>
      </c>
      <c r="AG19" s="34">
        <f t="shared" si="8"/>
        <v>0.55400000000000005</v>
      </c>
      <c r="AH19" s="34">
        <f t="shared" si="8"/>
        <v>0.55400000000000005</v>
      </c>
      <c r="AI19" s="34">
        <f t="shared" si="8"/>
        <v>0.55400000000000005</v>
      </c>
      <c r="AJ19" s="34">
        <f t="shared" si="8"/>
        <v>0.55400000000000005</v>
      </c>
      <c r="AK19" s="34">
        <f t="shared" si="8"/>
        <v>0.55400000000000005</v>
      </c>
      <c r="AL19" s="34">
        <f>AK19</f>
        <v>0.55400000000000005</v>
      </c>
      <c r="AM19" s="34">
        <f t="shared" ref="AM19:BE19" si="9">AL19</f>
        <v>0.55400000000000005</v>
      </c>
      <c r="AN19" s="34">
        <f t="shared" si="9"/>
        <v>0.55400000000000005</v>
      </c>
      <c r="AO19" s="34">
        <f t="shared" si="9"/>
        <v>0.55400000000000005</v>
      </c>
      <c r="AP19" s="34">
        <f t="shared" si="9"/>
        <v>0.55400000000000005</v>
      </c>
      <c r="AQ19" s="34">
        <f t="shared" si="9"/>
        <v>0.55400000000000005</v>
      </c>
      <c r="AR19" s="34">
        <f t="shared" si="9"/>
        <v>0.55400000000000005</v>
      </c>
      <c r="AS19" s="34">
        <f t="shared" si="9"/>
        <v>0.55400000000000005</v>
      </c>
      <c r="AT19" s="34">
        <f t="shared" si="9"/>
        <v>0.55400000000000005</v>
      </c>
      <c r="AU19" s="34">
        <f t="shared" si="9"/>
        <v>0.55400000000000005</v>
      </c>
      <c r="AV19" s="34">
        <f t="shared" si="9"/>
        <v>0.55400000000000005</v>
      </c>
      <c r="AW19" s="34">
        <f t="shared" si="9"/>
        <v>0.55400000000000005</v>
      </c>
      <c r="AX19" s="34">
        <f t="shared" si="9"/>
        <v>0.55400000000000005</v>
      </c>
      <c r="AY19" s="34">
        <f t="shared" si="9"/>
        <v>0.55400000000000005</v>
      </c>
      <c r="AZ19" s="34">
        <f t="shared" si="9"/>
        <v>0.55400000000000005</v>
      </c>
      <c r="BA19" s="34">
        <f t="shared" si="9"/>
        <v>0.55400000000000005</v>
      </c>
      <c r="BB19" s="34">
        <f t="shared" si="9"/>
        <v>0.55400000000000005</v>
      </c>
      <c r="BC19" s="34">
        <f t="shared" si="9"/>
        <v>0.55400000000000005</v>
      </c>
      <c r="BD19" s="34">
        <f t="shared" si="9"/>
        <v>0.55400000000000005</v>
      </c>
      <c r="BE19" s="34">
        <f t="shared" si="9"/>
        <v>0.55400000000000005</v>
      </c>
    </row>
    <row r="20" spans="2:57" x14ac:dyDescent="0.25">
      <c r="D20" t="s">
        <v>273</v>
      </c>
      <c r="E20" t="s">
        <v>243</v>
      </c>
      <c r="G20" t="s">
        <v>242</v>
      </c>
      <c r="H20">
        <v>1000</v>
      </c>
      <c r="K20" t="s">
        <v>276</v>
      </c>
      <c r="L20" s="217">
        <f>L30</f>
        <v>123.04524286419741</v>
      </c>
      <c r="M20" s="217">
        <f t="shared" ref="M20:AK20" si="10">M30</f>
        <v>113.47832966782008</v>
      </c>
      <c r="N20" s="217">
        <f t="shared" si="10"/>
        <v>106.2606134166605</v>
      </c>
      <c r="O20" s="217">
        <f t="shared" si="10"/>
        <v>96.538137099914593</v>
      </c>
      <c r="P20" s="217">
        <f t="shared" si="10"/>
        <v>90.126733669155982</v>
      </c>
      <c r="Q20" s="217">
        <f t="shared" si="10"/>
        <v>83.713572463622228</v>
      </c>
      <c r="R20" s="217">
        <f t="shared" si="10"/>
        <v>77.299387850492252</v>
      </c>
      <c r="S20" s="217">
        <f t="shared" si="10"/>
        <v>70.186889247146297</v>
      </c>
      <c r="T20" s="217">
        <f t="shared" si="10"/>
        <v>64.049575596176027</v>
      </c>
      <c r="U20" s="217">
        <f t="shared" si="10"/>
        <v>65.966688941850578</v>
      </c>
      <c r="V20" s="217">
        <f t="shared" si="10"/>
        <v>67.964687470473649</v>
      </c>
      <c r="W20" s="217">
        <f t="shared" si="10"/>
        <v>67.943748453122836</v>
      </c>
      <c r="X20" s="217">
        <f t="shared" si="10"/>
        <v>68.180619303147864</v>
      </c>
      <c r="Y20" s="217">
        <f t="shared" si="10"/>
        <v>68.137552683505007</v>
      </c>
      <c r="Z20" s="217">
        <f t="shared" si="10"/>
        <v>68.079528179122903</v>
      </c>
      <c r="AA20" s="217">
        <f t="shared" si="10"/>
        <v>68.021737765154143</v>
      </c>
      <c r="AB20" s="217">
        <f t="shared" si="10"/>
        <v>67.963761292154089</v>
      </c>
      <c r="AC20" s="217">
        <f t="shared" si="10"/>
        <v>67.905800412568183</v>
      </c>
      <c r="AD20" s="217">
        <f t="shared" si="10"/>
        <v>67.847797509339728</v>
      </c>
      <c r="AE20" s="217">
        <f t="shared" si="10"/>
        <v>67.78973550639239</v>
      </c>
      <c r="AF20" s="217">
        <f t="shared" si="10"/>
        <v>67.731571494956555</v>
      </c>
      <c r="AG20" s="217">
        <f t="shared" si="10"/>
        <v>67.673442200237005</v>
      </c>
      <c r="AH20" s="217">
        <f t="shared" si="10"/>
        <v>67.61523005026163</v>
      </c>
      <c r="AI20" s="217">
        <f t="shared" si="10"/>
        <v>67.557074305733806</v>
      </c>
      <c r="AJ20" s="217">
        <f t="shared" si="10"/>
        <v>67.498908613980646</v>
      </c>
      <c r="AK20" s="217">
        <f t="shared" si="10"/>
        <v>67.440640453036181</v>
      </c>
      <c r="AL20" s="217">
        <f>AK20</f>
        <v>67.440640453036181</v>
      </c>
      <c r="AM20" s="217">
        <f t="shared" ref="AM20:BE20" si="11">AL20</f>
        <v>67.440640453036181</v>
      </c>
      <c r="AN20" s="217">
        <f t="shared" si="11"/>
        <v>67.440640453036181</v>
      </c>
      <c r="AO20" s="217">
        <f t="shared" si="11"/>
        <v>67.440640453036181</v>
      </c>
      <c r="AP20" s="217">
        <f t="shared" si="11"/>
        <v>67.440640453036181</v>
      </c>
      <c r="AQ20" s="217">
        <f t="shared" si="11"/>
        <v>67.440640453036181</v>
      </c>
      <c r="AR20" s="217">
        <f t="shared" si="11"/>
        <v>67.440640453036181</v>
      </c>
      <c r="AS20" s="217">
        <f t="shared" si="11"/>
        <v>67.440640453036181</v>
      </c>
      <c r="AT20" s="217">
        <f t="shared" si="11"/>
        <v>67.440640453036181</v>
      </c>
      <c r="AU20" s="217">
        <f t="shared" si="11"/>
        <v>67.440640453036181</v>
      </c>
      <c r="AV20" s="217">
        <f t="shared" si="11"/>
        <v>67.440640453036181</v>
      </c>
      <c r="AW20" s="217">
        <f t="shared" si="11"/>
        <v>67.440640453036181</v>
      </c>
      <c r="AX20" s="217">
        <f t="shared" si="11"/>
        <v>67.440640453036181</v>
      </c>
      <c r="AY20" s="217">
        <f t="shared" si="11"/>
        <v>67.440640453036181</v>
      </c>
      <c r="AZ20" s="217">
        <f t="shared" si="11"/>
        <v>67.440640453036181</v>
      </c>
      <c r="BA20" s="217">
        <f t="shared" si="11"/>
        <v>67.440640453036181</v>
      </c>
      <c r="BB20" s="217">
        <f t="shared" si="11"/>
        <v>67.440640453036181</v>
      </c>
      <c r="BC20" s="217">
        <f t="shared" si="11"/>
        <v>67.440640453036181</v>
      </c>
      <c r="BD20" s="217">
        <f t="shared" si="11"/>
        <v>67.440640453036181</v>
      </c>
      <c r="BE20" s="217">
        <f t="shared" si="11"/>
        <v>67.440640453036181</v>
      </c>
    </row>
    <row r="21" spans="2:57" x14ac:dyDescent="0.25">
      <c r="D21" t="s">
        <v>273</v>
      </c>
      <c r="E21" t="s">
        <v>242</v>
      </c>
      <c r="G21" t="s">
        <v>243</v>
      </c>
      <c r="H21">
        <v>1E-3</v>
      </c>
      <c r="K21" t="s">
        <v>277</v>
      </c>
      <c r="L21" s="217">
        <v>50</v>
      </c>
      <c r="M21" s="217">
        <f t="shared" ref="M21:AK21" si="12">L21</f>
        <v>50</v>
      </c>
      <c r="N21" s="217">
        <f t="shared" si="12"/>
        <v>50</v>
      </c>
      <c r="O21" s="217">
        <f t="shared" si="12"/>
        <v>50</v>
      </c>
      <c r="P21" s="217">
        <f t="shared" si="12"/>
        <v>50</v>
      </c>
      <c r="Q21" s="217">
        <f t="shared" si="12"/>
        <v>50</v>
      </c>
      <c r="R21" s="217">
        <f t="shared" si="12"/>
        <v>50</v>
      </c>
      <c r="S21" s="217">
        <f t="shared" si="12"/>
        <v>50</v>
      </c>
      <c r="T21" s="217">
        <f t="shared" si="12"/>
        <v>50</v>
      </c>
      <c r="U21" s="217">
        <f t="shared" si="12"/>
        <v>50</v>
      </c>
      <c r="V21" s="217">
        <f t="shared" si="12"/>
        <v>50</v>
      </c>
      <c r="W21" s="217">
        <f t="shared" si="12"/>
        <v>50</v>
      </c>
      <c r="X21" s="217">
        <f t="shared" si="12"/>
        <v>50</v>
      </c>
      <c r="Y21" s="217">
        <f t="shared" si="12"/>
        <v>50</v>
      </c>
      <c r="Z21" s="217">
        <f t="shared" si="12"/>
        <v>50</v>
      </c>
      <c r="AA21" s="217">
        <f t="shared" si="12"/>
        <v>50</v>
      </c>
      <c r="AB21" s="217">
        <f t="shared" si="12"/>
        <v>50</v>
      </c>
      <c r="AC21" s="217">
        <f t="shared" si="12"/>
        <v>50</v>
      </c>
      <c r="AD21" s="217">
        <f t="shared" si="12"/>
        <v>50</v>
      </c>
      <c r="AE21" s="217">
        <f t="shared" si="12"/>
        <v>50</v>
      </c>
      <c r="AF21" s="217">
        <f t="shared" si="12"/>
        <v>50</v>
      </c>
      <c r="AG21" s="217">
        <f t="shared" si="12"/>
        <v>50</v>
      </c>
      <c r="AH21" s="217">
        <f t="shared" si="12"/>
        <v>50</v>
      </c>
      <c r="AI21" s="217">
        <f t="shared" si="12"/>
        <v>50</v>
      </c>
      <c r="AJ21" s="217">
        <f t="shared" si="12"/>
        <v>50</v>
      </c>
      <c r="AK21" s="217">
        <f t="shared" si="12"/>
        <v>50</v>
      </c>
      <c r="AL21" s="217">
        <f>AK21</f>
        <v>50</v>
      </c>
      <c r="AM21" s="217">
        <f t="shared" ref="AM21:BE21" si="13">AL21</f>
        <v>50</v>
      </c>
      <c r="AN21" s="217">
        <f t="shared" si="13"/>
        <v>50</v>
      </c>
      <c r="AO21" s="217">
        <f t="shared" si="13"/>
        <v>50</v>
      </c>
      <c r="AP21" s="217">
        <f t="shared" si="13"/>
        <v>50</v>
      </c>
      <c r="AQ21" s="217">
        <f t="shared" si="13"/>
        <v>50</v>
      </c>
      <c r="AR21" s="217">
        <f t="shared" si="13"/>
        <v>50</v>
      </c>
      <c r="AS21" s="217">
        <f t="shared" si="13"/>
        <v>50</v>
      </c>
      <c r="AT21" s="217">
        <f t="shared" si="13"/>
        <v>50</v>
      </c>
      <c r="AU21" s="217">
        <f t="shared" si="13"/>
        <v>50</v>
      </c>
      <c r="AV21" s="217">
        <f t="shared" si="13"/>
        <v>50</v>
      </c>
      <c r="AW21" s="217">
        <f t="shared" si="13"/>
        <v>50</v>
      </c>
      <c r="AX21" s="217">
        <f t="shared" si="13"/>
        <v>50</v>
      </c>
      <c r="AY21" s="217">
        <f t="shared" si="13"/>
        <v>50</v>
      </c>
      <c r="AZ21" s="217">
        <f t="shared" si="13"/>
        <v>50</v>
      </c>
      <c r="BA21" s="217">
        <f t="shared" si="13"/>
        <v>50</v>
      </c>
      <c r="BB21" s="217">
        <f t="shared" si="13"/>
        <v>50</v>
      </c>
      <c r="BC21" s="217">
        <f t="shared" si="13"/>
        <v>50</v>
      </c>
      <c r="BD21" s="217">
        <f t="shared" si="13"/>
        <v>50</v>
      </c>
      <c r="BE21" s="217">
        <f t="shared" si="13"/>
        <v>50</v>
      </c>
    </row>
    <row r="22" spans="2:57" x14ac:dyDescent="0.25">
      <c r="D22" t="s">
        <v>183</v>
      </c>
      <c r="E22" t="s">
        <v>252</v>
      </c>
      <c r="G22" t="s">
        <v>243</v>
      </c>
      <c r="H22">
        <v>1.8314999999999999</v>
      </c>
      <c r="K22" t="s">
        <v>278</v>
      </c>
      <c r="L22" s="173">
        <f t="shared" ref="L22:BE22" si="14">L20+L21</f>
        <v>173.04524286419741</v>
      </c>
      <c r="M22" s="173">
        <f t="shared" si="14"/>
        <v>163.47832966782008</v>
      </c>
      <c r="N22" s="173">
        <f t="shared" si="14"/>
        <v>156.2606134166605</v>
      </c>
      <c r="O22" s="173">
        <f t="shared" si="14"/>
        <v>146.53813709991459</v>
      </c>
      <c r="P22" s="173">
        <f t="shared" si="14"/>
        <v>140.12673366915598</v>
      </c>
      <c r="Q22" s="173">
        <f t="shared" si="14"/>
        <v>133.71357246362223</v>
      </c>
      <c r="R22" s="173">
        <f t="shared" si="14"/>
        <v>127.29938785049225</v>
      </c>
      <c r="S22" s="173">
        <f t="shared" si="14"/>
        <v>120.1868892471463</v>
      </c>
      <c r="T22" s="173">
        <f t="shared" si="14"/>
        <v>114.04957559617603</v>
      </c>
      <c r="U22" s="173">
        <f t="shared" si="14"/>
        <v>115.96668894185058</v>
      </c>
      <c r="V22" s="173">
        <f t="shared" si="14"/>
        <v>117.96468747047365</v>
      </c>
      <c r="W22" s="173">
        <f t="shared" si="14"/>
        <v>117.94374845312284</v>
      </c>
      <c r="X22" s="173">
        <f t="shared" si="14"/>
        <v>118.18061930314786</v>
      </c>
      <c r="Y22" s="173">
        <f t="shared" si="14"/>
        <v>118.13755268350501</v>
      </c>
      <c r="Z22" s="173">
        <f t="shared" si="14"/>
        <v>118.0795281791229</v>
      </c>
      <c r="AA22" s="173">
        <f t="shared" si="14"/>
        <v>118.02173776515414</v>
      </c>
      <c r="AB22" s="173">
        <f t="shared" si="14"/>
        <v>117.96376129215409</v>
      </c>
      <c r="AC22" s="173">
        <f t="shared" si="14"/>
        <v>117.90580041256818</v>
      </c>
      <c r="AD22" s="173">
        <f t="shared" si="14"/>
        <v>117.84779750933973</v>
      </c>
      <c r="AE22" s="173">
        <f t="shared" si="14"/>
        <v>117.78973550639239</v>
      </c>
      <c r="AF22" s="173">
        <f t="shared" si="14"/>
        <v>117.73157149495655</v>
      </c>
      <c r="AG22" s="173">
        <f t="shared" si="14"/>
        <v>117.67344220023701</v>
      </c>
      <c r="AH22" s="173">
        <f t="shared" si="14"/>
        <v>117.61523005026163</v>
      </c>
      <c r="AI22" s="173">
        <f t="shared" si="14"/>
        <v>117.55707430573381</v>
      </c>
      <c r="AJ22" s="173">
        <f t="shared" si="14"/>
        <v>117.49890861398065</v>
      </c>
      <c r="AK22" s="173">
        <f t="shared" si="14"/>
        <v>117.44064045303618</v>
      </c>
      <c r="AL22" s="173">
        <f t="shared" si="14"/>
        <v>117.44064045303618</v>
      </c>
      <c r="AM22" s="173">
        <f t="shared" si="14"/>
        <v>117.44064045303618</v>
      </c>
      <c r="AN22" s="173">
        <f t="shared" si="14"/>
        <v>117.44064045303618</v>
      </c>
      <c r="AO22" s="173">
        <f t="shared" si="14"/>
        <v>117.44064045303618</v>
      </c>
      <c r="AP22" s="173">
        <f t="shared" si="14"/>
        <v>117.44064045303618</v>
      </c>
      <c r="AQ22" s="173">
        <f t="shared" si="14"/>
        <v>117.44064045303618</v>
      </c>
      <c r="AR22" s="173">
        <f t="shared" si="14"/>
        <v>117.44064045303618</v>
      </c>
      <c r="AS22" s="173">
        <f t="shared" si="14"/>
        <v>117.44064045303618</v>
      </c>
      <c r="AT22" s="173">
        <f t="shared" si="14"/>
        <v>117.44064045303618</v>
      </c>
      <c r="AU22" s="173">
        <f t="shared" si="14"/>
        <v>117.44064045303618</v>
      </c>
      <c r="AV22" s="173">
        <f t="shared" si="14"/>
        <v>117.44064045303618</v>
      </c>
      <c r="AW22" s="173">
        <f t="shared" si="14"/>
        <v>117.44064045303618</v>
      </c>
      <c r="AX22" s="173">
        <f t="shared" si="14"/>
        <v>117.44064045303618</v>
      </c>
      <c r="AY22" s="173">
        <f t="shared" si="14"/>
        <v>117.44064045303618</v>
      </c>
      <c r="AZ22" s="173">
        <f t="shared" si="14"/>
        <v>117.44064045303618</v>
      </c>
      <c r="BA22" s="173">
        <f t="shared" si="14"/>
        <v>117.44064045303618</v>
      </c>
      <c r="BB22" s="173">
        <f t="shared" si="14"/>
        <v>117.44064045303618</v>
      </c>
      <c r="BC22" s="173">
        <f t="shared" si="14"/>
        <v>117.44064045303618</v>
      </c>
      <c r="BD22" s="173">
        <f t="shared" si="14"/>
        <v>117.44064045303618</v>
      </c>
      <c r="BE22" s="173">
        <f t="shared" si="14"/>
        <v>117.44064045303618</v>
      </c>
    </row>
    <row r="23" spans="2:57" x14ac:dyDescent="0.25">
      <c r="D23" t="s">
        <v>183</v>
      </c>
      <c r="E23" t="s">
        <v>243</v>
      </c>
      <c r="G23" t="s">
        <v>252</v>
      </c>
      <c r="H23">
        <v>0.54600000000000004</v>
      </c>
      <c r="K23" t="s">
        <v>279</v>
      </c>
      <c r="L23" s="75">
        <v>67.551000000000002</v>
      </c>
      <c r="M23" s="75">
        <v>69.947999999999993</v>
      </c>
      <c r="N23" s="75">
        <v>72.430000000000007</v>
      </c>
      <c r="O23" s="75">
        <v>75</v>
      </c>
      <c r="P23" s="75">
        <v>71.429000000000002</v>
      </c>
      <c r="Q23" s="75">
        <v>67.856999999999999</v>
      </c>
      <c r="R23" s="75">
        <v>64.286000000000001</v>
      </c>
      <c r="S23" s="75">
        <v>60.713999999999999</v>
      </c>
      <c r="T23" s="75">
        <v>57.143000000000001</v>
      </c>
      <c r="U23" s="75">
        <v>53.570999999999998</v>
      </c>
      <c r="V23" s="75">
        <v>50</v>
      </c>
      <c r="W23" s="75">
        <v>50</v>
      </c>
      <c r="X23" s="75">
        <v>50</v>
      </c>
      <c r="Y23" s="75">
        <v>50</v>
      </c>
      <c r="Z23" s="75">
        <v>50</v>
      </c>
      <c r="AA23" s="75">
        <v>50</v>
      </c>
      <c r="AB23" s="75">
        <v>50</v>
      </c>
      <c r="AC23" s="75">
        <v>50</v>
      </c>
      <c r="AD23" s="75">
        <v>50</v>
      </c>
      <c r="AE23" s="75">
        <v>50</v>
      </c>
      <c r="AF23" s="75">
        <v>50</v>
      </c>
      <c r="AG23" s="75">
        <v>50</v>
      </c>
      <c r="AH23" s="75">
        <v>50</v>
      </c>
      <c r="AI23" s="75">
        <v>50</v>
      </c>
      <c r="AJ23" s="75">
        <v>50</v>
      </c>
      <c r="AK23" s="75">
        <v>50</v>
      </c>
      <c r="AL23" s="75">
        <f>AK23</f>
        <v>50</v>
      </c>
      <c r="AM23" s="75">
        <f t="shared" ref="AM23:BE23" si="15">AL23</f>
        <v>50</v>
      </c>
      <c r="AN23" s="75">
        <f t="shared" si="15"/>
        <v>50</v>
      </c>
      <c r="AO23" s="75">
        <f t="shared" si="15"/>
        <v>50</v>
      </c>
      <c r="AP23" s="75">
        <f t="shared" si="15"/>
        <v>50</v>
      </c>
      <c r="AQ23" s="75">
        <f t="shared" si="15"/>
        <v>50</v>
      </c>
      <c r="AR23" s="75">
        <f t="shared" si="15"/>
        <v>50</v>
      </c>
      <c r="AS23" s="75">
        <f t="shared" si="15"/>
        <v>50</v>
      </c>
      <c r="AT23" s="75">
        <f t="shared" si="15"/>
        <v>50</v>
      </c>
      <c r="AU23" s="75">
        <f t="shared" si="15"/>
        <v>50</v>
      </c>
      <c r="AV23" s="75">
        <f t="shared" si="15"/>
        <v>50</v>
      </c>
      <c r="AW23" s="75">
        <f t="shared" si="15"/>
        <v>50</v>
      </c>
      <c r="AX23" s="75">
        <f t="shared" si="15"/>
        <v>50</v>
      </c>
      <c r="AY23" s="75">
        <f t="shared" si="15"/>
        <v>50</v>
      </c>
      <c r="AZ23" s="75">
        <f t="shared" si="15"/>
        <v>50</v>
      </c>
      <c r="BA23" s="75">
        <f t="shared" si="15"/>
        <v>50</v>
      </c>
      <c r="BB23" s="75">
        <f t="shared" si="15"/>
        <v>50</v>
      </c>
      <c r="BC23" s="75">
        <f t="shared" si="15"/>
        <v>50</v>
      </c>
      <c r="BD23" s="75">
        <f t="shared" si="15"/>
        <v>50</v>
      </c>
      <c r="BE23" s="75">
        <f t="shared" si="15"/>
        <v>50</v>
      </c>
    </row>
    <row r="24" spans="2:57" x14ac:dyDescent="0.25">
      <c r="K24" t="s">
        <v>280</v>
      </c>
      <c r="L24">
        <v>120</v>
      </c>
      <c r="M24">
        <v>132</v>
      </c>
      <c r="N24">
        <v>143</v>
      </c>
      <c r="O24">
        <v>155</v>
      </c>
      <c r="P24">
        <v>166</v>
      </c>
      <c r="Q24">
        <v>178</v>
      </c>
      <c r="R24">
        <v>183</v>
      </c>
      <c r="S24">
        <v>189</v>
      </c>
      <c r="T24">
        <v>194</v>
      </c>
      <c r="U24">
        <v>200</v>
      </c>
      <c r="V24">
        <v>206</v>
      </c>
      <c r="W24">
        <v>212</v>
      </c>
      <c r="X24">
        <v>219</v>
      </c>
      <c r="Y24">
        <v>225</v>
      </c>
      <c r="Z24">
        <v>232</v>
      </c>
      <c r="AA24">
        <v>239</v>
      </c>
      <c r="AB24">
        <v>246</v>
      </c>
      <c r="AC24">
        <v>253</v>
      </c>
      <c r="AD24">
        <v>261</v>
      </c>
      <c r="AE24">
        <v>269</v>
      </c>
      <c r="AF24">
        <v>277</v>
      </c>
      <c r="AG24">
        <v>285</v>
      </c>
      <c r="AH24">
        <v>294</v>
      </c>
      <c r="AI24">
        <v>303</v>
      </c>
      <c r="AJ24">
        <v>312</v>
      </c>
      <c r="AK24">
        <v>321</v>
      </c>
      <c r="AL24">
        <v>331</v>
      </c>
      <c r="AM24">
        <v>341</v>
      </c>
      <c r="AN24">
        <v>351</v>
      </c>
      <c r="AO24">
        <v>361</v>
      </c>
      <c r="AP24">
        <v>372</v>
      </c>
      <c r="AQ24">
        <v>383</v>
      </c>
      <c r="AR24">
        <v>395</v>
      </c>
      <c r="AS24">
        <v>407</v>
      </c>
      <c r="AT24">
        <v>419</v>
      </c>
      <c r="AU24">
        <v>432</v>
      </c>
      <c r="AV24">
        <v>444</v>
      </c>
      <c r="AW24">
        <v>458</v>
      </c>
      <c r="AX24">
        <v>472</v>
      </c>
      <c r="AY24">
        <v>486</v>
      </c>
      <c r="AZ24">
        <v>500</v>
      </c>
      <c r="BA24">
        <v>515</v>
      </c>
      <c r="BB24">
        <v>531</v>
      </c>
      <c r="BC24">
        <v>547</v>
      </c>
      <c r="BD24">
        <v>563</v>
      </c>
      <c r="BE24">
        <v>580</v>
      </c>
    </row>
    <row r="25" spans="2:57" x14ac:dyDescent="0.25">
      <c r="K25" t="s">
        <v>281</v>
      </c>
      <c r="L25">
        <v>80</v>
      </c>
      <c r="M25">
        <v>88</v>
      </c>
      <c r="N25">
        <v>96</v>
      </c>
      <c r="O25">
        <v>103</v>
      </c>
      <c r="P25">
        <v>111</v>
      </c>
      <c r="Q25">
        <v>119</v>
      </c>
      <c r="R25">
        <v>122</v>
      </c>
      <c r="S25">
        <v>126</v>
      </c>
      <c r="T25">
        <v>130</v>
      </c>
      <c r="U25">
        <v>133</v>
      </c>
      <c r="V25">
        <v>137</v>
      </c>
      <c r="W25">
        <v>142</v>
      </c>
      <c r="X25">
        <v>146</v>
      </c>
      <c r="Y25">
        <v>150</v>
      </c>
      <c r="Z25">
        <v>155</v>
      </c>
      <c r="AA25">
        <v>159</v>
      </c>
      <c r="AB25">
        <v>164</v>
      </c>
      <c r="AC25">
        <v>169</v>
      </c>
      <c r="AD25">
        <v>174</v>
      </c>
      <c r="AE25">
        <v>179</v>
      </c>
      <c r="AF25">
        <v>185</v>
      </c>
      <c r="AG25">
        <v>190</v>
      </c>
      <c r="AH25">
        <v>196</v>
      </c>
      <c r="AI25">
        <v>202</v>
      </c>
      <c r="AJ25">
        <v>208</v>
      </c>
      <c r="AK25">
        <v>214</v>
      </c>
      <c r="AL25">
        <v>216</v>
      </c>
      <c r="AM25">
        <v>218</v>
      </c>
      <c r="AN25">
        <v>221</v>
      </c>
      <c r="AO25">
        <v>223</v>
      </c>
      <c r="AP25">
        <v>225</v>
      </c>
      <c r="AQ25">
        <v>227</v>
      </c>
      <c r="AR25">
        <v>230</v>
      </c>
      <c r="AS25">
        <v>232</v>
      </c>
      <c r="AT25">
        <v>234</v>
      </c>
      <c r="AU25">
        <v>236</v>
      </c>
      <c r="AV25">
        <v>239</v>
      </c>
      <c r="AW25">
        <v>241</v>
      </c>
      <c r="AX25">
        <v>244</v>
      </c>
      <c r="AY25">
        <v>246</v>
      </c>
      <c r="AZ25">
        <v>249</v>
      </c>
      <c r="BA25">
        <v>251</v>
      </c>
      <c r="BB25">
        <v>254</v>
      </c>
      <c r="BC25">
        <v>256</v>
      </c>
      <c r="BD25">
        <v>259</v>
      </c>
      <c r="BE25">
        <v>261</v>
      </c>
    </row>
    <row r="26" spans="2:57" x14ac:dyDescent="0.25">
      <c r="K26" t="s">
        <v>282</v>
      </c>
      <c r="L26">
        <v>161</v>
      </c>
      <c r="M26">
        <v>176</v>
      </c>
      <c r="N26">
        <v>191</v>
      </c>
      <c r="O26">
        <v>206</v>
      </c>
      <c r="P26">
        <v>222</v>
      </c>
      <c r="Q26">
        <v>237</v>
      </c>
      <c r="R26">
        <v>244</v>
      </c>
      <c r="S26">
        <v>251</v>
      </c>
      <c r="T26">
        <v>259</v>
      </c>
      <c r="U26">
        <v>267</v>
      </c>
      <c r="V26">
        <v>275</v>
      </c>
      <c r="W26">
        <v>283</v>
      </c>
      <c r="X26">
        <v>292</v>
      </c>
      <c r="Y26">
        <v>300</v>
      </c>
      <c r="Z26">
        <v>309</v>
      </c>
      <c r="AA26">
        <v>319</v>
      </c>
      <c r="AB26">
        <v>328</v>
      </c>
      <c r="AC26">
        <v>338</v>
      </c>
      <c r="AD26">
        <v>348</v>
      </c>
      <c r="AE26">
        <v>359</v>
      </c>
      <c r="AF26">
        <v>369</v>
      </c>
      <c r="AG26">
        <v>380</v>
      </c>
      <c r="AH26">
        <v>392</v>
      </c>
      <c r="AI26">
        <v>404</v>
      </c>
      <c r="AJ26">
        <v>416</v>
      </c>
      <c r="AK26">
        <v>428</v>
      </c>
      <c r="AL26">
        <v>450</v>
      </c>
      <c r="AM26">
        <v>472</v>
      </c>
      <c r="AN26">
        <v>496</v>
      </c>
      <c r="AO26">
        <v>520</v>
      </c>
      <c r="AP26">
        <v>546</v>
      </c>
      <c r="AQ26">
        <v>574</v>
      </c>
      <c r="AR26">
        <v>602</v>
      </c>
      <c r="AS26">
        <v>633</v>
      </c>
      <c r="AT26">
        <v>664</v>
      </c>
      <c r="AU26">
        <v>697</v>
      </c>
      <c r="AV26">
        <v>732</v>
      </c>
      <c r="AW26">
        <v>769</v>
      </c>
      <c r="AX26">
        <v>807</v>
      </c>
      <c r="AY26">
        <v>848</v>
      </c>
      <c r="AZ26">
        <v>890</v>
      </c>
      <c r="BA26">
        <v>935</v>
      </c>
      <c r="BB26">
        <v>981</v>
      </c>
      <c r="BC26">
        <v>1030</v>
      </c>
      <c r="BD26">
        <v>1082</v>
      </c>
      <c r="BE26">
        <v>1136</v>
      </c>
    </row>
    <row r="28" spans="2:57" x14ac:dyDescent="0.25">
      <c r="K28" t="s">
        <v>283</v>
      </c>
      <c r="L28" s="219">
        <v>160.60644286419742</v>
      </c>
      <c r="M28" s="219">
        <v>152.36912966782009</v>
      </c>
      <c r="N28" s="219">
        <v>146.48101341666052</v>
      </c>
      <c r="O28" s="219">
        <v>138.0881370999146</v>
      </c>
      <c r="P28" s="219">
        <v>129.69816224058457</v>
      </c>
      <c r="Q28" s="219">
        <v>121.30642960647938</v>
      </c>
      <c r="R28" s="219">
        <v>112.91367356477797</v>
      </c>
      <c r="S28" s="219">
        <v>103.8226035328606</v>
      </c>
      <c r="T28" s="219">
        <v>95.706718453318885</v>
      </c>
      <c r="U28" s="219">
        <v>95.645260370422008</v>
      </c>
      <c r="V28" s="219">
        <v>95.664687470473652</v>
      </c>
      <c r="W28" s="219">
        <v>95.643748453122839</v>
      </c>
      <c r="X28" s="219">
        <v>95.880619303147867</v>
      </c>
      <c r="Y28" s="219">
        <v>95.83755268350501</v>
      </c>
      <c r="Z28" s="219">
        <v>95.779528179122906</v>
      </c>
      <c r="AA28" s="219">
        <v>95.721737765154145</v>
      </c>
      <c r="AB28" s="219">
        <v>95.663761292154092</v>
      </c>
      <c r="AC28" s="219">
        <v>95.605800412568186</v>
      </c>
      <c r="AD28" s="219">
        <v>95.54779750933973</v>
      </c>
      <c r="AE28" s="219">
        <v>95.489735506392392</v>
      </c>
      <c r="AF28" s="219">
        <v>95.431571494956557</v>
      </c>
      <c r="AG28" s="219">
        <v>95.373442200237008</v>
      </c>
      <c r="AH28" s="219">
        <v>95.315230050261633</v>
      </c>
      <c r="AI28" s="219">
        <v>95.257074305733809</v>
      </c>
      <c r="AJ28" s="219">
        <v>95.198908613980649</v>
      </c>
      <c r="AK28" s="219">
        <v>95.140640453036184</v>
      </c>
    </row>
    <row r="29" spans="2:57" x14ac:dyDescent="0.25">
      <c r="K29" t="s">
        <v>284</v>
      </c>
      <c r="L29" s="220">
        <v>67.800000000000011</v>
      </c>
      <c r="M29" s="220">
        <v>70.200000000000017</v>
      </c>
      <c r="N29" s="220">
        <v>72.600000000000023</v>
      </c>
      <c r="O29" s="220">
        <v>75</v>
      </c>
      <c r="P29" s="220">
        <v>71.428571428571431</v>
      </c>
      <c r="Q29" s="220">
        <v>67.857142857142861</v>
      </c>
      <c r="R29" s="220">
        <v>64.285714285714292</v>
      </c>
      <c r="S29" s="220">
        <v>60.714285714285722</v>
      </c>
      <c r="T29" s="220">
        <v>57.142857142857153</v>
      </c>
      <c r="U29" s="220">
        <v>53.571428571428584</v>
      </c>
      <c r="V29" s="220">
        <v>50</v>
      </c>
      <c r="W29" s="220">
        <v>50</v>
      </c>
      <c r="X29" s="220">
        <v>50</v>
      </c>
      <c r="Y29" s="220">
        <v>50</v>
      </c>
      <c r="Z29" s="220">
        <v>50</v>
      </c>
      <c r="AA29" s="220">
        <v>50</v>
      </c>
      <c r="AB29" s="220">
        <v>50</v>
      </c>
      <c r="AC29" s="220">
        <v>50</v>
      </c>
      <c r="AD29" s="220">
        <v>50</v>
      </c>
      <c r="AE29" s="220">
        <v>50</v>
      </c>
      <c r="AF29" s="220">
        <v>50</v>
      </c>
      <c r="AG29" s="220">
        <v>50</v>
      </c>
      <c r="AH29" s="220">
        <v>50</v>
      </c>
      <c r="AI29" s="220">
        <v>50</v>
      </c>
      <c r="AJ29" s="220">
        <v>50</v>
      </c>
      <c r="AK29" s="220">
        <v>50</v>
      </c>
    </row>
    <row r="30" spans="2:57" x14ac:dyDescent="0.25">
      <c r="K30" t="s">
        <v>285</v>
      </c>
      <c r="L30" s="75">
        <f>L28-L19*L29</f>
        <v>123.04524286419741</v>
      </c>
      <c r="M30" s="75">
        <f t="shared" ref="M30:AK30" si="16">M28-M19*M29</f>
        <v>113.47832966782008</v>
      </c>
      <c r="N30" s="75">
        <f t="shared" si="16"/>
        <v>106.2606134166605</v>
      </c>
      <c r="O30" s="75">
        <f t="shared" si="16"/>
        <v>96.538137099914593</v>
      </c>
      <c r="P30" s="75">
        <f t="shared" si="16"/>
        <v>90.126733669155982</v>
      </c>
      <c r="Q30" s="75">
        <f t="shared" si="16"/>
        <v>83.713572463622228</v>
      </c>
      <c r="R30" s="75">
        <f t="shared" si="16"/>
        <v>77.299387850492252</v>
      </c>
      <c r="S30" s="75">
        <f t="shared" si="16"/>
        <v>70.186889247146297</v>
      </c>
      <c r="T30" s="75">
        <f t="shared" si="16"/>
        <v>64.049575596176027</v>
      </c>
      <c r="U30" s="75">
        <f t="shared" si="16"/>
        <v>65.966688941850578</v>
      </c>
      <c r="V30" s="75">
        <f t="shared" si="16"/>
        <v>67.964687470473649</v>
      </c>
      <c r="W30" s="75">
        <f t="shared" si="16"/>
        <v>67.943748453122836</v>
      </c>
      <c r="X30" s="75">
        <f t="shared" si="16"/>
        <v>68.180619303147864</v>
      </c>
      <c r="Y30" s="75">
        <f t="shared" si="16"/>
        <v>68.137552683505007</v>
      </c>
      <c r="Z30" s="75">
        <f t="shared" si="16"/>
        <v>68.079528179122903</v>
      </c>
      <c r="AA30" s="75">
        <f t="shared" si="16"/>
        <v>68.021737765154143</v>
      </c>
      <c r="AB30" s="75">
        <f t="shared" si="16"/>
        <v>67.963761292154089</v>
      </c>
      <c r="AC30" s="75">
        <f t="shared" si="16"/>
        <v>67.905800412568183</v>
      </c>
      <c r="AD30" s="75">
        <f t="shared" si="16"/>
        <v>67.847797509339728</v>
      </c>
      <c r="AE30" s="75">
        <f t="shared" si="16"/>
        <v>67.78973550639239</v>
      </c>
      <c r="AF30" s="75">
        <f t="shared" si="16"/>
        <v>67.731571494956555</v>
      </c>
      <c r="AG30" s="75">
        <f t="shared" si="16"/>
        <v>67.673442200237005</v>
      </c>
      <c r="AH30" s="75">
        <f t="shared" si="16"/>
        <v>67.61523005026163</v>
      </c>
      <c r="AI30" s="75">
        <f t="shared" si="16"/>
        <v>67.557074305733806</v>
      </c>
      <c r="AJ30" s="75">
        <f t="shared" si="16"/>
        <v>67.498908613980646</v>
      </c>
      <c r="AK30" s="75">
        <f t="shared" si="16"/>
        <v>67.440640453036181</v>
      </c>
    </row>
    <row r="31" spans="2:57" x14ac:dyDescent="0.2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row>
    <row r="32" spans="2:57" x14ac:dyDescent="0.25">
      <c r="K32" s="66" t="s">
        <v>286</v>
      </c>
      <c r="L32" s="118">
        <v>2025</v>
      </c>
      <c r="M32" s="118">
        <v>2026</v>
      </c>
      <c r="N32" s="118">
        <v>2027</v>
      </c>
      <c r="O32" s="118">
        <v>2028</v>
      </c>
      <c r="P32" s="118">
        <v>2029</v>
      </c>
      <c r="Q32" s="118">
        <v>2030</v>
      </c>
      <c r="R32" s="118">
        <v>2031</v>
      </c>
      <c r="S32" s="118">
        <v>2032</v>
      </c>
      <c r="T32" s="118">
        <v>2033</v>
      </c>
      <c r="U32" s="118">
        <v>2034</v>
      </c>
      <c r="V32" s="118">
        <v>2035</v>
      </c>
      <c r="W32" s="118">
        <v>2036</v>
      </c>
      <c r="X32" s="118">
        <v>2037</v>
      </c>
      <c r="Y32" s="118">
        <v>2038</v>
      </c>
      <c r="Z32" s="118">
        <v>2039</v>
      </c>
      <c r="AA32" s="118">
        <v>2040</v>
      </c>
      <c r="AB32" s="118">
        <v>2041</v>
      </c>
      <c r="AC32" s="118">
        <v>2042</v>
      </c>
      <c r="AD32" s="118">
        <v>2043</v>
      </c>
      <c r="AE32" s="118">
        <v>2044</v>
      </c>
      <c r="AF32" s="118">
        <v>2045</v>
      </c>
      <c r="AG32" s="118">
        <v>2046</v>
      </c>
      <c r="AH32" s="118">
        <v>2047</v>
      </c>
      <c r="AI32" s="118">
        <v>2048</v>
      </c>
      <c r="AJ32" s="118">
        <v>2049</v>
      </c>
      <c r="AK32" s="118">
        <v>2050</v>
      </c>
      <c r="AL32" s="118">
        <v>2051</v>
      </c>
      <c r="AM32" s="118">
        <v>2052</v>
      </c>
      <c r="AN32" s="118">
        <v>2053</v>
      </c>
      <c r="AO32" s="118">
        <v>2054</v>
      </c>
      <c r="AP32" s="118">
        <v>2055</v>
      </c>
      <c r="AQ32" s="118">
        <v>2056</v>
      </c>
      <c r="AR32" s="118">
        <v>2057</v>
      </c>
      <c r="AS32" s="118">
        <v>2058</v>
      </c>
      <c r="AT32" s="118">
        <v>2059</v>
      </c>
      <c r="AU32" s="118">
        <v>2060</v>
      </c>
      <c r="AV32" s="118">
        <v>2061</v>
      </c>
      <c r="AW32" s="118">
        <v>2062</v>
      </c>
      <c r="AX32" s="118">
        <v>2063</v>
      </c>
      <c r="AY32" s="118">
        <v>2064</v>
      </c>
      <c r="AZ32" s="118">
        <v>2065</v>
      </c>
      <c r="BA32" s="118">
        <v>2066</v>
      </c>
      <c r="BB32" s="118">
        <v>2067</v>
      </c>
      <c r="BC32" s="118">
        <v>2068</v>
      </c>
      <c r="BD32" s="118">
        <v>2069</v>
      </c>
      <c r="BE32" s="118">
        <v>2070</v>
      </c>
    </row>
    <row r="33" spans="12:57" x14ac:dyDescent="0.25">
      <c r="L33" s="224">
        <v>2.1999999999999999E-2</v>
      </c>
      <c r="M33" s="224">
        <v>0.02</v>
      </c>
      <c r="N33" s="224">
        <v>0.02</v>
      </c>
      <c r="O33" s="224">
        <v>0.02</v>
      </c>
      <c r="P33" s="224">
        <v>0.02</v>
      </c>
      <c r="Q33" s="224">
        <v>0.02</v>
      </c>
      <c r="R33" s="224">
        <v>0.02</v>
      </c>
      <c r="S33" s="224">
        <v>0.02</v>
      </c>
      <c r="T33" s="224">
        <v>0.02</v>
      </c>
      <c r="U33" s="224">
        <v>0.02</v>
      </c>
      <c r="V33" s="224">
        <v>0.02</v>
      </c>
      <c r="W33" s="224">
        <v>0.02</v>
      </c>
      <c r="X33" s="224">
        <v>0.02</v>
      </c>
      <c r="Y33" s="224">
        <v>0.02</v>
      </c>
      <c r="Z33" s="224">
        <v>0.02</v>
      </c>
      <c r="AA33" s="224">
        <v>0.02</v>
      </c>
      <c r="AB33" s="224">
        <v>0.02</v>
      </c>
      <c r="AC33" s="224">
        <v>0.02</v>
      </c>
      <c r="AD33" s="224">
        <v>0.02</v>
      </c>
      <c r="AE33" s="224">
        <v>0.02</v>
      </c>
      <c r="AF33" s="224">
        <v>0.02</v>
      </c>
      <c r="AG33" s="224">
        <v>0.02</v>
      </c>
      <c r="AH33" s="224">
        <v>0.02</v>
      </c>
      <c r="AI33" s="224">
        <v>0.02</v>
      </c>
      <c r="AJ33" s="224">
        <v>0.02</v>
      </c>
      <c r="AK33" s="224">
        <v>0.02</v>
      </c>
      <c r="AL33" s="224">
        <v>0.02</v>
      </c>
      <c r="AM33" s="224">
        <v>0.02</v>
      </c>
      <c r="AN33" s="224">
        <v>0.02</v>
      </c>
      <c r="AO33" s="224">
        <v>0.02</v>
      </c>
      <c r="AP33" s="224">
        <v>0.02</v>
      </c>
      <c r="AQ33" s="224">
        <v>0.02</v>
      </c>
      <c r="AR33" s="224">
        <v>0.02</v>
      </c>
      <c r="AS33" s="224">
        <v>0.02</v>
      </c>
      <c r="AT33" s="224">
        <v>0.02</v>
      </c>
      <c r="AU33" s="224">
        <v>0.02</v>
      </c>
      <c r="AV33" s="224">
        <v>0.02</v>
      </c>
      <c r="AW33" s="224">
        <v>0.02</v>
      </c>
      <c r="AX33" s="224">
        <v>0.02</v>
      </c>
      <c r="AY33" s="224">
        <v>0.02</v>
      </c>
      <c r="AZ33" s="224">
        <v>0.02</v>
      </c>
      <c r="BA33" s="224">
        <v>0.02</v>
      </c>
      <c r="BB33" s="224">
        <v>0.02</v>
      </c>
      <c r="BC33" s="224">
        <v>0.02</v>
      </c>
      <c r="BD33" s="224">
        <v>0.02</v>
      </c>
      <c r="BE33" s="224">
        <v>0.02</v>
      </c>
    </row>
    <row r="34" spans="12:57" x14ac:dyDescent="0.2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row>
    <row r="36" spans="12:57" ht="15.75" thickBot="1" x14ac:dyDescent="0.3">
      <c r="L36" s="11" t="s">
        <v>287</v>
      </c>
      <c r="M36" s="11"/>
      <c r="N36" s="11"/>
    </row>
    <row r="37" spans="12:57" ht="60.75" thickBot="1" x14ac:dyDescent="0.3">
      <c r="L37" s="4"/>
      <c r="M37" s="12" t="s">
        <v>177</v>
      </c>
      <c r="N37" s="13" t="s">
        <v>288</v>
      </c>
      <c r="O37" s="13" t="s">
        <v>289</v>
      </c>
      <c r="P37" s="13" t="s">
        <v>290</v>
      </c>
      <c r="Q37" s="13" t="s">
        <v>180</v>
      </c>
      <c r="R37" s="13" t="s">
        <v>179</v>
      </c>
      <c r="S37" s="13" t="s">
        <v>181</v>
      </c>
      <c r="T37" s="13" t="s">
        <v>182</v>
      </c>
      <c r="U37" s="13" t="s">
        <v>183</v>
      </c>
      <c r="V37" s="13" t="s">
        <v>184</v>
      </c>
      <c r="W37" s="13" t="s">
        <v>185</v>
      </c>
      <c r="X37" s="13" t="s">
        <v>178</v>
      </c>
      <c r="Y37" s="14" t="s">
        <v>186</v>
      </c>
    </row>
    <row r="38" spans="12:57" x14ac:dyDescent="0.25">
      <c r="L38" s="4" t="s">
        <v>291</v>
      </c>
      <c r="M38" s="15" t="s">
        <v>238</v>
      </c>
      <c r="N38" s="15" t="s">
        <v>243</v>
      </c>
      <c r="O38" s="15" t="s">
        <v>243</v>
      </c>
      <c r="P38" s="15" t="s">
        <v>243</v>
      </c>
      <c r="Q38" s="15" t="s">
        <v>243</v>
      </c>
      <c r="R38" s="15" t="s">
        <v>243</v>
      </c>
      <c r="S38" s="15" t="s">
        <v>243</v>
      </c>
      <c r="T38" s="15" t="s">
        <v>292</v>
      </c>
      <c r="U38" s="15" t="s">
        <v>243</v>
      </c>
      <c r="V38" s="15" t="s">
        <v>292</v>
      </c>
      <c r="W38" s="15" t="s">
        <v>292</v>
      </c>
      <c r="X38" s="15" t="s">
        <v>169</v>
      </c>
      <c r="Y38" s="15" t="s">
        <v>238</v>
      </c>
    </row>
    <row r="39" spans="12:57" x14ac:dyDescent="0.25">
      <c r="L39" s="4" t="s">
        <v>293</v>
      </c>
      <c r="M39" s="16">
        <f>1.08*0.054</f>
        <v>5.8320000000000004E-2</v>
      </c>
      <c r="N39" s="119">
        <v>2.0107199999999999E-2</v>
      </c>
      <c r="O39" s="119">
        <v>2.0107199999999999E-2</v>
      </c>
      <c r="P39" s="119">
        <v>2.0107199999999999E-2</v>
      </c>
      <c r="Q39" s="119">
        <v>2.6225536000000003</v>
      </c>
      <c r="R39" s="119">
        <v>2.0125535999999999</v>
      </c>
      <c r="S39" s="119">
        <v>1.4325535999999999</v>
      </c>
      <c r="T39" s="16">
        <v>2.66</v>
      </c>
      <c r="U39" s="16">
        <v>3.02</v>
      </c>
      <c r="V39" s="16">
        <v>2.92</v>
      </c>
      <c r="W39" s="16">
        <v>3.02</v>
      </c>
      <c r="X39" s="16">
        <f>54+3.212</f>
        <v>57.212000000000003</v>
      </c>
      <c r="Y39" s="16">
        <v>6.2E-2</v>
      </c>
    </row>
    <row r="40" spans="12:57" x14ac:dyDescent="0.25"/>
  </sheetData>
  <phoneticPr fontId="20"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E98DE-7C2E-442D-B2BA-1C1E17BC17E3}">
  <sheetPr codeName="Sheet5"/>
  <dimension ref="A1:F19"/>
  <sheetViews>
    <sheetView workbookViewId="0">
      <selection activeCell="E7" sqref="E7"/>
    </sheetView>
  </sheetViews>
  <sheetFormatPr defaultRowHeight="15" x14ac:dyDescent="0.25"/>
  <cols>
    <col min="1" max="1" width="28.5703125" bestFit="1" customWidth="1"/>
    <col min="3" max="3" width="36.5703125" bestFit="1" customWidth="1"/>
    <col min="4" max="4" width="36.5703125" customWidth="1"/>
    <col min="5" max="5" width="53.5703125" bestFit="1" customWidth="1"/>
  </cols>
  <sheetData>
    <row r="1" spans="1:6" x14ac:dyDescent="0.25">
      <c r="A1" s="32" t="s">
        <v>294</v>
      </c>
      <c r="B1" s="49"/>
      <c r="C1" s="49" t="s">
        <v>295</v>
      </c>
      <c r="D1" s="49" t="s">
        <v>296</v>
      </c>
      <c r="E1" s="49" t="s">
        <v>297</v>
      </c>
      <c r="F1" s="49" t="s">
        <v>298</v>
      </c>
    </row>
    <row r="2" spans="1:6" x14ac:dyDescent="0.25">
      <c r="A2" t="s">
        <v>234</v>
      </c>
      <c r="B2">
        <v>0</v>
      </c>
      <c r="C2" s="83" t="s">
        <v>299</v>
      </c>
      <c r="D2" s="90">
        <v>2026</v>
      </c>
    </row>
    <row r="3" spans="1:6" x14ac:dyDescent="0.25">
      <c r="A3" t="s">
        <v>300</v>
      </c>
      <c r="B3">
        <v>1</v>
      </c>
      <c r="C3" t="s">
        <v>301</v>
      </c>
      <c r="D3" s="90">
        <f>'Project description'!B14</f>
        <v>2035</v>
      </c>
      <c r="E3" s="83" t="s">
        <v>302</v>
      </c>
      <c r="F3" s="83" t="str">
        <f>E3</f>
        <v>Information not required</v>
      </c>
    </row>
    <row r="4" spans="1:6" x14ac:dyDescent="0.25">
      <c r="A4" t="s">
        <v>303</v>
      </c>
      <c r="B4">
        <v>2</v>
      </c>
      <c r="C4" s="83" t="s">
        <v>302</v>
      </c>
      <c r="D4" s="90">
        <f>YEAR('Project description'!B11)+'Project description'!B15</f>
        <v>2047</v>
      </c>
      <c r="E4" t="s">
        <v>304</v>
      </c>
      <c r="F4" t="s">
        <v>305</v>
      </c>
    </row>
    <row r="5" spans="1:6" x14ac:dyDescent="0.25">
      <c r="A5" t="s">
        <v>22</v>
      </c>
      <c r="B5">
        <v>3</v>
      </c>
      <c r="C5" t="s">
        <v>306</v>
      </c>
      <c r="D5" s="90">
        <f>IF('Project description'!B16=Lists!E10,Lists!D3,Lists!D4)</f>
        <v>2035</v>
      </c>
      <c r="E5" t="s">
        <v>304</v>
      </c>
      <c r="F5" t="s">
        <v>305</v>
      </c>
    </row>
    <row r="6" spans="1:6" x14ac:dyDescent="0.25">
      <c r="A6" t="s">
        <v>307</v>
      </c>
      <c r="B6" s="76">
        <f>INDEX(B2:B5,MATCH('Project description'!B13,$A$2:$A$5,0))</f>
        <v>3</v>
      </c>
      <c r="D6" s="204">
        <f>INDEX(D2:D5,MATCH(B6,B2:B5,0))</f>
        <v>2035</v>
      </c>
    </row>
    <row r="7" spans="1:6" x14ac:dyDescent="0.25">
      <c r="E7" s="4" t="s">
        <v>308</v>
      </c>
    </row>
    <row r="8" spans="1:6" x14ac:dyDescent="0.25">
      <c r="E8" t="s">
        <v>234</v>
      </c>
    </row>
    <row r="9" spans="1:6" x14ac:dyDescent="0.25">
      <c r="E9" t="s">
        <v>309</v>
      </c>
    </row>
    <row r="10" spans="1:6" x14ac:dyDescent="0.25">
      <c r="A10" s="49" t="s">
        <v>310</v>
      </c>
      <c r="B10" s="49"/>
      <c r="E10" t="s">
        <v>24</v>
      </c>
    </row>
    <row r="11" spans="1:6" x14ac:dyDescent="0.25">
      <c r="A11" t="s">
        <v>234</v>
      </c>
      <c r="E11" t="s">
        <v>311</v>
      </c>
    </row>
    <row r="12" spans="1:6" x14ac:dyDescent="0.25">
      <c r="A12" t="s">
        <v>312</v>
      </c>
      <c r="B12">
        <v>1</v>
      </c>
    </row>
    <row r="13" spans="1:6" x14ac:dyDescent="0.25">
      <c r="A13" t="s">
        <v>313</v>
      </c>
      <c r="B13">
        <v>2</v>
      </c>
    </row>
    <row r="14" spans="1:6" x14ac:dyDescent="0.25">
      <c r="A14" t="s">
        <v>35</v>
      </c>
      <c r="B14">
        <v>3</v>
      </c>
    </row>
    <row r="15" spans="1:6" x14ac:dyDescent="0.25">
      <c r="A15" t="s">
        <v>314</v>
      </c>
      <c r="B15">
        <v>4</v>
      </c>
    </row>
    <row r="17" spans="1:2" x14ac:dyDescent="0.25">
      <c r="A17" t="s">
        <v>234</v>
      </c>
    </row>
    <row r="18" spans="1:2" x14ac:dyDescent="0.25">
      <c r="A18" t="s">
        <v>37</v>
      </c>
      <c r="B18">
        <v>1</v>
      </c>
    </row>
    <row r="19" spans="1:2" x14ac:dyDescent="0.25">
      <c r="A19" t="s">
        <v>315</v>
      </c>
      <c r="B19">
        <v>2</v>
      </c>
    </row>
  </sheetData>
  <phoneticPr fontId="2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9F96E-4AB0-4D13-8B64-63F7E1AB602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39B74B-1B99-4C9C-809F-0A5612EAAD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vt:i4>
      </vt:variant>
    </vt:vector>
  </HeadingPairs>
  <TitlesOfParts>
    <vt:vector size="16" baseType="lpstr">
      <vt:lpstr>Guidance</vt:lpstr>
      <vt:lpstr>Project description</vt:lpstr>
      <vt:lpstr>Inputs</vt:lpstr>
      <vt:lpstr>Scratch</vt:lpstr>
      <vt:lpstr>Real values</vt:lpstr>
      <vt:lpstr>Calculations</vt:lpstr>
      <vt:lpstr>Results</vt:lpstr>
      <vt:lpstr>Data</vt:lpstr>
      <vt:lpstr>Lists</vt:lpstr>
      <vt:lpstr>Output</vt:lpstr>
      <vt:lpstr>Analysis_year</vt:lpstr>
      <vt:lpstr>FinalYear_BC</vt:lpstr>
      <vt:lpstr>FinalYear_PP</vt:lpstr>
      <vt:lpstr>HurdleRateBasis</vt:lpstr>
      <vt:lpstr>ReturnType</vt:lpstr>
      <vt:lpstr>Start_Yr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 Denne</dc:creator>
  <cp:keywords/>
  <dc:description/>
  <cp:lastModifiedBy>Will Catton</cp:lastModifiedBy>
  <cp:revision/>
  <dcterms:created xsi:type="dcterms:W3CDTF">2025-01-27T20:36:59Z</dcterms:created>
  <dcterms:modified xsi:type="dcterms:W3CDTF">2025-02-17T23:00:03Z</dcterms:modified>
  <cp:category/>
  <cp:contentStatus/>
</cp:coreProperties>
</file>